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Sheet1" sheetId="1" state="visible" r:id="rId1"/>
    <sheet name="Sheet3" sheetId="2" state="visible" r:id="rId2"/>
    <sheet name="Sheet4" sheetId="3" state="visible" r:id="rId3"/>
    <sheet name="status" sheetId="4" state="visible" r:id="rId4"/>
    <sheet name="Sheet2" sheetId="5" state="visible" r:id="rId5"/>
    <sheet name="Haldia" sheetId="6" state="visible" r:id="rId6"/>
    <sheet name="Kolaghat" sheetId="7" state="visible" r:id="rId7"/>
    <sheet name="Kharagpur" sheetId="8" state="visible" r:id="rId8"/>
    <sheet name="Medinipur" sheetId="9" state="visible" r:id="rId9"/>
    <sheet name="Jhargram" sheetId="10" state="visible" r:id="rId10"/>
    <sheet name="Kanthi" sheetId="11" state="visible" r:id="rId11"/>
  </sheets>
  <definedNames>
    <definedName name="_xlnm._FilterDatabase" localSheetId="0" hidden="1">Sheet1!$A$1:$AU$2802</definedName>
    <definedName name="_xlnm._FilterDatabase" localSheetId="5" hidden="1">Haldia!$A$1:$F$355</definedName>
    <definedName name="_xlnm._FilterDatabase" localSheetId="6" hidden="1">Kolaghat!$A$1:$D$417</definedName>
    <definedName name="_xlnm._FilterDatabase" localSheetId="7" hidden="1">Kharagpur!$A$1:$AI$539</definedName>
    <definedName name="_xlnm._FilterDatabase" localSheetId="8" hidden="1">Medinipur!$B$1:$E$538</definedName>
    <definedName name="_xlnm._FilterDatabase" localSheetId="9" hidden="1">Jhargram!$A$1:$N$343</definedName>
    <definedName name="_xlnm._FilterDatabase" localSheetId="10" hidden="1">Kanthi!$A$1:$C$541</definedName>
    <definedName name="_xlnm._FilterDatabase" localSheetId="0" hidden="1">Sheet1!$A$1:$AU$2802</definedName>
    <definedName name="_xlnm._FilterDatabase" localSheetId="5" hidden="1">Haldia!$A$1:$F$355</definedName>
    <definedName name="_xlnm._FilterDatabase" localSheetId="6" hidden="1">Kolaghat!$A$1:$D$417</definedName>
    <definedName name="_xlnm._FilterDatabase" localSheetId="7" hidden="1">Kharagpur!$A$1:$AI$539</definedName>
    <definedName name="_xlnm._FilterDatabase" localSheetId="9" hidden="1">Jhargram!$A$1:$N$343</definedName>
    <definedName name="_xlnm._FilterDatabase" localSheetId="10" hidden="1">Kanthi!$A$1:$C$541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<sst xmlns="http://schemas.openxmlformats.org/spreadsheetml/2006/main" count="8668" uniqueCount="8668">
  <si>
    <t xml:space="preserve">SL No.</t>
  </si>
  <si>
    <t>CMP</t>
  </si>
  <si>
    <t xml:space="preserve">SAP ID</t>
  </si>
  <si>
    <t xml:space="preserve">JC Name</t>
  </si>
  <si>
    <t xml:space="preserve">Site Name</t>
  </si>
  <si>
    <t>Address</t>
  </si>
  <si>
    <t>Lat</t>
  </si>
  <si>
    <t>Long</t>
  </si>
  <si>
    <t xml:space="preserve">Sites Scope</t>
  </si>
  <si>
    <t xml:space="preserve">Power Status</t>
  </si>
  <si>
    <t xml:space="preserve">Solar Site(Yes/No)</t>
  </si>
  <si>
    <t xml:space="preserve">Facility Type</t>
  </si>
  <si>
    <t xml:space="preserve">Technician Name</t>
  </si>
  <si>
    <t xml:space="preserve">Techinician Number</t>
  </si>
  <si>
    <t xml:space="preserve">EB availibilty</t>
  </si>
  <si>
    <t xml:space="preserve">Site Load(Amp)</t>
  </si>
  <si>
    <t>SMPS</t>
  </si>
  <si>
    <t>BM</t>
  </si>
  <si>
    <t>RM</t>
  </si>
  <si>
    <t>DG</t>
  </si>
  <si>
    <t xml:space="preserve">Solar MPPT</t>
  </si>
  <si>
    <t xml:space="preserve">Other remarks</t>
  </si>
  <si>
    <t xml:space="preserve">VEGETATION STATUS</t>
  </si>
  <si>
    <t xml:space="preserve">SMPS Make</t>
  </si>
  <si>
    <t xml:space="preserve">SMPS Rating</t>
  </si>
  <si>
    <t xml:space="preserve">Fault details</t>
  </si>
  <si>
    <t>Remarks</t>
  </si>
  <si>
    <t xml:space="preserve">BM Make</t>
  </si>
  <si>
    <t xml:space="preserve">BM Rating</t>
  </si>
  <si>
    <t xml:space="preserve">BB backup</t>
  </si>
  <si>
    <t xml:space="preserve">BM Physical Count</t>
  </si>
  <si>
    <t xml:space="preserve">BM Faulty Count</t>
  </si>
  <si>
    <t xml:space="preserve">BM Remarks</t>
  </si>
  <si>
    <t xml:space="preserve">RM Make</t>
  </si>
  <si>
    <t xml:space="preserve">RM Rating</t>
  </si>
  <si>
    <t xml:space="preserve">RM Physical Count</t>
  </si>
  <si>
    <t xml:space="preserve">RM Bypass Count</t>
  </si>
  <si>
    <t xml:space="preserve">RM Faulty Count</t>
  </si>
  <si>
    <t xml:space="preserve">RM Remarks</t>
  </si>
  <si>
    <t xml:space="preserve">DG Make</t>
  </si>
  <si>
    <t xml:space="preserve">DG Rating</t>
  </si>
  <si>
    <t xml:space="preserve">GCU Make</t>
  </si>
  <si>
    <t xml:space="preserve">GCU Model</t>
  </si>
  <si>
    <t xml:space="preserve">GCU Faulty/GCU Working</t>
  </si>
  <si>
    <t xml:space="preserve">Fuel sensor status</t>
  </si>
  <si>
    <t xml:space="preserve">automation status</t>
  </si>
  <si>
    <t>DGB/CD</t>
  </si>
  <si>
    <t>STATUS</t>
  </si>
  <si>
    <t xml:space="preserve">MPPT Make</t>
  </si>
  <si>
    <t xml:space="preserve">MPPT Rating</t>
  </si>
  <si>
    <t xml:space="preserve">Total MPPT count</t>
  </si>
  <si>
    <t xml:space="preserve">MPPT Faulty Count</t>
  </si>
  <si>
    <t>Kharagpur</t>
  </si>
  <si>
    <t>I-WB-DKBG-ESC-0002</t>
  </si>
  <si>
    <t>HALDIA</t>
  </si>
  <si>
    <t>I-WB-HLDI-ESC-0002</t>
  </si>
  <si>
    <t>I-WB-HLDI-ESC-0021</t>
  </si>
  <si>
    <t>I-WB-HLDI-ESC-0022</t>
  </si>
  <si>
    <t>I-WB-HLDI-FSA-0115</t>
  </si>
  <si>
    <t xml:space="preserve">Pritam Sau</t>
  </si>
  <si>
    <t>I-WB-MHSD-ESC-0004</t>
  </si>
  <si>
    <t>I-WB-MYNA-ESC-0003</t>
  </si>
  <si>
    <t>I-WB-MYNA-ESC-0005</t>
  </si>
  <si>
    <t>I-WB-MYNA-ESC-0007</t>
  </si>
  <si>
    <t>I-WB-MYNA-ESC-0009</t>
  </si>
  <si>
    <t>I-WB-NDRM-ESC-0004</t>
  </si>
  <si>
    <t>I-WB-NDRM-ESC-0005</t>
  </si>
  <si>
    <t>I-WB-NDRM-ESC-0009</t>
  </si>
  <si>
    <t>I-WB-NDRM-ESC-0016</t>
  </si>
  <si>
    <t>I-WB-NDRT-ENB-9009</t>
  </si>
  <si>
    <t>NANDAPUR</t>
  </si>
  <si>
    <t xml:space="preserve">Pranay Bhattacharya, M-9903356591 ,vill+po-Nandapur, ps-ChandipurDist- Purba Medinipur .pin-721625</t>
  </si>
  <si>
    <t xml:space="preserve">AMALESH MONDAL</t>
  </si>
  <si>
    <t>delta</t>
  </si>
  <si>
    <t xml:space="preserve">20 kw</t>
  </si>
  <si>
    <t>ok</t>
  </si>
  <si>
    <t>coslight</t>
  </si>
  <si>
    <t xml:space="preserve">100 ah</t>
  </si>
  <si>
    <t xml:space="preserve">2 h</t>
  </si>
  <si>
    <t xml:space="preserve">4 kw</t>
  </si>
  <si>
    <t xml:space="preserve">RM need</t>
  </si>
  <si>
    <t>eicher</t>
  </si>
  <si>
    <t xml:space="preserve">10 kva</t>
  </si>
  <si>
    <t>setmac</t>
  </si>
  <si>
    <t>DGB</t>
  </si>
  <si>
    <t xml:space="preserve">ODC rust</t>
  </si>
  <si>
    <t xml:space="preserve">high need </t>
  </si>
  <si>
    <t>I-WB-NDRT-ESC-0001</t>
  </si>
  <si>
    <t>I-WB-NDRT-ESC-0002</t>
  </si>
  <si>
    <t>I-WB-NDRT-ESC-0003</t>
  </si>
  <si>
    <t>I-WB-NNDK-ESC-0015</t>
  </si>
  <si>
    <t>I-WB-STHO-ESC-0004</t>
  </si>
  <si>
    <t>I-WB-STHO-ESC-0012</t>
  </si>
  <si>
    <t>I-WB-STHT-ESC-0004</t>
  </si>
  <si>
    <t>I-WB-STHT-ESC-0005</t>
  </si>
  <si>
    <t>I-WB-STHT-ESC-0010</t>
  </si>
  <si>
    <t>I-WB-TMLK-ESC-0004</t>
  </si>
  <si>
    <t>I-WB-TMLK-ESC-0008</t>
  </si>
  <si>
    <t>I-WB-TMLK-ESC-0022</t>
  </si>
  <si>
    <t>I-WB-TMLK-ESC-0023</t>
  </si>
  <si>
    <t>I-WB-ABQN-ENB-9003</t>
  </si>
  <si>
    <t>ABQN-9003</t>
  </si>
  <si>
    <t xml:space="preserve">UTTAM BERA, VILL+P.O- AMDABAD, P.S- NANDIGRAM, DIST.- PURBA MEDINIPUR, PIN 721650 ,MOB. NO.- 9002527200</t>
  </si>
  <si>
    <t xml:space="preserve">BUDDHADEB MAITY</t>
  </si>
  <si>
    <t xml:space="preserve">16 kw</t>
  </si>
  <si>
    <t>exicom</t>
  </si>
  <si>
    <t xml:space="preserve">25 min</t>
  </si>
  <si>
    <t>procom</t>
  </si>
  <si>
    <t xml:space="preserve">sometimes fail</t>
  </si>
  <si>
    <t>weak</t>
  </si>
  <si>
    <t xml:space="preserve">1 RM site, low BM backup</t>
  </si>
  <si>
    <t>need</t>
  </si>
  <si>
    <t>I-WB-ABQN-ENB-A001</t>
  </si>
  <si>
    <t xml:space="preserve">JIYARUL SHA, VILL+P.O- KAMALPUR,P.S- NANDIGRAM, PURBA MEDINIPURMOB.- 9735709901</t>
  </si>
  <si>
    <t>I-WB-AHTY-ENB-A001</t>
  </si>
  <si>
    <t>Asotala-2</t>
  </si>
  <si>
    <t xml:space="preserve">MRINAL CHAKRABORTY, VILL - ASOTALA,  PO- ASOTALA, PS- NANDIGRAM, DIST- PURBA MIDNAPORE, PIN NO- 721656,  MO-9903968453</t>
  </si>
  <si>
    <t xml:space="preserve">Arup Karan</t>
  </si>
  <si>
    <t xml:space="preserve">atc site</t>
  </si>
  <si>
    <t>I-WB-BAXK-ENB-9001</t>
  </si>
  <si>
    <t>KUMARCHAK</t>
  </si>
  <si>
    <t xml:space="preserve">Raghunath Dinda- 9679293947, Vill &amp; P.O- Kumarchak, P.S- Nandakumar, Pin- 721652</t>
  </si>
  <si>
    <t xml:space="preserve">RAJU JANA </t>
  </si>
  <si>
    <t xml:space="preserve">1 h</t>
  </si>
  <si>
    <t>mahindra</t>
  </si>
  <si>
    <t>CD</t>
  </si>
  <si>
    <t xml:space="preserve">power cable have problem, kitkat faulty</t>
  </si>
  <si>
    <t>good</t>
  </si>
  <si>
    <t>I-WB-BDRN-ENB-9001</t>
  </si>
  <si>
    <t>BDRN-9001</t>
  </si>
  <si>
    <t xml:space="preserve">BISHNUPADA PANDA, VILL+P.O-SUBDI, P.S- NANDIGRAM, PURBA MEDINIPURMOB. NO-9932005048</t>
  </si>
  <si>
    <t xml:space="preserve">SANTANU KARAN</t>
  </si>
  <si>
    <t>I-WB-BDRN-ESC-0001</t>
  </si>
  <si>
    <t>I-WB-BDXJ-ENB-9001</t>
  </si>
  <si>
    <t>BDXG-9001</t>
  </si>
  <si>
    <t xml:space="preserve">Pintu Kumar Maity , 7001100369 ,Vill- Patna, P.O - Paschim Patna, PS - ChandipurPurba Medinipur</t>
  </si>
  <si>
    <t xml:space="preserve">45 min</t>
  </si>
  <si>
    <t>faulty</t>
  </si>
  <si>
    <t xml:space="preserve">ODC door lock damaged, 4 pole MCB fault, water logged</t>
  </si>
  <si>
    <t>I-WB-BDXJ-ENB-9002</t>
  </si>
  <si>
    <t>BDXJ-9002</t>
  </si>
  <si>
    <t xml:space="preserve">VILL-BALABADRAPUR, PO- BRAJALALCHAK,PS- CHANDIPUR,DIST- EAST MIDNAPUR,PIN-721659  BRAJALAL CHAK</t>
  </si>
  <si>
    <t xml:space="preserve">28 kw</t>
  </si>
  <si>
    <t xml:space="preserve">0 min</t>
  </si>
  <si>
    <t xml:space="preserve">all are weak battery</t>
  </si>
  <si>
    <t xml:space="preserve">exicom </t>
  </si>
  <si>
    <t>vegetation</t>
  </si>
  <si>
    <t>I-WB-BESR-ENB-9001</t>
  </si>
  <si>
    <t xml:space="preserve">HALDIA ENERGY</t>
  </si>
  <si>
    <t xml:space="preserve">Sukhendu Das- 9434192766, Vill- Shalukkhali,  P.O- Gopalchak, P.S- Sutahata, Pin- 721658</t>
  </si>
  <si>
    <t xml:space="preserve">Anupam Das</t>
  </si>
  <si>
    <t xml:space="preserve">6 h</t>
  </si>
  <si>
    <t xml:space="preserve">atleast 3 RM needed</t>
  </si>
  <si>
    <t xml:space="preserve">no DG</t>
  </si>
  <si>
    <t xml:space="preserve">15 kw</t>
  </si>
  <si>
    <t xml:space="preserve">2 MPPT needed</t>
  </si>
  <si>
    <t>I-WB-DKBG-ENB-9004</t>
  </si>
  <si>
    <t>SALIKDHANICHAK</t>
  </si>
  <si>
    <t xml:space="preserve">Sudarshan Jana-9775586136-Vill-Salikdhanichak,PO-Haridaspur,PS-Tamluk,Dist-Purba Medinipur,Pin-721653</t>
  </si>
  <si>
    <t xml:space="preserve">Saheb Mondal</t>
  </si>
  <si>
    <t>vision</t>
  </si>
  <si>
    <t xml:space="preserve">4 h</t>
  </si>
  <si>
    <t xml:space="preserve">20 kva</t>
  </si>
  <si>
    <t>manual</t>
  </si>
  <si>
    <t xml:space="preserve">FIP problem (oil), water logged</t>
  </si>
  <si>
    <t>I-WB-DKBG-ENB-I001</t>
  </si>
  <si>
    <t xml:space="preserve">HAREKRISHNA GHORAI</t>
  </si>
  <si>
    <t>I-WB-DKBG-ENB-I002</t>
  </si>
  <si>
    <t xml:space="preserve">KAKUR KHANA</t>
  </si>
  <si>
    <t xml:space="preserve">DEBABRATA PATRA,VILL- SHALIKA DAMODARPUR,P.O- HAIDASIPUR,P.S- TAMLUK,721653 CONTACT NO:-9163337821</t>
  </si>
  <si>
    <t>I-WB-GAEZ-ESC-0001</t>
  </si>
  <si>
    <t>I-WB-HLDI-AG1-0007</t>
  </si>
  <si>
    <t>I-WB-HLDI-ENB-0001</t>
  </si>
  <si>
    <t>CHAKTARAN</t>
  </si>
  <si>
    <t xml:space="preserve">SUDIP SETH-9614521249,VILL-CHAKTARAN,WARD NO-23,P.O-HALDIA TOWNSHIP,P.S-HALDIA,DIST-EAST MIDNAPORE-721607</t>
  </si>
  <si>
    <t>I-WB-HLDI-ENB-0003</t>
  </si>
  <si>
    <t xml:space="preserve">PRITAMBAR CHAWK</t>
  </si>
  <si>
    <t xml:space="preserve">DIPAK KUMAR JANA-9474056163,PITAMBAR CHAK,P.S-HALDIA,DIST-EAST MIDNAPORE-721657</t>
  </si>
  <si>
    <t>I-WB-HLDI-ENB-0004</t>
  </si>
  <si>
    <t>HITIBERIA</t>
  </si>
  <si>
    <t xml:space="preserve">AMALESH KUITI-9851219141,DAG NO-910/5813,JL-167,MOUZA-HATIBERIA,,P.S-SUTAHATA,DIST-EAST MIDNAPORE</t>
  </si>
  <si>
    <t>I-WB-HLDI-ENB-0005</t>
  </si>
  <si>
    <t>CHIRANJIBPUR</t>
  </si>
  <si>
    <t xml:space="preserve">PRABITRA KUMAR BHUNIYA-9732487044,ABIR BUILDING,CHIRANJIBPUR,PBAITRAKAR,BHUNIA,VILL-CHIRANJIBPUR,P.O-CHIRANJIBPUR,P.S-HALDIA,DIST-EAST MIDNAPORE-721602</t>
  </si>
  <si>
    <t>I-WB-HLDI-ENB-0007</t>
  </si>
  <si>
    <t xml:space="preserve">DURGA CHOWK</t>
  </si>
  <si>
    <t xml:space="preserve">ASIT PANDIT-7872214001,VILL-DURGACHOWK,BLOCK-F,PLOT-29A/1,P.O &amp; P.S-DURGACHOWK,HALDIA,EAST MIDNAPORE-721602</t>
  </si>
  <si>
    <t>vertiv</t>
  </si>
  <si>
    <t xml:space="preserve">GCS </t>
  </si>
  <si>
    <t>working</t>
  </si>
  <si>
    <t xml:space="preserve">earth pit needed</t>
  </si>
  <si>
    <t>I-WB-HLDI-ENB-0008</t>
  </si>
  <si>
    <t>UTTARPALLY</t>
  </si>
  <si>
    <t xml:space="preserve">TARAPADA GURIA-9046657669,VILL-DURGACHOWK UTTAR PALLY,P.O &amp; P.S-DURGACHOWK,DIST-EAST MIDNAPORE-721602</t>
  </si>
  <si>
    <t xml:space="preserve">2 RM needed</t>
  </si>
  <si>
    <t xml:space="preserve">non auto</t>
  </si>
  <si>
    <t xml:space="preserve">delta RM required</t>
  </si>
  <si>
    <t>I-WB-HLDI-ENB-0009</t>
  </si>
  <si>
    <t xml:space="preserve">BASUDEVPUR LIC MORE</t>
  </si>
  <si>
    <t xml:space="preserve">MANOJ JANA-9735369481,VILL-BASUDEVPUR,P.O-KHANJANCHOWK,P.S-DURGACHOWK,HALDIA</t>
  </si>
  <si>
    <t>I-WB-HLDI-ENB-0012</t>
  </si>
  <si>
    <t xml:space="preserve">BROJONATH CHAK</t>
  </si>
  <si>
    <t xml:space="preserve">SULAV BANDHU NAG-9474001064,VILL-BROJONATHCHAK,P.O-HALDIA TOWNSHIP,,P.S_HALDIA,DIST-EAST MIDNAPORE - 721605</t>
  </si>
  <si>
    <t>I-WB-HLDI-ENB-0013</t>
  </si>
  <si>
    <t xml:space="preserve">SHAID KHUDIRAMNAGAR</t>
  </si>
  <si>
    <t xml:space="preserve">JHANTU PRASAD KAMILA-8642904379 / 9331567997-VILL- SHALIHID KSHUDIRAMNAGAR,PLOT - II,P.O-HATIBERIA,P.S-HALDIA,WARD NO-24, DIST-EAST MIDNAPORE - 721657</t>
  </si>
  <si>
    <t>I-WB-HLDI-ENB-0016</t>
  </si>
  <si>
    <t>BHABANIPUR</t>
  </si>
  <si>
    <t xml:space="preserve">SK SABIR ALI, 9933301145, PO-DEBHOG,PS-BHABANIPUR,PURBA MEDINIPUR,PIN 721657</t>
  </si>
  <si>
    <t>I-WB-HLDI-ENB-0017</t>
  </si>
  <si>
    <t>HLDI-0017</t>
  </si>
  <si>
    <t xml:space="preserve">Mrinal Kanti Mal ,9332320946 ,  Vill-Brajanath Chak,PO-Haldia Port,Ward No-22,PS-Haldia,Dist-Purba Medinipur,Pin-721605</t>
  </si>
  <si>
    <t>I-WB-HLDI-ENB-0018</t>
  </si>
  <si>
    <t>HLDI-0018</t>
  </si>
  <si>
    <t xml:space="preserve">(HDC/TT-6) Jawahar Tower , Haldia Dack Complex , KOPT , pin- 721607</t>
  </si>
  <si>
    <t>I-WB-HLDI-ENB-0020</t>
  </si>
  <si>
    <t xml:space="preserve">TOWNSHIP BUS STAND</t>
  </si>
  <si>
    <t xml:space="preserve">Jawahar Tower , Haldia Dack Complex , KOPT , pin- 721607</t>
  </si>
  <si>
    <t>I-WB-HLDI-ENB-0023</t>
  </si>
  <si>
    <t xml:space="preserve">OPPOSITE TO TATA CHEMICAL</t>
  </si>
  <si>
    <t xml:space="preserve">HALDIA DOCK COMPLEX OPPOSITE TO TATA CHEMICAL DURGACHAK,P.S-HALDIA,DIST-EAST MIDNAPUR,PIN- 721606 HALDIA</t>
  </si>
  <si>
    <t xml:space="preserve">2111 non autocut</t>
  </si>
  <si>
    <t>I-WB-HLDI-ENB-0024</t>
  </si>
  <si>
    <t>RADHABALLAVPUR</t>
  </si>
  <si>
    <t xml:space="preserve">Bapan Kumar Das- 9933897074, Vill- Radhaballavpur, P.O-Barghasipur, P.S- Haldia, Pin- 721657</t>
  </si>
  <si>
    <t>I-WB-HLDI-ENB-0025</t>
  </si>
  <si>
    <t>MORAM</t>
  </si>
  <si>
    <t xml:space="preserve">Sarat Chandra Mallick 8972131142, Vill, P.O. Geodab, P.S Bhabanipur, Pin 721657</t>
  </si>
  <si>
    <t>I-WB-HLDI-ENB-0026</t>
  </si>
  <si>
    <t xml:space="preserve">Haldia Petrochemicals Limited, HLP GATE NO 2, WB, 721604</t>
  </si>
  <si>
    <t>I-WB-HLDI-ENB-0027</t>
  </si>
  <si>
    <t>HLDI-0027</t>
  </si>
  <si>
    <t xml:space="preserve">Bijon Kar-7699198267-vill-Basudevpur Khanjanchak</t>
  </si>
  <si>
    <t>I-WB-HLDI-ENB-0028</t>
  </si>
  <si>
    <t xml:space="preserve">NEAR HDC SECURITY BARRACK AT CLUSTER-4</t>
  </si>
  <si>
    <t xml:space="preserve">Jawahar Tower , Haldia Dack Complex , KOPT , pin 721607</t>
  </si>
  <si>
    <t>I-WB-HLDI-ENB-0029</t>
  </si>
  <si>
    <t>HLDI-0029</t>
  </si>
  <si>
    <t xml:space="preserve">21 kw</t>
  </si>
  <si>
    <t xml:space="preserve">3 kw</t>
  </si>
  <si>
    <t xml:space="preserve">2112 non autocut</t>
  </si>
  <si>
    <t xml:space="preserve">theaft of battery and fuel</t>
  </si>
  <si>
    <t>I-WB-HLDI-ENB-0030</t>
  </si>
  <si>
    <t xml:space="preserve">NEAR VIDYASAGAR OVER BRIDGE</t>
  </si>
  <si>
    <t xml:space="preserve">Jawahar Tower , Haldia Dack Complex , KOPT , pin- 721607 (HDC/TT-11)</t>
  </si>
  <si>
    <t>I-WB-HLDI-ENB-0031</t>
  </si>
  <si>
    <t>HLDI-0031</t>
  </si>
  <si>
    <t xml:space="preserve">Biswaranjan Jana, Hotel Sarada, Vill+Po- Durgachak , Ps- Durgachak, Dist- Purba Medinipur,Pin-721602 9474756212</t>
  </si>
  <si>
    <t>I-WB-HLDI-ENB-0032</t>
  </si>
  <si>
    <t>HLDI-0032</t>
  </si>
  <si>
    <t xml:space="preserve">VILLAGE BASUDEVPUR, P.O- KHANJANCHOWK, P.S- DURGACHOWK, HALDIA  EAST MIDNAPORE, PIN-721602</t>
  </si>
  <si>
    <t>colight</t>
  </si>
  <si>
    <t xml:space="preserve">3 h</t>
  </si>
  <si>
    <t xml:space="preserve">non autocut</t>
  </si>
  <si>
    <t xml:space="preserve">RM reuired</t>
  </si>
  <si>
    <t>I-WB-HLDI-ENB-0033</t>
  </si>
  <si>
    <t>HLDI-0033</t>
  </si>
  <si>
    <t xml:space="preserve">UJJAL PRAMANIK, VILL-P.O- HATIBERIYA, P.S- HALDIA, PIN 721657, MOB. 9732616519</t>
  </si>
  <si>
    <t>I-WB-HLDI-ENB-0042</t>
  </si>
  <si>
    <t xml:space="preserve">Durgachak colony</t>
  </si>
  <si>
    <t xml:space="preserve">Bablu Maridha-9434128591-Vill-Durgachak colony,Ps+PO-Durgachak,D-57,Ward no-10,Pin-721602,dist-East Midnapore</t>
  </si>
  <si>
    <t>auto</t>
  </si>
  <si>
    <t>I-WB-HLDI-ENB-0048</t>
  </si>
  <si>
    <t>HLDI-0048</t>
  </si>
  <si>
    <t xml:space="preserve">Shibani Mondal, vill -Brajanathchak,Ps- Haldia, dist- East Midnapur, pin-721605, m-9434940619</t>
  </si>
  <si>
    <t>I-WB-HLDI-ENB-6001</t>
  </si>
  <si>
    <t xml:space="preserve">HALDIA - 2</t>
  </si>
  <si>
    <t xml:space="preserve">DAG NO 998 KHATIAN NO 1779 JL NO 150 MOUZA- BHAWANIPUR PO-DEBHOG VILL- BHAWANIPUR (NIBEDITA COLONY) DIST- MIDNAPORE PIN-721657</t>
  </si>
  <si>
    <t>I-WB-HLDI-ENB-6002</t>
  </si>
  <si>
    <t>CITYCENTRE</t>
  </si>
  <si>
    <t xml:space="preserve">CITY CENTRE, PLOT NO-2239, DEBHOG, BESIDE MUNICIOPAL OFFICE, HALDIA</t>
  </si>
  <si>
    <t>I-WB-HLDI-ENB-B001</t>
  </si>
  <si>
    <t>SHIBVILLAH</t>
  </si>
  <si>
    <t xml:space="preserve">SHIBVILLAH, PO: KHANJAN CHAK, PS:DURWACHAK, DIST: EAST MEDINIPUR.</t>
  </si>
  <si>
    <t>I-WB-HLDI-ENB-B003</t>
  </si>
  <si>
    <t>I-WB-HLDI-ENB-G001</t>
  </si>
  <si>
    <t>BALUGHATA</t>
  </si>
  <si>
    <t xml:space="preserve">Bikas Maity  , Vill+P.O.-Balughata,PS-Bhabanipur, Dist.- Purba Medinipur pin -721645</t>
  </si>
  <si>
    <t>I-WB-HLDI-ENB-I001</t>
  </si>
  <si>
    <t xml:space="preserve">HALDIA BB</t>
  </si>
  <si>
    <t xml:space="preserve">Dag No.98, kh-36,98, jl-169, mouza-Dakshin Baisnab, Vill : Baisnab Chak, Po : Dovogh, PS : Haldia, Dist : East Medinipur, WB - 721657</t>
  </si>
  <si>
    <t>I-WB-HLDI-ENB-RT01</t>
  </si>
  <si>
    <t xml:space="preserve">HATIBERIA STATION</t>
  </si>
  <si>
    <t xml:space="preserve">HATIBERIA STATION HALDIA PURBA MEDINIPURPIN-721607HALDIA MW STATION</t>
  </si>
  <si>
    <t>I-WB-HLDI-ENB-V001</t>
  </si>
  <si>
    <t>PITAMBARCHAK</t>
  </si>
  <si>
    <t xml:space="preserve">9735628403PANCHANAN BHUNIA;VILL- ROYROYCHAK;PO-PITAMBARCHAK; PS HALDIA, DIST: EAST MEDINIPUR, PIN: 721656721656</t>
  </si>
  <si>
    <t>I-WB-HLDI-ENB-V003</t>
  </si>
  <si>
    <t xml:space="preserve">E_WB_162_22_RAGHUNATH CHAK</t>
  </si>
  <si>
    <t xml:space="preserve">VILL. - PURBA RAGHUNATH CHAK, P.O. - BHUNIDRY CHAK, P.S. - DURGA CHAK, DIST. - MIDNAPUR(E)</t>
  </si>
  <si>
    <t>I-WB-HLDI-ENB-V004</t>
  </si>
  <si>
    <t>HALDIA-5</t>
  </si>
  <si>
    <t xml:space="preserve">MR MUKTY PRASAD JANA, HOTEL INDIA , DURGA CHOWK,PS- DURGA CHOWK, VILL&amp;PO- KHANJAN CHUK</t>
  </si>
  <si>
    <t>I-WB-HLDI-ENB-V006</t>
  </si>
  <si>
    <t xml:space="preserve">RADHAMONI BAZAR</t>
  </si>
  <si>
    <t xml:space="preserve">Vill - Murari Kalua Po - Kelomal Ps - Tumlu</t>
  </si>
  <si>
    <t xml:space="preserve">SK JAMIL</t>
  </si>
  <si>
    <t>I-WB-HLDI-ENB-V007</t>
  </si>
  <si>
    <t xml:space="preserve">VILL- BHABANIPUR CITY-CENTER, P.O- DEBHOG, P.S- BHABANIPUR, PURBA MEDINIPUR</t>
  </si>
  <si>
    <t>I-WB-HLDI-ESC-0001</t>
  </si>
  <si>
    <t>I-WB-HLDI-ESC-0008</t>
  </si>
  <si>
    <t>I-WB-HLDI-ESC-0010</t>
  </si>
  <si>
    <t>I-WB-HLDI-ESC-0023</t>
  </si>
  <si>
    <t>I-WB-KAFM-ENB-I001</t>
  </si>
  <si>
    <t>BAGDA(MID)</t>
  </si>
  <si>
    <t xml:space="preserve">Nirmal Kumar Metya,Mouza- kanchanpur, Vill- Bagda,P.o- Rajarampur,P.s- mahisadal, Dist-Purba Medinipur, pin-721628</t>
  </si>
  <si>
    <t xml:space="preserve">SHUBHADIP KARAN</t>
  </si>
  <si>
    <t>I-WB-KBAV-ENB-9002</t>
  </si>
  <si>
    <t>KBAV-9002</t>
  </si>
  <si>
    <t xml:space="preserve">VILL- KESHABPUR, P.O- JALPAI, P.S- MAHISHADAL, DIST- EAST MEDINIPUR, PIN- 721628  KESHABPUR JALPAI</t>
  </si>
  <si>
    <t>I-WB-KBAV-ENB-9003</t>
  </si>
  <si>
    <t>KBAV-9003</t>
  </si>
  <si>
    <t xml:space="preserve">Dev Suhankar Gumtya, Vill+po-Itamgora, Ps-Mahisadal. Dist- purba Medinipur, Pin-721628.</t>
  </si>
  <si>
    <t>I-WB-KBAV-ENB-9004</t>
  </si>
  <si>
    <t>KBAV-9004</t>
  </si>
  <si>
    <t xml:space="preserve">VILL+P.O- KANCHANPUR JALPAI, P.S- MAHISADAL, DIST- EAST MIDNAPUR, PIN- 721628  KESHABPUR JALPAI</t>
  </si>
  <si>
    <t>I-WB-KBAV-ENB-9005</t>
  </si>
  <si>
    <t xml:space="preserve">Ashok Kumar Ghosh, Vill+PO-Kesabpur Jalpai,PS-Mahishadal,Dist-Purba Medinipur,Pin-721628,Mob-9474975099/9679468083</t>
  </si>
  <si>
    <t>I-WB-KCJD-ENB-9001</t>
  </si>
  <si>
    <t>KCJD-9001</t>
  </si>
  <si>
    <t xml:space="preserve">Sankar Samanta, Chak simulia , PO- Kumarchak PS - Nandakumar, east Midnapur, Pin-721652, m-9093036499</t>
  </si>
  <si>
    <t xml:space="preserve">Display faulty</t>
  </si>
  <si>
    <t xml:space="preserve">RM need (will upgrade site in 5G very soon)</t>
  </si>
  <si>
    <t>I-WB-KCJE-ENB-9002</t>
  </si>
  <si>
    <t>KCJE-9002</t>
  </si>
  <si>
    <t xml:space="preserve">Mamtaj Bibi,Vill-Barsuklalchak,PO-Hadia,PS-Sutahata,Dist-Purba Medinipur,Pin-721654,Mob-8768282910,</t>
  </si>
  <si>
    <t>I-WB-KTBR-ENB-9002</t>
  </si>
  <si>
    <t>Kotebar</t>
  </si>
  <si>
    <t xml:space="preserve">Tara Pada Das,Vill+PO-Kotebar,PS-Chandipur,Dist-Purba Medinipur,Pin-721633,Mob-8001292622</t>
  </si>
  <si>
    <t xml:space="preserve">1 backpanel faulty</t>
  </si>
  <si>
    <t xml:space="preserve">2.5 h</t>
  </si>
  <si>
    <t xml:space="preserve">water logged site, DG canopy damaged</t>
  </si>
  <si>
    <t>I-WB-KTBR-ENB-I001</t>
  </si>
  <si>
    <t>CHOUKHALI</t>
  </si>
  <si>
    <t xml:space="preserve">VILL-GOKURI, PO- NAJNABARIA, PS- CHANDIPUR, DIST- MADNAPUR EAST ,PIN- 721634</t>
  </si>
  <si>
    <t xml:space="preserve">DIBYENDU BIKASH MAITI</t>
  </si>
  <si>
    <t>I-WB-LASQ-ENB-9001</t>
  </si>
  <si>
    <t>LASQ-9001</t>
  </si>
  <si>
    <t xml:space="preserve">MOHANLAL KUILYA, VILL+P.O-JAGATPUR, P.S-MAHISHADAL, DT.-PURBA MEDINIPUR, MOB.NO.-8900258122</t>
  </si>
  <si>
    <t xml:space="preserve">24 kw</t>
  </si>
  <si>
    <t xml:space="preserve">75 ah</t>
  </si>
  <si>
    <t xml:space="preserve">2111 auto</t>
  </si>
  <si>
    <t>I-WB-MHSD-ENB-6001</t>
  </si>
  <si>
    <t>GEOKHALI</t>
  </si>
  <si>
    <t xml:space="preserve">DAG NO.3333, KHATIAN NO. 28, LR KHATIAN NO. 3111, JL NO. 157 MOUJA - NATSAL, VILL- NATSHALL BALARAMPUR, PO- GEONKHALI, DIST- EAST MIDNAPORE, PIN-721603</t>
  </si>
  <si>
    <t>I-WB-MHSD-ENB-6002</t>
  </si>
  <si>
    <t xml:space="preserve">KESHAB PUR JALPAI</t>
  </si>
  <si>
    <t xml:space="preserve">DAG NO-1557, KHATIAN NO-3379, JL NO-133, MOUZA - KESABPUR JALPAI, VILL AND PO- KESOBPUR JALPAI, PS- MAHISHADAL, DIST-EAST MIDNAPORE, PIN-721628</t>
  </si>
  <si>
    <t>I-WB-MHSD-ENB-6003</t>
  </si>
  <si>
    <t>LAKSHYA</t>
  </si>
  <si>
    <t xml:space="preserve">DAG NO: 211,J.L.NO: 161 KHATIAN NO: 2451, MOUZA: LAKSHYA, DIST :EAST MIDNAPORE</t>
  </si>
  <si>
    <t>I-WB-MHSD-ENB-9004</t>
  </si>
  <si>
    <t>BAMUNIA</t>
  </si>
  <si>
    <t xml:space="preserve">SHYAMAPADA MAITY-9775682991,VILL &amp; P.O-BAMUNIA,P.S-MAHISADAL,DIST-EAST MIDNAPORE-721628</t>
  </si>
  <si>
    <t>I-WB-MHSD-ENB-9005</t>
  </si>
  <si>
    <t>GARGHKAMALPUR</t>
  </si>
  <si>
    <t xml:space="preserve">TERAPEKHA MORE</t>
  </si>
  <si>
    <t>I-WB-MHSD-ENB-9007</t>
  </si>
  <si>
    <t>HIRARAMPUR</t>
  </si>
  <si>
    <t xml:space="preserve">Azijur Rahaman,Mob-9733918567,vill-Hirarampur,Po-Rajaniganj, ps- Mahisadal, Dist- Purba Medinipur Midnapur,721603</t>
  </si>
  <si>
    <t>I-WB-MHSD-ENB-9009</t>
  </si>
  <si>
    <t>RAJCHOWK</t>
  </si>
  <si>
    <t xml:space="preserve">Rameshwar Samanta- 7584847946, Vill- Andulia, P.O- Geokhali, P.S- Mahishadal, Pin- 721603</t>
  </si>
  <si>
    <t>I-WB-MHSD-ENB-9012</t>
  </si>
  <si>
    <t>BABUPUR</t>
  </si>
  <si>
    <t xml:space="preserve">DIPAK RANJAN SAMANTA-9614246523-BABUPUR, DEULPOTA, SUTAHATA,EAST MIDNAPORE - 721670</t>
  </si>
  <si>
    <t xml:space="preserve">2111 n</t>
  </si>
  <si>
    <t>I-WB-MHSD-ENB-9013</t>
  </si>
  <si>
    <t>SUNDRA</t>
  </si>
  <si>
    <t xml:space="preserve">Pradip Kr. Metya, Vill -sundra, Po- Mondingli, PS- Mahishadal,Dist- Purba Medinipur, PIN- 721628,Cont- 8348160518</t>
  </si>
  <si>
    <t>I-WB-MHSD-ENB-9014</t>
  </si>
  <si>
    <t>GAJIPUR</t>
  </si>
  <si>
    <t xml:space="preserve">VILL- GAJIPUR, P.O- PURBA SRIRAMPUR, P.S- MAHISHADAL, DIST- PURBA MEDINIPUR, PIN- 721603  MAHISADAL</t>
  </si>
  <si>
    <t>I-WB-MHSD-ENB-9016</t>
  </si>
  <si>
    <t>AMRITBERIA</t>
  </si>
  <si>
    <t xml:space="preserve">LL Name Radha krishna jana. Add- Vill + po- Amrit beria. PS- Mahisadal. Dist- East mednipur. PIN-721628</t>
  </si>
  <si>
    <t>I-WB-MHSD-ENB-9021</t>
  </si>
  <si>
    <t>MHSD-9021</t>
  </si>
  <si>
    <t xml:space="preserve">SUSHANTA MANNA, VILL- BAMANPUR, P.O- GHASIPUR, P.S- MAHISHADALPURBA MEDINIPUR, MOB.-9933128393</t>
  </si>
  <si>
    <t>I-WB-MHSD-ENB-9023</t>
  </si>
  <si>
    <t>SAHAPUR</t>
  </si>
  <si>
    <t xml:space="preserve">Jaharlal Parui-6295504624-vill-Sahapur,ps- Sutahata, dist- East Midnapur, pin-721670</t>
  </si>
  <si>
    <t>n</t>
  </si>
  <si>
    <t xml:space="preserve">GCU required</t>
  </si>
  <si>
    <t>I-WB-MHSD-ENB-9026</t>
  </si>
  <si>
    <t xml:space="preserve">Sk Abu Musha-9800072958-Vill+po-Champi, Ps- Mahisadal, Dist- East Midnapur, pin-721628</t>
  </si>
  <si>
    <t>I-WB-MHSD-ENB-A001</t>
  </si>
  <si>
    <t xml:space="preserve">Asish Mukherjee, Vill- Chandipur, P.O- Lakshya, PS- MahishadalPurba MedinipurM-9733708393</t>
  </si>
  <si>
    <t>I-WB-MHSD-ENB-A002</t>
  </si>
  <si>
    <t>MAHISADAL3</t>
  </si>
  <si>
    <t>I-WB-MHSD-ENB-B002</t>
  </si>
  <si>
    <t xml:space="preserve">MAHISHADAL MARKET,DIST-PURBA MEDINIPUR,PIN-721628  MAHISADAL</t>
  </si>
  <si>
    <t>I-WB-MHSD-ENB-G001</t>
  </si>
  <si>
    <t>MOHAGACHHI</t>
  </si>
  <si>
    <t xml:space="preserve">MOFIJUL ISLAM, VILL+PO-KUMARARAH, PS-MAHISADAL, DIST- EAST MIDINAPUR, PIN-721632,Ph-9932312017</t>
  </si>
  <si>
    <t xml:space="preserve">SPD faulty, controller faulty</t>
  </si>
  <si>
    <t>I-WB-MHSD-ENB-I001</t>
  </si>
  <si>
    <t>AJARA</t>
  </si>
  <si>
    <t xml:space="preserve">BANAMALI BERA, DAG NO- 545, KH-432,JL-151, MOUZA+VILL-AJRA,P.O-CHAMPI,P.S- MAHISADAL, 721628, MOB-9332940490/9474888401</t>
  </si>
  <si>
    <t>I-WB-MHSD-ENB-I003</t>
  </si>
  <si>
    <t>NGOPGOPLPUR1</t>
  </si>
  <si>
    <t xml:space="preserve">Saheb Santra, 9732467026,Vill+PO- gopalpur, PS- Mahisadal, Dist- Purba Medinipur</t>
  </si>
  <si>
    <t>I-WB-MHSD-ENB-I004</t>
  </si>
  <si>
    <t>I-WB-MHSD-ENB-V001</t>
  </si>
  <si>
    <t xml:space="preserve">E_WB_425_99_UTTAR KASIMNAGAR</t>
  </si>
  <si>
    <t xml:space="preserve">VILL- UTTAR KASIMNAGAR, PO-RAGARAMPUR, PS- MAHISADAL, DIST- EAST MIDNAPUR, PIN-721628721628</t>
  </si>
  <si>
    <t>I-WB-MHSD-ENB-V002</t>
  </si>
  <si>
    <t xml:space="preserve">VILL+PO-PURVA SHRI RAMPUR,PS-MAHISADAL,DIST-PURBA MEDINIPUR,PIN-721603</t>
  </si>
  <si>
    <t>I-WB-MHSD-ESC-0002</t>
  </si>
  <si>
    <t>I-WB-MHSD-ESC-0005</t>
  </si>
  <si>
    <t>I-WB-MYNA-ENB-6000</t>
  </si>
  <si>
    <t xml:space="preserve">KIYA RANA</t>
  </si>
  <si>
    <t xml:space="preserve">DAG NO. 644, JL NO. 234, KHATIAN NO. 333(HAL), MOUZA AND AMP;VILL AND AMP;PO-PAYARACHAK,PO-RAYCHAK,PS-MOYNA,DIST-EAST MIDNAPORE,PIN-721642</t>
  </si>
  <si>
    <t>vnt</t>
  </si>
  <si>
    <t>perfect</t>
  </si>
  <si>
    <t xml:space="preserve">30 kva</t>
  </si>
  <si>
    <t xml:space="preserve">7000 i</t>
  </si>
  <si>
    <t xml:space="preserve">DG canopy damage</t>
  </si>
  <si>
    <t>I-WB-MYNA-ENB-6001</t>
  </si>
  <si>
    <t>MAYNA</t>
  </si>
  <si>
    <t xml:space="preserve">PLOT OF HASIBUL MALLICK P O MAYNA EAST MIDNAPUR</t>
  </si>
  <si>
    <t>I-WB-MYNA-ENB-6003</t>
  </si>
  <si>
    <t>NARIKELDAHA</t>
  </si>
  <si>
    <t xml:space="preserve">DAG NO. 1724/4752, KHATIAN NO. 3531, JL NO. 249, MOUZA - NARIKELDAHA, VILL AND PO- ASNAN, PS- MOYNA , DIST- EAST MIDNAPORE, PIN-721642</t>
  </si>
  <si>
    <t xml:space="preserve">weak BM</t>
  </si>
  <si>
    <t xml:space="preserve">EB meter faulty</t>
  </si>
  <si>
    <t>I-WB-MYNA-ENB-6004</t>
  </si>
  <si>
    <t xml:space="preserve">PARAMANANDA PUR</t>
  </si>
  <si>
    <t xml:space="preserve"> DAG NO 1069 KHATIAN NO 265 LR 1608 SABEK J L NO 98 MOUZA AND PO AND VILL PARAMANANDAPUR DIST EAST MIDNAPORE PIN 721 </t>
  </si>
  <si>
    <t xml:space="preserve">water logged</t>
  </si>
  <si>
    <t xml:space="preserve">high need</t>
  </si>
  <si>
    <t>I-WB-MYNA-ENB-9010</t>
  </si>
  <si>
    <t>MYNA-9010</t>
  </si>
  <si>
    <t xml:space="preserve">Sagnik Maity / Sujata Maity- 9933757064, Vill- Garmayna, P.O &amp; P.S- Moyna, Purba Medinipur, Pin- 721629</t>
  </si>
  <si>
    <t>I-WB-MYNA-ENB-9011</t>
  </si>
  <si>
    <t>MYNA-9011</t>
  </si>
  <si>
    <t xml:space="preserve">SK UMED, VILL- DEULI, P.O- PASCHIM NAICHANPUR, P.S- MOYNA,DT.- PURBA MEDINIPUR, MOB. NO.- 7547927905</t>
  </si>
  <si>
    <t xml:space="preserve">DG failled to start repeatedly for FIP issue</t>
  </si>
  <si>
    <t>I-WB-MYNA-ENB-9013</t>
  </si>
  <si>
    <t>KUMARCHAWK</t>
  </si>
  <si>
    <t xml:space="preserve">Biswajit Maiti-9153879368 Vill- Kumarchawk PO-</t>
  </si>
  <si>
    <t>panasonic</t>
  </si>
  <si>
    <t xml:space="preserve">56 ah</t>
  </si>
  <si>
    <t xml:space="preserve">30 min</t>
  </si>
  <si>
    <t xml:space="preserve">RM and BM required</t>
  </si>
  <si>
    <t>I-WB-MYNA-ENB-9014</t>
  </si>
  <si>
    <t>MYNA-9014</t>
  </si>
  <si>
    <t xml:space="preserve">Kanai Jana,vill-Andhariya,po-Mirzanagar,ps-Moyna, Dist-Purba Medinipur,pin-721629,m-9679913360</t>
  </si>
  <si>
    <t xml:space="preserve">linage power</t>
  </si>
  <si>
    <t xml:space="preserve">10 min</t>
  </si>
  <si>
    <t xml:space="preserve">DG breakdown (is drown into water)</t>
  </si>
  <si>
    <t>I-WB-MYNA-ENB-9015</t>
  </si>
  <si>
    <t>MYNA-9015</t>
  </si>
  <si>
    <t xml:space="preserve">VILL+PO-CHONGRA, P.S- MOYNA, DIST- PURBA MEDINIPUR, PIN-721629  MOYNA</t>
  </si>
  <si>
    <t xml:space="preserve">1.5 h</t>
  </si>
  <si>
    <t xml:space="preserve">RM and clean</t>
  </si>
  <si>
    <t>I-WB-MYNA-ENB-9016</t>
  </si>
  <si>
    <t>BAGCHA</t>
  </si>
  <si>
    <t xml:space="preserve">VILL- BAKCHA, PO -BAKCHA,PS -MOYNA, DIST- PURBA MEDINIPUR,PIN -721642  MOYNA</t>
  </si>
  <si>
    <t xml:space="preserve">weak battery</t>
  </si>
  <si>
    <t xml:space="preserve">1 RM is not in good condition</t>
  </si>
  <si>
    <t>I-WB-MYNA-ENB-9017</t>
  </si>
  <si>
    <t>MYNA-9017</t>
  </si>
  <si>
    <t xml:space="preserve">MANAINDRANATH DAS ADHIKARY-9932984457-VILL- SARBERIYA JALPAI, PO- MOTILALCHAK, PS- NANDAKUMAR,DIST- EAST MIDNAPUR</t>
  </si>
  <si>
    <t xml:space="preserve">DG breakdown due to lightening</t>
  </si>
  <si>
    <t xml:space="preserve">high need bamboo forest water logged</t>
  </si>
  <si>
    <t>I-WB-MYNA-ENB-9018</t>
  </si>
  <si>
    <t>MYNA-9018</t>
  </si>
  <si>
    <t xml:space="preserve">ASWINI KUMAR BHOWMIK,VILL-GOKULNAGAR, P.O-BORO GOKULNAGAR,P.S-MOYNA,DT.-PURBA MEDINIPUR , MOB.NO.960359791</t>
  </si>
  <si>
    <t>I-WB-MYNA-ENB-9020</t>
  </si>
  <si>
    <t>SRIDHARPUR</t>
  </si>
  <si>
    <t xml:space="preserve">VILL-SRIDHARPUR, PO-ROYCHAK, P.S- MOYNA, DIST- EAST MIDNAPUR, PIN-721667  MOYNA</t>
  </si>
  <si>
    <t xml:space="preserve">1 faulty+ 1 in alarm</t>
  </si>
  <si>
    <t xml:space="preserve">DG roof top and fuel sensor faulty</t>
  </si>
  <si>
    <t>I-WB-MYNA-ENB-9021</t>
  </si>
  <si>
    <t>PANCHPUKURIA</t>
  </si>
  <si>
    <t xml:space="preserve">VILL -PANCHPUKURIA. P.O KALIKADARI, DIST- PURBA MEDINIPUR PIN-721642  MOYNA</t>
  </si>
  <si>
    <t xml:space="preserve">RM, 5 G DG</t>
  </si>
  <si>
    <t>I-WB-MYNA-ENB-9028</t>
  </si>
  <si>
    <t>MYNA-9028</t>
  </si>
  <si>
    <t xml:space="preserve">Manik das-9734422862-Vill+PO-Paramanandapur,PS-Moyna,Pin-721644,dist-East Midnapore</t>
  </si>
  <si>
    <t xml:space="preserve">GCU display faulty</t>
  </si>
  <si>
    <t>I-WB-MYNA-ENB-9029</t>
  </si>
  <si>
    <t>Kalagechiya</t>
  </si>
  <si>
    <t xml:space="preserve">Prabhat Adak-7319352528-Vill-Kalagachia,Po-Moyna Kalagachia,Ps-Moyna,Pin-721629,Dist-Purba Midnapore</t>
  </si>
  <si>
    <t xml:space="preserve">RM communication faulty, controller issue</t>
  </si>
  <si>
    <t xml:space="preserve">DG battery charger faulty so automation is faulty, water logged site</t>
  </si>
  <si>
    <t>I-WB-MYNA-ENB-9030</t>
  </si>
  <si>
    <t>MYNA-9030</t>
  </si>
  <si>
    <t xml:space="preserve">Sudhir Chandra Metya,Vill+PO-Srirampur,PS-Tamluk,Dist-Purba Medinipur,Pin-721651,Mob-9733613354,</t>
  </si>
  <si>
    <t>I-WB-MYNA-ENB-9031</t>
  </si>
  <si>
    <t>MYNA-9031</t>
  </si>
  <si>
    <t xml:space="preserve">Sudhir Chandra Das(Others),Vill-Harduachak,PO-Gourangachak,PS-Moyna,Dist-Purba Medinipur,Pin-721644,Mob-7362943339</t>
  </si>
  <si>
    <t>I-WB-MYNA-ENB-9032</t>
  </si>
  <si>
    <t>MYNA-9032</t>
  </si>
  <si>
    <t xml:space="preserve">samir Maity-8617427214-Vill-Brajalalchak,Dist-East Midnapur, pin-721647</t>
  </si>
  <si>
    <t>I-WB-MYNA-ENB-9033</t>
  </si>
  <si>
    <t>MUDIBAR</t>
  </si>
  <si>
    <t xml:space="preserve">Tapas Kumar Das, 8515059539, Vill-Mudibar,PO-Jaigirchak,PS-Moyna, Dist-Purba Medinipur,Pin-721644</t>
  </si>
  <si>
    <t xml:space="preserve">DGB need</t>
  </si>
  <si>
    <t>I-WB-MYNA-ENB-9034</t>
  </si>
  <si>
    <t xml:space="preserve">DAKSHIN HARKULI</t>
  </si>
  <si>
    <t xml:space="preserve">Tapan Kumar  Mandal-7063420207-Vill-Dakshin Harkuli,PO-Dakshin Moyna,PS-Moyna,Dist-Purba Medinipur,Pin-721629</t>
  </si>
  <si>
    <t>Rjil</t>
  </si>
  <si>
    <t xml:space="preserve">314 ah</t>
  </si>
  <si>
    <t>kiloskar</t>
  </si>
  <si>
    <t xml:space="preserve">RM, water logged</t>
  </si>
  <si>
    <t>I-WB-MYNA-ENB-A001</t>
  </si>
  <si>
    <t>MAGRA</t>
  </si>
  <si>
    <t xml:space="preserve">Vill+P.O- Ramchak, P.s-Moina,Dist- Purba Medinipur,Pin-721644</t>
  </si>
  <si>
    <t>I-WB-MYNA-ENB-A002</t>
  </si>
  <si>
    <t>ANNAPURNA</t>
  </si>
  <si>
    <t xml:space="preserve">BALARAM DAS,8420070475,VILL-MASUNCHAK P/O-DAKSHIN MOYNA P.S-MOYNA,DIST-PURBA MEDINIPUR,</t>
  </si>
  <si>
    <t>I-WB-MYNA-ENB-I001</t>
  </si>
  <si>
    <t>I-WB-MYNA-ENB-I002</t>
  </si>
  <si>
    <t>ANNAPURN</t>
  </si>
  <si>
    <t xml:space="preserve">Kshudiram Hait, Dag No.125, Kh-1415, JL-202, Vill/Po/mouza : Dakshin Changrachak, Ps : Maayna, Dist : East Medinipur-721644</t>
  </si>
  <si>
    <t>I-WB-MYNA-ESC-0001</t>
  </si>
  <si>
    <t>I-WB-MYNA-ESC-0008</t>
  </si>
  <si>
    <t>I-WB-MYNA-ESC-0010</t>
  </si>
  <si>
    <t>I-WB-MYNA-ESC-0011</t>
  </si>
  <si>
    <t>I-WB-MYNA-ESC-0012</t>
  </si>
  <si>
    <t>I-WB-NACK-ESC-0001</t>
  </si>
  <si>
    <t>I-WB-NAXV-ENB-9001</t>
  </si>
  <si>
    <t>NAXV-9001</t>
  </si>
  <si>
    <t xml:space="preserve">Pyari Lal Pramanik-8145981416-Banka Bolia Srikris</t>
  </si>
  <si>
    <t xml:space="preserve">dry vegetation</t>
  </si>
  <si>
    <t>I-WB-NAYE-ESC-0001</t>
  </si>
  <si>
    <t>I-WB-NDRM-ENB-9006</t>
  </si>
  <si>
    <t>NDRM-9006</t>
  </si>
  <si>
    <t xml:space="preserve">Sk Sahanyaz-9933474853-vill-Mohammadpur,dist- east midnapur, pin-721631</t>
  </si>
  <si>
    <t xml:space="preserve">lBD card faulty</t>
  </si>
  <si>
    <t xml:space="preserve">delta </t>
  </si>
  <si>
    <t>4kw</t>
  </si>
  <si>
    <t xml:space="preserve">non autokit</t>
  </si>
  <si>
    <t xml:space="preserve">DG overload and shutdown</t>
  </si>
  <si>
    <t>I-WB-NDRM-ENB-9008</t>
  </si>
  <si>
    <t>CHOWRANGI</t>
  </si>
  <si>
    <t xml:space="preserve">Faiyazur Rahman- 9153624599, Vill- Sarberia, P.O- Sarberia, P.S- Nandigram, Pin- 721631</t>
  </si>
  <si>
    <t>autokit</t>
  </si>
  <si>
    <t>I-WB-NDRM-ENB-9013</t>
  </si>
  <si>
    <t>HARIPUR</t>
  </si>
  <si>
    <t xml:space="preserve">Gokul Chakraborty- 9564361588, Vill &amp; P.O- Haripur, P.S- Nandigram, Pin- 721631</t>
  </si>
  <si>
    <t xml:space="preserve">SPD faulty</t>
  </si>
  <si>
    <t xml:space="preserve">7 h</t>
  </si>
  <si>
    <t xml:space="preserve">2111 non autokit</t>
  </si>
  <si>
    <t xml:space="preserve">GCU port faulty</t>
  </si>
  <si>
    <t xml:space="preserve">DG lock faulty</t>
  </si>
  <si>
    <t>I-WB-NDRM-ENB-9016</t>
  </si>
  <si>
    <t xml:space="preserve">REAPARA BAZAR</t>
  </si>
  <si>
    <t xml:space="preserve">Kalyani Sahoo, w/o Tapan Kumar sahoo, Vill- Khadambari, Ps- Nandigram,pin-721650, Dist East Midnapur, Mob-9434110447</t>
  </si>
  <si>
    <t xml:space="preserve">2 backpanel faulty</t>
  </si>
  <si>
    <t>I-WB-NDRM-ENB-9017</t>
  </si>
  <si>
    <t>NDRM-9017</t>
  </si>
  <si>
    <t xml:space="preserve">Sk.Mannan Mohammad, Vill- Habibbar, P.O- Priyanagari, P.S-NandigramPurba Medinipur  Mob.-9735590747</t>
  </si>
  <si>
    <t xml:space="preserve"> doulble fan</t>
  </si>
  <si>
    <t xml:space="preserve">1 RM fan problem no output sometime</t>
  </si>
  <si>
    <t xml:space="preserve">working but display faulty</t>
  </si>
  <si>
    <t xml:space="preserve">6 kw</t>
  </si>
  <si>
    <t xml:space="preserve">solar panel broken, change over box damage, SPD damage</t>
  </si>
  <si>
    <t>I-WB-NDRM-ENB-9018</t>
  </si>
  <si>
    <t>MARISHDANDA</t>
  </si>
  <si>
    <t xml:space="preserve">Alokesh Porua,M-8016151034, Vill- Marisdanga, Po-Akandabari, Ps- Nandigram ,Dist- Purba Medinipur, Pin- 721650</t>
  </si>
  <si>
    <t xml:space="preserve">CPH test needed</t>
  </si>
  <si>
    <t>I-WB-NDRM-ENB-9020</t>
  </si>
  <si>
    <t>NDRM-9020</t>
  </si>
  <si>
    <t xml:space="preserve">SK SIRAJUDDIN,VILL-SULLANICHAK, P.O-RAJARAMCHAK, P.S-NANDIGRAMDIST.-PURBA MEDINIPUR, MOB. NO.-8944930113</t>
  </si>
  <si>
    <t xml:space="preserve">doulble fan</t>
  </si>
  <si>
    <t xml:space="preserve">2111 autokit</t>
  </si>
  <si>
    <t xml:space="preserve">DG silencer broken</t>
  </si>
  <si>
    <t>I-WB-NDRM-ENB-9023</t>
  </si>
  <si>
    <t>NDRM-9023</t>
  </si>
  <si>
    <t xml:space="preserve">VILL +P.O -KALICHARANPUR,P.S- NANDIGRAM,DIST-EAST MEDINIPUR,PIN-721646  NANDIGRAM</t>
  </si>
  <si>
    <t xml:space="preserve">eicher </t>
  </si>
  <si>
    <t xml:space="preserve">Battery clump faulty</t>
  </si>
  <si>
    <t>I-WB-NDRM-ENB-9025</t>
  </si>
  <si>
    <t>NDRM-9025</t>
  </si>
  <si>
    <t xml:space="preserve">VILL -SAIFULLACHAK, PS- NANDIGRAM, DIST- EAST MIDNAPUR, PIN-721631  NANDIGRAM</t>
  </si>
  <si>
    <t xml:space="preserve">1 battery is not activated due to insufient RM</t>
  </si>
  <si>
    <t xml:space="preserve">1 RM needed for activating 1 more battery</t>
  </si>
  <si>
    <t xml:space="preserve">GCU and RM needed</t>
  </si>
  <si>
    <t>I-WB-NDRM-ENB-9027</t>
  </si>
  <si>
    <t>NDRM-9027</t>
  </si>
  <si>
    <t xml:space="preserve">Sk Nur Alam-8370901260-Sk Nur Alam,Vill- Barjamtala,ps- Nandigram,Dist- East Midnapur,pin-721633,m-8370901260</t>
  </si>
  <si>
    <t xml:space="preserve">single fan</t>
  </si>
  <si>
    <t xml:space="preserve">all good</t>
  </si>
  <si>
    <t>I-WB-NDRM-ENB-9028</t>
  </si>
  <si>
    <t>NDRM-9028</t>
  </si>
  <si>
    <t xml:space="preserve">VILL- AMTALA ,PO- TAJPUR,PS- NANDIGRAM,DIST -EAST MIDNAPUR ,PIN CODE- 721656  NANDIGRAM</t>
  </si>
  <si>
    <t xml:space="preserve">GCU needed</t>
  </si>
  <si>
    <t>I-WB-NDRM-ENB-9029</t>
  </si>
  <si>
    <t>SONACHURA</t>
  </si>
  <si>
    <t xml:space="preserve">Deb Kumar Jana,Vill+PO-Sonachura,PS-Nandrigram,Dist-Purba Medinipur,Pin-721646,Mob-9732662375</t>
  </si>
  <si>
    <t xml:space="preserve">5 h</t>
  </si>
  <si>
    <t xml:space="preserve">due to insuficient RM 1 battery is not activated</t>
  </si>
  <si>
    <t xml:space="preserve">RM needed, all time EB flactuation </t>
  </si>
  <si>
    <t>I-WB-NDRM-ENB-9030</t>
  </si>
  <si>
    <t>MAHESHPUR</t>
  </si>
  <si>
    <t xml:space="preserve">Kanai Lal Das-9647587585--Vill-Maheshpur,PO-Parul Bari,PS-Nandrigram,Dist-Purba Medinipur,Pin-721631</t>
  </si>
  <si>
    <t xml:space="preserve">2112 non autokit</t>
  </si>
  <si>
    <t xml:space="preserve">RM needed</t>
  </si>
  <si>
    <t>I-WB-NDRM-ENB-9031</t>
  </si>
  <si>
    <t xml:space="preserve">Paritosh Pradhan-9800029154-Vill+PO-Manuchak,PS-Nandrigram,Dist-Purba Medinipur,Pin-721656</t>
  </si>
  <si>
    <t>I-WB-NDRM-ENB-A001</t>
  </si>
  <si>
    <t>DURGAPURM</t>
  </si>
  <si>
    <t xml:space="preserve">PRAMOD RANJAN DAS, VILL:GOVINDAPUR,PO:DURGAPUR,DIST:PURBA MEDINIPUR ,PIN:721631</t>
  </si>
  <si>
    <t>I-WB-NDRM-ENB-G001</t>
  </si>
  <si>
    <t>NANDIGRAM</t>
  </si>
  <si>
    <t xml:space="preserve">SUBHASH MAITY VILL-GODAIBALBARH PS-NANDIGRAM DIST-EAST MIDNAPUR PH-9932488196</t>
  </si>
  <si>
    <t xml:space="preserve">2. 5 h</t>
  </si>
  <si>
    <t xml:space="preserve">GCU softwer issue</t>
  </si>
  <si>
    <t>I-WB-NDRM-ENB-I001</t>
  </si>
  <si>
    <t>TEKHALI</t>
  </si>
  <si>
    <t xml:space="preserve">AMIYA MAITY, TEKHALI MARKET, VILL_KANONGOCHAWK, P.O.- GOKUL NAGAR, P.S.- NANDIGRAM, DIST- PURBA MIDNAPORE</t>
  </si>
  <si>
    <t>I-WB-NDRM-ENB-I003</t>
  </si>
  <si>
    <t>GANGRA</t>
  </si>
  <si>
    <t xml:space="preserve">Amalendu Giri, Vill- Sonachura, P.S- Nandigram, Dist- Purba Midnapore, West Bengal null</t>
  </si>
  <si>
    <t>I-WB-NDRM-ENB-I004</t>
  </si>
  <si>
    <t>I-WB-NDRM-ENB-I005</t>
  </si>
  <si>
    <t>Kalicharanpur</t>
  </si>
  <si>
    <t xml:space="preserve">MOHAMMAD ROHILA KHATOON, VILL-7NO. JALPAI, P.O. GARHCHAKERBERIA, P.S. NANDIGRAM, DIST-PURBA MEDINIPORE, PIN- 721631.</t>
  </si>
  <si>
    <t>I-WB-NDRM-ENB-I006</t>
  </si>
  <si>
    <t xml:space="preserve">KENDA MARI JALPAI</t>
  </si>
  <si>
    <t xml:space="preserve">Manirul Islam ,Vill+PO- Kendamari JalpaI, ps-Nandigram, Dist-Purba Medinipur,721632</t>
  </si>
  <si>
    <t>I-WB-NDRM-ENB-I007</t>
  </si>
  <si>
    <t>SOUTHKHALI</t>
  </si>
  <si>
    <t xml:space="preserve">Jadupati Jana,Contact no:-9434242686,Vill- Kalicharanpur,PO-l-Saudkhali,P.s- Nandigram, Dist-Purba Medinipur,721646</t>
  </si>
  <si>
    <t>I-WB-NDRM-ENB-I008</t>
  </si>
  <si>
    <t>BAYAL</t>
  </si>
  <si>
    <t>Bayal</t>
  </si>
  <si>
    <t>I-WB-NDRM-ENB-V001</t>
  </si>
  <si>
    <t xml:space="preserve">E WB 299 3 DAUDPUR</t>
  </si>
  <si>
    <t xml:space="preserve">Premansu Das 9609361276 Vill+PO- Daudpur, PS- Nandigram, Dist - Purba Medinipur, Pin- 721631</t>
  </si>
  <si>
    <t xml:space="preserve">viom site</t>
  </si>
  <si>
    <t>I-WB-NDRM-ESC-0007</t>
  </si>
  <si>
    <t>I-WB-NDRM-ESC-0008</t>
  </si>
  <si>
    <t>I-WB-NDRM-ESC-0012</t>
  </si>
  <si>
    <t>I-WB-NDRM-ESC-0014</t>
  </si>
  <si>
    <t>I-WB-NDRM-ESC-0015</t>
  </si>
  <si>
    <t>I-WB-NDRO-ENB-6000</t>
  </si>
  <si>
    <t xml:space="preserve">AMDA BAD</t>
  </si>
  <si>
    <t xml:space="preserve"> AMDABAD HIGH SCHOOL VILL AND PO AMDABAD PS NANDIGRAM PIN 721650 </t>
  </si>
  <si>
    <t>I-WB-NDRO-ENB-6001</t>
  </si>
  <si>
    <t xml:space="preserve">GHOL PUKURYA</t>
  </si>
  <si>
    <t xml:space="preserve">DAG NO-1742, KHATIN NO-746, JL NO-137,MOUZA- BIRULIYA, PO- BIRULIYA, DIST- EAST MIDNAPORE, PIN- 721650</t>
  </si>
  <si>
    <t>I-WB-NDRO-ENB-6002</t>
  </si>
  <si>
    <t>KULBARI</t>
  </si>
  <si>
    <t xml:space="preserve">DAG NO-1046,KHATIAN NO-4127,4128, J.L NO-129, MOUZA- KULBARI , DIST-EAST MIDNAPORE, PIN-721625</t>
  </si>
  <si>
    <t xml:space="preserve">Santanu Karan</t>
  </si>
  <si>
    <t>I-WB-NDRO-ENB-9004</t>
  </si>
  <si>
    <t xml:space="preserve">NANDIGRAM CHIRANJIBPUR</t>
  </si>
  <si>
    <t xml:space="preserve">Labangalata  Shahoo,8509843203  Vill- Chiranjibpur, P.O- Baraghani, P.S- Nandigram, Pin- 721650, Purba Medinipur</t>
  </si>
  <si>
    <t xml:space="preserve">73 ah</t>
  </si>
  <si>
    <t xml:space="preserve">Battery neede</t>
  </si>
  <si>
    <t xml:space="preserve">DG LED faulty, SMPS SDP faulty, charging alternater faulty</t>
  </si>
  <si>
    <t>I-WB-NDRO-ENB-9006</t>
  </si>
  <si>
    <t>NDRO-9006</t>
  </si>
  <si>
    <t xml:space="preserve">Purnendu Sekhar Jana,9735730968,vill &amp; P.O.-Bheturia,P.S.-Nandigram,Pin-721650,Purba Medinipur,Khodambari</t>
  </si>
  <si>
    <t xml:space="preserve">DG fan faulty, SMPS SPD faulty, DG fuel sensor faulty, change over box faulty</t>
  </si>
  <si>
    <t>I-WB-NDRO-ENB-9009</t>
  </si>
  <si>
    <t>RANKINIPUR</t>
  </si>
  <si>
    <t xml:space="preserve">VILL+PO RANKINIPUR, P.S- NANDIGRAM, DIST- EAST MIDNAPUR, PIN-721650  REYE PARA</t>
  </si>
  <si>
    <t xml:space="preserve">low BM backup, manual DG</t>
  </si>
  <si>
    <t>I-WB-NDRO-ENB-9011</t>
  </si>
  <si>
    <t xml:space="preserve">AMDABAD 1</t>
  </si>
  <si>
    <t xml:space="preserve">Parul Jana &amp; Others, vill+po-Amdabad, ps-Nandigram, Dist-Purb Medinipur, pin-721650,m-8101418510</t>
  </si>
  <si>
    <t xml:space="preserve">DG breakdown</t>
  </si>
  <si>
    <t>I-WB-NDRO-ENB-9012</t>
  </si>
  <si>
    <t>NDRO-9012</t>
  </si>
  <si>
    <t xml:space="preserve">VILL- TAKAPARA, PO- TAKAPURA, PS- NANDIGRAM, DIST- EAST MIDNAPUR, PIN- 721432  REYE PARA</t>
  </si>
  <si>
    <t>I-WB-NDRO-ENB-9015</t>
  </si>
  <si>
    <t>NDRO-9015</t>
  </si>
  <si>
    <t xml:space="preserve">VILL-GOPALCHAK, P.O-PURBA GOPALCHAK, P.S-NANDIGRAM, DIST-EAST MEDINAPORE, PIN-721656  REYE PARA</t>
  </si>
  <si>
    <t xml:space="preserve">DG always generate alarm </t>
  </si>
  <si>
    <t>I-WB-NDRO-ENB-9016</t>
  </si>
  <si>
    <t>BHETURIA</t>
  </si>
  <si>
    <t xml:space="preserve">VILL+PO- BHETURIA, PS- KRISHNAGAR, DIST- EAST MIDNAPORE, PIN- 721650  REYE PARA</t>
  </si>
  <si>
    <t>kiloskart</t>
  </si>
  <si>
    <t xml:space="preserve">water logged site</t>
  </si>
  <si>
    <t>I-WB-NDRO-ENB-9017</t>
  </si>
  <si>
    <t xml:space="preserve">Ashok Kumar Jana---Vill-Jayanpur,PO-Ashadtala,PS-Nandrigram,Dist-Purba Medinipur,Pin-721656</t>
  </si>
  <si>
    <t xml:space="preserve"> 4 kw</t>
  </si>
  <si>
    <t>I-WB-NDRO-ENB-I001</t>
  </si>
  <si>
    <t>Janabzr</t>
  </si>
  <si>
    <t xml:space="preserve">Vill-Brindabanchak,P.S-Nandigram,P.O-Kayakhali,Dist-East Midnapore-721646</t>
  </si>
  <si>
    <t>I-WB-NDRO-ENB-I002</t>
  </si>
  <si>
    <t>I-WB-NDRO-ENB-I003</t>
  </si>
  <si>
    <t xml:space="preserve">GHOL PUKURIA</t>
  </si>
  <si>
    <t xml:space="preserve">vill-Ghol Pukuria,hanu Bhunya,po-Akandabari,dist-Purba Medinipur,WB</t>
  </si>
  <si>
    <t>I-WB-NDRO-ESC-0002</t>
  </si>
  <si>
    <t>I-WB-NDRO-ESC-0003</t>
  </si>
  <si>
    <t>I-WB-NDRO-ESC-0004</t>
  </si>
  <si>
    <t>I-WB-NDRO-ESC-0005</t>
  </si>
  <si>
    <t>I-WB-NDRO-ESC-0006</t>
  </si>
  <si>
    <t>I-WB-NDRT-ENB-6000</t>
  </si>
  <si>
    <t>KALIKAHALI</t>
  </si>
  <si>
    <t xml:space="preserve">LAND OF SMT.KANAN BEJ,W/O LATE DIPEN KUMAR BEJ,VILL - KALIKAHALI,PO - MATH CHANDIPUR,P.S-CHANDIPUR,DIST - PURBA MEDINIPORE,PIN - 721659,PLOT NO -968,SABEK KHATIAN NO - 47,HAL KHATIAN NO - 120/1,J.L NO - 91,MOUZA - KALIKAKHALI.PH - 032282722238</t>
  </si>
  <si>
    <t xml:space="preserve">DG breakdown site</t>
  </si>
  <si>
    <t xml:space="preserve">water logged, shelter likeage, coller is faulty</t>
  </si>
  <si>
    <t>I-WB-NDRT-ENB-9001</t>
  </si>
  <si>
    <t>KAYALCHAK</t>
  </si>
  <si>
    <t xml:space="preserve">SANKAR PRASAD BARIK-9143667257,VILL-KAYALCHAK,P.O-NARGHAT,P.S-CHANDIPUR,DIST-EAST MIDNAPORE-721633</t>
  </si>
  <si>
    <t xml:space="preserve">water logged, ODC door lock, meter room wall broken.. 10 month water logged</t>
  </si>
  <si>
    <t>I-WB-NDRT-ENB-9002</t>
  </si>
  <si>
    <t>DHANYASHREE</t>
  </si>
  <si>
    <t xml:space="preserve">PASHUPATI PRAMANIK-9432936711,VILL-DHANYASREE,P.O-SRIKRISHNAPUR,P.S-CHANDIPUR,DIST-EAST MIDNAPORE, Pin-721427</t>
  </si>
  <si>
    <t xml:space="preserve">1 RM weak</t>
  </si>
  <si>
    <t xml:space="preserve">water logged site, ODC door lock damaged</t>
  </si>
  <si>
    <t>I-WB-NDRT-ENB-9010</t>
  </si>
  <si>
    <t>NDRT-9010</t>
  </si>
  <si>
    <t xml:space="preserve">Suprabhat Jana- 9002525751, Vill- Chandir Bazar, Barahchandi, P.S- Chandipur, Narghat, Pin- 721633</t>
  </si>
  <si>
    <t xml:space="preserve">1 backpanel faulty, controller backpanel fault</t>
  </si>
  <si>
    <t xml:space="preserve">ODC door lock damaged, meter room 4 pole MCB faulty</t>
  </si>
  <si>
    <t xml:space="preserve">dry vagetation</t>
  </si>
  <si>
    <t>I-WB-NDRT-ENB-9013</t>
  </si>
  <si>
    <t>NDRT-9013</t>
  </si>
  <si>
    <t xml:space="preserve">SAWPAN ROY-8001324013-VILL+PO-BRINDABANPUR, PS-CHANDIPUR, DIST-EAST MIDNAPUR</t>
  </si>
  <si>
    <t>I-WB-NDRT-ENB-9014</t>
  </si>
  <si>
    <t>NDRT-9014</t>
  </si>
  <si>
    <t xml:space="preserve">Asit Kumar Das, Vill Bamunara, P.O Asutiabar,P.S ChandipurPurba Medinipur, Mob. 9732548425</t>
  </si>
  <si>
    <t>marely</t>
  </si>
  <si>
    <t>I-WB-NDRT-ENB-9015</t>
  </si>
  <si>
    <t>NDRT-9015</t>
  </si>
  <si>
    <t xml:space="preserve">Subal Chandra Sanki,vill+po-Muradpur,ps-Chandipur, Dist - Purba Medinipur , PIN-721625</t>
  </si>
  <si>
    <t xml:space="preserve">non DG site</t>
  </si>
  <si>
    <t xml:space="preserve">ODC door lock damaged</t>
  </si>
  <si>
    <t>I-WB-NDRT-ENB-9016</t>
  </si>
  <si>
    <t>NDRT-9016</t>
  </si>
  <si>
    <t xml:space="preserve">SK IMAN ALI, VILL-DHUSIA, P.O-SULTANPUR BAZAR, P.S-CHANDIPURPURBA MEDINIPUR</t>
  </si>
  <si>
    <t xml:space="preserve">non touch</t>
  </si>
  <si>
    <t xml:space="preserve">ODC door lock damaged, 4 pole MCB faulty, Dry vegetation</t>
  </si>
  <si>
    <t>I-WB-NDRT-ENB-9017</t>
  </si>
  <si>
    <t>KOREKHALI</t>
  </si>
  <si>
    <t xml:space="preserve">Gourhari Jana, Vill-Korekhali,Dist- Purba medinipur, Pin-721633,M- 8145011209</t>
  </si>
  <si>
    <t>I-WB-NDRT-ENB-9018</t>
  </si>
  <si>
    <t>NDRT-9018</t>
  </si>
  <si>
    <t xml:space="preserve">VILL-KAYALCHAKPS- CHANDIPURDIST- EAST MIDNAPUR PIN-721633</t>
  </si>
  <si>
    <t xml:space="preserve">water logged + vegetation</t>
  </si>
  <si>
    <t>I-WB-NDRT-ENB-9019</t>
  </si>
  <si>
    <t>NDRT-9019</t>
  </si>
  <si>
    <t xml:space="preserve">PARITOSH GIRI(9732768637)VILL-CHAK PATNA,PO-BARAGHUNA,PS-CHANDIPUR,DIST-EAST MIDNAPUR,PIN-721656</t>
  </si>
  <si>
    <t xml:space="preserve">8 kw</t>
  </si>
  <si>
    <t xml:space="preserve">1 MPPT faulty</t>
  </si>
  <si>
    <t>I-WB-NDRT-ENB-9020</t>
  </si>
  <si>
    <t>NDRT-9020</t>
  </si>
  <si>
    <t xml:space="preserve">VILL + PO- BRRABHUMI, PS- CHANDIPUR, DIST- EAST MEDINIPUR, PIN- 721625  CHANDIPUR</t>
  </si>
  <si>
    <t xml:space="preserve">DG canopy damaged</t>
  </si>
  <si>
    <t>I-WB-NDRT-ENB-9021</t>
  </si>
  <si>
    <t>NDRT-9021</t>
  </si>
  <si>
    <t xml:space="preserve">SUSANTA GIRI-9679970371-VILL+PO-BRINDABANPUR,PS-CHANDIPUR,DIST- EAST MIDNAPUR</t>
  </si>
  <si>
    <t xml:space="preserve">c type SPD faulty</t>
  </si>
  <si>
    <t xml:space="preserve">dry vegetation, DG canopy damaged</t>
  </si>
  <si>
    <t>I-WB-NDRT-ENB-9023</t>
  </si>
  <si>
    <t>NDRT-9023</t>
  </si>
  <si>
    <t xml:space="preserve">VILL-KULUP, PO-ASUTIABAR,PS- CHANDIPUR, DIST- EAST MIDNAPUR, PIN-721649</t>
  </si>
  <si>
    <t>RJil</t>
  </si>
  <si>
    <t>I-WB-NDRT-ENB-9025</t>
  </si>
  <si>
    <t>NDRT-9025</t>
  </si>
  <si>
    <t xml:space="preserve">Gourhari Ghorai-9933589267-Vill-Boram,Po-Barsimulbari,PS-Chandipur,Pin-721659,Dist-East Midnapore</t>
  </si>
  <si>
    <t xml:space="preserve">1 backpanel faulty, controller faulty</t>
  </si>
  <si>
    <t xml:space="preserve">water logged, 4 pole MCB faulty, dry vegetation</t>
  </si>
  <si>
    <t>I-WB-NDRT-ENB-9026</t>
  </si>
  <si>
    <t>NDRT-9026</t>
  </si>
  <si>
    <t xml:space="preserve">Chandan maity,Vill-Gazipur,PO-Chaknan,PS-Chandipur,Dist-Purba Medinipur,Pin-721633,Mob-9732834332</t>
  </si>
  <si>
    <t xml:space="preserve">DG exhaust damaged, canopy damaged, 4 pole MCB faulty</t>
  </si>
  <si>
    <t xml:space="preserve">dry vegetattion</t>
  </si>
  <si>
    <t>I-WB-NDRT-ENB-A001</t>
  </si>
  <si>
    <t xml:space="preserve">DIHI KASHIMPUR</t>
  </si>
  <si>
    <t xml:space="preserve">Khudi Ram Prodhan, Vill + PO Iswarpur, PS Chandipur, Dist-Purba medinipur,721659</t>
  </si>
  <si>
    <t>I-WB-NDRT-ENB-I002</t>
  </si>
  <si>
    <t>NARANDARI</t>
  </si>
  <si>
    <t xml:space="preserve">Srishtidhar Bera,Dag No.546, Kh-1083, JL-5, Mouza/Vill:Narandari, Po:Pamarchali, PS:Chandipur, Dist:East Medinipur-721633, Mob:9051619170</t>
  </si>
  <si>
    <t>I-WB-NDRT-ENB-I003</t>
  </si>
  <si>
    <t>USMANPURM</t>
  </si>
  <si>
    <t>I-WB-NNDK-ENB-0001</t>
  </si>
  <si>
    <t>I-WB-NNDK-ENB-6000</t>
  </si>
  <si>
    <t xml:space="preserve">BAR GODA GUDAR</t>
  </si>
  <si>
    <t xml:space="preserve">DAG NO- 3715, J.L NO- 007, KHATIAN NO- 4583, MOUZA AND VILL AND PO- BARGODAGODAR, DIST- EAST MIDNAPORE, PIN-721652</t>
  </si>
  <si>
    <t xml:space="preserve">DG breakdown due to DG alternator is not giving voltage</t>
  </si>
  <si>
    <t xml:space="preserve">high need, water logged</t>
  </si>
  <si>
    <t>I-WB-NNDK-ENB-6001</t>
  </si>
  <si>
    <t xml:space="preserve">this site is clossed</t>
  </si>
  <si>
    <t>I-WB-NNDK-ENB-6002</t>
  </si>
  <si>
    <t xml:space="preserve">KUNAR CHAK</t>
  </si>
  <si>
    <t xml:space="preserve">DAG NO. 20, 21, 143, KHATIAN NO. 241/263/243, JL NO. 11, MOUZA AND VILL- CHAKSIMULTALA, PO-KUMARCHAK, PS- NANDAKUMAR, DIST- EAST MIDNAPORE,PIN-721652</t>
  </si>
  <si>
    <t xml:space="preserve">meter room 100 amp MCB faulty(bypass currently)</t>
  </si>
  <si>
    <t>I-WB-NNDK-ENB-6003</t>
  </si>
  <si>
    <t xml:space="preserve">SITAL PUR</t>
  </si>
  <si>
    <t xml:space="preserve">VILL-SRIDHARPUR,PO AND AMP;PS-NANDAKUMAR,DIST-EAST MIDNAPORE,PIN-721632</t>
  </si>
  <si>
    <t>I-WB-NNDK-ENB-6005</t>
  </si>
  <si>
    <t>KHEJURBERIA</t>
  </si>
  <si>
    <t xml:space="preserve">SATISH KUITI, P,/O SATISH KUITI AND KHITISH KUITI, KHEJURBERIA P.O + P.S NANDAKUMAR PURBA MEDNIPUR, Pin-721632</t>
  </si>
  <si>
    <t>I-WB-NNDK-ENB-6006</t>
  </si>
  <si>
    <t xml:space="preserve">NANDAKUMAR CROSSING</t>
  </si>
  <si>
    <t xml:space="preserve">LAND OF SH SK NAZRUL ISLAM,S/O OF SH SK GOLAM,LAND SIZE: 50 X 50,DAG NO: 1588,KHATIAN NO: 422,J L NO: 82,MOUZA: SRIDHARPUR,PO+PS: NANDAKUMAR,DIST: PURBA MEDINIPUR,PIN: 721 632,PH - 9932460059</t>
  </si>
  <si>
    <t>I-WB-NNDK-ENB-9003</t>
  </si>
  <si>
    <t>JALPAI</t>
  </si>
  <si>
    <t xml:space="preserve">DAG NO. 11243, KHATIAN NO. 3862, JL NO. 10, MOUZA - SAORABERYA JALPAI, VILL: SAORABERIA JALPAI, PO:JALPAI,PS: NANDAKUMAR,DIST: EAST MIDNAPORE,PIN:721652</t>
  </si>
  <si>
    <t xml:space="preserve">EB conductor is faulty so DG is manual</t>
  </si>
  <si>
    <t>I-WB-NNDK-ENB-9008</t>
  </si>
  <si>
    <t>KAMARDA</t>
  </si>
  <si>
    <t xml:space="preserve">SRIKANTA MAITY  AND  ALOK PAHARI,9733808005,VILL-IRKHA BAHRABAD,PO-KHANCHI,PS-NANDAKUMAR,DIST-PURBA MEDINIPUR, 721643</t>
  </si>
  <si>
    <t>I-WB-NNDK-ENB-9012</t>
  </si>
  <si>
    <t>ICCHAPUR</t>
  </si>
  <si>
    <t xml:space="preserve">Sankha Bera- 9434330390, Vill- Tarageria, P.O- Byabatterhat, P.S- Nandakumar, Pin- 721648</t>
  </si>
  <si>
    <t>I-WB-NNDK-ENB-9013</t>
  </si>
  <si>
    <t>NNDK-9013</t>
  </si>
  <si>
    <t xml:space="preserve">Panchanan Bera 9434354333, Vill P.O Dakshin narkelda, P.S Nandakumar, pin 721664, Purba Medinipur</t>
  </si>
  <si>
    <t xml:space="preserve">all battery cell is faulty</t>
  </si>
  <si>
    <t xml:space="preserve">RM need, Site BM need</t>
  </si>
  <si>
    <t>I-WB-NNDK-ENB-9015</t>
  </si>
  <si>
    <t>HARIHARPUR</t>
  </si>
  <si>
    <t xml:space="preserve">Arup Bhattacharya-9732893041-Vill- Naradari,P.S Nandakumar, pin 721664, Purba Medinipur</t>
  </si>
  <si>
    <t>I-WB-NNDK-ENB-9018</t>
  </si>
  <si>
    <t>NNDK-9018</t>
  </si>
  <si>
    <t xml:space="preserve">KHOKON MANNA-8001826873-VILL-DHITAIBASAN, PO+PS-NANDAKUMAR, PIN-721632</t>
  </si>
  <si>
    <t>I-WB-NNDK-ENB-9020</t>
  </si>
  <si>
    <t>KALYANPUR</t>
  </si>
  <si>
    <t xml:space="preserve">LL Name Mr.Makhan sana. Ph- 9564330478. Add- Vill + po- Kalyan pur. PS- Nandakumar. Dist- purba mednipur. PIN- 721632</t>
  </si>
  <si>
    <t>I-WB-NNDK-ENB-9023</t>
  </si>
  <si>
    <t>NNDK-9023</t>
  </si>
  <si>
    <t xml:space="preserve">VILL BHABANICHAK, P.O CHAKGIYADIGHI,P.S NANDAKUMAR,DIST-PURBA MEDINIPUR,PIN-721652  NANDAKUMAR</t>
  </si>
  <si>
    <t xml:space="preserve">Fuel tank water logged so DG is not running</t>
  </si>
  <si>
    <t>I-WB-NNDK-ENB-9024</t>
  </si>
  <si>
    <t>NNDK-9024</t>
  </si>
  <si>
    <t xml:space="preserve">VILL- MAISHLI JALPAI,PO- NARGHAT, PS -NANDAKUMAR, DIST -EAST MIDNAPUR, PIN- 721633  NANDAKUMAR</t>
  </si>
  <si>
    <t>I-WB-NNDK-ENB-9025</t>
  </si>
  <si>
    <t>PANDABASAN</t>
  </si>
  <si>
    <t xml:space="preserve">Rabindranath Maity, vill-Pandabasan,Po-Dakhin Dharmabar pur, PS- Nandakumar, Dist- Purba Medinipur, pin-721652</t>
  </si>
  <si>
    <t>I-WB-NNDK-ENB-9030</t>
  </si>
  <si>
    <t>NNDK-9030</t>
  </si>
  <si>
    <t xml:space="preserve">VILL- MADHAVPUR, PO- KALYANPUR, PS- NANDIGRAM, DIST- EAST MIDNAPUR, PIN- 721631  NANDAKUMAR</t>
  </si>
  <si>
    <t>I-WB-NNDK-ENB-9032</t>
  </si>
  <si>
    <t>NNDK-9032</t>
  </si>
  <si>
    <t xml:space="preserve">VILL-GIRISCHAK,PO-NARGHAT,PS-NANDAKUMAR,DIST-EAST MIDNAPUR,PIN-721669  NANDAKUMAR</t>
  </si>
  <si>
    <t>I-WB-NNDK-ENB-9033</t>
  </si>
  <si>
    <t>NNDK-9033</t>
  </si>
  <si>
    <t xml:space="preserve">VILL-SUNDARPUR,PO-SHITALPUR,PS-NANDAKUMAR,DIST-PURBA MEDINIPUR,PIN-721632  NANDAKUMAR</t>
  </si>
  <si>
    <t>I-WB-NNDK-ENB-9034</t>
  </si>
  <si>
    <t>NNDK-9034</t>
  </si>
  <si>
    <t xml:space="preserve">VILL+P.O- BAICHBERIYA, P.S-NANDAKUMAR, DIST-PURBA MEDINIPUR, PIN-721649  NANDAKUMAR</t>
  </si>
  <si>
    <t xml:space="preserve">3 RM bcak panel PCB faulty, orion faulty so DG visibility is not their</t>
  </si>
  <si>
    <t xml:space="preserve">RM count low</t>
  </si>
  <si>
    <t>I-WB-NNDK-ENB-9035</t>
  </si>
  <si>
    <t>BARGODA</t>
  </si>
  <si>
    <t xml:space="preserve">VILL+P.O-BARGODA, P.S- NANDAKUMAR, DIST- EAST MIDNAPUR, PIN- 721651  NANDAKUMAR</t>
  </si>
  <si>
    <t>I-WB-NNDK-ENB-9039</t>
  </si>
  <si>
    <t>NNDK-9039</t>
  </si>
  <si>
    <t xml:space="preserve">Milan Kanti Bhowmik,Vill-Rautari,PO+PS-Nandakumar,Dist-Purba Medinipur,Pin-721632,Mob-9609481004/7063647565</t>
  </si>
  <si>
    <t>I-WB-NNDK-ENB-9041</t>
  </si>
  <si>
    <t>I-WB-NNDK-ENB-A001</t>
  </si>
  <si>
    <t xml:space="preserve">VILL- PURBA GUMAI, PO- DAYAL DAS, PS- NANDA KUMAR, DIST- MIDNIPUR, PIN- 721632</t>
  </si>
  <si>
    <t>I-WB-NNDK-ENB-I001</t>
  </si>
  <si>
    <t>KALICHAK</t>
  </si>
  <si>
    <t xml:space="preserve">Pulin Bihari Guchhait, Dag no:-2998,2719,Kh-1849,Jl-127,mouza- Terpara Jalpai Purba,Vill- Kalichak,P.O- Itamogra,P.s- Nandakumar,721628.</t>
  </si>
  <si>
    <t>I-WB-NNDK-ENB-I002</t>
  </si>
  <si>
    <t>NIKASHI</t>
  </si>
  <si>
    <t xml:space="preserve">Nikashi Bazar, Mirikpur,po-Kumarchak,Dist- Purba Medinipur,WB</t>
  </si>
  <si>
    <t>I-WB-NNDK-ENB-I003</t>
  </si>
  <si>
    <t>Kalirhaat</t>
  </si>
  <si>
    <t xml:space="preserve">Mukunda Ram ari vill. Mulakhob,po dayaldasi,ps.- Nand kumar,dist-Purba Medinipur ,pin 721623</t>
  </si>
  <si>
    <t>I-WB-NNDK-ENB-I004</t>
  </si>
  <si>
    <t>NAIKUNDI</t>
  </si>
  <si>
    <t xml:space="preserve">SITE ADDRESS:SK. ASHRAF HOSSAIN,SK. FARUK HOSSAIN,SK. HARUN ALI RASHID,DAG NO:-133,KH-127/414,770,JL-117,MOUZA+VILL- NAIKUNDI,P.O- KUMARANA,P.S- NANDAKUMAR,721632., CONATCT NO:-9434128227/9635145118</t>
  </si>
  <si>
    <t>I-WB-NNDK-ENB-I005</t>
  </si>
  <si>
    <t>LAUHAJANG</t>
  </si>
  <si>
    <t xml:space="preserve">Near water tank,Vill - Lohajung,Po - Kalanchak,Ps - Nandkumar,Dist - Purba medinipur,Pin - 721665</t>
  </si>
  <si>
    <t>I-WB-NNDK-ENB-I006</t>
  </si>
  <si>
    <t>RAJARAMPUR</t>
  </si>
  <si>
    <t xml:space="preserve">Kanaklata Samai,Dag no-654,Kh-92,Jl-15,Mouza- +Vill- Rajarampur, P.O- Kumarchak, P.s- Nandkumar,721652. Contact no- 9733738126 na</t>
  </si>
  <si>
    <t>I-WB-NNDK-ENB-V001</t>
  </si>
  <si>
    <t>E_WB_425_97_Kandalda</t>
  </si>
  <si>
    <t xml:space="preserve">Vill-Kardalda,P.O-Dakhsin Srikrisnapur,PS-Nandakumar,Dist-Midnapur(E)</t>
  </si>
  <si>
    <t>I-WB-NNDK-ENB-V002</t>
  </si>
  <si>
    <t xml:space="preserve">E WB 298 3 KHANCHI</t>
  </si>
  <si>
    <t>EWB2983Khanchi</t>
  </si>
  <si>
    <t>I-WB-NNDK-ENB-V003</t>
  </si>
  <si>
    <t>MAHISHADAL_002</t>
  </si>
  <si>
    <t>I-WB-NNDK-ESC-0017</t>
  </si>
  <si>
    <t>I-WB-NNDK-ILA-0001</t>
  </si>
  <si>
    <t xml:space="preserve">Nandakumar Crossing</t>
  </si>
  <si>
    <t xml:space="preserve">Nandakumar Crossing, PO+PS: NANDAKUMAR,DIST: PURBA MEDINIPUR,PIN: 721 632</t>
  </si>
  <si>
    <t>I-WB-NNDK-ILA-6005</t>
  </si>
  <si>
    <t>I-WB-SATE-ENB-V001</t>
  </si>
  <si>
    <t xml:space="preserve">Bhakucharan GhoraiVillPO-Samsabad PS-Nandigram</t>
  </si>
  <si>
    <t>I-WB-SBTF-ENB-9001</t>
  </si>
  <si>
    <t>SBTF-9001</t>
  </si>
  <si>
    <t xml:space="preserve">SANTANU SAMANATA-9735327249-VILL-BHAWNIPUR, PO-KALYANCHAK,PS-NANDAKUMAR,DIST- EAST MIDNAPUR,PIN-721652</t>
  </si>
  <si>
    <t>I-WB-SBYU-ENB-I001</t>
  </si>
  <si>
    <t>SIMULIA</t>
  </si>
  <si>
    <t xml:space="preserve">Vil/PO simuliya PS tamluk Dist Emednipur 721649</t>
  </si>
  <si>
    <t>I-WB-SMTG-ENB-9023</t>
  </si>
  <si>
    <t>SMTG-9033</t>
  </si>
  <si>
    <t xml:space="preserve">kishor Mondal-9734565789-Vill-santipur,p.o-Mecheda, p.s-kolaghat, purba medinipur, 721137</t>
  </si>
  <si>
    <t xml:space="preserve">SURESH PARAI</t>
  </si>
  <si>
    <t>I-WB-SRTH-ENB-6000</t>
  </si>
  <si>
    <t>SRIKANTHA</t>
  </si>
  <si>
    <t xml:space="preserve">DAG NO-1538, KHATIAN NO-1213, JL NO-185, MOUZA - TILKHOJA, VILL-TILKHOJA(KHEJURTALA), PO-TILKHOJA,PS-MOYNA,DIST-EAST MIDNAPORE,PIN-721629</t>
  </si>
  <si>
    <t xml:space="preserve">20  kw</t>
  </si>
  <si>
    <t xml:space="preserve">DG breakdown and DG parts are open didn't close after opening due to high cost so it's still in breakdown</t>
  </si>
  <si>
    <t xml:space="preserve">high  need, water logged</t>
  </si>
  <si>
    <t>I-WB-SRTH-ENB-9003</t>
  </si>
  <si>
    <t>PRAJABAS</t>
  </si>
  <si>
    <t xml:space="preserve">VILL- PRAJABAS, PS- MOYNA, DIST- EAST MIDNAPUR, PIN- 721647  SRIKANTHA</t>
  </si>
  <si>
    <t xml:space="preserve">1 RM</t>
  </si>
  <si>
    <t>I-WB-STHO-ENB-0001</t>
  </si>
  <si>
    <t>TENTULBERIA</t>
  </si>
  <si>
    <t xml:space="preserve">VILL - TENTULDARIA,P.O-DEBAK,P.S - BHOWANIPUR,DIST - EAST MIDNAPORE - 721657</t>
  </si>
  <si>
    <t>I-WB-STHO-ENB-0002</t>
  </si>
  <si>
    <t>KASHBERIA</t>
  </si>
  <si>
    <t xml:space="preserve">MR. SATYENDRANATH  GAYEN, VILL-KASHBERIA, PO- SHIVRAMNAGAR,PS- BHOWANIPUR,WARD-12, DIST- EAST MIDNAPORE,PIN-721135,CONT- 9330019281</t>
  </si>
  <si>
    <t>I-WB-STHO-ENB-6000</t>
  </si>
  <si>
    <t>KUKRAHATI</t>
  </si>
  <si>
    <t xml:space="preserve">PLOT NO. 689, MAUZA- CHAITANYAPUR, KHATIAN NO - 393, JL NO 64, PS - SUTAHATA, NEAR UPAHAR CINEMA, BELIAGHATA KUKRAHATI ROAD, HALDIA, DIST- PURBA MEDINIPORE</t>
  </si>
  <si>
    <t xml:space="preserve">40 min</t>
  </si>
  <si>
    <t xml:space="preserve">non DG</t>
  </si>
  <si>
    <t>I-WB-STHO-ENB-6001</t>
  </si>
  <si>
    <t xml:space="preserve">BRAJALAL CHAWK</t>
  </si>
  <si>
    <t xml:space="preserve">PLOT OF SH. RINTU DHARA,MINTU DHARA,PINTU DHARA,POST.-DAKSHIN CHAK,THANA-BHABANIPUR,DIST.-MIDNAPORE EAST,MOUZA-BRAJALAL CHAK,JL NO.-57,KHATIAN NO.-1180 AND 664,PLOT NO.-582/2260.</t>
  </si>
  <si>
    <t xml:space="preserve">RM required</t>
  </si>
  <si>
    <t>I-WB-STHO-ENB-9005</t>
  </si>
  <si>
    <t>BARSUNDARA</t>
  </si>
  <si>
    <t xml:space="preserve">MATILAL MAITY, VILL- BARSUNDARA, PO- ISHWARDAHA JALPAI, PS- BHOWANIPUR, DIST- PURBA MEDINIPUR,PIN-721654, CONT-9732728036</t>
  </si>
  <si>
    <t xml:space="preserve">2112 auto</t>
  </si>
  <si>
    <t>I-WB-STHO-ENB-9006</t>
  </si>
  <si>
    <t>STHO-9006</t>
  </si>
  <si>
    <t xml:space="preserve">Pabitra Dolai- 9832716547, Vill &amp; P.O- Geodab, P.S- Bhabanipur, Pin- 721657</t>
  </si>
  <si>
    <t>I-WB-STHO-ENB-9007</t>
  </si>
  <si>
    <t>DARIBERIA</t>
  </si>
  <si>
    <t xml:space="preserve">Sankar Prashad Mondal,9476163173,Vill+Po-Dariberia,Ps -Sutahata,Purba Medinipur,721654</t>
  </si>
  <si>
    <t>vison</t>
  </si>
  <si>
    <t>I-WB-STHO-ENB-9008</t>
  </si>
  <si>
    <t>STHO-9008</t>
  </si>
  <si>
    <t xml:space="preserve">VILL- DIGHASIPUR, P.0- CHAWKDIPA, P.S- BHABANIPUR,DIST-PURBA MEDINIPUR,PIN- 721645  BRAJALAL CHAK</t>
  </si>
  <si>
    <t>I-WB-STHO-ENB-9013</t>
  </si>
  <si>
    <t>STHO-9013</t>
  </si>
  <si>
    <t xml:space="preserve">Swapan Kr Maji-9046376765-Vill- Chaul Khola PO- SHIBRAMNAGAR, PS- BHAWANIPUR, PIN-721635</t>
  </si>
  <si>
    <t>I-WB-STHO-ENB-9014</t>
  </si>
  <si>
    <t>JAMBARIA</t>
  </si>
  <si>
    <t xml:space="preserve">Gopal Mandal- 9735231223, Vill- Jamberia, P.O- Barbasudebpur, P.S- Sutahata, Pin- 721645</t>
  </si>
  <si>
    <t xml:space="preserve">100  ah</t>
  </si>
  <si>
    <t>I-WB-STHO-ENB-9018</t>
  </si>
  <si>
    <t>HADIA</t>
  </si>
  <si>
    <t xml:space="preserve">Sambhunath Bera, Vill+po--Hadia, Ps -Sutahata, Dist -Purba Medinipur , Pin- 721654, M-9002371058</t>
  </si>
  <si>
    <t>I-WB-STHO-ENB-9019</t>
  </si>
  <si>
    <t>STHO-9019</t>
  </si>
  <si>
    <t xml:space="preserve">Ramkrishna Das Adhikary, Vill- Kasthakhali, P.O - IswardahajalpaiPS- Bhabanipur, Purba Medinipur, M-9332310038</t>
  </si>
  <si>
    <t xml:space="preserve">controller faulty</t>
  </si>
  <si>
    <t>I-WB-STHO-ENB-9020</t>
  </si>
  <si>
    <t>STHO-9020</t>
  </si>
  <si>
    <t xml:space="preserve">Shankar Prasad Sahoo,vill+po-kalikakundu, ps- Mahisadal, dist- Purba Medinipur, m-9733545091</t>
  </si>
  <si>
    <t>I-WB-STHO-ENB-9023</t>
  </si>
  <si>
    <t>STHO-9023</t>
  </si>
  <si>
    <t xml:space="preserve">HIRANMOYEE ENARGY LTD, VILL KASHBERIA, PO SBIBRAMNAGAR, PS BHOWANIPUR HALDIA,DIST-PURBA MEDINIPUR,PIN-721602  BRAJALAL CHAK</t>
  </si>
  <si>
    <t>I-WB-STHO-ENB-9024</t>
  </si>
  <si>
    <t>STHO-9024</t>
  </si>
  <si>
    <t xml:space="preserve">VILL-DAKHINCHAK,P.O-DAKHINCHAK,P.S-BRAJALALCHAK ,DIST- EAST MEDINIPUR, PIN-721628  BRAJALAL CHAK</t>
  </si>
  <si>
    <t>I-WB-STHO-ENB-B002</t>
  </si>
  <si>
    <t xml:space="preserve">HREL COLONY HALDIA</t>
  </si>
  <si>
    <t xml:space="preserve">Mr.Nandi,HREl colony, Haldia townshipPin-721605,Mob-9434000089</t>
  </si>
  <si>
    <t>I-WB-STHO-ENB-I001</t>
  </si>
  <si>
    <t>BARBASUDEBPUR</t>
  </si>
  <si>
    <t xml:space="preserve">CHAITNYA MAJHI, BHARTI RANI MAJHI,VILL.+PO - BAR BASUDEB PUR, PS-SUTAHATA ,</t>
  </si>
  <si>
    <t>I-WB-STHO-ENB-I002</t>
  </si>
  <si>
    <t xml:space="preserve">HALDIA-4 (BRAJLALCHAK)</t>
  </si>
  <si>
    <t xml:space="preserve">Mr. Priyobo Maitee,, Brijlal Chowk, Post Dakshin Chowk, P.S-Bhawanipur,PIN-741654</t>
  </si>
  <si>
    <t>I-WB-STHO-ENB-I003</t>
  </si>
  <si>
    <t xml:space="preserve">BASAN CHAK</t>
  </si>
  <si>
    <t xml:space="preserve">VillPO-HadiaPS-SutahataDist-East Medinipur</t>
  </si>
  <si>
    <t>I-WB-STHO-ENB-V001</t>
  </si>
  <si>
    <t>HALDIA_007</t>
  </si>
  <si>
    <t xml:space="preserve">KHATIAN NO. 426/1, PLOT NO. 173,.J.L NO.- 163,MOUZA -RAMGOPALCHOWK, UNDER HALDIA MUNICIPALITY, SITUATED AT- RAMGOPALCHAWK,P.O-PITAMBAR CHAWK,P.O/ P.S-HALDIA, DIST-MIDNAPORE(E),PIN -721657,721657</t>
  </si>
  <si>
    <t>I-WB-STHO-ENB-V002</t>
  </si>
  <si>
    <t>HALDIA_006</t>
  </si>
  <si>
    <t xml:space="preserve">Village -  Chaulkhola, P.O.- Shibramnagar P.S.- Bhowanipur, Dist.- Purba Medinipore, West Bengal, 721635</t>
  </si>
  <si>
    <t>I-WB-STHO-ENB-W001</t>
  </si>
  <si>
    <t>HALDIA-12</t>
  </si>
  <si>
    <t xml:space="preserve">Vill.-Banbishnupur, P.O.-Balughat, P.S.-Bhahanipur, Dist.-Medinipur(East), Pin.-721645</t>
  </si>
  <si>
    <t>I-WB-STHO-ESC-0001</t>
  </si>
  <si>
    <t>I-WB-STHO-ESC-0003</t>
  </si>
  <si>
    <t>I-WB-STHO-ESC-0014</t>
  </si>
  <si>
    <t>I-WB-STHT-ENB-0001</t>
  </si>
  <si>
    <t xml:space="preserve">SUTAHATA BAZAR</t>
  </si>
  <si>
    <t xml:space="preserve">HAREKRISHNA PUROKAIT,VILL-TENTULBERIA,P.O-TENTULBERIA,P.S-BHOWANIPUR,WARD NO - 12 , DIST-EAST MIDNAPORE - 721657  9233547947</t>
  </si>
  <si>
    <t>I-WB-STHT-ENB-0002</t>
  </si>
  <si>
    <t>CHAITANYAPUR</t>
  </si>
  <si>
    <t xml:space="preserve">HIMADRI SEKHAR MAITY, VILL  AND  P.O-CHAITANYAPUR,P.S-SUTAHATA,DIST - EAST MIDNAPORE - 721648</t>
  </si>
  <si>
    <t>I-WB-STHT-ENB-0003</t>
  </si>
  <si>
    <t>STHT-0003</t>
  </si>
  <si>
    <t xml:space="preserve">VILL- BASUDEVPUR, PO- KHANJACHAK, PS- DURGACHAK, DIST- EAST MIDNAPORE, PIN- 721602  SUTAHATA</t>
  </si>
  <si>
    <t>I-WB-STHT-ENB-6000</t>
  </si>
  <si>
    <t xml:space="preserve">SHIV VILLA 2</t>
  </si>
  <si>
    <t xml:space="preserve">SH KHUDIRAM BAIDYA, DAG NO- 251, KHATIAN NO- 132, JL NO- 124, MOUJA- RAMNAGAR, VILL- RAMNAGAR, PO- BHUYARAYCHAK, PS- DURGACHAK, DIST EAST NIDNAPUR, PIN- 721635</t>
  </si>
  <si>
    <t>I-WB-STHT-ENB-9006</t>
  </si>
  <si>
    <t>STHT-9006</t>
  </si>
  <si>
    <t xml:space="preserve">Narayan Pradhan- 9564058143, Vill- Kukrahati, Kukrahati Haldia road, P.O- Sutahata, Purba Medinipur, Pin- 721658</t>
  </si>
  <si>
    <t>I-WB-STHT-ENB-9009</t>
  </si>
  <si>
    <t>STHT-9009</t>
  </si>
  <si>
    <t xml:space="preserve">VILL+P.O-SUTAHATA,P.S-HALDIA,DIST-EAST MIDNAPUR,PIN-721635  SUTAHATA</t>
  </si>
  <si>
    <t>I-WB-STHT-ENB-9010</t>
  </si>
  <si>
    <t>STHT-9010</t>
  </si>
  <si>
    <t xml:space="preserve">VILL+PO-BORODA,PS- SUTAHATA,DIST- EAST MIDNAPUR,PIN-721635  SUTAHATA</t>
  </si>
  <si>
    <t>I-WB-STHT-ENB-9017</t>
  </si>
  <si>
    <t>STHT-9017</t>
  </si>
  <si>
    <t xml:space="preserve">VILL-JAGANATHPUR,PO-PURBA SRIKRA,P.S-SUTAHATA,DIST-EAST MIDNAPUR,PIN-721635  SUTAHATA</t>
  </si>
  <si>
    <t>I-WB-STHT-ENB-9021</t>
  </si>
  <si>
    <t>Gobindapur</t>
  </si>
  <si>
    <t xml:space="preserve">VILL-GOBINDAPUR,PS-SUTAHATA,DIST-EAST MIDNAPUR,PIN-721645  SUTAHATA</t>
  </si>
  <si>
    <t>I-WB-STHT-ENB-9023</t>
  </si>
  <si>
    <t>STHT-9023</t>
  </si>
  <si>
    <t xml:space="preserve">VILL+P.O-BARODA,PS- SUTAHATA ,DIST- EAST MIDNAPUR,PIN- 721658  SUTAHATA</t>
  </si>
  <si>
    <t>I-WB-STHT-ENB-9024</t>
  </si>
  <si>
    <t>STHT-9024</t>
  </si>
  <si>
    <t xml:space="preserve">VILL -JAYNAGAR,P.O- DORO JOYNAGAR,DIST- EAST MIDNAPUR,PIN 721635  SUTAHATA</t>
  </si>
  <si>
    <t>I-WB-STHT-ENB-9026</t>
  </si>
  <si>
    <t>ANANTAPUR</t>
  </si>
  <si>
    <t xml:space="preserve">Sachindranath Ghanti,Vill+PO-Anantapur,PS-Sutahata,Dist-Purba Medinipur,Pin-721635,Mob-9153800861,</t>
  </si>
  <si>
    <t>set</t>
  </si>
  <si>
    <t>I-WB-STHT-ENB-9027</t>
  </si>
  <si>
    <t>DURBABERIA</t>
  </si>
  <si>
    <t>I-WB-STHT-ENB-9028</t>
  </si>
  <si>
    <t xml:space="preserve">Ranjit Kumar Halder-9564289069-Vill-Kashipur,PO- Dorokashipur,PS-Sutahata,Pin-721658</t>
  </si>
  <si>
    <t>I-WB-STHT-ENB-A001</t>
  </si>
  <si>
    <t>I-WB-STHT-ENB-G001</t>
  </si>
  <si>
    <t>Patampukur</t>
  </si>
  <si>
    <t xml:space="preserve">SHANKAR PRASAD MANDAL VILL- DEULPATA  PS-SUTAHATA DIST-PURBA MEDINIPUR, 721635</t>
  </si>
  <si>
    <t>I-WB-STHT-ENB-I001</t>
  </si>
  <si>
    <t xml:space="preserve">KRISHNA NAGAR(EM)</t>
  </si>
  <si>
    <t xml:space="preserve">Rabindra Nath Kuity, Vill-Krishnagar,P.O- Doro,P.S- Sutahata,721635, Contact no:-9434800876</t>
  </si>
  <si>
    <t>I-WB-STHT-ENB-I002</t>
  </si>
  <si>
    <t xml:space="preserve">GIRISH MODE</t>
  </si>
  <si>
    <t xml:space="preserve">KALIPADA BHUNIYA VILL RAJARAMPUR PO SHIVRAMNAG</t>
  </si>
  <si>
    <t>I-WB-STHT-ENB-V001</t>
  </si>
  <si>
    <t>E_WB_162_16_Begunaberia</t>
  </si>
  <si>
    <t xml:space="preserve">Dilip Pradhan, 9593435246,Vill-Begunaberia,P.O.-Gopalchwk,P.S.-Sutahata,dist-midnapur east,pin-721658 null</t>
  </si>
  <si>
    <t>I-WB-STHT-ENB-V002</t>
  </si>
  <si>
    <t>E_WB_162_18_DHEKUA</t>
  </si>
  <si>
    <t>EWB16218Dhekua</t>
  </si>
  <si>
    <t>I-WB-STHT-ENB-V003</t>
  </si>
  <si>
    <t>HALDIA_49</t>
  </si>
  <si>
    <t>Haldia49</t>
  </si>
  <si>
    <t>I-WB-STHT-ENB-V004</t>
  </si>
  <si>
    <t xml:space="preserve">Sanjib Das, 8420070459Vill-Ramnagar, PO+PS - Durgachak , Dist-purba Medinipur,pin-721607.</t>
  </si>
  <si>
    <t>I-WB-STHT-ENB-V005</t>
  </si>
  <si>
    <t>I-WB-STHT-ENB-W001</t>
  </si>
  <si>
    <t xml:space="preserve">PINTU DAS, VILL-BIRINCHIBERYA,P.O-PURBA SRIKRISHNAPUR, P.S- DURGACHAK, DIST.- PURBA MEDINIPURMOB. NO.-7872584858</t>
  </si>
  <si>
    <t>I-WB-STHT-ENB-W002</t>
  </si>
  <si>
    <t xml:space="preserve">Subrata Kumar Patra, Vill-Ramchnadrapur, Po+Ps-Sutahata, Dist-Purba Midnapur, Pin-721635, Ph-9475037965</t>
  </si>
  <si>
    <t>I-WB-STHT-ESC-0001</t>
  </si>
  <si>
    <t>I-WB-STHT-ESC-0003</t>
  </si>
  <si>
    <t>I-WB-STHT-ESC-0013</t>
  </si>
  <si>
    <t>I-WB-STHT-ESC-0014</t>
  </si>
  <si>
    <t>I-WB-TMLK-ENB-6000</t>
  </si>
  <si>
    <t xml:space="preserve">DAKSHIN BAGUAN</t>
  </si>
  <si>
    <t xml:space="preserve"> DAG NO 381 KHATIAN NO 1331 MOUZA AND VILL DAKSHIN BAGHAN J L NO 107 PO CHANSERPUR DIST EST MIDNAPORE PIN 721653 </t>
  </si>
  <si>
    <t xml:space="preserve">Water logged</t>
  </si>
  <si>
    <t>I-WB-TMLK-ENB-6001</t>
  </si>
  <si>
    <t>NIMTOURI</t>
  </si>
  <si>
    <t xml:space="preserve">VILL- KULBERIA, PO -KULBERIA,DIST - EAST MIDNAPORE, PIN -721649</t>
  </si>
  <si>
    <t xml:space="preserve">ashok layland</t>
  </si>
  <si>
    <t>theft</t>
  </si>
  <si>
    <t xml:space="preserve">DG BM theft</t>
  </si>
  <si>
    <t>I-WB-TMLK-ENB-6002</t>
  </si>
  <si>
    <t>TMLK-6002</t>
  </si>
  <si>
    <t>I-WB-TMLK-ENB-6003</t>
  </si>
  <si>
    <t>TAMLUK</t>
  </si>
  <si>
    <t xml:space="preserve"> LAND OF SUNIL MANNA JL 146 DAG NO 1663 MAUJA BHUWANESHWERPUR PANSHKURA ROAD TAMLUK 721636 </t>
  </si>
  <si>
    <t xml:space="preserve">14 kv</t>
  </si>
  <si>
    <t>I-WB-TMLK-ENB-9009</t>
  </si>
  <si>
    <t>KELOMAL</t>
  </si>
  <si>
    <t xml:space="preserve">Laxmimi Pramanik- 9932666530 P.O- Kelomal, P.S- Tamluk, Pin- 721627, Dist- Purba Medinipur</t>
  </si>
  <si>
    <t xml:space="preserve">(meter room to ODC cable)load cable faulty</t>
  </si>
  <si>
    <t>I-WB-TMLK-ENB-9013</t>
  </si>
  <si>
    <t xml:space="preserve">RADHA BALLABPUR</t>
  </si>
  <si>
    <t xml:space="preserve">VILL+PO-RADHABALLAVPUR,PS-TAMLUK,DIST-PURBA MEDNIPUR,PIN-721628  TAMLUK</t>
  </si>
  <si>
    <t xml:space="preserve">1 BM is in alarm + 1 BM is faulty</t>
  </si>
  <si>
    <t xml:space="preserve">olt site </t>
  </si>
  <si>
    <t>I-WB-TMLK-ENB-9014</t>
  </si>
  <si>
    <t xml:space="preserve">NIMTALA MORE</t>
  </si>
  <si>
    <t xml:space="preserve">Prasanta Maity- 9564276539, Town- Sankarara, P.O &amp; P.S- Tamluk, Pin- 721636</t>
  </si>
  <si>
    <t xml:space="preserve">Shelter room have likage</t>
  </si>
  <si>
    <t>I-WB-TMLK-ENB-9017</t>
  </si>
  <si>
    <t>TMLK-9017</t>
  </si>
  <si>
    <t xml:space="preserve">VILL- RASHIKPUR, P.O- HARIDASPUR, P.S- TAMLUK, DIST- PURBA MEDINIPUR, PIN- 721653  TAMLUK</t>
  </si>
  <si>
    <t>I-WB-TMLK-ENB-9018</t>
  </si>
  <si>
    <t xml:space="preserve">SRIRAMPUR TELIPOTA</t>
  </si>
  <si>
    <t xml:space="preserve">Chitaranjan Bhomick ,Vil. +,P.O - Srirampur,P.S - Tamluk,Purba Medinipur - 721651,Contact - 9932229367</t>
  </si>
  <si>
    <t xml:space="preserve">2 weak</t>
  </si>
  <si>
    <t>I-WB-TMLK-ENB-9020</t>
  </si>
  <si>
    <t>BOROBAZAR</t>
  </si>
  <si>
    <t xml:space="preserve">Subasis Das,9474407481,Sankarara, P.O &amp; P.S- Tamluk, Purba Medinipur- 721636</t>
  </si>
  <si>
    <t>I-WB-TMLK-ENB-9024</t>
  </si>
  <si>
    <t>PODUMBASAN</t>
  </si>
  <si>
    <t xml:space="preserve">Sk Golam Mostafa-9593187075-vill-podumbosan Tamlu</t>
  </si>
  <si>
    <t xml:space="preserve">3.5 h</t>
  </si>
  <si>
    <t xml:space="preserve">class C SPD faulty</t>
  </si>
  <si>
    <t>I-WB-TMLK-ENB-9028</t>
  </si>
  <si>
    <t>NAIKURI</t>
  </si>
  <si>
    <t xml:space="preserve">KHOKON BERA &amp; OTHERS-9635216951-VILL-+PO- NAIKURI, PS-TAMLUK, DIST- EAST MIDNAPUR, PIN-721653</t>
  </si>
  <si>
    <t xml:space="preserve">DG overload issue</t>
  </si>
  <si>
    <t>I-WB-TMLK-ENB-9030</t>
  </si>
  <si>
    <t xml:space="preserve">SRIRAMPUR BAZAR</t>
  </si>
  <si>
    <t xml:space="preserve">Soumen Das, Po+Vill-  Srirampur,Ps- Tamluk, Dist- Purba Medinipur, pin-721651, M-9733841489</t>
  </si>
  <si>
    <t>I-WB-TMLK-ENB-9031</t>
  </si>
  <si>
    <t>TMLK-9031</t>
  </si>
  <si>
    <t xml:space="preserve">VILL- PAIKBAR, PO- CHANSPUR, PS- TAMLUK, DIST- EAST MIDNAPUR, PIN- 721653  TAMLUK</t>
  </si>
  <si>
    <t xml:space="preserve">DG canopy broken</t>
  </si>
  <si>
    <t>I-WB-TMLK-ENB-9033</t>
  </si>
  <si>
    <t>TMLK-9033</t>
  </si>
  <si>
    <t xml:space="preserve">VILL+PO-NAKIBASAN PS- TAMLUK DIST- EAST MIDNAPUR PIN- 721649</t>
  </si>
  <si>
    <t xml:space="preserve">DG is in breakdown due to lot of issue(pit pump, main is engine is not able to attract fuel)</t>
  </si>
  <si>
    <t>I-WB-TMLK-ENB-9037</t>
  </si>
  <si>
    <t xml:space="preserve">UTTAR SONAMUI</t>
  </si>
  <si>
    <t xml:space="preserve">Sumanta Adak,Vill+po-Uttar Sonamuyee, ps- Tamluk, Dist- Purba Medinipur, Pin-721648, M- 7718792157</t>
  </si>
  <si>
    <t xml:space="preserve">orion normal faulty, LLVD bypass</t>
  </si>
  <si>
    <t xml:space="preserve">LLVD faulty, orion faulty, RM need</t>
  </si>
  <si>
    <t>I-WB-TMLK-ENB-9038</t>
  </si>
  <si>
    <t>TMLK-9038</t>
  </si>
  <si>
    <t xml:space="preserve">Radhakanta Majhi-8016015350-Vill - Amgachia,P.O-Radhaballavpur,P.S-Tamluk, East Midnapore - 721627</t>
  </si>
  <si>
    <t xml:space="preserve">21 km</t>
  </si>
  <si>
    <t>I-WB-TMLK-ENB-9040</t>
  </si>
  <si>
    <t>TMLK-9040</t>
  </si>
  <si>
    <t xml:space="preserve">Sk.Baki Billa,Vill-Jasadampur,PO-Naikuri,PS-Tamluk,Dist-Purbamedinipur,Pin-721630/721653,Mob-8001256916/9933661604</t>
  </si>
  <si>
    <t>I-WB-TMLK-ENB-9046</t>
  </si>
  <si>
    <t>PUTPUTIYA</t>
  </si>
  <si>
    <t xml:space="preserve">VILL+PO- PUTPUTIA, PS- TAMLUK, DIST- EAST MIDNAPORE, PIN- 721651  TAMLUK</t>
  </si>
  <si>
    <t>I-WB-TMLK-ENB-9047</t>
  </si>
  <si>
    <t>TMLK-9047</t>
  </si>
  <si>
    <t xml:space="preserve">Sankar Manna,Vill-Srikantha Kalaganda,PO-Dobandi,PS-Tamluk,Dist-Purba Medinipur,Pin-721647,Mob-9733963015</t>
  </si>
  <si>
    <t>I-WB-TMLK-ENB-9049</t>
  </si>
  <si>
    <t>KALIKAPUR</t>
  </si>
  <si>
    <t xml:space="preserve">Subal Chandra Tunga, 9734832531, Vill-Kalikapur,PO-Mirikpur,PS-Tamluk,Dist-Purbamedinipur,Pin-721649</t>
  </si>
  <si>
    <t xml:space="preserve">DG only</t>
  </si>
  <si>
    <t>I-WB-TMLK-ENB-A001</t>
  </si>
  <si>
    <t>KADASBERYA</t>
  </si>
  <si>
    <t xml:space="preserve">SWAPAN MAJHI, VILL- CHANDKHWA, P.O- GANJANARAYANPUR, P.S- TAMLUK, DIST- EAST MEDINIPUR, PIN- 721648</t>
  </si>
  <si>
    <t>I-WB-TMLK-ENB-I001</t>
  </si>
  <si>
    <t>MANIKTALA</t>
  </si>
  <si>
    <t xml:space="preserve">MR. NIRANJAN JANA VILLAGE: -MADUMBASAN, P.O.-TAMLUK,, P.S. TAMLUK DISTRICT:-PURBA  MEDINIPUR,PIN-721636</t>
  </si>
  <si>
    <t>I-WB-TMLK-ENB-I002</t>
  </si>
  <si>
    <t>Tamluk-01</t>
  </si>
  <si>
    <t xml:space="preserve">Bijoy Sankar Paul, 8420104272,Vill-PodumBasan, PO+PS-Tamluk ,Dist: purba Midnapur Vill:Padumbasan Pin:721636</t>
  </si>
  <si>
    <t>I-WB-TMLK-ENB-I003</t>
  </si>
  <si>
    <t>NIMTOURI-2</t>
  </si>
  <si>
    <t xml:space="preserve">RABINDRA NATH DAS, VILL-NIMTAURI, P.O-KULBERIA, P.S-TAMLUK, PIN-721649, PH-9732577268</t>
  </si>
  <si>
    <t>I-WB-TMLK-ENB-I004</t>
  </si>
  <si>
    <t>HARISHANKAR</t>
  </si>
  <si>
    <t xml:space="preserve">NARAYAN CH SINGHA,VILL+P.O-HARASANKAR,P.S-TAMLUK, DIST- PURBA MEDINIPUR, PIN-721151.</t>
  </si>
  <si>
    <t>I-WB-TMLK-ENB-I005</t>
  </si>
  <si>
    <t>KHAMARCHAK</t>
  </si>
  <si>
    <t xml:space="preserve">Biswanath Maity,Vill: Harasankar Kamarchak, PO:Nilkhurha, PS:Tamluk, Dist:Purba Medinipur-721627</t>
  </si>
  <si>
    <t>I-WB-TMLK-ENB-I006</t>
  </si>
  <si>
    <t>JATOVIRAM</t>
  </si>
  <si>
    <t xml:space="preserve">Koushik Kumar Das Dag No15 Kh-160/1 JL-155 Mo</t>
  </si>
  <si>
    <t>I-WB-TMLK-ENB-I007</t>
  </si>
  <si>
    <t>I-WB-TMLK-ENB-I009</t>
  </si>
  <si>
    <t>DHARINDA</t>
  </si>
  <si>
    <t>I-WB-TMLK-ENB-V001</t>
  </si>
  <si>
    <t xml:space="preserve">KURPAI TAMLUK</t>
  </si>
  <si>
    <t xml:space="preserve">DILIP KUMAR MAITY.VILL+P0-KURPAI.PS-TAMLUK.PIN-721649.PH-9733582277. DIST- W. MIDNAPUR721649</t>
  </si>
  <si>
    <t>I-WB-TMLK-ENB-V002</t>
  </si>
  <si>
    <t>Tamluk-02</t>
  </si>
  <si>
    <t xml:space="preserve">Manju Maity, Vill- Podum Basan, PO+PS- Tamluk, Dist- Purba Medinipur 721636</t>
  </si>
  <si>
    <t>I-WB-TMLK-ENB-W001</t>
  </si>
  <si>
    <t xml:space="preserve">Champak Sinha, Po+Ps-Tamluk, Ward No.8, Tamluk Muncipality, Dist-Purbo medinipur, Pin-721636, ph-7319290290/9434259096</t>
  </si>
  <si>
    <t>I-WB-TMLK-ENB-W002</t>
  </si>
  <si>
    <t xml:space="preserve">BIDHAN SAMANTA-7602680400-VILL- DHARINDA, P.O &amp; P.S- TAMLUK, DIST- PURBA MEDINIPUR, PIN- 721636</t>
  </si>
  <si>
    <t>I-WB-TMLK-ESC-0001</t>
  </si>
  <si>
    <t>I-WB-TMLK-ESC-0021</t>
  </si>
  <si>
    <t>I-WB-TMLK-ESC-0029</t>
  </si>
  <si>
    <t>I-WB-BAJQ-ENB-9002</t>
  </si>
  <si>
    <t>KOLAGHAT</t>
  </si>
  <si>
    <t>KHETAMPUR</t>
  </si>
  <si>
    <t xml:space="preserve">ARATI RANI GHOSH-9775501458-VILL-KHETAMPUR, PO+PS-BAGNAN, DIST-HOWRAH-711303</t>
  </si>
  <si>
    <t xml:space="preserve">ALOKE DAS</t>
  </si>
  <si>
    <t xml:space="preserve">1 h 10 min</t>
  </si>
  <si>
    <t>virtiv</t>
  </si>
  <si>
    <t>I-WB-KLKT-ENB-0428</t>
  </si>
  <si>
    <t xml:space="preserve">58 GATE</t>
  </si>
  <si>
    <t xml:space="preserve">BIKASH CHANDRA BARMAN-9831346157, VILLAGE- PATURIA; POST OFFICE-KHURIGACHI; POLICE STATION-SHAMPUR; DISTRICT-HOWRAH-711315</t>
  </si>
  <si>
    <t xml:space="preserve">12 kw</t>
  </si>
  <si>
    <t xml:space="preserve">display blank</t>
  </si>
  <si>
    <t xml:space="preserve">20 min</t>
  </si>
  <si>
    <t xml:space="preserve">1 disconnect + 3 poor backup battery</t>
  </si>
  <si>
    <t xml:space="preserve">GBM site</t>
  </si>
  <si>
    <t xml:space="preserve">soil filling required, additional ODC required due to GBM site</t>
  </si>
  <si>
    <t>I-WB-KLKT-ENB-0620</t>
  </si>
  <si>
    <t xml:space="preserve">BAGNAN LIBRARY MORE</t>
  </si>
  <si>
    <t xml:space="preserve">SK RAIHAN ALI -9903262623,MURALI BAR, PO+PS-BAGNAN, DISTRICT-HOWRAH, PIN-711303</t>
  </si>
  <si>
    <t xml:space="preserve">ODC roofe damage</t>
  </si>
  <si>
    <t xml:space="preserve">rtt so good</t>
  </si>
  <si>
    <t>I-WB-KLKT-ENB-0625</t>
  </si>
  <si>
    <t xml:space="preserve">ANTILA BAGNAN</t>
  </si>
  <si>
    <t xml:space="preserve">GOPAL MANNA-9735541229, VILL + PS - BAGNAN, HOWRAH - 711312</t>
  </si>
  <si>
    <t xml:space="preserve">20 kw </t>
  </si>
  <si>
    <t xml:space="preserve">2 h 20 min</t>
  </si>
  <si>
    <t xml:space="preserve">1 ODC fan faulty</t>
  </si>
  <si>
    <t xml:space="preserve">clean required</t>
  </si>
  <si>
    <t>I-WB-KLKT-ENB-7079</t>
  </si>
  <si>
    <t>MUGKALYAN</t>
  </si>
  <si>
    <t xml:space="preserve"> VILL AND PO NAUL PS SHYAMPUR DIST HOWRAH </t>
  </si>
  <si>
    <t xml:space="preserve">GOUTAM SHAW</t>
  </si>
  <si>
    <t xml:space="preserve">not vailable</t>
  </si>
  <si>
    <t>NA</t>
  </si>
  <si>
    <t xml:space="preserve">DG break down, road access, water likage in shelter</t>
  </si>
  <si>
    <t>I-WB-MUGK-ENB-G001</t>
  </si>
  <si>
    <t>NUNTIA</t>
  </si>
  <si>
    <t xml:space="preserve">MR ATUL KARMAKAR, S/O-NEPAL KARMAKAR,(NR. AIR TEL TOWER )AT&amp;PO-NUNTIA PS-BAGNAN DIST-HOWRAH PH-03214-235024</t>
  </si>
  <si>
    <t xml:space="preserve">Soil filling required, EB service cable angle is broken</t>
  </si>
  <si>
    <t>I-WB-NULL-ESC-0001</t>
  </si>
  <si>
    <t>I-WB-RMWR-ENB-9001</t>
  </si>
  <si>
    <t>RMWR-9001</t>
  </si>
  <si>
    <t xml:space="preserve">Banadeb Maji ,Mohan lal Maji &amp; others,Vill-Rameswarpur,PO-Mollahat,PS-Shyampur,Dist-Howrah-711314,M-9733962212</t>
  </si>
  <si>
    <t xml:space="preserve">DG data not showing</t>
  </si>
  <si>
    <t>I-WB-SYMO-ENB-9008</t>
  </si>
  <si>
    <t xml:space="preserve">BAR GARCHUMUK</t>
  </si>
  <si>
    <t xml:space="preserve">Harashankar Das, C/O- Satish Chandra Das, Vill- Bar Garchumuk, P.O.- Bar Garchumuk. P.S.- Shaympur, Dist- Howrah, PIN-711312, Ph-9836518394</t>
  </si>
  <si>
    <t xml:space="preserve">analog card faulty</t>
  </si>
  <si>
    <t>I-WB-SYMO-ENB-9013</t>
  </si>
  <si>
    <t>SYMO-9013</t>
  </si>
  <si>
    <t xml:space="preserve">VILL-ANANATAPUR MIRPUR, P.O- ANANTAPUR, P.S-SHYAMPUR,DIST- HOWRAH,PIN-711301  SHYAMPUR - II</t>
  </si>
  <si>
    <t xml:space="preserve">SMPS controller faulty so battery backup is too lowas battery not charging well</t>
  </si>
  <si>
    <t xml:space="preserve">ODC roof damage, site soil filling required</t>
  </si>
  <si>
    <t>I-WB-SYMO-ENB-9018</t>
  </si>
  <si>
    <t>ARGORIA</t>
  </si>
  <si>
    <t xml:space="preserve">Mohan Paramanick-9732675956-Argoria, P.O.-Ganeshpur P.S-Shyampur, Dist-Howrah, Pin-711312</t>
  </si>
  <si>
    <t xml:space="preserve">controller, pushpack faulty</t>
  </si>
  <si>
    <t xml:space="preserve">DG manual ok</t>
  </si>
  <si>
    <t xml:space="preserve">EB conductor faulty</t>
  </si>
  <si>
    <t xml:space="preserve">high need + soil filling, acess required</t>
  </si>
  <si>
    <t>I-WB-SYMO-ENB-9019</t>
  </si>
  <si>
    <t>DESHANTRI</t>
  </si>
  <si>
    <t xml:space="preserve">Bilas Maity,Vill-Deshantri ,P.O.-Bargram, P.S-Shyampur, Dist-Howrah, Pin-711312.  Cont no-9732572692</t>
  </si>
  <si>
    <t xml:space="preserve">ODN normal controller faulty due to lightening</t>
  </si>
  <si>
    <t xml:space="preserve">15 min</t>
  </si>
  <si>
    <t xml:space="preserve">battery not able to charge properly due to low RM</t>
  </si>
  <si>
    <t xml:space="preserve">fuel restricted</t>
  </si>
  <si>
    <t>I-WB-SYMO-ENB-A001</t>
  </si>
  <si>
    <t>Chaulia</t>
  </si>
  <si>
    <t xml:space="preserve">Parimal Samanta, Vill.- Chaulia, PO- Nokole, Dist- Howrah, PS- Shyampur, Pin -711312. Ph no-9836533554</t>
  </si>
  <si>
    <t>I-WB-SYMO-ENB-G001</t>
  </si>
  <si>
    <t>SHYAMPUR_5</t>
  </si>
  <si>
    <t xml:space="preserve">Dag No-1159 (LR) and (RS), Khatian No-1374 (LR), 43(RS), J.L.No-58, Mouza-Radhanagar, PS-Shyampur null</t>
  </si>
  <si>
    <t>I-WB-SYMO-ENB-I001</t>
  </si>
  <si>
    <t>Bachari</t>
  </si>
  <si>
    <t xml:space="preserve">Mrs. Latika Manna,Village- Sadashipur,P.O-Bachari,P.S-Shyampur.Dist-Hawrah.711312,Ph-03365187363(P.P.Hemanto panna) null</t>
  </si>
  <si>
    <t>I-WB-SYMO-ENB-I002</t>
  </si>
  <si>
    <t>NARAYANPURHW</t>
  </si>
  <si>
    <t xml:space="preserve">DURJOY SAMANTA, VILL- NARAYANPUR, P.S.- SHYAMPUR, DIST- HOWRAH,PIN- 711314 null</t>
  </si>
  <si>
    <t>I-WB-SYMO-ENB-I003</t>
  </si>
  <si>
    <t>RATANPUR</t>
  </si>
  <si>
    <t xml:space="preserve">Bisweswar Bera,Dag no-24,Kh-123,Jl-33,Mouza+Vill-Ratanpur,P.O- Amasdaha,P.s- shyampur,711312 Contact no-9874928916 na</t>
  </si>
  <si>
    <t>I-WB-SYMO-ESC-0003</t>
  </si>
  <si>
    <t>I-WB-SYMO-ESC-0006</t>
  </si>
  <si>
    <t>I-WB-SYMO-ESC-0007</t>
  </si>
  <si>
    <t>I-WB-SYMO-ESC-0009</t>
  </si>
  <si>
    <t>I-WB-SYMO-ESC-0010</t>
  </si>
  <si>
    <t>I-WB-SYMO-ESC-0011</t>
  </si>
  <si>
    <t>I-WB-SYMO-ESC-0012</t>
  </si>
  <si>
    <t>I-WB-SYMR-ENB-9013</t>
  </si>
  <si>
    <t>KOLIA</t>
  </si>
  <si>
    <t xml:space="preserve">Saiful Islam Molla, C/O.- Najrul Islam, Vill- Kolia, P.O.- Nabagram Sikipur, Dist- Howrah, PIN- 711315, Ph-8609192855</t>
  </si>
  <si>
    <t xml:space="preserve">DG manual due to DG stop solenoid faulty</t>
  </si>
  <si>
    <t>I-WB-SYMR-ENB-9018</t>
  </si>
  <si>
    <t>SYMR-9018</t>
  </si>
  <si>
    <t xml:space="preserve">Ratan Das,vill joykrishna pur, po Nabagram,ps Shyampur,Dist Howrah, pin 711315,m 9153660413</t>
  </si>
  <si>
    <t xml:space="preserve">DG GCU faulty, CD faulty </t>
  </si>
  <si>
    <t>I-WB-SYMR-ENB-9021</t>
  </si>
  <si>
    <t>SYMR-9021</t>
  </si>
  <si>
    <t xml:space="preserve">Kakali Bera &amp; Others,Vill-Sitalpur,PO+PS-Shyampur,Dist-Howrah-711314,M-7584011477</t>
  </si>
  <si>
    <t>I-WB-SYMR-ENB-9022</t>
  </si>
  <si>
    <t>SYMR-9022</t>
  </si>
  <si>
    <t xml:space="preserve">GUJARPUR PICHALDAHA SHYAMPUR DIST- HOWRAH PIN-711314</t>
  </si>
  <si>
    <t>I-WB-SYMR-ENB-9023</t>
  </si>
  <si>
    <t>GOBINDAPUR</t>
  </si>
  <si>
    <t xml:space="preserve">Utpal Mondal-9732670673-Vill+PO-Gobindapur,PS-Shyampur,Pin-711314,Dist-Paschim Medinipur,Dist-Howrah</t>
  </si>
  <si>
    <t>I-WB-SYMR-ENB-9024</t>
  </si>
  <si>
    <t>SYMR-9024</t>
  </si>
  <si>
    <t xml:space="preserve">Shyamsundar Das , 8768122406 ,Vill+PO+PS-Shyampur,Dist-Howrah-711314</t>
  </si>
  <si>
    <t>I-WB-SYMR-ENB-A001</t>
  </si>
  <si>
    <t xml:space="preserve">KAMALPUR (REL)</t>
  </si>
  <si>
    <t xml:space="preserve">Smritikona Sahu,Vill - Kamalpur,PO- Radhapur,PS-Shyampur,Dist- Howrah, Pin- 711301, 9007456510</t>
  </si>
  <si>
    <t>I-WB-SYMR-ENB-A002</t>
  </si>
  <si>
    <t xml:space="preserve">DAKSHIN DURGAPUR</t>
  </si>
  <si>
    <t xml:space="preserve">Vill+P.O- Dakhsin Durgapur,p.s- Shyampur,Dist- Howrah, Pin-711301</t>
  </si>
  <si>
    <t>I-WB-SYMR-ENB-A003</t>
  </si>
  <si>
    <t>DEULI</t>
  </si>
  <si>
    <t xml:space="preserve">Vill+P.O- Deuli, PS-Shyampur,Dist- Howrah,PIN-711301</t>
  </si>
  <si>
    <t>I-WB-SYMR-ENB-G001</t>
  </si>
  <si>
    <t>Gadiara</t>
  </si>
  <si>
    <t xml:space="preserve">Barnali Senapati, Vill+PO dakshin Shivpur,Dist- Howrah,Stopage :Fultala(Bagnan-Gadiara Rd) PH-9434023438 null</t>
  </si>
  <si>
    <t xml:space="preserve">service cable angle broken</t>
  </si>
  <si>
    <t>I-WB-SYMR-ENB-I001</t>
  </si>
  <si>
    <t xml:space="preserve">KONRAPUR BB</t>
  </si>
  <si>
    <t xml:space="preserve">Uttam Maji S/o Boloram maji At-PO-Gram MULLA PS- Shyampur, Dist-Howara, Pin 711314 PH 9732556420 null</t>
  </si>
  <si>
    <t>I-WB-SYMR-ENB-I002</t>
  </si>
  <si>
    <t>GUREPOL2</t>
  </si>
  <si>
    <t xml:space="preserve">Sukriti Guriya, Dag No-860, Kh No-939/3, Jl No-108, Mouza/Vill/P.O-Sibganj, P.S-Shyampur,Dist-Howrah, Pin-711314</t>
  </si>
  <si>
    <t>I-WB-SYMR-ENB-I003</t>
  </si>
  <si>
    <t>GAJANKOL</t>
  </si>
  <si>
    <t xml:space="preserve">Gopal Chandra Mondal, Dag No.663, Kh-164, JL-113, Mouza/Vill:Gajankol, Po:Gohalbaria, PS:Shyampur, Dist : Howrah-711315</t>
  </si>
  <si>
    <t>I-WB-SYMR-ENB-I004</t>
  </si>
  <si>
    <t>Alipur</t>
  </si>
  <si>
    <t xml:space="preserve">Mr piyush Kanti purkayet,S/o-Debendra nath purkayet,Vill-Matapara,PS-Goalberia,Dist-Howrah,pin-711315,ph-9836615669,9733009387 null</t>
  </si>
  <si>
    <t>I-WB-SYMR-ENB-I005</t>
  </si>
  <si>
    <t>GUREPOL</t>
  </si>
  <si>
    <t xml:space="preserve">Mr. Ganesh Chandra Bag (Mob- 9635323107), Vill+P.O.- Gurepole, P.S.- Shyampur,  Dist.- Hawrah, Pin- 711314.</t>
  </si>
  <si>
    <t>I-WB-SYMR-ENB-V001</t>
  </si>
  <si>
    <t>Shyampur</t>
  </si>
  <si>
    <t xml:space="preserve">Manjusha chakraborty , Mouza - Gobindapur , JL. 76 , Khatian 717 , Plot No. 2508 ,  Vill+ PO+ PS--Shyampur ,  Dist.--Howrah , PIN: 711314 ph-03214264282</t>
  </si>
  <si>
    <t>I-WB-SYMR-ENB-W001</t>
  </si>
  <si>
    <t xml:space="preserve">Gohal Beria, Howrah, West Bengal-711314</t>
  </si>
  <si>
    <t>I-WB-SYMR-ENB-W002</t>
  </si>
  <si>
    <t xml:space="preserve">Bengla, Uttar Ramchandrapur, West Bengal - 711315.</t>
  </si>
  <si>
    <t>I-WB-SYMR-ENB-W003</t>
  </si>
  <si>
    <t xml:space="preserve">Gadiara, Dakshin Shibpur, Shyampur, West Bengal.</t>
  </si>
  <si>
    <t>I-WB-SYMR-ESC-0002</t>
  </si>
  <si>
    <t>I-WB-SYMR-ESC-0003</t>
  </si>
  <si>
    <t>I-WB-SYMR-ESC-0004</t>
  </si>
  <si>
    <t>I-WB-SYMR-ESC-0005</t>
  </si>
  <si>
    <t>I-WB-SYMR-ESC-0006</t>
  </si>
  <si>
    <t>I-WB-SYMR-ESC-0007</t>
  </si>
  <si>
    <t>I-WB-SYMR-ESC-0008</t>
  </si>
  <si>
    <t>I-WB-SYMR-ESC-0010</t>
  </si>
  <si>
    <t>I-WB-SYMR-ESC-0011</t>
  </si>
  <si>
    <t>I-WB-BAJQ-ESC-0001</t>
  </si>
  <si>
    <t>I-WB-BAJQ-ESC-0002</t>
  </si>
  <si>
    <t>I-WB-BCSK-ESC-0001</t>
  </si>
  <si>
    <t>I-WB-BCSK-ESC-0003</t>
  </si>
  <si>
    <t>I-WB-BGHH-OSC-0003</t>
  </si>
  <si>
    <t>Kolaghat</t>
  </si>
  <si>
    <t>I-WB-BGHH-OSC-0005</t>
  </si>
  <si>
    <t>I-WB-BGNN-ENB-6000</t>
  </si>
  <si>
    <t>BAGNAN</t>
  </si>
  <si>
    <t xml:space="preserve">RURAL HOSPITAL, DEPTT. OF HEALTH AND FAMILY WELFARE, BAGNAN, DISTT. HOWRAH</t>
  </si>
  <si>
    <t>same</t>
  </si>
  <si>
    <t>burnt</t>
  </si>
  <si>
    <t>I-WB-BGNN-ENB-6001</t>
  </si>
  <si>
    <t>DEGRAM</t>
  </si>
  <si>
    <t xml:space="preserve">PLOT NO.1904, KHATIAN NO.(OLD - 305), LR -1838, JL NO. 4, MOUZA - DEULGRAM, VILL AND PO- MANKUR PS- BAGNAN, DIST- HWRAH, PIN - 711303</t>
  </si>
  <si>
    <t xml:space="preserve">water leakege</t>
  </si>
  <si>
    <t>I-WB-BGNN-ENB-6002</t>
  </si>
  <si>
    <t>MANKUR</t>
  </si>
  <si>
    <t xml:space="preserve"> DAG NO 2327 RS 2334 LR KHATIAN NO 94 1 JL NO 14 MOUZA AND VILL AND PO KALYANPUR PS BAGNAN DIST HOWRAH </t>
  </si>
  <si>
    <t xml:space="preserve">15 kva</t>
  </si>
  <si>
    <t>I-WB-BGNN-ENB-6003</t>
  </si>
  <si>
    <t>MELLAK</t>
  </si>
  <si>
    <t xml:space="preserve">DAG NO. 1480, KHATIAN NO. 626, JL NO. 18, MOUZA - BIRMPUR, PS - BAGNAN, DIST - HOWRAH, PIN - 711312</t>
  </si>
  <si>
    <t>I-WB-BGNN-ENB-6004</t>
  </si>
  <si>
    <t xml:space="preserve">PASCHIM BAINAN</t>
  </si>
  <si>
    <t xml:space="preserve"> DAG NO 55 OLD 98 HAL JL NO 10 KHATIAN NO 2520 HAL MOUZA PURBA BANIAN PS BAGNAN DIST HOWRAH PIN 711303 </t>
  </si>
  <si>
    <t xml:space="preserve">water leakage</t>
  </si>
  <si>
    <t>I-WB-BGNN-ENB-6005</t>
  </si>
  <si>
    <t>TULSIBERIA</t>
  </si>
  <si>
    <t xml:space="preserve">DAG NO-R.S. 1387, L.R-1445, KHATIAN NO-R.S. 212, L.R. 80, JL NO-1, MOUZA AND VILL - TULSIBERIA, PS - ULUBERIA, DIST - HOWRAH, PIN - 711401</t>
  </si>
  <si>
    <t xml:space="preserve">water lakage</t>
  </si>
  <si>
    <t>I-WB-BGNN-ESC-0004</t>
  </si>
  <si>
    <t>I-WB-BGNN-OSC-0007</t>
  </si>
  <si>
    <t>I-WB-BGNN-OSC-0008</t>
  </si>
  <si>
    <t>I-WB-BGNN-OSC-0014</t>
  </si>
  <si>
    <t>I-WB-BGNO-ENB-6000</t>
  </si>
  <si>
    <t>PRAMANIKPUR</t>
  </si>
  <si>
    <t xml:space="preserve">VILL - PRAMANIKPUR, PO - MUGKALYAN, PS - BENAPUR, DIST - HOWRAH, PIN - 711312</t>
  </si>
  <si>
    <t>I-WB-BGNO-ENB-6001</t>
  </si>
  <si>
    <t>DEULTI</t>
  </si>
  <si>
    <t xml:space="preserve">DAG NO. 868, HAL KHATIAN NO. 1893, JL NO. 23, MOUZA AND VILL - CHAKKAMALA PO- DEULTI, PS- BAGNAN DIST- HOWRAH 711303</t>
  </si>
  <si>
    <t xml:space="preserve">DG AVR card faulty</t>
  </si>
  <si>
    <t>I-WB-BGNO-ENB-6002</t>
  </si>
  <si>
    <t>PANITARAS</t>
  </si>
  <si>
    <t xml:space="preserve">DAG NO. 1670, (1722 HAL) KHATIAN NO. 417 (445 HAL), JL - 20, MOUZA - MELLOCK, VILL AND PO- MALLOCK PS- BAGNAN DIST-HOWRAH, 711303</t>
  </si>
  <si>
    <t xml:space="preserve">lineage power</t>
  </si>
  <si>
    <t xml:space="preserve">DG break down</t>
  </si>
  <si>
    <t>I-WB-BNIJ-ESC-0001</t>
  </si>
  <si>
    <t>I-WB-CDPI-ESC-0002</t>
  </si>
  <si>
    <t>I-WB-BSUD-ESC-0001</t>
  </si>
  <si>
    <t xml:space="preserve">Bikram Nayak</t>
  </si>
  <si>
    <t>I-WB-KGHA-ENB-6000</t>
  </si>
  <si>
    <t>MAHESPUR</t>
  </si>
  <si>
    <t xml:space="preserve">orion touch controller faulty </t>
  </si>
  <si>
    <t>I-WB-KGHA-OSC-0004</t>
  </si>
  <si>
    <t>I-WB-KGHA-OSC-0005</t>
  </si>
  <si>
    <t>I-WB-KLKT-ENB-6019</t>
  </si>
  <si>
    <t xml:space="preserve">BANIBAN JAGADISH PU</t>
  </si>
  <si>
    <t xml:space="preserve">VILL AND PO - TEHATTA, PS - ULUBERIA, DIST - HOWRAH, PIN - 711322</t>
  </si>
  <si>
    <t>I-WB-KLKT-ENB-6022</t>
  </si>
  <si>
    <t>JOARGOR</t>
  </si>
  <si>
    <t xml:space="preserve">VILL - HAFEZ CHOWK, PO - KUMAR CHOWK, PS - AMTA, DIST - HOWRAH, PIN - 711401</t>
  </si>
  <si>
    <t>I-WB-KLKT-ENB-6023</t>
  </si>
  <si>
    <t xml:space="preserve">KULGACHIA ABHIRAMPUR</t>
  </si>
  <si>
    <t xml:space="preserve">DAG NO. 62 (L.R.), 68 (R.S.), KHATIAN NO. 1159 (L.R.), 286 (R.S), J.L. NO. 5, MOUZA: ABHIRAMPUR, PS: ULUBERIA, DIST. HOWRAH, PIN - 711303</t>
  </si>
  <si>
    <t>I-WB-KLKT-ENB-6041</t>
  </si>
  <si>
    <t>KULGACHIA</t>
  </si>
  <si>
    <t xml:space="preserve">PLOT OF SHRI MAHANANDA BEJ CILL + PO KULGACHIA  JL 21 DAG NO RS 226 LR 352/1 RS PLOT 30 MOUZA MANIKPUR PS : ULBERIA KULGACHIA STATION ROADDIST HOWRAH</t>
  </si>
  <si>
    <t>I-WB-KLKT-ENB-6048</t>
  </si>
  <si>
    <t xml:space="preserve">ULUBERIA BANIBON</t>
  </si>
  <si>
    <t xml:space="preserve">BANIBON, UTTAR PIRPUR ULUBERIA, HOWRAH - 711316</t>
  </si>
  <si>
    <t>I-WB-UAHN-ESC-0001</t>
  </si>
  <si>
    <t>I-WB-ULBB-ESC-0003</t>
  </si>
  <si>
    <t>I-WB-BGLU-ENB-I001</t>
  </si>
  <si>
    <t>BANGALPUR</t>
  </si>
  <si>
    <t xml:space="preserve">Niladri Ghosh, Dag No.1315,Kh-235, JL-43, Mouza/Vill/Po:Bhangalpur, PS:Bagnan, Dist:Howrah-711303</t>
  </si>
  <si>
    <t>I-WB-BGNN-ENB-9012</t>
  </si>
  <si>
    <t>BGNN-9012</t>
  </si>
  <si>
    <t xml:space="preserve">Sk,Ajijul Haque ,vill- Bholsar, po-Deulgram, ps-Bagnan,pin-711303, Dist- Howrah,</t>
  </si>
  <si>
    <t>autocut</t>
  </si>
  <si>
    <t xml:space="preserve">water loggage</t>
  </si>
  <si>
    <t>I-WB-BGNN-ENB-9017</t>
  </si>
  <si>
    <t xml:space="preserve">Mankur More</t>
  </si>
  <si>
    <t xml:space="preserve">H.RAHAMAN-9093088977-VILL- MANKURMORE,PO+PS- BAGNAN,DIST -HOWRAH, PIN-711303</t>
  </si>
  <si>
    <t xml:space="preserve">GCU faulty, battery charger faulty, DG 4-pole MCB faulty, 2 kit cat faulty</t>
  </si>
  <si>
    <t>I-WB-BGNN-ENB-9018</t>
  </si>
  <si>
    <t>Chandrapur</t>
  </si>
  <si>
    <t xml:space="preserve">VILL- CHANDRAPUR, PO+PS- BAGNAN, DIST- HOWRAH, PIN-711303  BAGNAN</t>
  </si>
  <si>
    <t xml:space="preserve">1 kit cat faulty</t>
  </si>
  <si>
    <t>I-WB-BGNN-ENB-9019</t>
  </si>
  <si>
    <t>Dwipamalita</t>
  </si>
  <si>
    <t xml:space="preserve">Rashbihari Bhowmik-9734342401-Vill-Dwipamalita,PO-Birampur,Ps-Bagnan,Dist-Howrah,Pin-711303</t>
  </si>
  <si>
    <t xml:space="preserve">2111 autocut</t>
  </si>
  <si>
    <t xml:space="preserve">3 kit cat faulty</t>
  </si>
  <si>
    <t>I-WB-BGNN-ENB-A001</t>
  </si>
  <si>
    <t xml:space="preserve">BAGNAN 4</t>
  </si>
  <si>
    <t xml:space="preserve">SECURED HOME FINANCE LTD.STATION RD NORTH.P.O+P.S-BAGNAN.DIST-HOWRAH.PIN-711303</t>
  </si>
  <si>
    <t>I-WB-BGNN-ENB-B001</t>
  </si>
  <si>
    <t>BAXIRHAT</t>
  </si>
  <si>
    <t xml:space="preserve">Mouza/Vill:-Baksi, PO:-Baksi, PSBagnan, Dist:-HowrahPIN-711303</t>
  </si>
  <si>
    <t xml:space="preserve">1 RM slot faulty</t>
  </si>
  <si>
    <t>I-WB-BGNN-ENB-I002</t>
  </si>
  <si>
    <t>HATURIA</t>
  </si>
  <si>
    <t xml:space="preserve">Kutubuddin Beg, Dag No.114, Kh-620, JL-49, Mouza/Vill:Haturia, PO:Beltola, PS:Bagnan, Dist:Howrah-711303</t>
  </si>
  <si>
    <t>I-WB-BGNN-ENB-I003</t>
  </si>
  <si>
    <t xml:space="preserve">HARUP BAZAR</t>
  </si>
  <si>
    <t xml:space="preserve">MADAN MOHAN SINHO ROY, VILL &amp; PO. HAROP, PS. BAGNAN, PIN-711303, DIST. HOWRAH,</t>
  </si>
  <si>
    <t>I-WB-BGNN-ENB-V001</t>
  </si>
  <si>
    <t>Bagnan-2(Patinam)</t>
  </si>
  <si>
    <t xml:space="preserve">Mrs. Kalpana Roy, W/O Mr. Ashish Roy, Khatian No. 1018, Plot No. 1168,J.L No.- 39,Mouza ?patinan, Under Subsiti Gram Panchayet.Situated at- Vill- Patinan,P.O/P.S- Bagnan, Dist- Howrah,West Bengal- Pin-711303 Contact Person  &amp; No.- Mr.Ashish Roy 9832715625 715625</t>
  </si>
  <si>
    <t>I-WB-BGNN-ESC-0001</t>
  </si>
  <si>
    <t>I-WB-BGNN-ESC-0002</t>
  </si>
  <si>
    <t>I-WB-BGNN-ESC-0007</t>
  </si>
  <si>
    <t>I-WB-BGNN-ESC-0008</t>
  </si>
  <si>
    <t>I-WB-BGNO-ENB-9010</t>
  </si>
  <si>
    <t>BGNO-9010</t>
  </si>
  <si>
    <t xml:space="preserve">Dipak Mondal &amp; others,Vill-bamundhukuria,PO-Barunda,PS-Bagnan,dist-Howrah-711303,M-8967134523</t>
  </si>
  <si>
    <t xml:space="preserve">2 kit cat faulty</t>
  </si>
  <si>
    <t>I-WB-BGNO-ENB-G001</t>
  </si>
  <si>
    <t>BAGNAN_11</t>
  </si>
  <si>
    <t xml:space="preserve">Dag No-229(LR), Khatian no-96(LR), J.L.No-29, Mouza-Bansberia, PS-Bagnan, P.O- Bagnan, Dist- Howrah, PIN-711303</t>
  </si>
  <si>
    <t>I-WB-BGNO-ENB-V001</t>
  </si>
  <si>
    <t>KOLKATA-DANTAN-1&gt;HIZLOK</t>
  </si>
  <si>
    <t xml:space="preserve">VILL. - SONDAIL, P.O. - BARUNDA, PS. - BAGNAN, PIN. - 711303, DIST. - HOWRAH</t>
  </si>
  <si>
    <t>I-WB-BGNO-ESC-0002</t>
  </si>
  <si>
    <t>I-WB-BRDR-ENB-9001</t>
  </si>
  <si>
    <t>BRDR-9001</t>
  </si>
  <si>
    <t xml:space="preserve">Sk Nur Islam &amp; others,Vill+PO-Brindabanpur,PS-Rajapur,Dist-Howrah-711316,M-9674043208</t>
  </si>
  <si>
    <t xml:space="preserve">2111 non auto</t>
  </si>
  <si>
    <t>DCB</t>
  </si>
  <si>
    <t xml:space="preserve">2 kit kat faulty </t>
  </si>
  <si>
    <t>I-WB-CAZV-ENB-9002</t>
  </si>
  <si>
    <t xml:space="preserve">Chak Kamala</t>
  </si>
  <si>
    <t xml:space="preserve">Nimai Chandra Jana-7699144462-Vill-Chakkamala,Po-Deulti,PS-BagnanDist-Howrah,Pin-711303</t>
  </si>
  <si>
    <t>I-WB-CAZV-ENB-A001</t>
  </si>
  <si>
    <t>Heledwip</t>
  </si>
  <si>
    <t xml:space="preserve">Anita Bera, C/o Ashok Kr. Bera, VILL+PO-Katapukur, PS-Bagnan, PIN-711303, Mo:- 9732517405</t>
  </si>
  <si>
    <t>I-WB-KAPY-ENB-9001</t>
  </si>
  <si>
    <t>KARATBERIYA</t>
  </si>
  <si>
    <t xml:space="preserve">Amit Khamrui,vill+po-Karatberiya,ps-Uluberiya,pin-711316,Dist- Howrah,pin-711316,m-9836496827</t>
  </si>
  <si>
    <t xml:space="preserve"> 4kw</t>
  </si>
  <si>
    <t xml:space="preserve">2112 autocut</t>
  </si>
  <si>
    <t>I-WB-KGHA-ENB-9001</t>
  </si>
  <si>
    <t xml:space="preserve">KULGACHIA CHANDIPUR</t>
  </si>
  <si>
    <t xml:space="preserve">Animesh Das,Vill-Chandipur( Patuapara),PO-Kulgachia,PS-Uluberia,Howrah-711306,M-9831694838</t>
  </si>
  <si>
    <t xml:space="preserve">100 amp main 4 pole MCB faulty</t>
  </si>
  <si>
    <t>I-WB-KGHA-ENB-V001</t>
  </si>
  <si>
    <t xml:space="preserve">BIRSHIBPUR STATION</t>
  </si>
  <si>
    <t xml:space="preserve">Dag No &amp; Khatian No 781,JL No 54,Mouza Ghatampur,PO Pispur, Ps uluberia,Howrah 711303</t>
  </si>
  <si>
    <t>I-WB-KGHA-ESC-0001</t>
  </si>
  <si>
    <t>I-WB-KGHA-ESC-0002</t>
  </si>
  <si>
    <t>I-WB-KHDI-ENB-I001</t>
  </si>
  <si>
    <t>KHADNAN</t>
  </si>
  <si>
    <t xml:space="preserve">Rasanto Mitri,Vill-Khadnan,P.O+P.S-Bagnan,Dist-Howrah</t>
  </si>
  <si>
    <t>I-WB-KHJI-ESC-0001</t>
  </si>
  <si>
    <t>I-WB-KLKT-AG1-0898</t>
  </si>
  <si>
    <t xml:space="preserve">water loggage, DG change reuired</t>
  </si>
  <si>
    <t>I-WB-KLKT-ENB-0825</t>
  </si>
  <si>
    <t xml:space="preserve">Tehatta Bartala</t>
  </si>
  <si>
    <t xml:space="preserve">SK .RAHAMAT ALI-9674976064,VILL-TEHATTA BARTALA PS-ULUBERIA DST-HOWRAH PIN-711322</t>
  </si>
  <si>
    <t xml:space="preserve">100 h</t>
  </si>
  <si>
    <t xml:space="preserve">DG change reuired</t>
  </si>
  <si>
    <t>I-WB-KYRR-ENB-I001</t>
  </si>
  <si>
    <t>NKALKALYANPR1</t>
  </si>
  <si>
    <t xml:space="preserve">Mr.Sk.SaidulIslam,Sk.BaghanAli,Vill.-Kalyanpur,Ps.-Bagnan,Dist-Howrah, Pin-711303,Ph.-9231593011</t>
  </si>
  <si>
    <t>I-WB-KYRR-OSC-0001</t>
  </si>
  <si>
    <t>I-WB-MBNZ-ESC-0001</t>
  </si>
  <si>
    <t>I-WB-MBPW-ESC-0001</t>
  </si>
  <si>
    <t>I-WB-MHSR-ENB-9001</t>
  </si>
  <si>
    <t>MURGABERIA</t>
  </si>
  <si>
    <t xml:space="preserve">Aparna Samanta, Vill-Murgaberia,PO-Sumda, PS- Bagnan, Dist- Howrah, PIN-711303, Cont- 9733527320</t>
  </si>
  <si>
    <t xml:space="preserve">2112 autocat</t>
  </si>
  <si>
    <t>I-WB-NUPL-ENB-G001</t>
  </si>
  <si>
    <t>ORFULY</t>
  </si>
  <si>
    <t xml:space="preserve">SAMBHU MANNA, VILL+P.O-ORFULLY, P.S- BAGNAN,DIST-HOWRAH, 711303</t>
  </si>
  <si>
    <t>I-WB-NUUP-ENB-V001</t>
  </si>
  <si>
    <t xml:space="preserve">Vill- Jalpai Paschim Nawpala, Sharatchandra bagnan-2, PO- Nawpala, PS-bagnan, Dist-Howrah, Pin-711303</t>
  </si>
  <si>
    <t>I-WB-NUUP-ESC-0001</t>
  </si>
  <si>
    <t>I-WB-PBBN-ENB-9001</t>
  </si>
  <si>
    <t xml:space="preserve">West Bainan</t>
  </si>
  <si>
    <t xml:space="preserve">Akram Ali Mollick,-,Vill-west Bainan, Ps-Bagnan, Dist- Howrah, Pin-711303</t>
  </si>
  <si>
    <t>I-WB-SAHF-ENB-9001</t>
  </si>
  <si>
    <t>SUBSIT</t>
  </si>
  <si>
    <t xml:space="preserve">Sk Majibur Rahaman,Vill +po- Sabsit, ps-Bagnan, Dist- Howrah, pin-711303, m-8293894772/9091479805</t>
  </si>
  <si>
    <t xml:space="preserve">2112 non auto</t>
  </si>
  <si>
    <t xml:space="preserve">DG break down over rulling, B SPD faulty, kitcat 4 faulty, 4 pole MCB 100 isolator faulty </t>
  </si>
  <si>
    <t>I-WB-ULBB-ENB-9002</t>
  </si>
  <si>
    <t xml:space="preserve">CHAK BHAGABOTIPUR</t>
  </si>
  <si>
    <t xml:space="preserve">Arup Kumar Ghosh-7980681611-Vill-Jagarampur,Po-Jogargori,Ps-Uluberia,Pin-711303,Dist-Howrah</t>
  </si>
  <si>
    <t>I-WB-ULBB-ENB-9004</t>
  </si>
  <si>
    <t>Kantaberia</t>
  </si>
  <si>
    <t xml:space="preserve">Rajia Begum-8585838886-Vill+po- Kantaberiya, Dsit- Howrah,ps- Uluberiya, pin-71136</t>
  </si>
  <si>
    <t xml:space="preserve">GCU and battery charger needed</t>
  </si>
  <si>
    <t>I-WB-ULBB-ENB-V001</t>
  </si>
  <si>
    <t xml:space="preserve">ULUBERIA RAJAPUR</t>
  </si>
  <si>
    <t xml:space="preserve">Jorgori, PO Jorgori, PS Uluberia Howrah 711303</t>
  </si>
  <si>
    <t>I-WB-ULBB-ESC-0002</t>
  </si>
  <si>
    <t>I-WB-NAKM-ENB-9002</t>
  </si>
  <si>
    <t>NISHCINTAPUR</t>
  </si>
  <si>
    <t xml:space="preserve">Sudhamoy samanta,Vill+Po-Nishcintapur,PS-Daspur-2,Dist-Paschim Medinipur,PIN-721148,M-9002098776</t>
  </si>
  <si>
    <t xml:space="preserve">CHANDAN BHOWMIK</t>
  </si>
  <si>
    <t xml:space="preserve">abhilash dey site</t>
  </si>
  <si>
    <t>I-WB-PSKO-ENB-9019</t>
  </si>
  <si>
    <t>CHAPDA</t>
  </si>
  <si>
    <t xml:space="preserve">Nimai Ghata and Pranab Ghata, Vill Nankar Banka Danga,PO Chapda,P.S. Panskura, Purba Medinipur 721154,M 9735309778</t>
  </si>
  <si>
    <t>I-WB-PSKO-ENB-9025</t>
  </si>
  <si>
    <t>Raychak</t>
  </si>
  <si>
    <t xml:space="preserve">VILL -RAYCHAK, PO- SAJINAGACHI,PS- KOLGHAT, DIST-EAST MIDNAPUR, PIN-721158  KOLAGHAT</t>
  </si>
  <si>
    <t>I-WB-PSKO-ENB-9037</t>
  </si>
  <si>
    <t>BRINDABANCHAK</t>
  </si>
  <si>
    <t xml:space="preserve">GANESH SARDAR AND OTHERS, VILL PO BRINDABANCHAK,PS PANSKURA,DIST-EAST MEDNIPUR  KOLAGHAT PIN CODE-721641</t>
  </si>
  <si>
    <t>I-WB-PSKO-ENB-A002</t>
  </si>
  <si>
    <t>GONSAIPUR</t>
  </si>
  <si>
    <t xml:space="preserve">Jitendranath Mondal, Vill &amp; PO - Baishnabchwak, PS - Kolaghat, Dist - East Midnapur, Mo:- 9932831010</t>
  </si>
  <si>
    <t>I-WB-PSKO-ENB-B002</t>
  </si>
  <si>
    <t>KHANNADIHI</t>
  </si>
  <si>
    <t xml:space="preserve">Vill-Jadupur,PO-khanyadihi,PS-Panskura,Dist-East Midnapore.PIN-721641</t>
  </si>
  <si>
    <t>I-WB-PSKO-ESC-0010</t>
  </si>
  <si>
    <t>I-WB-PSKO-ESC-0025</t>
  </si>
  <si>
    <t>I-WB-PSKO-ILA-0001</t>
  </si>
  <si>
    <t xml:space="preserve">Kolaghat ILA</t>
  </si>
  <si>
    <t>I-WB-PSKU-ENB-9033</t>
  </si>
  <si>
    <t xml:space="preserve">PASCHIM BAKULDA</t>
  </si>
  <si>
    <t xml:space="preserve">Sabyasachi Ray,Vill-Paschim Bakulda, PO-Bakulda,PS-Panskura,Dist-Purba Medinipur,Pin code-721139, M-9002509075</t>
  </si>
  <si>
    <t>I-WB-PSKU-ENB-B001</t>
  </si>
  <si>
    <t>JASSORA</t>
  </si>
  <si>
    <t xml:space="preserve">VILL+P.O.- JASHORA, P.S.- PANSKURA, DIST- EAST MIDNAPORE, PIN- 721641.</t>
  </si>
  <si>
    <t>I-WB-PSKU-ESC-0003</t>
  </si>
  <si>
    <t>I-WB-PSKU-ESC-0004</t>
  </si>
  <si>
    <t>I-WB-PSKU-ESC-0007</t>
  </si>
  <si>
    <t>I-WB-PSKU-ESC-0018</t>
  </si>
  <si>
    <t>I-WB-PSKU-ESC-0025</t>
  </si>
  <si>
    <t>I-WB-SNHL-ENB-9003</t>
  </si>
  <si>
    <t>SONAKHALI</t>
  </si>
  <si>
    <t xml:space="preserve">Biswanath Bera &amp;Others,Vill+PO-Sonakhali,PS-Daspur,Dist-PaschimMedinipur,PIN-721146,M-9775153212</t>
  </si>
  <si>
    <t>I-WB-UAMN-ENB-9003</t>
  </si>
  <si>
    <t>UAMN-9003</t>
  </si>
  <si>
    <t xml:space="preserve">Iftikar Ahamed Jamadar, vill- Uttarbar, po-Kheput, ps- Daspur , Pin-721148, m-7364967782</t>
  </si>
  <si>
    <t>I-WB-UAMN-ENB-I001</t>
  </si>
  <si>
    <t>NGPJGOPIGUNJ1</t>
  </si>
  <si>
    <t xml:space="preserve">Mr. SRIKANTA SAMANTA, P.H-9153628899, VILL- UTTARBHAR, P.O-KHEPUT, P.S- DASPUR, DIST- WEST MEDINIPUR, PIN-721148</t>
  </si>
  <si>
    <t>I-WB-MCDA-ENB-6000</t>
  </si>
  <si>
    <t>MECHEDA</t>
  </si>
  <si>
    <t xml:space="preserve"> MR BIKASH KR SETH N H SUBDIVISION VILL MOUJA SHANTIPUR P O MECHEDA P S KOLAGHAT </t>
  </si>
  <si>
    <t>I-WB-PSKO-ENB-6000</t>
  </si>
  <si>
    <t>BHOGPUR</t>
  </si>
  <si>
    <t xml:space="preserve"> PLOT OF PADMAJIT MAITY BVILL KODALIA P O BHOGPUR EAST MIDNAPUR PIN 721151 </t>
  </si>
  <si>
    <t>I-WB-PSKU-ENB-6000</t>
  </si>
  <si>
    <t>BAHIRGRAM</t>
  </si>
  <si>
    <t xml:space="preserve"> SEIKH SERAJUL ISLAM VILL BAHIRGRAM P S AND P O PANSKURA DIST PURBA MIDNAPUR MOUZA BAHIRGRAM J L NO 76 KHATIAN NO 1046 DAG NO 526 </t>
  </si>
  <si>
    <t xml:space="preserve">Fuel sensor, radiator, canopy , silencer faulty</t>
  </si>
  <si>
    <t>I-WB-PSKU-ENB-6001</t>
  </si>
  <si>
    <t>HAUR</t>
  </si>
  <si>
    <t xml:space="preserve"> DAG NO 1497 SABEK DAG NO 828 KHATIAN NO 382 AND 208 1 JL NO 144 MOUZA HAUR VILL AND PO HAUR PS PANSKURA DIST EAST MIDNAPORE PIN 721131 </t>
  </si>
  <si>
    <t xml:space="preserve">DEBAPRIYA MAITY</t>
  </si>
  <si>
    <t>power</t>
  </si>
  <si>
    <t xml:space="preserve">DG controller, battery need, AC fault, water likage</t>
  </si>
  <si>
    <t xml:space="preserve">need, water logged</t>
  </si>
  <si>
    <t>I-WB-PSKU-ENB-6003</t>
  </si>
  <si>
    <t>PANSKURA</t>
  </si>
  <si>
    <t xml:space="preserve">PLOT OF SK SAHAJAHAN ALI, MOUZA - DAKSHIN GOPALPUR, JL NO -24, KHATIAN NO - 71, DAAG NO - 436, VILL - DAKSHIN GOPALPUR, PO AND PS - PANSKURA, DIST - PURBA MEDINIPUR</t>
  </si>
  <si>
    <t xml:space="preserve">DSE card faulty </t>
  </si>
  <si>
    <t xml:space="preserve">site is running with 3 RM 1 RM is disconnected and 1 RM is faulty</t>
  </si>
  <si>
    <t xml:space="preserve">AVR card faulty (randowm volatage show)</t>
  </si>
  <si>
    <t xml:space="preserve">Raju jana site</t>
  </si>
  <si>
    <t>I-WB-PSKU-ENB-9034</t>
  </si>
  <si>
    <t xml:space="preserve">PURBA CHILKA</t>
  </si>
  <si>
    <t xml:space="preserve">Susanta Karan, vill &amp; PO-Purba chilka, PS-Panskura, Purba Medinipur-721647 M-8016107336</t>
  </si>
  <si>
    <t>I-WB-PSKU-ENB-9044</t>
  </si>
  <si>
    <t xml:space="preserve">SK.Illias Mohammad-8348531561 / 8272987783-Vill-Bijoyramchak,Po+PS-Panskura,Pin-721152,Dist-East Midnapore</t>
  </si>
  <si>
    <t xml:space="preserve">lightening made all DG parts faulty</t>
  </si>
  <si>
    <t>I-WB-PSKU-ENB-I001</t>
  </si>
  <si>
    <t>CHILKA-2</t>
  </si>
  <si>
    <t xml:space="preserve">Chandan Jana, Dag No. 566, Khatian no. 667, J.L.No. 359, Vill/Mouza/PO: Pashim Chilka, PS: Panskura, Midnapur East. Pin-721606</t>
  </si>
  <si>
    <t>I-WB-PSKU-ENB-I010</t>
  </si>
  <si>
    <t xml:space="preserve">MAGURI UTTARSAI</t>
  </si>
  <si>
    <t xml:space="preserve">Tulsi rani maity,Dag no-45,Kh-377/1,Jl-356,Vill- Maguri Uttarsai,PO-Maguri Uttarsai, P.S- Panskura, PIN-721152,Contact no- 9851713776</t>
  </si>
  <si>
    <t>I-WB-PSKU-ENB-I011</t>
  </si>
  <si>
    <t>I-WB-PSKU-ENB-W001</t>
  </si>
  <si>
    <t xml:space="preserve">Radha Krishnapur, Panskura, Purba Medinipur, W.B.- 721634</t>
  </si>
  <si>
    <t>I-WB-PSKU-ESC-0008</t>
  </si>
  <si>
    <t>I-WB-PSKU-ESC-0021</t>
  </si>
  <si>
    <t>I-WB-PSKU-ESC-0024</t>
  </si>
  <si>
    <t>I-WB-KBJZ-OSC-0001</t>
  </si>
  <si>
    <t xml:space="preserve">Motilal Mal</t>
  </si>
  <si>
    <t>I-WB-JTBV-ENB-6001</t>
  </si>
  <si>
    <t>JAGATBALLAVPUR</t>
  </si>
  <si>
    <t xml:space="preserve">RURAL HOSPITAL, DEPTT. OF HEALTH AND FAMILY WELFARE, JAGATBALLAVPUR, DISTT. HOWRAH</t>
  </si>
  <si>
    <t xml:space="preserve">not available</t>
  </si>
  <si>
    <t>I-WB-JTBV-ENB-6002</t>
  </si>
  <si>
    <t xml:space="preserve">SIAL DANGA</t>
  </si>
  <si>
    <t xml:space="preserve">VILL - ICHAPUR, PO - GRBLIA, PS - JB PUR, DIST - HOWRAH, PIN - 711410</t>
  </si>
  <si>
    <t>I-WB-JTBV-ENB-6003</t>
  </si>
  <si>
    <t xml:space="preserve">LASKAR PUR</t>
  </si>
  <si>
    <t xml:space="preserve">DAG NO. 1356, 1357, KHATIAN NO. 528, JL NO. 66, PS - JAGATBALLAVPUR, MOUZA - LASKARPUR, DIST - HOWRAH, PIN - 711414</t>
  </si>
  <si>
    <t>I-WB-JTBV-ENB-6004</t>
  </si>
  <si>
    <t>MAJU</t>
  </si>
  <si>
    <t xml:space="preserve">DAG NO-168,KHATIAN NO-732,VILL AND PO-MAJU,PS- JB PUR,DIST-HOWRAH,PIN-711414</t>
  </si>
  <si>
    <t>I-WB-JTBV-ENB-6007</t>
  </si>
  <si>
    <t>PULGUSTIA</t>
  </si>
  <si>
    <t xml:space="preserve">MOUZA- PULGUSTIA P.S.- JAGATBALLAVPUR DIST- HOWRAH PIN - 711414</t>
  </si>
  <si>
    <t>I-WB-JTBV-ENB-A001</t>
  </si>
  <si>
    <t>Bargachiya-2</t>
  </si>
  <si>
    <t xml:space="preserve">Vill-Parbotipur,PO-Bargachiya,PS- Jagat ballav pur,Dist: Howrah.Pin-711404</t>
  </si>
  <si>
    <t>I-WB-JTBV-ENB-I001</t>
  </si>
  <si>
    <t>JALALSI</t>
  </si>
  <si>
    <t xml:space="preserve">SAKTISADHAN DUARI,VILL-MAHAKALHATI,P.O-ISLAMPUR,P.S-JAGATBALLABHPUR,DIST-HOWRAH. PIN-711401,</t>
  </si>
  <si>
    <t>I-WB-JTBV-ENB-I003</t>
  </si>
  <si>
    <t>ANANTBATI</t>
  </si>
  <si>
    <t>DUJADHANSANTRA,VILL-HANTAL(DAKHIN),PO-HANTAL,PS-JBPUR,DIST-HOWRAH,PHNO.9732526877,03214-255116672(PP)</t>
  </si>
  <si>
    <t>I-WB-JTBV-ENB-I004</t>
  </si>
  <si>
    <t>PRATAPPURHW_W</t>
  </si>
  <si>
    <t xml:space="preserve">LATE MOHAN LAL MUKHOPADHYA,  VILL. &amp; P.O NIZBALIA, P.S. JAGATBALLAVPUR, PIN -711404, DIST. HOWRAH null</t>
  </si>
  <si>
    <t>I-WB-JTBV-ENB-I005</t>
  </si>
  <si>
    <t>JAGATBALLABHPUR-6</t>
  </si>
  <si>
    <t xml:space="preserve">SHAMBHU NATH GHOSH, VILL- NARENDRAPUR, P.O- MUNSHIRHAT, P.S- JAGATBALLAVPUR,PIN-711410</t>
  </si>
  <si>
    <t>I-WB-JTBV-ENB-I006</t>
  </si>
  <si>
    <t>MATIPUKUR</t>
  </si>
  <si>
    <t xml:space="preserve">MR. UTPAL BAGUI, VILL- MAITAPUKUR, P.S + P.O- J.B.PUR, PIN-711408, DIST- HOWRAH</t>
  </si>
  <si>
    <t>I-WB-JTBV-ENB-I007</t>
  </si>
  <si>
    <t xml:space="preserve">MADHA SANTOSHPUR</t>
  </si>
  <si>
    <t xml:space="preserve">NEAR  MADHA SANTOSHPUR HIGH SCHOOL,  MADHA SANTOSHPUR,AMTA ROAD,DOMJUR, HOWRAH.CONTACT PERSON :DHANANJOY DISI-858468117</t>
  </si>
  <si>
    <t>I-WB-JTBV-ENB-I008</t>
  </si>
  <si>
    <t xml:space="preserve">JAGATBALLABHPUR4 W</t>
  </si>
  <si>
    <t xml:space="preserve">PANCHUGOPAL BAG, VILL- NAIKULI, P.O.- MUNSHIRHAT, P.S.- JAGATBALLAVPUR, DIST- HOWRAH,PIN-711408</t>
  </si>
  <si>
    <t>I-WB-JTBV-ENB-I009</t>
  </si>
  <si>
    <t>JAGATBALLAVPUR-5</t>
  </si>
  <si>
    <t xml:space="preserve">PARBATI AJAY GHOSAL, VILL- RAMPUR, P.O.- PATIAL, P.S.- JAGATBALLAVPUR, DIST- HOWRAH, PIN- 711415, Ph- 9932109308.</t>
  </si>
  <si>
    <t>I-WB-JTBV-ENB-I010</t>
  </si>
  <si>
    <t>NIMABALIA</t>
  </si>
  <si>
    <t xml:space="preserve">Prafulla Kumar Pramanik,Dag no:-1027,Kh-498,Mouza-Nimbalia,Vill- Ranmahal,P.O- Munsirhat,711410</t>
  </si>
  <si>
    <t>I-WB-JTBV-ENB-V002</t>
  </si>
  <si>
    <t xml:space="preserve">DEBANDRA NATH CHATTERJEE. VILL+P.O- ISLAMPUR. P.S- JAGADBALLABPUR. DIST- HOWRAH, PIN-711401</t>
  </si>
  <si>
    <t>I-WB-JTBV-ESC-0001</t>
  </si>
  <si>
    <t>I-WB-JTBV-ESC-0003</t>
  </si>
  <si>
    <t>I-WB-JTBV-ESC-0005</t>
  </si>
  <si>
    <t>I-WB-JTBV-ESC-0010</t>
  </si>
  <si>
    <t>I-WB-KLKT-ENB-6020</t>
  </si>
  <si>
    <t>DOMJUR</t>
  </si>
  <si>
    <t xml:space="preserve">VILL AND PO - SOUTH JHAPARDAHA, PS - DOMJUR, DIST - HOWRAH, PIN - 711405</t>
  </si>
  <si>
    <t>I-WB-KLKT-ENB-6032</t>
  </si>
  <si>
    <t xml:space="preserve">RANIHATI AMTA ROAD</t>
  </si>
  <si>
    <t xml:space="preserve">DAG NO 3056 3787 RS 3106 LR JL NO 7 KHATIAN NO 3462 LR MOUZA MOLLICK BAGAN PS PANCHLA DIST HOWRAH PIN 711322</t>
  </si>
  <si>
    <t>I-WB-KLKT-ENB-6033</t>
  </si>
  <si>
    <t>DEULPUR</t>
  </si>
  <si>
    <t xml:space="preserve">DAG NO. 2011(OLD), 2079 (HAL), KHATIAN NOS. 3286/1 AND 3384/1, J.L. NO. 12, MOUZA- DEULPUR, P.S. PANCHLA, DIST. HOWRAH, PIN. 711411.</t>
  </si>
  <si>
    <t>I-WB-KLKT-ENB-7075</t>
  </si>
  <si>
    <t>KULDANGA</t>
  </si>
  <si>
    <t xml:space="preserve">VILL+PO- KULDANGA P.S.- PANCHLA DIST.- HOWRAH</t>
  </si>
  <si>
    <t>I-WB-ANTB-ENB-9001</t>
  </si>
  <si>
    <t>ANTB-9001</t>
  </si>
  <si>
    <t xml:space="preserve">Hantal Anatabati Noboday(Milan Sangha),Vill+PO-Hantal,Ps-Jagatballavpur,Pin-711314,Dist-Howrah,Cont-8145217242((Srikanta majhi)</t>
  </si>
  <si>
    <t>I-WB-BNKU-ENB-9002</t>
  </si>
  <si>
    <t>Godaria</t>
  </si>
  <si>
    <t xml:space="preserve">Biswantha Sheet-8346952317-Biswantha Sheet,vill-Godariya Jagatballavpur, pin-711049, m-8346952317</t>
  </si>
  <si>
    <t>I-WB-BNKU-ENB-I001</t>
  </si>
  <si>
    <t>PAKAPOLERHAT</t>
  </si>
  <si>
    <t xml:space="preserve">MOSAMMAT MOKSUDA KHATUN, VILL- BANKUL, P.S+ P.O- JAGATBALLAVPUR, PIN- 711408, DIST- HOWRAH</t>
  </si>
  <si>
    <t>I-WB-BNKU-ESC-0001</t>
  </si>
  <si>
    <t>I-WB-BNKU-OSC-0001</t>
  </si>
  <si>
    <t>I-WB-DKJR-ESC-0001</t>
  </si>
  <si>
    <t>I-WB-DMJR-ENB-9003</t>
  </si>
  <si>
    <t>RUDRAPUR</t>
  </si>
  <si>
    <t xml:space="preserve">VILL+PO- RUDRAPUR, PS- DOMJUR, DIST- HOWRAH, PIN- 711411  DOMJUR</t>
  </si>
  <si>
    <t>I-WB-DMJR-ENB-I001</t>
  </si>
  <si>
    <t>DAKSHINBARI</t>
  </si>
  <si>
    <t xml:space="preserve">Village-Dakshinbari, Dag No.44, Khatian No.286, Mouza-Chakhari, J.L. No.3, P.S. Domjure, under Uttar JhapardaA  Gram Panchayet, Howrah - 711405</t>
  </si>
  <si>
    <t>I-WB-DMJR-ESC-0002</t>
  </si>
  <si>
    <t>I-WB-JTBV-ENB-6000</t>
  </si>
  <si>
    <t>BARGACHHIA</t>
  </si>
  <si>
    <t xml:space="preserve">SANDHYA BAZAR,BARGACHI,PS-JAGET BALLARPUR DIST-HOWRAH,PIN-711404</t>
  </si>
  <si>
    <t>I-WB-KLKT-ENB-7080</t>
  </si>
  <si>
    <t>NAUL</t>
  </si>
  <si>
    <t xml:space="preserve">DAG NO. 370, KHATIAN NO. 304(LR), 239(RS), JL NO. 5, MOUZA - PROTAPPUR, DIST - HOWRAH, PIN - 711113</t>
  </si>
  <si>
    <t xml:space="preserve">50 min</t>
  </si>
  <si>
    <t xml:space="preserve">water logged site, soil filling, ODC damaged</t>
  </si>
  <si>
    <t>I-WB-NULL-ENB-6000</t>
  </si>
  <si>
    <t>LAHUL</t>
  </si>
  <si>
    <t xml:space="preserve">PLOT NO 946 and 947 HAL KHATIAN NO 1513 and 77 JL NO 9 MOUJA NANAUL VILL and PO NAUL PS SHYAMPUR DIST HOWRAH PIN 711312</t>
  </si>
  <si>
    <t xml:space="preserve">soil filling, water logged</t>
  </si>
  <si>
    <t>I-WB-SYMO-ENB-6000</t>
  </si>
  <si>
    <t>AJODHYA</t>
  </si>
  <si>
    <t xml:space="preserve">MOUZA - CHALITAPARA VILL &amp; PO - AJODHYA PS - SHYAMPUR DIST - HOWRAH PIN - 711312</t>
  </si>
  <si>
    <t>I-WB-SYMO-ENB-6002</t>
  </si>
  <si>
    <t>SASATI</t>
  </si>
  <si>
    <t xml:space="preserve">DAG NO 1826 KHATIAN NO 1345 JL NO 16 MOUZA SASTI PS SHYAMPUR DIST HOWRAH PIN 711326</t>
  </si>
  <si>
    <t xml:space="preserve">analog card faulty, battery not properly charging</t>
  </si>
  <si>
    <t xml:space="preserve">water logged site, soil filling</t>
  </si>
  <si>
    <t>I-WB-SYMR-ENB-6000</t>
  </si>
  <si>
    <t>DIHIMONDALGHAT</t>
  </si>
  <si>
    <t xml:space="preserve">DAG NO. 31, KHATIAN NO. R.S.- 202(HAL KHATIAN NO. 463), JL NO. 69, MOUZA - PANSILA, DIST - HOWRAH, PIN - 711301</t>
  </si>
  <si>
    <t xml:space="preserve">ODC damaged, water logged</t>
  </si>
  <si>
    <t>I-WB-SYMR-ENB-6004</t>
  </si>
  <si>
    <t>PICHHALDAHA</t>
  </si>
  <si>
    <t xml:space="preserve">DAG NO SABEK 1273 HAL 1681 KHATIAN NO 2361 and 2362 JL NO 102 VILL and PO GUJARPUR MOUZA PICHHALDAHA PS SHYAMPUR DIST HOWRAH PIN 711314</t>
  </si>
  <si>
    <t>I-WB-PKRR-ENB-9002</t>
  </si>
  <si>
    <t>KANAKPUR</t>
  </si>
  <si>
    <t xml:space="preserve">Bikash jana-9609160411-Ward no-02,Kanakpur,PS-Panskura,pin-721152,Dist-East Midnapore</t>
  </si>
  <si>
    <t xml:space="preserve">fuez card faulty, class B SPD faulty</t>
  </si>
  <si>
    <t>I-WB-PKRR-ENB-V001</t>
  </si>
  <si>
    <t xml:space="preserve">VILL: KANAKPUR PO- PANSKURA PS- PANSKURA DIST: PURBA MEDINIPUR PIN- 721171</t>
  </si>
  <si>
    <t>I-WB-PKRR-ESC-0002</t>
  </si>
  <si>
    <t>I-WB-PKRR-OSC-0002</t>
  </si>
  <si>
    <t>I-WB-PKRR-OSC-0005</t>
  </si>
  <si>
    <t>I-WB-PKRR-OSC-0008</t>
  </si>
  <si>
    <t>I-WB-PSKO-ENB-9006</t>
  </si>
  <si>
    <t>SIDDA</t>
  </si>
  <si>
    <t xml:space="preserve">SK.FERANU, VILL+PO- SIDDA, PS- PANSKURA, DIST- EAST MIDNAPORE, PIN- 721151, CONT- 8768482723</t>
  </si>
  <si>
    <t xml:space="preserve">ODC door</t>
  </si>
  <si>
    <t>I-WB-PSKO-ENB-9028</t>
  </si>
  <si>
    <t>GOPALNAGAR</t>
  </si>
  <si>
    <t xml:space="preserve">Ashoke Maity and Others, Vill-Gopalnagar, Po-Gopalnagarhat, Ps-Panskura, pin-721139</t>
  </si>
  <si>
    <t xml:space="preserve">GCU faulty</t>
  </si>
  <si>
    <t>I-WB-PSKO-ENB-9035</t>
  </si>
  <si>
    <t>DHULIARA</t>
  </si>
  <si>
    <t xml:space="preserve">Madhav Khatua,Vill-Dhuliara,po-Dhuliara,ps-Panskura, Dist- East midnapur,m-9046335694</t>
  </si>
  <si>
    <t>I-WB-PSKO-ENB-I005</t>
  </si>
  <si>
    <t xml:space="preserve">PARMANAND PUR</t>
  </si>
  <si>
    <t xml:space="preserve">Dag no:-1463,Kh-724,Mouza+Vill- Parmanandapur,P.O- Sitala Paramanandapur,P.s- panskura,Dist- East Midnapur, 721151</t>
  </si>
  <si>
    <t>I-WB-PSKO-ESC-0022</t>
  </si>
  <si>
    <t>I-WB-PSKU-ENB-9006</t>
  </si>
  <si>
    <t>MURAIL</t>
  </si>
  <si>
    <t xml:space="preserve">SK SIRAJUL HAQUE - VILL - MURAIL,P.O-DHULIAPUR,P.S-PANSKURA,DIST -EAST MIDNAPORE - 721634 - 935870329</t>
  </si>
  <si>
    <t xml:space="preserve">ODC filter faulty</t>
  </si>
  <si>
    <t>I-WB-PSKU-ENB-9007</t>
  </si>
  <si>
    <t>MEGHADANAGAR</t>
  </si>
  <si>
    <t xml:space="preserve">RAGHUNATH MAITY-9153452587,VILL-MEGHADANAGAR,P.S-PANSKURA,DIST-EAST MIDNAPORE</t>
  </si>
  <si>
    <t xml:space="preserve">ODC DG ladder, meter room MCB kitkat changer </t>
  </si>
  <si>
    <t>I-WB-PSKU-ENB-9009</t>
  </si>
  <si>
    <t>MECHOGRAM</t>
  </si>
  <si>
    <t xml:space="preserve">VILL - DAKSHIN MECHOGRAM P.O-UTTAR MECHOGRAM P.S-PANSKURA DIST - EAST MIDNAPORE -721139 PANSKURA</t>
  </si>
  <si>
    <t>I-WB-PSKU-ENB-9019</t>
  </si>
  <si>
    <t>RAGHUNATHBARI</t>
  </si>
  <si>
    <t xml:space="preserve">Anyali Maiti, C/O- Ashok Maity, Vill-Khasarban, Panskura, Puraba Midnapur,Pin-721634</t>
  </si>
  <si>
    <t xml:space="preserve">DG door lock</t>
  </si>
  <si>
    <t>I-WB-PSKU-ENB-9020</t>
  </si>
  <si>
    <t>RATULIA</t>
  </si>
  <si>
    <t xml:space="preserve">Balaram Sahu, Vill+Po- Ratulia, Ps-Panskura, Dist- East Midnapur,pin-721139, M-9933313763</t>
  </si>
  <si>
    <t xml:space="preserve">class b and C both SPD is faulty</t>
  </si>
  <si>
    <t>I-WB-PSKU-ENB-9024</t>
  </si>
  <si>
    <t>PRATAPPUR</t>
  </si>
  <si>
    <t xml:space="preserve">Shyam Kumar Panda,Vill-Keshiari Bhuniyabar,PO-Pratappur,PS-Panskura,Dist-Purba Medinipur,Pin-code-721152, M-8116129509</t>
  </si>
  <si>
    <t xml:space="preserve">tank is filled with water so DG is in breakdown, canopy faulty</t>
  </si>
  <si>
    <t>I-WB-PSKU-ENB-9026</t>
  </si>
  <si>
    <t>RUPDAYPUR</t>
  </si>
  <si>
    <t xml:space="preserve">VILL - BAHARGRAM, P.O+P.S-PANSKURA, DIST-EAST MIDNAPORE, PIN-721152  JANABAR</t>
  </si>
  <si>
    <t xml:space="preserve">high CPH</t>
  </si>
  <si>
    <t>I-WB-PSKU-ENB-9028</t>
  </si>
  <si>
    <t>SIMULHANDA</t>
  </si>
  <si>
    <t xml:space="preserve">Sandip Kr Mondal,C/O Ashok Kr Mondal ,MahatPur, PO-Naranda,Panskura,721139,9635627439</t>
  </si>
  <si>
    <t>I-WB-PSKU-ENB-9035</t>
  </si>
  <si>
    <t xml:space="preserve">VILL- GOGRASH, PO- RAGHUNATHBATI, PS- PANSKURA, DIST- EAST MIDNAPUR, PIN- 721634   JANABAR</t>
  </si>
  <si>
    <t>I-WB-PSKU-ENB-9036</t>
  </si>
  <si>
    <t>PSKU-9036</t>
  </si>
  <si>
    <t xml:space="preserve">Niranjan Bhunia, vill--Kahru Radhanagar,Po-Haur, Ps- Panskura,Dist- East Midnapur. Pin-721131</t>
  </si>
  <si>
    <t xml:space="preserve">4 pole MCB faulty</t>
  </si>
  <si>
    <t>I-WB-PSKU-ENB-9037</t>
  </si>
  <si>
    <t>PSKU-9037</t>
  </si>
  <si>
    <t xml:space="preserve">Purna Jana, ,Harsankarpur,PO-Kalidan,PS -Panskura,PIN 721131,M-9679680244</t>
  </si>
  <si>
    <t xml:space="preserve">glass fuez faulty, rellay faulty, changer faulty</t>
  </si>
  <si>
    <t>I-WB-PSKU-ENB-9039</t>
  </si>
  <si>
    <t xml:space="preserve">DAKHSIN CHANCHIARA</t>
  </si>
  <si>
    <t xml:space="preserve">VILL+P.O-DAKHIN CHANCHIARA, P.S-PRATAPPUR, DIST-EAST MIDNAPUR,PIN-721152  JANABAR</t>
  </si>
  <si>
    <t>I-WB-PSKU-ENB-9042</t>
  </si>
  <si>
    <t>RANIARA</t>
  </si>
  <si>
    <t xml:space="preserve">VILL- RANIARA, PS- PANSKURA, DIST- EAST MIDNAPUR, PIN- 721139  JANABAR</t>
  </si>
  <si>
    <t>I-WB-PSKU-ENB-A001</t>
  </si>
  <si>
    <t>NEKRA</t>
  </si>
  <si>
    <t xml:space="preserve">SK. MD. ANISUR RAHAMAN, VILL- BALI DANGRI, PO - PASKURA, PS - PASKURA, DIST - EAST MIDNAPUR, PIN - 721139, #8900161802</t>
  </si>
  <si>
    <t>I-WB-PSKU-ENB-A002</t>
  </si>
  <si>
    <t>Kaspat</t>
  </si>
  <si>
    <t xml:space="preserve">Vill &amp; P.O-Kesapat,P.S-Panskura,Dist-West Midnapur</t>
  </si>
  <si>
    <t>I-WB-PSKU-ENB-G001</t>
  </si>
  <si>
    <t>Panskura_5</t>
  </si>
  <si>
    <t xml:space="preserve">Dag No-658, Khatian no-182,338, Mouza-Chainpur, Dt-E.Midnapore</t>
  </si>
  <si>
    <t>I-WB-PSKU-ENB-I002</t>
  </si>
  <si>
    <t>PANSKURA-08</t>
  </si>
  <si>
    <t xml:space="preserve">Dag No.578, 492, kh-328, 380, jl-87, mouza-JondoraVill : Balidangri, Po &amp; PS : Pansukura, Dist : East Medinipur, - 721139</t>
  </si>
  <si>
    <t>I-WB-PSKU-ENB-I003</t>
  </si>
  <si>
    <t>PANSKURA-4</t>
  </si>
  <si>
    <t xml:space="preserve">TAPATI BERA, 5 NO WARD, VILL+P.O-NARANDA, P.S- PANSKURA, PIN-721139</t>
  </si>
  <si>
    <t>I-WB-PSKU-ENB-I004</t>
  </si>
  <si>
    <t xml:space="preserve">PATNA BAZAR-03</t>
  </si>
  <si>
    <t xml:space="preserve">Niramala rani Samanta, Dag No.2411, 2328, kh-283/1, jl-6, mouza/Vill/Po : -Shamsundarpur, PS : Panskura, Dist  East Medinipur -721169</t>
  </si>
  <si>
    <t>I-WB-PSKU-ENB-I006</t>
  </si>
  <si>
    <t>EPSKPANSKURA021</t>
  </si>
  <si>
    <t xml:space="preserve">MR. MANAS SINGH ROY, VILL-DAKHIN MECHOGRAM, P.O-UTTAR MECHOGRAM, PIN-721139, MOB-93326146021</t>
  </si>
  <si>
    <t>I-WB-PSKU-ENB-I007</t>
  </si>
  <si>
    <t>AMDAN</t>
  </si>
  <si>
    <t xml:space="preserve">VIL-DASANG, P.O.- MEGHA DANGAL, P.S.- PANSKURA, EAST MIDNAPUR -721152, CONTACT PERSON - RABINDRANATH ADAK-8967508522</t>
  </si>
  <si>
    <t>I-WB-PSKU-ENB-I008</t>
  </si>
  <si>
    <t>UTTARGOPALPUR</t>
  </si>
  <si>
    <t xml:space="preserve">Tarani Shankar Maity,Dag no;-361,364,Kh-41,Mouza+Vill- Uttar Gopalpur,P.O- Dadpara,P.s- Panskura, Contact no.:-9874842332</t>
  </si>
  <si>
    <t>I-WB-PSKU-ENB-I009</t>
  </si>
  <si>
    <t>JORAPUKUR</t>
  </si>
  <si>
    <t xml:space="preserve">TUSAR KANTI L DAS, VILL-GAURANGAPUR, P.O-RAGHUNATHBARI, P.S-PANSKURA, DIST- MUDNAPORE(E). PIN-721634</t>
  </si>
  <si>
    <t>I-WB-PSKU-ENB-I012</t>
  </si>
  <si>
    <t xml:space="preserve">Dag no:-1463,Kh-724,Mouza+Vill- Parmanandapur,P.O- Sitala Paramanandapur,P.s- panskura,721151</t>
  </si>
  <si>
    <t>GOBINDANAGAR</t>
  </si>
  <si>
    <t xml:space="preserve">VILL- KRISNOGANG, PO-PATONDA,PS-PASKURA,DIST-PURBA MEDNIPURPIN-721139</t>
  </si>
  <si>
    <t>I-WB-PSKU-ESC-0002</t>
  </si>
  <si>
    <t>I-WB-PSKU-ESC-0006</t>
  </si>
  <si>
    <t>I-WB-PSKU-ESC-0011</t>
  </si>
  <si>
    <t>I-WB-PSKU-ESC-0012</t>
  </si>
  <si>
    <t>I-WB-PSKU-ESC-0013</t>
  </si>
  <si>
    <t>I-WB-PSKU-ESC-0019</t>
  </si>
  <si>
    <t>I-WB-PSKU-ESC-0020</t>
  </si>
  <si>
    <t>I-WB-PSKU-ESC-0023</t>
  </si>
  <si>
    <t>I-WB-PSKU-OSC-0002</t>
  </si>
  <si>
    <t>I-WB-PSKU-OSC-0003</t>
  </si>
  <si>
    <t>I-WB-SMTG-ENB-9019</t>
  </si>
  <si>
    <t>CHANDRAMER</t>
  </si>
  <si>
    <t xml:space="preserve">Ramesh Samanta, vill-Chandramer, po-Dhalara, Ps- Tamluk,Dist- East Midnapur,pin-721636,m-9933312546</t>
  </si>
  <si>
    <t xml:space="preserve">4 kw </t>
  </si>
  <si>
    <t xml:space="preserve">RM and BM need</t>
  </si>
  <si>
    <t>I-WB-SMTG-ENB-9020</t>
  </si>
  <si>
    <t>SMTG-9020</t>
  </si>
  <si>
    <t xml:space="preserve">VILL-MATHUNI MADHAYAPALLY, P.O- DHALARA, P.S- TAMLUK,DIST- EAST MIDNAPUR, PIN -721636  SAHID MATANGINI</t>
  </si>
  <si>
    <t xml:space="preserve">stop solenoid is faulty</t>
  </si>
  <si>
    <t>I-WB-SMTG-ENB-9027</t>
  </si>
  <si>
    <t>Polanda</t>
  </si>
  <si>
    <t xml:space="preserve">VILL- POLANDA, PO- GOBINDAPUR, PS- TAMLUK, DIST- EAST MIDNAPUR, PIN- 721627  SAHID MATANGINI</t>
  </si>
  <si>
    <t>I-WB-JTBV-ENB-9011</t>
  </si>
  <si>
    <t>PAIKPARA</t>
  </si>
  <si>
    <t xml:space="preserve">Uttam Chudari,Vill+P.O - Paikpara,P.S - Jagatballavpur, Haora - 711410,M-9732749519</t>
  </si>
  <si>
    <t>I-WB-JTBV-ENB-9018</t>
  </si>
  <si>
    <t>JTBV-9018</t>
  </si>
  <si>
    <t xml:space="preserve">VILL-CHANGGURALI,PO-MAJU,PS-JAGATBALLAVPUR,DIST-HOWRAH,PIN-711414  JAGATBALLAVPUR</t>
  </si>
  <si>
    <t>I-WB-JTBV-ENB-9028</t>
  </si>
  <si>
    <t>Jhingra</t>
  </si>
  <si>
    <t xml:space="preserve">Sk Hasan Ali-9735809775-vill-Jinghra, po+ps-Jagatballavpur,pin-711408,Dist- east Midnapur</t>
  </si>
  <si>
    <t>I-WB-LAUE-ESC-0001</t>
  </si>
  <si>
    <t>I-WB-PTIH-ENB-I001</t>
  </si>
  <si>
    <t>PATIHAL</t>
  </si>
  <si>
    <t xml:space="preserve">Mira Saha, Dag No.483, Kh-4436, JL-49, Mouza/po/vill : Patihal, PS : Jagatballavpur, Howrah-711415</t>
  </si>
  <si>
    <t>I-WB-PTIH-ESC-0001</t>
  </si>
  <si>
    <t>I-WB-KLKT-ENB-0474</t>
  </si>
  <si>
    <t>WADIPUR</t>
  </si>
  <si>
    <t xml:space="preserve">RAMENDRA NATH PATRA-9836658260,VILL &amp; P.O-WADIPUR,P.S-DOMJUR,DIST-HOWRAH-711411</t>
  </si>
  <si>
    <t>I-WB-KLKT-ENB-7084</t>
  </si>
  <si>
    <t xml:space="preserve">BARA GABBERIA</t>
  </si>
  <si>
    <t xml:space="preserve">VILL+PO- BARAGABBERIA P.S.- PANCHLA DIST- HOWRAH PIN - 711322</t>
  </si>
  <si>
    <t>I-WB-KLKT-ENB-I001</t>
  </si>
  <si>
    <t xml:space="preserve">KALA GACHIA</t>
  </si>
  <si>
    <t xml:space="preserve">TUFAN MARIK, VILL- KALAGACHIA, P.O.- JALA BISWANATHPUR, P.S.- PANCHLA, PIN- 711322,</t>
  </si>
  <si>
    <t>I-WB-KULG-ENB-I001</t>
  </si>
  <si>
    <t xml:space="preserve">JAJUR SAHA</t>
  </si>
  <si>
    <t xml:space="preserve">VILL+ P.O.- JUJERSHA, P.S.- PANCHLA, HOWRAH-711302, CONTACT PERSON - SK. SHAJAHAN -9831389708</t>
  </si>
  <si>
    <t>I-WB-KULG-ESC-0001</t>
  </si>
  <si>
    <t>I-WB-ODPU-ESC-0001</t>
  </si>
  <si>
    <t>I-WB-THTT-ENB-9013</t>
  </si>
  <si>
    <t>BANHARISHPUR</t>
  </si>
  <si>
    <t xml:space="preserve">Sk. Saifuddin, Vill-Banharishpur Layekpara,PO-Banharishpur,PS-Panchla, Dist-Howrah-711322,M-9836283485 and 9836891228 ( Mumtazul)</t>
  </si>
  <si>
    <t>I-WB-JTBV-ESC-0006</t>
  </si>
  <si>
    <t xml:space="preserve">SUKUMAR DAS</t>
  </si>
  <si>
    <t>I-WB-JTBV-ESC-0012</t>
  </si>
  <si>
    <t>I-WB-UYNY-OSC-0004</t>
  </si>
  <si>
    <t>I-WB-AMTT-ENB-9004</t>
  </si>
  <si>
    <t>BASANTAPUR</t>
  </si>
  <si>
    <t xml:space="preserve">Dipankar Basu,Vill-Po- Basantpur,PS-Amta,Howrah,711416,M-9932495840</t>
  </si>
  <si>
    <t xml:space="preserve">DG visibility issue</t>
  </si>
  <si>
    <t>I-WB-AMTT-ENB-9005</t>
  </si>
  <si>
    <t>BALICHAK</t>
  </si>
  <si>
    <t xml:space="preserve">VILL- BALLICHAK, P.O- KHASMOHAN BALLICHAK, P.S- AMTA, DIST- HOWRAH, PIN- 711401  AMTA</t>
  </si>
  <si>
    <t xml:space="preserve">service cable faulty</t>
  </si>
  <si>
    <t>I-WB-AMTT-ENB-I001</t>
  </si>
  <si>
    <t>GHORADAHA</t>
  </si>
  <si>
    <t xml:space="preserve">Sk. Asgar Ali, Dag no- 335, kh- 55/1, JL no- 04, Mouza+Vill- Baruea, P.O- Mato, P.S- Amta, Dist- Howrah, Pin-711408</t>
  </si>
  <si>
    <t>I-WB-AMTT-ENB-I002</t>
  </si>
  <si>
    <t xml:space="preserve">CHALTA KHALI</t>
  </si>
  <si>
    <t xml:space="preserve">Mouza:Kashthasangra, Po:khosaipara, PS:Amta, Dist-Howrah-711401</t>
  </si>
  <si>
    <t>I-WB-AMTT-ENB-I004</t>
  </si>
  <si>
    <t>KANTUL</t>
  </si>
  <si>
    <t xml:space="preserve">NAMITA DAS,VILL- MANURA,P.O-MANIKURI,P.S-AMTA,PIN-711416</t>
  </si>
  <si>
    <t>I-WB-BATC-ESC-0001</t>
  </si>
  <si>
    <t>I-WB-BSNU-ESC-0001</t>
  </si>
  <si>
    <t>I-WB-JTBV-ENB-6005</t>
  </si>
  <si>
    <t>NARENDRAPUR</t>
  </si>
  <si>
    <t xml:space="preserve">DAG NO. 1016, KHATIAN NO. 60/1, JL NO. 16, PS - JAGATBALLAVPUR, MOUZA - BAMANPARA, DIST - HOWRAH, PIN - 711410</t>
  </si>
  <si>
    <t xml:space="preserve">delta 12 kw 2 RM 3(2 BM1 Faulty) vision 100 ah 2h backup</t>
  </si>
  <si>
    <t xml:space="preserve">shelter water likage , wtare logged site</t>
  </si>
  <si>
    <t>I-WB-JTBV-ENB-9030</t>
  </si>
  <si>
    <t>Narendrapur</t>
  </si>
  <si>
    <t xml:space="preserve">VILL-NARENDRAPUR PURBO,P.O-MUNSIRHAT,P.S-JAGATBALLAVPU,DIST-HOWRAH,PIN-711410  JAGATBALLAVPUR</t>
  </si>
  <si>
    <t>I-WB-KCMX-ENB-9001</t>
  </si>
  <si>
    <t>KURCHI</t>
  </si>
  <si>
    <t xml:space="preserve">VILL-KURCHI, PO+PS- UDAYNARAYANPUR, DIST- HOWRAH, PIN-711226  KURCHI BINODBATI</t>
  </si>
  <si>
    <t>I-WB-KMIM-ESC-0001</t>
  </si>
  <si>
    <t>I-WB-UYNY-ENB-6001</t>
  </si>
  <si>
    <t xml:space="preserve">PANCHA RUL</t>
  </si>
  <si>
    <t xml:space="preserve">UTTAR HARISHPUR; VILL&amp;PO  PANCHARUL; PS  UDAYNARAYANPUR; DIST  HOWRAH; PIN  711225</t>
  </si>
  <si>
    <t>I-WB-UYNY-ENB-6002</t>
  </si>
  <si>
    <t>SIBPUR</t>
  </si>
  <si>
    <t xml:space="preserve">MOUZA  SHIBPUR; PS  UDAYNARAYANPUR; DIST  HOWRAH; PIN  711226</t>
  </si>
  <si>
    <t>I-WB-UYNY-ENB-6003</t>
  </si>
  <si>
    <t>UDAYNARAYANPUR</t>
  </si>
  <si>
    <t xml:space="preserve">DAG NO-432,KHATIAN NO- 327,JL NO-36, MOUZA -JANGALPARA BELGRAM, VILL AND PO AND PS-UDANARAYANPUR, DIST-HOWRAH,PIN-711226</t>
  </si>
  <si>
    <t>I-WB-UYNY-ENB-9005</t>
  </si>
  <si>
    <t>RAMPUR</t>
  </si>
  <si>
    <t xml:space="preserve">VILL-DAKSHIN RAMPUR,PO-DRIBUSUT,PS.UDAYNARYANPUR,DIST-HOWRAH,PIN-712408  UDAYNARAYANPUR</t>
  </si>
  <si>
    <t>I-WB-UYNY-ENB-9014</t>
  </si>
  <si>
    <t>UYNY-9014</t>
  </si>
  <si>
    <t xml:space="preserve">SANAT CHAKRABORTY---SINTI,SHIBPUR,PS - UDAYNARAYANPUR, DIST- HOWRAH</t>
  </si>
  <si>
    <t>I-WB-UYNY-ENB-9015</t>
  </si>
  <si>
    <t>UYNY-9015</t>
  </si>
  <si>
    <t xml:space="preserve">VILL+PO-JOKA, PS-UDAYNARYANPUR, DIST- HOWRAH, PIN- 711412  UDAYNARAYANPUR</t>
  </si>
  <si>
    <t>I-WB-UYNY-ENB-9016</t>
  </si>
  <si>
    <t>UYNY-9016</t>
  </si>
  <si>
    <t xml:space="preserve">Paban Kanrar,vill-Kurchi, Po+ps--Udaynarayanpur, Dist-Howrah,pin-711216</t>
  </si>
  <si>
    <t>I-WB-UYNY-ENB-9018</t>
  </si>
  <si>
    <t>UYNY-9018</t>
  </si>
  <si>
    <t xml:space="preserve">Raj Kumar sahu and others,vill-piyarapur,po-Haradi.ps-Udaynarayanpur,dist- Howrah,pin-711226.m-9119391206</t>
  </si>
  <si>
    <t>I-WB-UYNY-ENB-9020</t>
  </si>
  <si>
    <t>UYNY-9020</t>
  </si>
  <si>
    <t xml:space="preserve">DILIP ADHIKARY(9609292362),VILL SENPUR 2,PO SINGHTY,PS UDAY NARAYANPUR,DIST HOWRAH,PIN 711226</t>
  </si>
  <si>
    <t>I-WB-UYNY-ENB-B001</t>
  </si>
  <si>
    <t>Chitrasenpur</t>
  </si>
  <si>
    <t xml:space="preserve">Chittrasenpur, Sonatola, Bhawanipur, P.O.-Chitrasenpur, P.S- JoypurDist- Howrah. PIN-711412, State- West Bengal</t>
  </si>
  <si>
    <t>I-WB-UYNY-ENB-B002</t>
  </si>
  <si>
    <t>PACHRULA</t>
  </si>
  <si>
    <t xml:space="preserve">Vill- Pancharul, P.O.- Pancharul, P.S.- Udaynarayanpur, District- Howrah, PIN- 711225</t>
  </si>
  <si>
    <t>I-WB-UYNY-ENB-I001</t>
  </si>
  <si>
    <t>BHAJAN</t>
  </si>
  <si>
    <t xml:space="preserve">Banamali Dhul,Dag No.547, JL-24, KH-587, Mouza/Vill : Bhojan, Po:Rashpur, PS:Amta, Dist:Howrah-711401 null</t>
  </si>
  <si>
    <t>I-WB-UYNY-ENB-I002</t>
  </si>
  <si>
    <t xml:space="preserve">CHAND CHAK</t>
  </si>
  <si>
    <t xml:space="preserve">TARACHAK KOTAL,S/O-LATE RAMDAS KATAL,VILL-UTTAR CHANDCHAK,POST-UTTARMANACHRI,P.S.-UDAYNARAYANPUR,DIST-HOWRAH,PIN-711412,CONTACT:9732718148</t>
  </si>
  <si>
    <t>I-WB-UYNY-ENB-I003</t>
  </si>
  <si>
    <t>KRISHNACHAK</t>
  </si>
  <si>
    <t xml:space="preserve">VILL-Uttar Bhanuchak,P.O-dasmali,P.S-Udaynarayanpur,Dist-Howrah,Pin-712410</t>
  </si>
  <si>
    <t>I-WB-UYNY-ENB-I004</t>
  </si>
  <si>
    <t xml:space="preserve">DIHI BHURSUT</t>
  </si>
  <si>
    <t xml:space="preserve">Malati Pandit,Dag No-3752,Khatian No-1868,Mouja-Dihi Bhursut,Vill+PO-Dihi Bhurshut,PS-Udaynarayanpur,Dist-Howrsh,Pin-712408</t>
  </si>
  <si>
    <t xml:space="preserve">GOURANGA CHOWK</t>
  </si>
  <si>
    <t xml:space="preserve">Pritam Bera, s/o Tapas Bera, VILL: PALIARH, PO:GOURANGA CHOWK, PS:UDAYNARAYANPUR,Dist.-Howrah, PIN:711410, PH-9732587389.</t>
  </si>
  <si>
    <t>I-WB-UYNY-ESC-0001</t>
  </si>
  <si>
    <t>I-WB-UYNY-ESC-0004</t>
  </si>
  <si>
    <t>I-WB-UYNY-ESC-0005</t>
  </si>
  <si>
    <t>I-WB-UYNY-ESC-0007</t>
  </si>
  <si>
    <t>I-WB-UYNY-ESC-0008</t>
  </si>
  <si>
    <t>I-WB-UYNY-ESC-0009</t>
  </si>
  <si>
    <t>I-WB-UYNY-ESC-0010</t>
  </si>
  <si>
    <t>I-WB-UYNY-OSC-0005</t>
  </si>
  <si>
    <t>I-WB-AHLR-ENB-A001</t>
  </si>
  <si>
    <t>Amalhara2</t>
  </si>
  <si>
    <t xml:space="preserve">SADHAN PRODHAN , VILL - BONPUR,  PO- KHARUI, PS- TAMLUK, DIST- EAST MIDNAPORE, PIN NO- 721134, MO-9732739128  ( UNDEAR -KHARUI-1 NO - G.P).</t>
  </si>
  <si>
    <t>I-WB-KHIS-ENB-9001</t>
  </si>
  <si>
    <t>KHARISHA</t>
  </si>
  <si>
    <t xml:space="preserve">Asit Kr.das, Vill- Berhala, PO+PS- Kolaghat, Dist- Purba medinipue,PIN-721134, cont- 9153877310</t>
  </si>
  <si>
    <t>I-WB-KKDH-ENB-I001</t>
  </si>
  <si>
    <t>MECHEDA-2</t>
  </si>
  <si>
    <t xml:space="preserve">NAKUL MATI, VILL- SHRI KRISHNAPUR, PO- GARNAN, PS.- KOLAGHAT, DIST.- PORBO MIDNAPUR, PIN- 721137, STATE- W.B,</t>
  </si>
  <si>
    <t>I-WB-KLAG-ENB-9004</t>
  </si>
  <si>
    <t>KLAG-9004</t>
  </si>
  <si>
    <t xml:space="preserve">VILL- BAR BARISHA, PO+PS- KOLAGHAT, DIST- EAST MIDNAPUR, PIN- 721134  KOLAGHAT</t>
  </si>
  <si>
    <t>I-WB-KLAG-ENB-9005</t>
  </si>
  <si>
    <t>BABUA</t>
  </si>
  <si>
    <t xml:space="preserve">Maniruddin Bhuina,Vill-Babua, PO-+ps- Kolaghat, Dist- East Midnapur, Pin-721134,m-9614896312</t>
  </si>
  <si>
    <t>I-WB-KLAG-ENB-I001</t>
  </si>
  <si>
    <t>KOLAGHAT-2</t>
  </si>
  <si>
    <t xml:space="preserve">INDIRA GHORAI, VILL-BARISHA, P.O + P.S-KOLAGHAT, DIST- MIDNAPORE, PIN-721134.</t>
  </si>
  <si>
    <t>I-WB-KLAG-ESC-0001</t>
  </si>
  <si>
    <t>I-WB-KLAG-ESC-0003</t>
  </si>
  <si>
    <t>I-WB-MCDA-OSC-0001</t>
  </si>
  <si>
    <t>I-WB-MCDA-OSC-0004</t>
  </si>
  <si>
    <t>I-WB-PSKO-ENB-9003</t>
  </si>
  <si>
    <t>NANDAIGAJAN</t>
  </si>
  <si>
    <t xml:space="preserve">AJAY KR. GHATA,VILL-NANDAI GAJAN,PO- BHOGPUR,PS- KOLAGHAT,DIST- PURBA MEDINIPUR, PIN-721151, CONT-7872414781</t>
  </si>
  <si>
    <t>I-WB-PSKO-ENB-9021</t>
  </si>
  <si>
    <t>BANWALA</t>
  </si>
  <si>
    <t xml:space="preserve">Sanatan Sankar Vill- banwala Po- mecheda, PS- Kolaghat Dist - east midnapur -741137 Phone . 9434995082/9475887064</t>
  </si>
  <si>
    <t>I-WB-PSKO-ENB-9023</t>
  </si>
  <si>
    <t>KALAGAGHIA</t>
  </si>
  <si>
    <t xml:space="preserve">VILL-KOLAGECHIYA,P.O- BAISNABGHATA,P.S- KOLAGHAT, DIST- EAST MIDNAPUR, PIN-721158  KOLAGHAT</t>
  </si>
  <si>
    <t>I-WB-PSKO-ENB-9027</t>
  </si>
  <si>
    <t>Namalbar</t>
  </si>
  <si>
    <t xml:space="preserve">VILL+PO-NAMALBARH PS-KOLAGHAT DIST-EAST MIDNAPURPIN-721151</t>
  </si>
  <si>
    <t>I-WB-PSKO-ENB-9029</t>
  </si>
  <si>
    <t>Bathanberia</t>
  </si>
  <si>
    <t xml:space="preserve">VILL- BATHAMBERIYA, PO+PS- KOLAGHAT, DIST- EAST MIDNAPUR, PIN- 721130  KOLAGHAT</t>
  </si>
  <si>
    <t>I-WB-PSKO-ENB-9038</t>
  </si>
  <si>
    <t>Parit</t>
  </si>
  <si>
    <t xml:space="preserve">PRANAB MAITY-9933791124-VILLPARIT, PO-DEULIHAT, PS-KOLAGHAT, DIST- EAST MIDNAPUR, PIN721154</t>
  </si>
  <si>
    <t>I-WB-PSKO-ENB-9039</t>
  </si>
  <si>
    <t>PSKO-9039</t>
  </si>
  <si>
    <t xml:space="preserve">Swapan Jana,Vill+PO_Deulia,PS-Kolaghat,Pin-721154,dist-East Midnapore,Cont-8371994530/9679339975</t>
  </si>
  <si>
    <t>I-WB-PSKO-ENB-A001</t>
  </si>
  <si>
    <t>Rain</t>
  </si>
  <si>
    <t xml:space="preserve">Vill &amp; P.O- Rain,P.S - Kolaghat, Dist-East Midnapur,Pin-721130</t>
  </si>
  <si>
    <t>I-WB-PSKO-ENB-A003</t>
  </si>
  <si>
    <t xml:space="preserve">Mouza-Deulbar, JL No-234, RS Khatian No.- 350/206, LR Khatian No.-773/2, RS &amp; L.R Dag No.-1142, Vill-Deulbar, PO-Sagarbar, PS-Kolaghat, Dist-Purba Medinipur. Pin- 721151,Mob- 9735408662</t>
  </si>
  <si>
    <t>I-WB-PSKO-ENB-A004</t>
  </si>
  <si>
    <t xml:space="preserve">Sadhan Ghorai,Vill- Derya chak, P.o.- Deryachak Sapua, P.S.- Kolaghat, East Medinipur, W.B.</t>
  </si>
  <si>
    <t>I-WB-PSKO-ENB-B001</t>
  </si>
  <si>
    <t xml:space="preserve">OLAGHAT, PS- KOLAGHAT, P.O- KOLAGHAT, DIST- EAST MIDNAPUR, STATE- WEST BENGGAL, PIN-721134</t>
  </si>
  <si>
    <t>I-WB-PSKO-ENB-G001</t>
  </si>
  <si>
    <t>I-WB-PSKO-ENB-G002</t>
  </si>
  <si>
    <t xml:space="preserve">KOLAGHAT (CT)</t>
  </si>
  <si>
    <t xml:space="preserve">SHANKAR CHANDRA PAL, AT-CHHATIAND PO&amp;PS-KOLAGHAT DIST EAST MADINAPUR PH-9232677717</t>
  </si>
  <si>
    <t>I-WB-PSKO-ENB-I001</t>
  </si>
  <si>
    <t>KOLAGHAT-06</t>
  </si>
  <si>
    <t xml:space="preserve">SUKUMAR DOLUI, PH-9002031853, KOLAGHAT, VILL-BADUA, PO+PS-KOLAGHAT, DIST-WEST MEDINIPUR.</t>
  </si>
  <si>
    <t>I-WB-PSKO-ENB-I002</t>
  </si>
  <si>
    <t>MAHADEVPUR</t>
  </si>
  <si>
    <t xml:space="preserve">Dag no:892,Kh-318,Mouza+Vill- Madhabpur,P.O- Sulani,P.S- Panskura, Dist : Midnapur(East)</t>
  </si>
  <si>
    <t>I-WB-PSKO-ENB-I003</t>
  </si>
  <si>
    <t>MACHINAN</t>
  </si>
  <si>
    <t xml:space="preserve">VILL- MACHINAN, PO- GOPALNAGAR, PS-KOLAGHAT, DIST- MIDNAPUR, PIN- 721130</t>
  </si>
  <si>
    <t>I-WB-PSKO-ENB-I004</t>
  </si>
  <si>
    <t>DEULIA-2</t>
  </si>
  <si>
    <t xml:space="preserve">Vill. Kshecrahat, P.o. Payag, P.s. Kolaghat, Distt. Midnapur(E), Pin-721154</t>
  </si>
  <si>
    <t>I-WB-PSKO-ENB-S001</t>
  </si>
  <si>
    <t xml:space="preserve">Pansila, Kolaghat, West Bengal - 721154</t>
  </si>
  <si>
    <t>I-WB-PSKO-ENB-V001</t>
  </si>
  <si>
    <t xml:space="preserve">VILL:-ANDULPOTA,PURBA BAHALA, P.O:-MECHEDA,P.S:-KOLAGHAT,PIN-721137</t>
  </si>
  <si>
    <t>I-WB-PSKO-ENB-V002</t>
  </si>
  <si>
    <t>JHAKURKOL</t>
  </si>
  <si>
    <t xml:space="preserve">Bablu Bera Village Japhuli, P.O Japhuli Babichak, P.S Kolaghat, District Purba Midnapore, Pin - 721137 Ph-9933404497</t>
  </si>
  <si>
    <t>I-WB-PSKO-ESC-0003</t>
  </si>
  <si>
    <t>I-WB-PSKO-ESC-0007</t>
  </si>
  <si>
    <t>I-WB-PSKO-ESC-0009</t>
  </si>
  <si>
    <t>I-WB-PSKO-ESC-0011</t>
  </si>
  <si>
    <t>I-WB-PSKO-ESC-0012</t>
  </si>
  <si>
    <t>I-WB-PSKO-ESC-0013</t>
  </si>
  <si>
    <t>I-WB-PSKO-ESC-0023</t>
  </si>
  <si>
    <t>I-WB-PSKO-ESC-0024</t>
  </si>
  <si>
    <t>I-WB-PSKO-ESC-0027</t>
  </si>
  <si>
    <t>I-WB-PSKO-ESC-0029</t>
  </si>
  <si>
    <t>I-WB-PSKO-ESC-0030</t>
  </si>
  <si>
    <t>I-WB-PSKO-OSC-0002</t>
  </si>
  <si>
    <t>I-WB-PSKU-ENB-9040</t>
  </si>
  <si>
    <t>Kaminachak</t>
  </si>
  <si>
    <t xml:space="preserve">VILL+PO- KAMINACHAK, PS- PANSKURA, DIST- EAST MIDNAPUR, PIN- 721628  JANABAR</t>
  </si>
  <si>
    <t>I-WB-PSKU-ENB-9041</t>
  </si>
  <si>
    <t>PSKU-9041</t>
  </si>
  <si>
    <t xml:space="preserve">BANKHIM BIHARI HAZRA &amp; SOURAV HAZRA(9564141693)VILL,BARBHARAPOTA,PS PANSKURA,DIST EAST MIDNIPUR,PIN 721151</t>
  </si>
  <si>
    <t>I-WB-PSKU-ESC-0016</t>
  </si>
  <si>
    <t>I-WB-SMTG-ENB-9002</t>
  </si>
  <si>
    <t>PADAMPUKUR</t>
  </si>
  <si>
    <t xml:space="preserve">DIBAKAR MAITY-9748830902,VILL-PADUMPUR,P.O-KELOMAL,P.S-TAMLUK,DIST-EAST MIDNAPORE-721627</t>
  </si>
  <si>
    <t>I-WB-SMTG-ENB-9004</t>
  </si>
  <si>
    <t>SONAPETA</t>
  </si>
  <si>
    <t xml:space="preserve">TAPAN KUMAR BAG-9735734223,VILL-SONAPITYA,P.O-GOBINDAPUR,P.S-TAMLUK,DIST-EAST MIDNAPORE</t>
  </si>
  <si>
    <t>I-WB-SMTG-ENB-9005</t>
  </si>
  <si>
    <t>RAMTARAKHAT</t>
  </si>
  <si>
    <t xml:space="preserve">MR. ASHOK DAS, VILL-BITARAGARH, PO-RAMTARAK HAT,PS- KOLAGHAT, DIST- PURBA MEDINIPUR, PIN- 721151,  CONT-9564216212</t>
  </si>
  <si>
    <t>I-WB-SMTG-ENB-9013</t>
  </si>
  <si>
    <t>BURARI</t>
  </si>
  <si>
    <t xml:space="preserve">Bibhas Maity,Vill-Sahara,PO-Burari hat,PS-Kolaghat,Dist-Purba Medinipur-721137,C-8926774716</t>
  </si>
  <si>
    <t>I-WB-SMTG-ENB-9021</t>
  </si>
  <si>
    <t>Amalhanda</t>
  </si>
  <si>
    <t xml:space="preserve">ANIL BARAN SAMANTA-9088365091-VILL+PO-AMALHANDA, PS-KOLAGHAT, DIST- EAST MIDNAPUR</t>
  </si>
  <si>
    <t>I-WB-SMTG-ENB-9022</t>
  </si>
  <si>
    <t>SMTG-9022</t>
  </si>
  <si>
    <t xml:space="preserve">Biswajit Samanta,Vill-Barharasankar,po-Ramtarakhat, ps-Tamluk,dist-East midnapur, pin-721151</t>
  </si>
  <si>
    <t>I-WB-SMTG-ENB-9028</t>
  </si>
  <si>
    <t>SMTG-9028</t>
  </si>
  <si>
    <t xml:space="preserve">ARUN MONDAL(8001953570)VILL BANPUR,PO KHARAI,PS TAMLUK,DIST EAST MIDNAPUR,PIN 721137</t>
  </si>
  <si>
    <t>I-WB-SMTG-ESC-0001</t>
  </si>
  <si>
    <t>I-WB-SMTG-ESC-0002</t>
  </si>
  <si>
    <t>I-WB-UYNY-ENB-9022</t>
  </si>
  <si>
    <t xml:space="preserve">Sanjay Ganguly - 9732883258 -  Vill-Dakshin singhti,P.O.-Raychak,P.S.-udaynarayanpur,dist-Howrah-711412</t>
  </si>
  <si>
    <t>I-WB-UYNY-ENB-9023</t>
  </si>
  <si>
    <t xml:space="preserve">Reba Goswami - 7407635266 - Vill-Sultanpur,P.O.-Harali,P.S.-Udaynarayanpur,Dist-Howrah-711226</t>
  </si>
  <si>
    <t>I-WB-AMTO-ENB-6002</t>
  </si>
  <si>
    <t xml:space="preserve">CHAWK KANDALIA</t>
  </si>
  <si>
    <t xml:space="preserve">VILL - CHAWK KANDALIA, PO AND PS - JOYPUR, DIST - HOWRAH</t>
  </si>
  <si>
    <t xml:space="preserve">UTPAL DAS</t>
  </si>
  <si>
    <t>I-WB-AMTO-ENB-6003</t>
  </si>
  <si>
    <t>NARIT</t>
  </si>
  <si>
    <t xml:space="preserve">DAG NO. 1219, JL NO. 110, KHATIAN NO. 2114 (HAL), 669 (OLD), MOUZA - NARIT, VILL- NARIT PO- NARIT PS- AMTA DIST- HOWRAH 711413</t>
  </si>
  <si>
    <t>I-WB-AMTO-ENB-6004</t>
  </si>
  <si>
    <t xml:space="preserve">PASHIM KHALANA</t>
  </si>
  <si>
    <t xml:space="preserve">DAG NO. 50, 51, 52, JL NO. 95, KHATIAN NO. 736 (LR), 1072 (RS), MOUZA AND VILL - UTTAR KHALANA, PO - KHALNA, PS - JOYPUR, DIST - HOWRAH. PIN - 711413</t>
  </si>
  <si>
    <t>I-WB-AMTO-ENB-6005</t>
  </si>
  <si>
    <t>TAJPUR</t>
  </si>
  <si>
    <t xml:space="preserve">VILL AND PO - TAJPUR, PS -AMTA, DIST - HOWRAH</t>
  </si>
  <si>
    <t>I-WB-AMTO-OSC-0003</t>
  </si>
  <si>
    <t>I-WB-AMTT-ENB-6000</t>
  </si>
  <si>
    <t>AMTA</t>
  </si>
  <si>
    <t xml:space="preserve">PLOT OF UTPAL BASU, BEHIND ADITI ELECTRONICS, SBI, P.O+VILL:AMTA, DIST.HOWRAH</t>
  </si>
  <si>
    <t>I-WB-AMTT-ENB-6001</t>
  </si>
  <si>
    <t xml:space="preserve">BHANDAR GACHHA</t>
  </si>
  <si>
    <t xml:space="preserve">DAG NO. 187 (NEW), KHATIAN NO. 739, JL NO. 142, MOUZA - PANPUR, PS - AMTA, DIST - HOWRAH, PIN - 711401</t>
  </si>
  <si>
    <t>I-WB-KLKT-ENB-6017</t>
  </si>
  <si>
    <t>ISLAMPUR_HOWARH</t>
  </si>
  <si>
    <t xml:space="preserve"> DAG NO 4135 KHATIAN NO 192 JL NO 76 MOUZA ISLAMPUR PS JAGATBALLAVPUR DIST HOWRAH PIN 711322 </t>
  </si>
  <si>
    <t>I-WB-AMTO-ENB-6000</t>
  </si>
  <si>
    <t xml:space="preserve">AMTA 3RD SEC</t>
  </si>
  <si>
    <t xml:space="preserve">VILL - MANDARIA, PO - SANTASNAGAR, PS - AMTA, DIST - HOWRAH, PIN - 711401</t>
  </si>
  <si>
    <t>I-WB-AMTO-ENB-6001</t>
  </si>
  <si>
    <t xml:space="preserve">BETAI BONDOR MORE</t>
  </si>
  <si>
    <t xml:space="preserve">DAG NO. 1265, KHATIAN NO. 390, HAL KHATIAN NO. 343/1, JL NO. 122, MOUZA - BETAI, VILL&amp;PO- BELAI, PS- AMTA, DIST- HOWRAH, 711401</t>
  </si>
  <si>
    <t>I-WB-AMTO-ENB-9007</t>
  </si>
  <si>
    <t>DHANYAGIRI</t>
  </si>
  <si>
    <t xml:space="preserve">Kashinath Kotal, Vill. - Parbakshi,P.O - Bakshi ,P.S - Jaypur,Haora - 711303, Contact No. - 7407603650/9073302221</t>
  </si>
  <si>
    <t>I-WB-AMTO-ENB-9014</t>
  </si>
  <si>
    <t>AMTO-9014</t>
  </si>
  <si>
    <t xml:space="preserve">Amiya Kumar Bhowmik,vill-Solbaga,Po-Kashmoli,PS-Jaypur,Dist-Howrah-711303, M-9143685653</t>
  </si>
  <si>
    <t>I-WB-AMTO-ENB-9017</t>
  </si>
  <si>
    <t xml:space="preserve">PURBA GAJIPUR</t>
  </si>
  <si>
    <t xml:space="preserve">VILL+PO- GAJIPUR,PS-AMTA, DIST- HOWRAH, PIN-711413  JAYPUR</t>
  </si>
  <si>
    <t>I-WB-AMTO-ENB-9020</t>
  </si>
  <si>
    <t>AMRAGORI</t>
  </si>
  <si>
    <t xml:space="preserve">Subrata roy, Vill-Chakjanardan,po-Amoragori, ps-Joypur, pin-711401,m-8334833341</t>
  </si>
  <si>
    <t>I-WB-AMTO-ENB-9022</t>
  </si>
  <si>
    <t>JHIKIRA</t>
  </si>
  <si>
    <t xml:space="preserve">Prasanta Pal, vill+po-Jhikira, ps- Joypur, Dist- Howrah, pin-711401, m-9734514959</t>
  </si>
  <si>
    <t>I-WB-AMTO-ENB-9024</t>
  </si>
  <si>
    <t>AMTO-9024</t>
  </si>
  <si>
    <t xml:space="preserve">VILL- RASHPUR, PS- AMTA, DIST- HOWRAH, PIN- 711401  JAYPUR</t>
  </si>
  <si>
    <t>I-WB-AMTO-ENB-A001</t>
  </si>
  <si>
    <t>JOYPUR-2</t>
  </si>
  <si>
    <t xml:space="preserve">Pradip Kr Jati, Vill- Joypur, P.S - Amta, Dist - Howrah, Panchayat - Joypur, Mobile-9830261797</t>
  </si>
  <si>
    <t>I-WB-AMTO-ENB-A002</t>
  </si>
  <si>
    <t>KALIKATA</t>
  </si>
  <si>
    <t xml:space="preserve">Archita Basu,Choto Kalikata, P.O-Raspur,P.S-Amta,Dist-Howrah, PIN-711401, Contact-9433716290</t>
  </si>
  <si>
    <t>I-WB-AMTO-ENB-G001</t>
  </si>
  <si>
    <t xml:space="preserve">KHARIOP HOWRAH</t>
  </si>
  <si>
    <t xml:space="preserve">Joydev Pal, Vill+PO- Khariop, PS-Amta, Dist-Howrah,Pin-711401,Ph-933788837/03214-229210</t>
  </si>
  <si>
    <t>I-WB-AMTO-ENB-I001</t>
  </si>
  <si>
    <t>JHAMTIA</t>
  </si>
  <si>
    <t xml:space="preserve">Vill+ P.O-Kesh Mali(Purbo para), P.S- Jaypur, Dist- Howrah, pin- 711413, Mob- 9903576921/97324549600</t>
  </si>
  <si>
    <t>I-WB-AMTO-ENB-I002</t>
  </si>
  <si>
    <t>NISCHINTAPUR</t>
  </si>
  <si>
    <t xml:space="preserve">NEAR SBI THALIA BRANCH,THALIA, P.O.- THALIA, P.S.-JOYPUR (NISCHINTAPUR),HOWRAH-711401.CONTACT PERSON :ASHRU MAZUMDER-8584868097</t>
  </si>
  <si>
    <t>I-WB-AMTO-ENB-I003</t>
  </si>
  <si>
    <t>KUSBERIA</t>
  </si>
  <si>
    <t xml:space="preserve">Anup Pradhan-9433065891, Vill+PO-Kushberia,PS-Amta, PIN-711413,Dist-Howrah</t>
  </si>
  <si>
    <t>I-WB-AMTO-ENB-I004</t>
  </si>
  <si>
    <t>JAYPUR(BIDHICHANDRAPUR)</t>
  </si>
  <si>
    <t xml:space="preserve">JL No. 53, Khatian No. 1426, Dag No. 1106 and situated at Mouza Bidhichandrapur, P.S. Udaynaryanpur, District Howrah under Bhabanipur Bidhichandrapur Gram Panchayet Raghunathpur Dakshinpara, BhabanipuPIN-711412</t>
  </si>
  <si>
    <t>I-WB-AMTO-ENB-W001</t>
  </si>
  <si>
    <t xml:space="preserve">Vill+P.O.- Sauria, P.S.- Joypur, Dist.- Howrah, Pin- 711413.</t>
  </si>
  <si>
    <t>I-WB-AMTO-ESC-0003</t>
  </si>
  <si>
    <t>I-WB-AMTO-ESC-0006</t>
  </si>
  <si>
    <t>I-WB-AMTO-ESC-0007</t>
  </si>
  <si>
    <t>I-WB-AMTO-ESC-0010</t>
  </si>
  <si>
    <t>I-WB-AMTO-ILA-6001</t>
  </si>
  <si>
    <t>I-WB-AMTT-ENB-9008</t>
  </si>
  <si>
    <t>ANULIA</t>
  </si>
  <si>
    <t xml:space="preserve">Swapan chakraborty, Vill+PO- Anulia, PS-Amta, dist-Howrah-711401, M-8515030765 and 7872187366</t>
  </si>
  <si>
    <t>I-WB-AMTT-ENB-9013</t>
  </si>
  <si>
    <t>JOTKALYAN</t>
  </si>
  <si>
    <t xml:space="preserve">VILL- JOTKALYAN, PO+PS- AMTA,DIST- HOWRAH, PIN-711401  AMTA</t>
  </si>
  <si>
    <t>I-WB-AMTT-ENB-9016</t>
  </si>
  <si>
    <t>AMTT-9016</t>
  </si>
  <si>
    <t xml:space="preserve">Kunal Shaw , Amta Dakshinpara pin-711401, m- 9477470914</t>
  </si>
  <si>
    <t>I-WB-AMTT-ENB-A001</t>
  </si>
  <si>
    <t>CHANDRAPURHOW</t>
  </si>
  <si>
    <t xml:space="preserve">Abzar Gaffary Mallick,Vill - Chandrapur, P.O-Gujarpur, PS-Amta,Dist Howrah, Ph-9836923814</t>
  </si>
  <si>
    <t>I-WB-AMTT-ENB-G001</t>
  </si>
  <si>
    <t>I-WB-AMTT-ENB-I003</t>
  </si>
  <si>
    <t xml:space="preserve">AMTA SALTIGHAT</t>
  </si>
  <si>
    <t xml:space="preserve">MR. GOBINDA MUKHERJEE(Ph- 9732697030.), VILL-GUJARPUR,P.O- SALTIGHAT, P.S.-AMTA, DIST- HOWRAH, PIN- 711401</t>
  </si>
  <si>
    <t>I-WB-AMTT-ENB-I005</t>
  </si>
  <si>
    <t>KURIT</t>
  </si>
  <si>
    <t xml:space="preserve">Smt Rekha Bera N others, Dag No.799, Kh-78, JL-30, Mouza:Kotalpara, PS : Amta, Dist Howrah-711401</t>
  </si>
  <si>
    <t>I-WB-AMTT-ESC-0001</t>
  </si>
  <si>
    <t>I-WB-AMTT-ESC-0002</t>
  </si>
  <si>
    <t>I-WB-BNDC-ENB-B001</t>
  </si>
  <si>
    <t>BANDHARGACHA</t>
  </si>
  <si>
    <t xml:space="preserve">Vill-Bhandargacha, P.O-Panpur,PS-AMTA,Dist-Howrah, West Bengal, PIN-711401</t>
  </si>
  <si>
    <t>I-WB-BSUD-OSC-0001</t>
  </si>
  <si>
    <t>I-WB-DERA-ENB-9001</t>
  </si>
  <si>
    <t>DEORA</t>
  </si>
  <si>
    <t xml:space="preserve">VILL+PO- DEORA, PS- AMTA, DIST- HOWRAH, PIN- 711401  DEORA</t>
  </si>
  <si>
    <t>I-WB-GAHC-ENB-I001</t>
  </si>
  <si>
    <t>GOBINDAPUR(H)</t>
  </si>
  <si>
    <t xml:space="preserve">SAMARESH CHOWDHURY, VILL&amp;PO-GOBINDPUR, PS-JAGETBALLABPUR,PIN-711414</t>
  </si>
  <si>
    <t>I-WB-GHBE-ENB-I001</t>
  </si>
  <si>
    <t>DAKSHINBHATORA</t>
  </si>
  <si>
    <t xml:space="preserve">Mr. Sachinath Ghosh, Vill- Ghoraberiya, P.O- Bhatora, P.S- joypur, Dist- Howrah, Pin- 711303, West Bengal,9433742890, 9474404850, 03214-214903</t>
  </si>
  <si>
    <t>I-WB-NAEJ-ENB-I001</t>
  </si>
  <si>
    <t>NAWAPARAH</t>
  </si>
  <si>
    <t xml:space="preserve">Nawaparah Library, P.S-Amta, Dist-Howrah,pin-711401, Mob-9735293539</t>
  </si>
  <si>
    <t>I-WB-TTJR-ENB-9004</t>
  </si>
  <si>
    <t xml:space="preserve">Purba Gazipur</t>
  </si>
  <si>
    <t xml:space="preserve">Subrata Mondal-853609221/7699950646-Mannapara Po- Sonamani, Ps- Amta Howrah</t>
  </si>
  <si>
    <t>I-WB-TTJR-ENB-A001</t>
  </si>
  <si>
    <t xml:space="preserve">Vill - Khardaha, PO - Tulsiberia, PS - Amta, Dist - Howrah,  Pin -711401</t>
  </si>
  <si>
    <t>I-WB-TTJR-ENB-B001</t>
  </si>
  <si>
    <t>UDANG</t>
  </si>
  <si>
    <t xml:space="preserve">Vill- Udang, P.O.- Udang, District- Howrah,PIN- 711401, West Bengal</t>
  </si>
  <si>
    <t>I-WB-TTJR-ESC-0001</t>
  </si>
  <si>
    <t>I-WB-ULBB-ENB-I001</t>
  </si>
  <si>
    <t>South-eastofamta(kamlachak)</t>
  </si>
  <si>
    <t xml:space="preserve">Vill- Hafez Chawk, PO- Kamal Chawk, Dist- Howrah</t>
  </si>
  <si>
    <t>I-WB-PSKO-ESC-0026</t>
  </si>
  <si>
    <t>I-WB-PSKO-ENB-9040</t>
  </si>
  <si>
    <t>DERIACHAK</t>
  </si>
  <si>
    <t>I-WB-SMTG-ENB-I002</t>
  </si>
  <si>
    <t>MECHEDA-4</t>
  </si>
  <si>
    <t xml:space="preserve">BISWANATH GAURI / JAGANNATH GAURI, Kh-1235,748,1591, JL-01, MOUZA-BARAGACHIA, VILL- KHARAGPUR, P.O- MECHEDA, P.S- KOLAGHAT, 721137, Mob-9733094488</t>
  </si>
  <si>
    <t>I-WB-SMTG-ENB-V001</t>
  </si>
  <si>
    <t>Hakala</t>
  </si>
  <si>
    <t xml:space="preserve">Sukdev Majhi Vill-Tupjora, Hakala PO- Mechada PS-kolaghat Dist - Midnapor(East) Pin- 721137.</t>
  </si>
  <si>
    <t>I-WB-BLDA-AG1-9003</t>
  </si>
  <si>
    <t xml:space="preserve">RANJIT SEN</t>
  </si>
  <si>
    <t>I-WB-BLDA-ENB-6001</t>
  </si>
  <si>
    <t xml:space="preserve"> PLOT OF SH AMULYA KR MAITY MOUZA BARAMATKATPUR JL NO 316 KHATIAN NO 52 2 DAAG NO 1160 VILL MOHAMMADPUR PO PS BELDA DIST PASCHIM MEDINIPUR </t>
  </si>
  <si>
    <t xml:space="preserve">analog card and controller </t>
  </si>
  <si>
    <t xml:space="preserve">all battery faulty</t>
  </si>
  <si>
    <t>kirloskar</t>
  </si>
  <si>
    <t>problem</t>
  </si>
  <si>
    <t xml:space="preserve">earthing problem , odc rust, filling needed </t>
  </si>
  <si>
    <t xml:space="preserve">for him vegetation and earthing is compulsury</t>
  </si>
  <si>
    <t>I-WB-BLDA-ENB-I001</t>
  </si>
  <si>
    <t>BELDA-4</t>
  </si>
  <si>
    <t xml:space="preserve">VILL- DEULI, P.O.+P.S.- BELDA, PIN- 721424, DIST: MIDNAPUR</t>
  </si>
  <si>
    <t>I-WB-BLIK-ENB-9001</t>
  </si>
  <si>
    <t>BLIK-9001</t>
  </si>
  <si>
    <t xml:space="preserve">Shakti Baram,Vill-Gholai,Po-Balichak,Pin-721124,Dist-Paschim Medinipur</t>
  </si>
  <si>
    <t xml:space="preserve">overload problem</t>
  </si>
  <si>
    <t>I-WB-CAUL-ENB-9001</t>
  </si>
  <si>
    <t>CAUL-9001</t>
  </si>
  <si>
    <t xml:space="preserve">VILL- CHAULIA, PO+PS- DANTAN, DIST- WEST MIDNAPUR, PIN- 721426  CHAULIA</t>
  </si>
  <si>
    <t xml:space="preserve">KHOKON PATRA</t>
  </si>
  <si>
    <t xml:space="preserve">Battery needed</t>
  </si>
  <si>
    <t xml:space="preserve">water logging , public issue (ox died earlier from transformer so public demanded to guard the transformer by jio)</t>
  </si>
  <si>
    <t>I-WB-DAGT-ENB-9001</t>
  </si>
  <si>
    <t>DAGT-9001</t>
  </si>
  <si>
    <t xml:space="preserve">NISHIKANTA HAZRA, S/O LT. ANANTA, VILL PO ADASIMLA, PS SABANG, DIST. PASCHIM MEDINIPUR, PIN 721467, MOB 9732008296 / 8145931703</t>
  </si>
  <si>
    <t xml:space="preserve">Santanu Kr Pal</t>
  </si>
  <si>
    <t xml:space="preserve">2 more battery needed as it share with indus + 5G</t>
  </si>
  <si>
    <t xml:space="preserve">Battery backup needed, DG upgrade needed</t>
  </si>
  <si>
    <t>I-WB-DEBR-AG1-6024</t>
  </si>
  <si>
    <t>I-WB-DEBR-ENB-6022</t>
  </si>
  <si>
    <t xml:space="preserve">LAND OF SH SK SHARIPM, DAG NO: 10,R S KHATIAN NO: 141,KATIAN NOS: 183,130,100,94,263,HAL KHATIAN NO: 163/9,J L NO: 439,MOUZA: GOTGERIA,P+O-BALICHALKPS: DEBRA,DIST: PASCHIM MEDINIPUR,PIN: 721124</t>
  </si>
  <si>
    <t xml:space="preserve">double fan</t>
  </si>
  <si>
    <t xml:space="preserve">7000 iBE</t>
  </si>
  <si>
    <t xml:space="preserve">DGB GCU DG panel all are faulty</t>
  </si>
  <si>
    <t>I-WB-DEBR-ENB-6023</t>
  </si>
  <si>
    <t>GOLGRAM</t>
  </si>
  <si>
    <t xml:space="preserve">VILL+PO - GOLGRAM, PS - DEBRA, DIST - WEST MIDINIPUR, PIN - 721136</t>
  </si>
  <si>
    <t xml:space="preserve">DG battery, RM, site battery, AC fault (high voltage taking), water likage</t>
  </si>
  <si>
    <t xml:space="preserve">high  till to the top of the tower</t>
  </si>
  <si>
    <t>I-WB-DEBR-ENB-6024</t>
  </si>
  <si>
    <t>DEBRA</t>
  </si>
  <si>
    <t xml:space="preserve"> PLOT OF AJIT KR GHOSH C O NARAYAN CH GHOSH VILL BARAGARH PO DEBRA BAZAAR PS DEBRA DISTRICT WEST MIDNAPORE PIN 721126 </t>
  </si>
  <si>
    <t xml:space="preserve">2 battary low backup</t>
  </si>
  <si>
    <t xml:space="preserve">1 more RM needed</t>
  </si>
  <si>
    <t xml:space="preserve">water likage</t>
  </si>
  <si>
    <t>I-WB-DEBR-ENB-6025</t>
  </si>
  <si>
    <t>MALIGHATI</t>
  </si>
  <si>
    <t xml:space="preserve">PLOT NO. 1149, KHATIAN NO. 505, JL NO. 92, MOUZA - MALIGHATI, VILL AND PO- MALIGHATI, DIST- PASCHIM MIDNAPORE, PIN-721211</t>
  </si>
  <si>
    <t xml:space="preserve">controller, backpanel, pushpack, llvd faulty</t>
  </si>
  <si>
    <t xml:space="preserve">DG door lock, no ladder to reach to DG due to high installation, shelter room water likacage, AC fault, main switch faulty</t>
  </si>
  <si>
    <t>I-WB-DEBR-ENB-6026</t>
  </si>
  <si>
    <t>SANSHARA</t>
  </si>
  <si>
    <t xml:space="preserve">DAG NO. 746, JL NO. 483, KHATIAN NO. 227/1, MOUZA+VILL+PO - RADHAMOHANPUR, PS - DEBRA, DIST - MIDNAPORE, PIN - 721160</t>
  </si>
  <si>
    <t xml:space="preserve">AC faulty, water likage, mains witch faulty</t>
  </si>
  <si>
    <t>I-WB-DEBR-ENB-9005</t>
  </si>
  <si>
    <t>DUAN</t>
  </si>
  <si>
    <t xml:space="preserve">DIPAK KUMAR BARMAN-9735364931,VILL &amp; P.O-DUAN,P.S-DEBRA,DIST-WEST MEDINIPORE</t>
  </si>
  <si>
    <t xml:space="preserve">earthing pit broken, water logged</t>
  </si>
  <si>
    <t>I-WB-DEBR-ENB-9006</t>
  </si>
  <si>
    <t>DAUNIA</t>
  </si>
  <si>
    <t xml:space="preserve">BABLU MANIK-9932383428,VILL-DAUNIA,P.O-BAINCHA,P.S-DEBRA,DIST-WEST MEDINIPORE</t>
  </si>
  <si>
    <t xml:space="preserve">AKASH BHAKTA</t>
  </si>
  <si>
    <t xml:space="preserve">vision </t>
  </si>
  <si>
    <t xml:space="preserve">1 more need</t>
  </si>
  <si>
    <t xml:space="preserve">1 more battery needed</t>
  </si>
  <si>
    <t>I-WB-DEBR-ENB-9008</t>
  </si>
  <si>
    <t>ASARIBANDH</t>
  </si>
  <si>
    <t xml:space="preserve">NARAYAN GHOSH-9735689621,VILL-BISHNUPUR,PO-MATH BISHNUPUR,PS-DEBRA,PIN-721136</t>
  </si>
  <si>
    <t xml:space="preserve">RAMESH MONDAL</t>
  </si>
  <si>
    <t xml:space="preserve">RMA is done but office didn't take it yet </t>
  </si>
  <si>
    <t xml:space="preserve">road acess need in rainy season</t>
  </si>
  <si>
    <t>I-WB-DEBR-ENB-9016</t>
  </si>
  <si>
    <t>DEBR-9016</t>
  </si>
  <si>
    <t xml:space="preserve">VILL-SATYAPUR,PO-MARATALA,PS-DEBRA,DIST-WEST MIDNAPUR,PIN-721156  DEBRA</t>
  </si>
  <si>
    <t>I-WB-DEBR-ENB-9020</t>
  </si>
  <si>
    <t>SHYAMSUDANDARPUR</t>
  </si>
  <si>
    <t xml:space="preserve">NITAI MANNA(9933784963), VILL-SHYAMSUNDARPUR, PO-DEBRA BAZAR, PS-DEBRA, DIST. PASCHIM MEDINIPUR, PIN-721126</t>
  </si>
  <si>
    <t xml:space="preserve">15 kw </t>
  </si>
  <si>
    <t xml:space="preserve">site acess issue due to go to the site need to be using a small river</t>
  </si>
  <si>
    <t>I-WB-DEBR-ENB-9033</t>
  </si>
  <si>
    <t>DEBR-9033</t>
  </si>
  <si>
    <t xml:space="preserve">KALIPADA OJHA, VILL+PO-PASANG, PS-DEBRA, DIST. PASCHIM MEDINIPUR, PIN-721124, MOB NO. 9002113116</t>
  </si>
  <si>
    <t xml:space="preserve">2 more RM needed</t>
  </si>
  <si>
    <t xml:space="preserve">ODC fan faulty, Door lock faulty, feuz is not good</t>
  </si>
  <si>
    <t>I-WB-DEBR-ENB-9034</t>
  </si>
  <si>
    <t>DEBR-9034</t>
  </si>
  <si>
    <t xml:space="preserve">SIBSANKAR ADHIKARI, S/O-LATE BIJOY KRISHNA ADHIKARI, VILL-CHAKSAHAPUR, PO-SAITAL, PS-DEBRA, DIST. PASCHIM MEDINIPUR, PIN-721149, MOB. 9735432268</t>
  </si>
  <si>
    <t xml:space="preserve">meter room feuz needed</t>
  </si>
  <si>
    <t>I-WB-DEBR-ENB-9035</t>
  </si>
  <si>
    <t>DEBR-9035</t>
  </si>
  <si>
    <t xml:space="preserve">Manabendra Dutta,Vill- Kishorepur, Po- Arjuni, PS- Debra,Dist- West Midnapur, Pin-721126.</t>
  </si>
  <si>
    <t xml:space="preserve">45  min</t>
  </si>
  <si>
    <t>I-WB-DEBR-ENB-9036</t>
  </si>
  <si>
    <t>DEBR-9036</t>
  </si>
  <si>
    <t xml:space="preserve">BHAGBAT MAITY,(MOB-9932328983), VILL-BAIKUNTHAPUR, PO-MALIGHATI, PS-DEBRA, DIST- PASCHIM MEDINIPUR, PIN-721211</t>
  </si>
  <si>
    <t>I-WB-DEBR-ENB-9037</t>
  </si>
  <si>
    <t>DEBR-9037</t>
  </si>
  <si>
    <t xml:space="preserve">VILL-RATRAPUR, PO-JASHORAPUR, PS-PINGLA, DIST- WEST MIDNAPORE, PIN-721160  DEBRA</t>
  </si>
  <si>
    <t xml:space="preserve">meter room fuez needed, changer burnt, ODC fan</t>
  </si>
  <si>
    <t>I-WB-DEBR-ENB-9038</t>
  </si>
  <si>
    <t>DEBR-9038</t>
  </si>
  <si>
    <t xml:space="preserve">Abir Chakraborty-8697501019//9088820973,Vill-Rampurchak,P.O-Shyamchak,PS-debra,721301</t>
  </si>
  <si>
    <t xml:space="preserve">led indication light not blink of 1 RM</t>
  </si>
  <si>
    <t xml:space="preserve">DG controller is not good</t>
  </si>
  <si>
    <t>I-WB-DEBR-ENB-9041</t>
  </si>
  <si>
    <t>DEBR-9041</t>
  </si>
  <si>
    <t xml:space="preserve">RAM PATRA,(MOB-9933718976), VILL-RAGHUNATHPUR, P.O-BHANGABANDH, PS-DEBRA, DIST- PASCHIM MEDINIPUR, PIN-721211</t>
  </si>
  <si>
    <t>I-WB-DEBR-ENB-9044</t>
  </si>
  <si>
    <t>DEBR-9044</t>
  </si>
  <si>
    <t xml:space="preserve">Nitai Bera, 9932361158, Vill- Gayeshpur,po-Sarpur,Ps-Debra,pin-721136</t>
  </si>
  <si>
    <t>I-WB-DEBR-ENB-9047</t>
  </si>
  <si>
    <t>DEBR-9047</t>
  </si>
  <si>
    <t xml:space="preserve">SATYENDRANATH MONDAL, S/O-LT. RAMKRISHNA DE MONDAL, VILL-KALYANPUR, PO-ARJUNI, PS-DEBRA, DIST. PASCHIM MEDINIPUR, PIN-721126, MOB. 7318948395 / 9933139003</t>
  </si>
  <si>
    <t>I-WB-DEBR-ENB-9048</t>
  </si>
  <si>
    <t>DEBR-9048</t>
  </si>
  <si>
    <t xml:space="preserve">VILL- PARULDIHI, P.O- KISHORPORE, P.S- DEBRA, DIST- PASCHIM MEDINIPUR, PIN- 721136  DEBRA</t>
  </si>
  <si>
    <t>I-WB-DEBR-ENB-9049</t>
  </si>
  <si>
    <t>DEBR-9049</t>
  </si>
  <si>
    <t xml:space="preserve">VILL-DOBADARI,P.O-LOWADA, P.S-DEBRA, DIST-WEST MEDNIPUR,PIN-721136  DEBRA</t>
  </si>
  <si>
    <t xml:space="preserve">non EB with DG and Solar</t>
  </si>
  <si>
    <t xml:space="preserve">10 kw</t>
  </si>
  <si>
    <t xml:space="preserve">high cph</t>
  </si>
  <si>
    <t>I-WB-DEBR-ENB-9050</t>
  </si>
  <si>
    <t>DEBR-9050</t>
  </si>
  <si>
    <t xml:space="preserve">TAPAN KUMAR BERA(8001983513),VILL-BIKRAMPUR,PI-BIKRAMPUR,PS-DEBRA,DIST-PACHIM MEDNIPUR,PIN-721136</t>
  </si>
  <si>
    <t xml:space="preserve">IP colo site so need to upgrade to 20 kva DG</t>
  </si>
  <si>
    <t>I-WB-DEBR-ENB-9051</t>
  </si>
  <si>
    <t>DEBR-9051</t>
  </si>
  <si>
    <t xml:space="preserve">AJIT KUMAR MAITY(9564726336),VILL-BHAGIRATHPUR,PO-BHAGIRATHPUR,PS-DEBRA,DIST-PACHMI MEDNIPUR,PIN-721136</t>
  </si>
  <si>
    <t>I-WB-DEBR-ENB-9053</t>
  </si>
  <si>
    <t>DEBR-9053</t>
  </si>
  <si>
    <t xml:space="preserve">MADAN PATRA, S/O-LT. BINOD BIHARI PATRA, VILL-CHAKKANU, PO-DEBRA BAZAR, PS-DEBRA, DIST. PASCHIM MEDINIPUR, PIN-721126, MOB-9732636830</t>
  </si>
  <si>
    <t xml:space="preserve">BM required</t>
  </si>
  <si>
    <t>I-WB-DEBR-ENB-9055</t>
  </si>
  <si>
    <t>DEBR-9055</t>
  </si>
  <si>
    <t xml:space="preserve">VILL + P.O- CHAK LAHANA, P.S- DEBRA, DIST- WEST MIDNAPORE, PIN- 721126  DEBRA</t>
  </si>
  <si>
    <t xml:space="preserve">DG wearing hearness need to change</t>
  </si>
  <si>
    <t>I-WB-DEBR-ENB-9056</t>
  </si>
  <si>
    <t>DEBR-9056</t>
  </si>
  <si>
    <t xml:space="preserve">VILL-DEBRA, PO-DEBRA BAZAR, PS-DEBRA, DIST. PASCHIM MEDINIPUR, PIN-721126  DEBRA</t>
  </si>
  <si>
    <t xml:space="preserve">2 BM not charging discharging</t>
  </si>
  <si>
    <t>I-WB-DEBR-ENB-9057</t>
  </si>
  <si>
    <t>DEBR-9057</t>
  </si>
  <si>
    <t xml:space="preserve">SUBAL MAJI, VILL-+PO-BRAHAMANSASAN, PS-DEBRA, DIST. PASCHIM MEDINIPUR, PIN-721124, MOB-7319337315</t>
  </si>
  <si>
    <t xml:space="preserve">ODC fan, lock , meter box fuez changer needed</t>
  </si>
  <si>
    <t>high</t>
  </si>
  <si>
    <t>I-WB-DEBR-ENB-9058</t>
  </si>
  <si>
    <t>DEBR-9058</t>
  </si>
  <si>
    <t xml:space="preserve">VILL-CHAKLALPUR, P.O-RADHAMOHANPUR ,P.S-DEBRA ,DIST- PASCHIM MEDINIPUR ,PIN-721160  DEBRA</t>
  </si>
  <si>
    <t xml:space="preserve">2 more RM needed as sharing with indus</t>
  </si>
  <si>
    <t xml:space="preserve">DG overload, ODC fan, lock, meter room fuez</t>
  </si>
  <si>
    <t>I-WB-DEBR-ENB-9060</t>
  </si>
  <si>
    <t>DEBR-9060</t>
  </si>
  <si>
    <t xml:space="preserve">VILL &amp; P.O-GURUGANJ , P.S-DEBRA, DIST -WEST MIDNAPORE, PIN-721124  DEBRA</t>
  </si>
  <si>
    <t xml:space="preserve">2 more</t>
  </si>
  <si>
    <t xml:space="preserve">DG overload, RM needed, ODC fan lock, 2 fuez meter box</t>
  </si>
  <si>
    <t>I-WB-DEBR-ENB-9061</t>
  </si>
  <si>
    <t>JOTANPUR</t>
  </si>
  <si>
    <t xml:space="preserve">Tapan Adak-7908588018-Vill-Jotankur,PO-Debrabazar,PS-Debra,Pin-721226</t>
  </si>
  <si>
    <t xml:space="preserve">3 RM  baackpanel faulty</t>
  </si>
  <si>
    <t>I-WB-DEBR-ENB-9062</t>
  </si>
  <si>
    <t>DEBR-9062</t>
  </si>
  <si>
    <t xml:space="preserve">VILL-BARUNIA, P.O-DARRA, P.S-DEBRA, DIST-WEST MEDINIPUR, PIN-721124</t>
  </si>
  <si>
    <t xml:space="preserve">1 more RM</t>
  </si>
  <si>
    <t xml:space="preserve">ODC lock, fan, meter box 3 fuez</t>
  </si>
  <si>
    <t>I-WB-DEBR-ENB-9063</t>
  </si>
  <si>
    <t>DEBR-9063</t>
  </si>
  <si>
    <t xml:space="preserve">Amit Hui-9733614347-Vill+PO-Jhagia,Ps-Debra,pin-721124,Dist-Paschim Medinipur</t>
  </si>
  <si>
    <t xml:space="preserve">DG silencer broken, ODC lock, meter box 2 fuez</t>
  </si>
  <si>
    <t>I-WB-DEBR-ENB-9064</t>
  </si>
  <si>
    <t>DEBR-9064</t>
  </si>
  <si>
    <t xml:space="preserve">Muslema Bibi-9933520671-Vill-Nowapara,Po-Akalpoush,PS-Debra,Pin-721156,Dist-Paschim Medinipur</t>
  </si>
  <si>
    <t xml:space="preserve">BM needed</t>
  </si>
  <si>
    <t>I-WB-DEBR-ENB-9065</t>
  </si>
  <si>
    <t>SATHKUTHI</t>
  </si>
  <si>
    <t xml:space="preserve">Jayanta Samanta-8348157794-Vill-Sathrukhi,Po-Chakbajit,PS-Debra,Pin-721136,Dist-Paschim Medinipur</t>
  </si>
  <si>
    <t>I-WB-DEBR-ENB-9066</t>
  </si>
  <si>
    <t>DEBR-9066</t>
  </si>
  <si>
    <t xml:space="preserve">Harekrishna Mondal-9800533389-Vill-Khasbazar,Po-Radhamohanpur,Pin-721160,Ps-Debra,Dist-Paschim Medinipur</t>
  </si>
  <si>
    <t>I-WB-DEBR-ENB-A001</t>
  </si>
  <si>
    <t>Trilochanpur</t>
  </si>
  <si>
    <t xml:space="preserve">MONORAN GHOSH, 9733795899,Vill-Trilochanpur,P.O-Sigerya,P.S-Debra,West Midnapur.</t>
  </si>
  <si>
    <t>I-WB-DEBR-ENB-A002</t>
  </si>
  <si>
    <t>SRIPUR</t>
  </si>
  <si>
    <t xml:space="preserve">Vill- Jotsuja, P.O- Hariharpur, P.S- Debra, Dist- West Medinipur, pin- 721136</t>
  </si>
  <si>
    <t>I-WB-DEBR-ENB-A003</t>
  </si>
  <si>
    <t xml:space="preserve">AMPURA NEW</t>
  </si>
  <si>
    <t xml:space="preserve">Anugopal Masanta, Vill &amp; P.O. Darra, P.S. Pingla, Dist: Medinipur Pin:721124</t>
  </si>
  <si>
    <t>I-WB-DEBR-ENB-B004</t>
  </si>
  <si>
    <t xml:space="preserve">KORONDA BS</t>
  </si>
  <si>
    <t xml:space="preserve">KORONDA_BS, Trilanchanpur Road</t>
  </si>
  <si>
    <t xml:space="preserve">acess issue</t>
  </si>
  <si>
    <t>I-WB-DEBR-ENB-I001</t>
  </si>
  <si>
    <t>Kanakpurm</t>
  </si>
  <si>
    <t xml:space="preserve">Mantaj Ali Sekh, Dag No-120, Kh No-181/1, Jl No-148, Mouza/Vill/P.O-Shanrpur, P.S-Debra, Dist-West Medinipur, Pin721136</t>
  </si>
  <si>
    <t>I-WB-DEBR-ENB-I002</t>
  </si>
  <si>
    <t>Lohada</t>
  </si>
  <si>
    <t xml:space="preserve">Mr.ManikLalMondal,Vill.-Murasthi,Po.-Lohada,Ps.-Debra,Pin.-721136,Ph.-03222-240510/9434326739 null</t>
  </si>
  <si>
    <t>I-WB-DEBR-ENB-I003</t>
  </si>
  <si>
    <t>mumanibadi(Kegarchandipur)</t>
  </si>
  <si>
    <t xml:space="preserve">Mr.SkAbdulAziz,S/oAbulMotin,VillageKedarchanditur,PostDrahamanshhon,PsDebra,DistWestMednipu, PH:03222244616,9933588875.</t>
  </si>
  <si>
    <t>I-WB-DEBR-ENB-I004</t>
  </si>
  <si>
    <t>BAGUYAN</t>
  </si>
  <si>
    <t xml:space="preserve">Panchanan Manna, Dag No.160, Kh-134, JL-11, Mouza/Vill:Baguyan, Po:Patnabazar, PS:Debra, Dist:West Medinipur-721153</t>
  </si>
  <si>
    <t>I-WB-DEBR-ENB-I005</t>
  </si>
  <si>
    <t>PANCHGERIA</t>
  </si>
  <si>
    <t xml:space="preserve">Vill - Belageriya, P.O - Panchageria, P.S - Debra, Dist: W. Midnapur,PIN-721126, Phone No - 9434992496</t>
  </si>
  <si>
    <t>I-WB-DEBR-ENB-I006</t>
  </si>
  <si>
    <t>JaliManada</t>
  </si>
  <si>
    <t xml:space="preserve">JaliManada, Debra</t>
  </si>
  <si>
    <t>I-WB-DEBR-ENB-I007</t>
  </si>
  <si>
    <t>EDEBDEBRCK021</t>
  </si>
  <si>
    <t>LakshmiBalaBhattacharyaMouza-ChakkumarDagNo-203/3</t>
  </si>
  <si>
    <t>I-WB-DEBR-ENB-I008</t>
  </si>
  <si>
    <t xml:space="preserve">BHARATPUR (WM)</t>
  </si>
  <si>
    <t xml:space="preserve">BHARATPUR (WM), MARTALA, DEBRA</t>
  </si>
  <si>
    <t>I-WB-DEBR-ENB-I009</t>
  </si>
  <si>
    <t>BHAGWANPUR(MARTOLLA)</t>
  </si>
  <si>
    <t>Bhagwanpur(Martolla)</t>
  </si>
  <si>
    <t>I-WB-DEBR-ENB-I010</t>
  </si>
  <si>
    <t>AKALPOSH</t>
  </si>
  <si>
    <t xml:space="preserve">AKALPOSH, DEBRA</t>
  </si>
  <si>
    <t>I-WB-DEBR-ENB-I011</t>
  </si>
  <si>
    <t>MARTALA-02</t>
  </si>
  <si>
    <t xml:space="preserve">Martala-02, Debra</t>
  </si>
  <si>
    <t>I-WB-DEBR-ENB-I012</t>
  </si>
  <si>
    <t>ERADHAMPUR021</t>
  </si>
  <si>
    <t>Radhamohanpur</t>
  </si>
  <si>
    <t>I-WB-DEBR-ENB-V001</t>
  </si>
  <si>
    <t>E_WB_427_112_Dhamtore</t>
  </si>
  <si>
    <t xml:space="preserve">Vill +Po-Dhamtore, PS- Debra, Dist- Mednipur(W) pin-721126, 721126</t>
  </si>
  <si>
    <t>I-WB-DEBR-ENB-V002</t>
  </si>
  <si>
    <t xml:space="preserve">E WB 432 7 DEBRA</t>
  </si>
  <si>
    <t xml:space="preserve">Vill+PO-Dunya, PS-Debra, Dist- Midnapur(W), Pin-721160, Mouza- Papan Haricharan, JL No-477, Plot No-4, Khatian No-92</t>
  </si>
  <si>
    <t>I-WB-DEBR-ENB-W001</t>
  </si>
  <si>
    <t>KHARAGPUR</t>
  </si>
  <si>
    <t xml:space="preserve">Debara, Bhunabasan</t>
  </si>
  <si>
    <t>I-WB-DNTN-ENB-6000</t>
  </si>
  <si>
    <t>DANTAN</t>
  </si>
  <si>
    <t xml:space="preserve">SHYAMAL KR PRATHIHAR, PWD INSPECTION BANGLOW, VILL- DATAN(SARAIBAJAR) P.O+P.S-DATAN</t>
  </si>
  <si>
    <t xml:space="preserve">R com</t>
  </si>
  <si>
    <t>I-WB-DNTN-ENB-9001</t>
  </si>
  <si>
    <t xml:space="preserve">GOBARDHAN MAITY, VILL-KRISHNAPUR, P.O.-UTTAR ROYBANDH, P.S.-DANTAN, DIST. PASCHIM MEDINIPUR.</t>
  </si>
  <si>
    <t xml:space="preserve">controller, BLVD, pushpuck faulty</t>
  </si>
  <si>
    <t xml:space="preserve">SMPS need to change</t>
  </si>
  <si>
    <t xml:space="preserve">3 battery is in good condition</t>
  </si>
  <si>
    <t xml:space="preserve">2112 auto kit</t>
  </si>
  <si>
    <t xml:space="preserve">ODC rust, earth pit needed</t>
  </si>
  <si>
    <t>I-WB-DNTN-ENB-9002</t>
  </si>
  <si>
    <t>SONAKONIA</t>
  </si>
  <si>
    <t xml:space="preserve">SABITRI GHOSH  AND  OTHERS, W/O LATE ANIL GHOSH, PH:7797200562, VILL+PO-SONAKONIA, PS-DATAN, DIST-WEST MIDNAPUR, PIN-721456</t>
  </si>
  <si>
    <t xml:space="preserve">battery not visible</t>
  </si>
  <si>
    <t xml:space="preserve">2112 n</t>
  </si>
  <si>
    <t>I-WB-DNTN-ENB-9003</t>
  </si>
  <si>
    <t>ANGUA</t>
  </si>
  <si>
    <t xml:space="preserve">GOUTAM KAR, PH:9547705295, VILL+PO-ANGUA, PS-DATAN, DIST-MIDNAPUR(WEST), PIN-721426</t>
  </si>
  <si>
    <t xml:space="preserve">2 back pcb change needed</t>
  </si>
  <si>
    <t xml:space="preserve">DG bed is tilded in one side, water logging site, no road, ODC rust, earth pit needed</t>
  </si>
  <si>
    <t>I-WB-DNTN-ENB-9006</t>
  </si>
  <si>
    <t>DNTN-9006</t>
  </si>
  <si>
    <t xml:space="preserve">Basanta kumar Latuya-9679295963-Vill+PO-Menkapur,PS-Dantan,Pin-721435,Dist-Paschim Medinipur</t>
  </si>
  <si>
    <t xml:space="preserve">SALIL NANDA</t>
  </si>
  <si>
    <t xml:space="preserve">start fail alarm is generated alot of times  </t>
  </si>
  <si>
    <t>I-WB-DNTN-ENB-9021</t>
  </si>
  <si>
    <t>BALABHADRAPUR</t>
  </si>
  <si>
    <t xml:space="preserve">PRANAB KUMAR DAS (09733577671), VILL- BALABHADRAPUR, P.O. + P.S. - DANTAN, DIST.- PASCHIM MEDINIPUR, PIN-721426, G.P. - ANGUA 5 NO.</t>
  </si>
  <si>
    <t xml:space="preserve">2111 auto kit</t>
  </si>
  <si>
    <t xml:space="preserve">DG battery faulty, battery faulty 2, water looging site</t>
  </si>
  <si>
    <t>I-WB-DNTN-ENB-9022</t>
  </si>
  <si>
    <t>BORAH</t>
  </si>
  <si>
    <t xml:space="preserve">Koushik Dey-9735499155,Vill+P.O.-Borah,P.S.-Dantan,Dist-Paschim Medinipur,</t>
  </si>
  <si>
    <t xml:space="preserve">3 RM back PCB and back panel is fired </t>
  </si>
  <si>
    <t xml:space="preserve">4 active battery is not good need to change</t>
  </si>
  <si>
    <t xml:space="preserve">GCU faulty, DG breakdown, earth pit needed</t>
  </si>
  <si>
    <t>I-WB-DNTN-ENB-9024</t>
  </si>
  <si>
    <t>DNTN-9024</t>
  </si>
  <si>
    <t xml:space="preserve">Ramhari Chanda-9775136865,Vill-orisal,P.O.-Porgona,P.S.-Dantan,Dist-Paschim Medinipur,721426</t>
  </si>
  <si>
    <t xml:space="preserve">error in fuel reading</t>
  </si>
  <si>
    <t xml:space="preserve">BM need, water in fuel tank, RM need </t>
  </si>
  <si>
    <t>I-WB-DNTN-ENB-9025</t>
  </si>
  <si>
    <t>TARRUI</t>
  </si>
  <si>
    <t xml:space="preserve">Saikat Bhunia-8348831043, Vill+po-Tarrui, Ps -Dantan, Pin-721451, Dist- West Midnapur</t>
  </si>
  <si>
    <t>I-WB-DNTN-ENB-9026</t>
  </si>
  <si>
    <t>DNTN-9026</t>
  </si>
  <si>
    <t xml:space="preserve">Avishek Nanda-9476111673,Vill-uchudiha,P.S.-Dantan,Dist-Paschim Medinipur,721451</t>
  </si>
  <si>
    <t>I-WB-DNTN-ENB-9027</t>
  </si>
  <si>
    <t>DNTN-9027</t>
  </si>
  <si>
    <t xml:space="preserve">Benudhar Maity-700143189,Vill-Hasimpur,P.O-Sonakonia,P.S.-Dantan,P.S-Paschim Medinipur,721426</t>
  </si>
  <si>
    <t xml:space="preserve">controller, pushpuck, wbcvmesh controller faulty</t>
  </si>
  <si>
    <t xml:space="preserve">don't know as it is solar site</t>
  </si>
  <si>
    <t xml:space="preserve">water logging site, axcess issue</t>
  </si>
  <si>
    <t>I-WB-DNTN-ENB-9028</t>
  </si>
  <si>
    <t>DNTN-9028</t>
  </si>
  <si>
    <t xml:space="preserve">VILL- MOGALMARI, P.S- DANTAN, DIST- WEST MIDNAPUR, PIN- 721451  DANTAN</t>
  </si>
  <si>
    <t xml:space="preserve">5 min</t>
  </si>
  <si>
    <t>echicer</t>
  </si>
  <si>
    <t>fail</t>
  </si>
  <si>
    <t xml:space="preserve">odc rust</t>
  </si>
  <si>
    <t>I-WB-DNTN-ENB-9029</t>
  </si>
  <si>
    <t>DNTN-9029</t>
  </si>
  <si>
    <t xml:space="preserve">Avijit Jana,Vill-Uttar arbona,P.O-Menkapur,P.S-dantan,721435,Avijit Jana-8145106728</t>
  </si>
  <si>
    <t xml:space="preserve">2 RM slot bcakpanel faulty</t>
  </si>
  <si>
    <t xml:space="preserve">3 Weak BM</t>
  </si>
  <si>
    <t xml:space="preserve">DG not running due to CD faulty, 60 liter deseal was shifted to DNTN-9006 as of 26 sept (2 years ago happened)</t>
  </si>
  <si>
    <t>I-WB-DNTN-ENB-9030</t>
  </si>
  <si>
    <t>DNTN-9030</t>
  </si>
  <si>
    <t xml:space="preserve">Ashok Pradhan 9734696710,Salikota,dantan,721435</t>
  </si>
  <si>
    <t xml:space="preserve">2 soh low</t>
  </si>
  <si>
    <t xml:space="preserve">DG overwhealling required</t>
  </si>
  <si>
    <t>I-WB-DNTN-ENB-9032</t>
  </si>
  <si>
    <t>DNTN-9032</t>
  </si>
  <si>
    <t xml:space="preserve">VILL-PANCHROL,PS-DANTAN,DIST-WEST MIDNAPUR,PIN-721451  DANTAN</t>
  </si>
  <si>
    <t xml:space="preserve">oil tank is filled with water </t>
  </si>
  <si>
    <t xml:space="preserve">site is waterlogged with vegetation</t>
  </si>
  <si>
    <t>I-WB-DNTN-ENB-9035</t>
  </si>
  <si>
    <t>DNTN-9035</t>
  </si>
  <si>
    <t xml:space="preserve">VILL- EKTARPUR, P.O+P.S- DANTAN, DIST- WEST MIDNAPUR, PIN- 721426  DANTAN</t>
  </si>
  <si>
    <t>normal</t>
  </si>
  <si>
    <t>I-WB-DNTN-ENB-9037</t>
  </si>
  <si>
    <t>DNTN-9037</t>
  </si>
  <si>
    <t xml:space="preserve">VILL-MADHUBAICHA,P.O-ANIKOLA P.S-DANTAN ,DIST-WEST MIDNAPUR ,PIN-721457  DANTAN</t>
  </si>
  <si>
    <t xml:space="preserve">faulty (label mismatch)</t>
  </si>
  <si>
    <t>I-WB-DNTN-ENB-9038</t>
  </si>
  <si>
    <t>DNTN-9038</t>
  </si>
  <si>
    <t xml:space="preserve">Nabakumar Mahapatra, vill-Nimpur,po-Barongi,ps- Dantan,Dist- West Midnapur, pin-721435, m-9635328347</t>
  </si>
  <si>
    <t xml:space="preserve">ok </t>
  </si>
  <si>
    <t xml:space="preserve">fuel misatch</t>
  </si>
  <si>
    <t xml:space="preserve">RM , BM, fuel sensor</t>
  </si>
  <si>
    <t>I-WB-DNTN-ENB-9039</t>
  </si>
  <si>
    <t>MAKHLAMPUR</t>
  </si>
  <si>
    <t xml:space="preserve">Chanchal Barik-9734846079-Chanchal Barik,Vill-Makhmalpur,Po-Belmula,Ps-Dantan,Pin-721426,Cont-9734846079</t>
  </si>
  <si>
    <t xml:space="preserve">airtel +5G</t>
  </si>
  <si>
    <t xml:space="preserve">DG canopy damaged, water logging site</t>
  </si>
  <si>
    <t>I-WB-DNTN-ENB-9040</t>
  </si>
  <si>
    <t>DNTN-9040</t>
  </si>
  <si>
    <t xml:space="preserve">HEMANTA JANA-7063761542,Sabrading,Dantan,721426</t>
  </si>
  <si>
    <t xml:space="preserve">high vegetation, 3 faulty MPPT were returened but didn't received them yet</t>
  </si>
  <si>
    <t>I-WB-DNTN-ENB-A001</t>
  </si>
  <si>
    <t>DHALBAR</t>
  </si>
  <si>
    <t xml:space="preserve">Dhalbar_West, Datan</t>
  </si>
  <si>
    <t>I-WB-DNTN-ENB-A002</t>
  </si>
  <si>
    <t>Karat_West</t>
  </si>
  <si>
    <t xml:space="preserve">Krishnanjan Baram &amp; ots., Vill- Aligosa, PO- Maljamuna, PS- Datan, Dist- Midnapur(W), PIN- 721451</t>
  </si>
  <si>
    <t>I-WB-DNTN-ENB-A003</t>
  </si>
  <si>
    <t xml:space="preserve">CHAK ISMAILPUR WEST</t>
  </si>
  <si>
    <t xml:space="preserve">Chak IsmailpurWest</t>
  </si>
  <si>
    <t>I-WB-DNTN-ENB-I001</t>
  </si>
  <si>
    <t>Anikola</t>
  </si>
  <si>
    <t>At-Bhugaranji,Po-Aikola,Ps-Datan,Dist-WestMedinipur,Pin-721457</t>
  </si>
  <si>
    <t>I-WB-DNTN-ENB-I002</t>
  </si>
  <si>
    <t>DATAN</t>
  </si>
  <si>
    <t xml:space="preserve">Parimal nandi, Vill- Dantan, P.s- dantan, Pin- 721451, Phone No - 9333867166 NA</t>
  </si>
  <si>
    <t>I-WB-DNTN-ENB-I003</t>
  </si>
  <si>
    <t>Datan</t>
  </si>
  <si>
    <t xml:space="preserve">MR. AMIT DAS/SAMIT DAS, DAG NO.578,576,604 JL NO 65,KHATIAN NO.415, VILL-BHAWANIPUR, PO&amp;PS-DATAN, DIST-MIDNAPUR(WEST)</t>
  </si>
  <si>
    <t>I-WB-DNTN-ENB-I004</t>
  </si>
  <si>
    <t xml:space="preserve">MALAY BARI,VILL-MAHESPUR,PO-BORA,PS-DANTAN,DIST-WEST MEDINIPUR,PIN-721163,PH-9732565998</t>
  </si>
  <si>
    <t>I-WB-DNTN-ENB-I005</t>
  </si>
  <si>
    <t>EJANJANKPR031</t>
  </si>
  <si>
    <t xml:space="preserve">Uttam Mondal 9732955488 Ghurni 2 no wordBindupara</t>
  </si>
  <si>
    <t>I-WB-DNTN-ENB-I006</t>
  </si>
  <si>
    <t>SOLPOTA</t>
  </si>
  <si>
    <t>Solpota</t>
  </si>
  <si>
    <t>I-WB-DNTN-ENB-I007</t>
  </si>
  <si>
    <t>SARSANKA</t>
  </si>
  <si>
    <t xml:space="preserve">SARSANKA, DATAN, WEST MIDNAPORE</t>
  </si>
  <si>
    <t>I-WB-DNTN-ENB-I008</t>
  </si>
  <si>
    <t>MALIAHARA</t>
  </si>
  <si>
    <t>I-WB-DNTN-ENB-I009</t>
  </si>
  <si>
    <t>BOARANGI</t>
  </si>
  <si>
    <t xml:space="preserve">BOARANGI, SOLPATTA</t>
  </si>
  <si>
    <t>I-WB-DNTN-ENB-I010</t>
  </si>
  <si>
    <t>EDATDATUN021</t>
  </si>
  <si>
    <t>DATAN-02</t>
  </si>
  <si>
    <t>I-WB-DNTN-ENB-V001</t>
  </si>
  <si>
    <t>SARANG</t>
  </si>
  <si>
    <t xml:space="preserve">SARANG, DATAN, PASCHIM MEDINIPUR</t>
  </si>
  <si>
    <t>I-WB-DNTO-ENB-9009</t>
  </si>
  <si>
    <t>JYITIBAR</t>
  </si>
  <si>
    <t xml:space="preserve">VILL-JYOTIBAR, PO-GAR HARIPUR,PS-BELDA,DIST-PASCHIM MEDINIPUR,PIN:721443  DHANESWARPUR</t>
  </si>
  <si>
    <t xml:space="preserve">Rajkumar Sahoo</t>
  </si>
  <si>
    <t xml:space="preserve">Battery is not visible in the SMPS controller due to a card faulty</t>
  </si>
  <si>
    <t>I-WB-DNTO-ENB-9013</t>
  </si>
  <si>
    <t>GOURDA</t>
  </si>
  <si>
    <t xml:space="preserve">PRASENJIT KUNDU (7501888112), VILL- GOURDA, P.O- BANGJHATIA, P.S. -DANTAN, DIST.- PASCHIM MEDINIPUR, PIN-721426</t>
  </si>
  <si>
    <t xml:space="preserve">WCDBMS is not offered during installtion so BM status is not showing in the SMPS, 2 old coslight faulty BM are still in the site</t>
  </si>
  <si>
    <t xml:space="preserve">fuel sensor is docketed and will replaced quickly</t>
  </si>
  <si>
    <t>I-WB-DNTO-ENB-9015</t>
  </si>
  <si>
    <t>GAMARIPUR</t>
  </si>
  <si>
    <t xml:space="preserve">Chandan Bhakta,Vill-Gamaripur, Po-Renjura, Ps-Dantan, Pin-721443, Dist- West Midnapur, M-9933785596</t>
  </si>
  <si>
    <t xml:space="preserve">SMPS 2 RM slot backp PCB faulty</t>
  </si>
  <si>
    <t xml:space="preserve">76 ah</t>
  </si>
  <si>
    <t xml:space="preserve">class b SPD faulty, meter box 4 pole MCB is brunt </t>
  </si>
  <si>
    <t>I-WB-DNTO-ENB-9016</t>
  </si>
  <si>
    <t>DNTO-9016</t>
  </si>
  <si>
    <t xml:space="preserve">VILL- BANDRAUTA, PS- BELDA, DIST- WEST MIDNAPUR, PIN-721443  DHANESWARPUR</t>
  </si>
  <si>
    <t xml:space="preserve">ODC damage, ODC lock damage</t>
  </si>
  <si>
    <t>I-WB-DNTO-ENB-9018</t>
  </si>
  <si>
    <t>DNTO-9018</t>
  </si>
  <si>
    <t xml:space="preserve">VILL-TALDA, PO TALDARATAN CHAK, PS DANTAN,DIST-WEST MEDINAPORE, PIN-721435  DHANESWARPUR</t>
  </si>
  <si>
    <t xml:space="preserve">1 RM backpanel faulty</t>
  </si>
  <si>
    <t xml:space="preserve">1 BM is in alarm</t>
  </si>
  <si>
    <t xml:space="preserve">AVR card faulty</t>
  </si>
  <si>
    <t>I-WB-DNTO-ENB-9022</t>
  </si>
  <si>
    <t>DNTO-9022</t>
  </si>
  <si>
    <t xml:space="preserve">VILL-MULIDA,PO-BAMABDA,PS DANTAN,DIST-WEST MIDNAPUR,PIN-721426  DHANESWARPUR</t>
  </si>
  <si>
    <t xml:space="preserve">high vegetation</t>
  </si>
  <si>
    <t>I-WB-DNTO-ENB-9023</t>
  </si>
  <si>
    <t>RELA</t>
  </si>
  <si>
    <t xml:space="preserve">Niranjan Das-9732659128-Niranjan Das, Vill-Rela,Po-Bandichak,Ps-Belda,Pin-721443,Cont-9732659128</t>
  </si>
  <si>
    <t xml:space="preserve">likage in ODC</t>
  </si>
  <si>
    <t>I-WB-DNTO-ENB-9025</t>
  </si>
  <si>
    <t>DNTO-9025</t>
  </si>
  <si>
    <t xml:space="preserve">Nandagopal Sahoo,Vill-Jolgoda,PO-Uttar Asda,PS-Belda,Pin-721443,Dist-Paschim Medinipur,Cont-9679298192</t>
  </si>
  <si>
    <t>I-WB-DNTO-ENB-9026</t>
  </si>
  <si>
    <t xml:space="preserve">due to insufficent of RM 1 BM is disconnected</t>
  </si>
  <si>
    <t>I-WB-DNTO-ENB-9029</t>
  </si>
  <si>
    <t xml:space="preserve">1 BM is disconnected due to insufficent RM </t>
  </si>
  <si>
    <t xml:space="preserve">non DG site </t>
  </si>
  <si>
    <t>I-WB-DNTO-ENB-A001</t>
  </si>
  <si>
    <t xml:space="preserve">BETARUI WEST</t>
  </si>
  <si>
    <t xml:space="preserve">Saifuddin Malik Vill - Betarui PO Asda PS -beld</t>
  </si>
  <si>
    <t>I-WB-DNTO-ENB-G001</t>
  </si>
  <si>
    <t>KHANDURI</t>
  </si>
  <si>
    <t xml:space="preserve">GULJAR KHANVILL-KHANDURIPO-TURKAGOREPS-DANTAND</t>
  </si>
  <si>
    <t>I-WB-DNTO-ENB-I001</t>
  </si>
  <si>
    <t>BABLA</t>
  </si>
  <si>
    <t xml:space="preserve">Vill+P.O- Babla,P.S- Belda,Dist-Midnapore,PIN-721445</t>
  </si>
  <si>
    <t>I-WB-DNTO-ENB-I002</t>
  </si>
  <si>
    <t>NAHANJARA</t>
  </si>
  <si>
    <t xml:space="preserve">Pulin Pradhan nad Atul Pulin Pradhan nad Atul Pradhan,Dag no.- 39, Kh- 19,241,Jl- 293, Mouza-+Vill+P.O- Amdanga, P&gt;S- BelPradhan,Dag no.- 39, Kh- 19,241,Jl- 293, Mouza-+Vill+P.O- Amdanga, P&gt;S- Belda,7</t>
  </si>
  <si>
    <t>I-WB-DNTO-ENB-I003</t>
  </si>
  <si>
    <t>SAURI</t>
  </si>
  <si>
    <t xml:space="preserve">PROVAS MANNA, VILL+PO: SAURI, PS:BELDA,</t>
  </si>
  <si>
    <t>I-WB-DNTO-ENB-I004</t>
  </si>
  <si>
    <t>JAHALDA</t>
  </si>
  <si>
    <t xml:space="preserve">SUBHAS MAITY, SON OF LATE PRASANNA KUMAR MAITY, RESIDING AT VILL &amp; P.O. JAHALDA, P.S. BELDA, PIN NO.721443, DIST . WEST MIDNAPORE, WEST BENGAL, PH: 03220248224</t>
  </si>
  <si>
    <t>I-WB-DNTO-ENB-I005</t>
  </si>
  <si>
    <t>TURKA</t>
  </si>
  <si>
    <t xml:space="preserve">PUSPENDU BIKASH MAITY, 8001861751, V+P:TURKA, PS: DATAN, DIST:PASCHIM MEDINIPRE</t>
  </si>
  <si>
    <t>I-WB-DNTO-ENB-I006</t>
  </si>
  <si>
    <t>SABRABAZAR</t>
  </si>
  <si>
    <t xml:space="preserve">Vill-Sabra Bazar, V+P: Sabra, PS: Belda, Dist: Paschim Medinipur</t>
  </si>
  <si>
    <t>I-WB-DNTO-ENB-I007</t>
  </si>
  <si>
    <t>KESHRAMBA</t>
  </si>
  <si>
    <t xml:space="preserve">KESHRAMBA, DATAN</t>
  </si>
  <si>
    <t>I-WB-DNTO-ENB-V001</t>
  </si>
  <si>
    <t>Jhankapur</t>
  </si>
  <si>
    <t xml:space="preserve">Khatian No -482/1&amp;428/1, Plot No - 1301, J.L No -228,Mouza -Jankapur,within Jankapur No.2 Gram Panchayet,Situated at Vill.- Jankapur, P.O- Jankapur,P.S -Dantan, Distt - Midnapore (W), Pin - 721435</t>
  </si>
  <si>
    <t>I-WB-JAAK-AG1-6000</t>
  </si>
  <si>
    <t>I-WB-JAAK-ENB-9002</t>
  </si>
  <si>
    <t>TILDAGUNJA</t>
  </si>
  <si>
    <t xml:space="preserve">SITESH DAS, S/O- RAMPADA DAS, VILL-TILDAGUNJA, P.O- JALCHAWK, PS- PINGLA, DIST.- PASCHIM MEDINIPUR, PIN-721155,MOB-9775575544</t>
  </si>
  <si>
    <t xml:space="preserve">BM need</t>
  </si>
  <si>
    <t>I-WB-KCFZ-ENB-I001</t>
  </si>
  <si>
    <t>KULDAWADA</t>
  </si>
  <si>
    <t xml:space="preserve">KULDAWADA, PINGLA</t>
  </si>
  <si>
    <t xml:space="preserve">NOTON MANNA</t>
  </si>
  <si>
    <t>I-WB-KESP-ENB-9073</t>
  </si>
  <si>
    <t>CHEKKHANJARI</t>
  </si>
  <si>
    <t xml:space="preserve">Amit Maity , 6296883045 , Vill-Chekkhanjari, Po- Jhikuria, Ps-Debra, Pin-721156, Dist-Paschim Medinupur</t>
  </si>
  <si>
    <t xml:space="preserve">9 h</t>
  </si>
  <si>
    <t>I-WB-KESP-ENB-I009</t>
  </si>
  <si>
    <t>JHIKURIA</t>
  </si>
  <si>
    <t xml:space="preserve">RAIMONI SOREN, VILL- DIAPUR, P.O-SATYAPUR, P.S- DEBRA, PIN- 721156</t>
  </si>
  <si>
    <t>I-WB-KGPO-ENB-0001</t>
  </si>
  <si>
    <t>BARABETAIA</t>
  </si>
  <si>
    <t xml:space="preserve">Puspa Ghorai-Vill - Madan Mohan,P.O-Changail,P.S-Kharagpur,Dist - West Midnapore - 721301</t>
  </si>
  <si>
    <t xml:space="preserve">SK IBRAHIM ALI</t>
  </si>
  <si>
    <t>I-WB-KGPO-ENB-6000</t>
  </si>
  <si>
    <t>KHARAGPUR-1-4B</t>
  </si>
  <si>
    <t xml:space="preserve">PHATEMA BIBI, MOUZA - BALARAMPUR, JL - 384, KHATIAN NO. 272, PLOT NO. 441, VILL - RAMCHANDRAPUR, PO -  MADPUR, DIST - MIDNAPORE, PIN - 721149</t>
  </si>
  <si>
    <t xml:space="preserve">Chandan Kumar</t>
  </si>
  <si>
    <t xml:space="preserve">not him</t>
  </si>
  <si>
    <t>I-WB-KGPO-ENB-9001</t>
  </si>
  <si>
    <t xml:space="preserve">SITI BATI TAKI</t>
  </si>
  <si>
    <t xml:space="preserve">SANATAN BERA-9800308224,VILL-SITIBATITAKI,P.O-BARBASI,P.S-KGP LOCAL,DIST-WEST MEDINIPORE-721149</t>
  </si>
  <si>
    <t xml:space="preserve">battery change needed</t>
  </si>
  <si>
    <t>I-WB-KGPO-ENB-9002</t>
  </si>
  <si>
    <t>MADPUR</t>
  </si>
  <si>
    <t xml:space="preserve">PALASH CHAKRABORTY-9932138323,VILL &amp; P.O-MADPUR,P.S-KHARAGPUR,DIST-WEST MEDINIPORE-721149</t>
  </si>
  <si>
    <t>I-WB-KGPO-ENB-9003</t>
  </si>
  <si>
    <t>KANTAGERIA</t>
  </si>
  <si>
    <t xml:space="preserve">KRISHNA PRASAD MONDAL-99933590893,VILL-KANTAGERIA,P.O-JAKPUR,P.S-KGP LOCAL,DIST-WEST MEDINIPORE</t>
  </si>
  <si>
    <t>I-WB-KGPO-ENB-9004</t>
  </si>
  <si>
    <t>BALARAMPUR</t>
  </si>
  <si>
    <t xml:space="preserve">BIJAN KUMAR MISHRA-9434169971,VILL &amp; P.O-BELARAMPUR,P.S-KHARAGPUR LOCAL,DIST-WEST MEDINIPORE</t>
  </si>
  <si>
    <t xml:space="preserve">Abhishek Raj</t>
  </si>
  <si>
    <t>I-WB-KGPO-ENB-9006</t>
  </si>
  <si>
    <t>BURAMALA</t>
  </si>
  <si>
    <t xml:space="preserve">TAPAN KUMAR KAJHI-9002497989,VILL-BARO KARANJI,PO-SHYAMCHAK,PS-KHARAGPUR LOCAL,WEST MIDNAPUR.PIN-721301</t>
  </si>
  <si>
    <t>ramesh</t>
  </si>
  <si>
    <t>I-WB-KGPO-ENB-9007</t>
  </si>
  <si>
    <t>CHANGUAL</t>
  </si>
  <si>
    <t xml:space="preserve">RAJKUMAR BID-9126746489,VILL &amp; P.O-CHANGAWADI,P.S-KHARAGPUR,DIST-WEST MEDINIPORE</t>
  </si>
  <si>
    <t>I-WB-KGPO-ENB-9008</t>
  </si>
  <si>
    <t>KALIBERIA</t>
  </si>
  <si>
    <t xml:space="preserve">ASIT SEN - 7076819029, VILL KALIBERIA, PO - SANKOA, P.S - KGP LOCAL, PASCHIM MIDNAPUR,721301</t>
  </si>
  <si>
    <t>I-WB-KGPO-ENB-9009</t>
  </si>
  <si>
    <t>KANCHDIHA</t>
  </si>
  <si>
    <t xml:space="preserve">GANESH PATRA, VILL – KANCHDIHA, PO – KRISHNANAGAR, DIST – PASCHIM MEDINIPUR, PIN – 721149</t>
  </si>
  <si>
    <t>I-WB-KGPO-ENB-9010</t>
  </si>
  <si>
    <t xml:space="preserve">BIMAL KRISHNA(9732740680),VILL  AND  P.O-SULTANPUR,P.S-KHARAGPUR,DIST - WEST MIDNAPORE - 721149</t>
  </si>
  <si>
    <t>I-WB-KGPO-ENB-9012</t>
  </si>
  <si>
    <t xml:space="preserve">MAWA BAZAR</t>
  </si>
  <si>
    <t xml:space="preserve">Anil Parai,Vill-Mawa,Po-Barachu,Ps-Kharagpur(L),Pin-721301?.(Cont-9733233567)</t>
  </si>
  <si>
    <t>I-WB-KGPO-ENB-9022</t>
  </si>
  <si>
    <t>SAORDA</t>
  </si>
  <si>
    <t xml:space="preserve">Debdas Chakraborty -9002232285,Vill-Saorda,P.O-Shyamchak,Kharagpur Local,732101</t>
  </si>
  <si>
    <t xml:space="preserve">DG controller need to change it faulty due to lightaning</t>
  </si>
  <si>
    <t>I-WB-KGPO-ENB-9023</t>
  </si>
  <si>
    <t>KAYTA</t>
  </si>
  <si>
    <t xml:space="preserve">Durgapada Jana-8348827223,Vill-Kayta,P.O-Madanmohanchak,P.S-Kharagpur Local,721166</t>
  </si>
  <si>
    <t xml:space="preserve">0  min</t>
  </si>
  <si>
    <t xml:space="preserve">5 G ODC is installed but 5 yet to install, battery and DG upgrade needed, EB service cable update(16 to 25)</t>
  </si>
  <si>
    <t xml:space="preserve">all sites poor network</t>
  </si>
  <si>
    <t>I-WB-KGPO-ENB-9024</t>
  </si>
  <si>
    <t>KGPO-9024</t>
  </si>
  <si>
    <t xml:space="preserve">VILL-BHANDARIYA  PO-MADPUR  PS-KHARAGPUR DIS-WEST MIDNAPORE PIN-721149  MADPUR</t>
  </si>
  <si>
    <t xml:space="preserve">2 kw</t>
  </si>
  <si>
    <t xml:space="preserve">3  slot available 2 needed. no mppt available so solar is not working</t>
  </si>
  <si>
    <t>I-WB-KGPO-ENB-9025</t>
  </si>
  <si>
    <t>KGPO-9025</t>
  </si>
  <si>
    <t xml:space="preserve">Uttam Bhunia-9733592489,Vill-Kaliara,P.O.-Janardanpur,P.S-Kharagpur Local,721149</t>
  </si>
  <si>
    <t>I-WB-KGPO-ENB-9027</t>
  </si>
  <si>
    <t>KGPO-9027</t>
  </si>
  <si>
    <t xml:space="preserve">Swapan Kumar Sheet-9732843890,Vill-Kanchantala,P.O-Madpur,Kgp Local,</t>
  </si>
  <si>
    <t>I-WB-KGPO-ENB-9029</t>
  </si>
  <si>
    <t>KGPO-9029</t>
  </si>
  <si>
    <t xml:space="preserve">Timir Banerjee, vill+po-Madpur,ps- Kgp(local), pin-721149, dist-West Midnapur 9434454968</t>
  </si>
  <si>
    <t>I-WB-KGPO-ENB-9030</t>
  </si>
  <si>
    <t>KGPO-9030</t>
  </si>
  <si>
    <t xml:space="preserve">Santu Nag -9775138582,Vill-Janardanpur,P.O-Janardanpur,S.O-Madpur,721149</t>
  </si>
  <si>
    <t>I-WB-KGPO-ENB-9031</t>
  </si>
  <si>
    <t>KGPO-9031</t>
  </si>
  <si>
    <t xml:space="preserve">Suvendu Mondal-9434414879,Vill-Chakganesh,P.O-Jakpur,P.S-Kharagpur Local,721301</t>
  </si>
  <si>
    <t>I-WB-KGPO-ENB-9032</t>
  </si>
  <si>
    <t>KGPO-9032</t>
  </si>
  <si>
    <t xml:space="preserve">Sukhen  Bhunia-9647466945,Vill-Sirshi,P.O.-Changual,P.S.-Kharagpur Local,721301</t>
  </si>
  <si>
    <t>I-WB-KGPO-ENB-9035</t>
  </si>
  <si>
    <t>KGPO-9035</t>
  </si>
  <si>
    <t xml:space="preserve">JAYANTA PATRA-9474619442-JAYANTA PATRA, VILL-DUBGOAL, PS- KGP(L), DIST-WEST MIDNAPUR.M-9474619442</t>
  </si>
  <si>
    <t>I-WB-KGPO-ENB-9036</t>
  </si>
  <si>
    <t>KGPO-9036</t>
  </si>
  <si>
    <t xml:space="preserve">KAMAL DOLUI;VILL-SHYAMALPUR;PS- KHARAGPUR;DIST- HOWRAH;PIN-721437; M-8967469576</t>
  </si>
  <si>
    <t>I-WB-KGPO-ENB-9037</t>
  </si>
  <si>
    <t>KGPO-9037</t>
  </si>
  <si>
    <t xml:space="preserve">VILL- ARASHINI, P.O- BALARAMPUR, PS- KHARAGPUR, DIST- PASCHIM MEDINIPUR, PIN- 721301  MADPUR</t>
  </si>
  <si>
    <t>I-WB-KGPO-ENB-9039</t>
  </si>
  <si>
    <t>KGPO-9039</t>
  </si>
  <si>
    <t xml:space="preserve">DILIP Hazra-9547822413-Vill-Talshibramchak,PO-Chakmakrampur,PS-Kharagpur(L),Pin-721149,Dist-Paschim Medinipur</t>
  </si>
  <si>
    <t>I-WB-KGPO-ENB-9040</t>
  </si>
  <si>
    <t>KGPO-9040</t>
  </si>
  <si>
    <t xml:space="preserve">VILL- SAIYED HOSSAIN CHAK, PO- AINTHRAKHI, PS- KHARAGPUR, DIST- WEST MIDNAPORE, PIN- 721301   MADPUR</t>
  </si>
  <si>
    <t xml:space="preserve">controller faulty, LVD card faulty</t>
  </si>
  <si>
    <t xml:space="preserve">1 BM no viibilty </t>
  </si>
  <si>
    <t>I-WB-KGPO-ENB-9041</t>
  </si>
  <si>
    <t>KGPO-9041</t>
  </si>
  <si>
    <t xml:space="preserve">VILL- KALUR CHANK, PO- KEUSI, PS- KGP LOCAL,DIST- WEST MIDNAPORE, PIN- 721126  MADPUR</t>
  </si>
  <si>
    <t xml:space="preserve">LLVD and controller touch screen faulty</t>
  </si>
  <si>
    <t xml:space="preserve">touch screen</t>
  </si>
  <si>
    <t xml:space="preserve">DG over welding required(sanctioned but work haven't started yet)</t>
  </si>
  <si>
    <t>I-WB-KGPO-ENB-9043</t>
  </si>
  <si>
    <t>KGPO-9043</t>
  </si>
  <si>
    <t xml:space="preserve">Somdeb Atta-8900478714,Vill-Warda,P.O.-Tetulmuri,KGP Local,721149</t>
  </si>
  <si>
    <t xml:space="preserve">35 min</t>
  </si>
  <si>
    <t xml:space="preserve">cph high</t>
  </si>
  <si>
    <t>I-WB-KGPO-ENB-A001</t>
  </si>
  <si>
    <t>BARAMPURM_WEST</t>
  </si>
  <si>
    <t xml:space="preserve">Motherchak Naboday Kishalapalya Sangha, Vill- Motherchak, P.O- Bargopalpur, P.S- Kharagpur local, pin-721301, </t>
  </si>
  <si>
    <t>I-WB-KGPO-ENB-B001</t>
  </si>
  <si>
    <t>ROUTMANI</t>
  </si>
  <si>
    <t xml:space="preserve">ROUTMANI, PS: KHARAGPUR(L), DIST: PASCHIM MEDINIPUR</t>
  </si>
  <si>
    <t>I-WB-KGPO-ENB-I001</t>
  </si>
  <si>
    <t>Munibpur</t>
  </si>
  <si>
    <t xml:space="preserve">Paritosh Dey,Dag no-794,Kh-692,Jl-444,Mouza+Vill+P.O- Paparara,P.s- Kharagpur,721149., Conatct no:-9732549856</t>
  </si>
  <si>
    <t>I-WB-KGPO-ENB-I002</t>
  </si>
  <si>
    <t>KULDHIA</t>
  </si>
  <si>
    <t xml:space="preserve">Sasadhar Mukherjee, Vill+P.O- Kuldhia, P.S- Kharagpur, Dist- West Medinipur, 721301</t>
  </si>
  <si>
    <t>I-WB-KGPO-ENB-I004</t>
  </si>
  <si>
    <t>SANKUA</t>
  </si>
  <si>
    <t xml:space="preserve">Dag No-14, Khatian No-136,137, J.L.No- 407, Mouza- Basudebpur, P.S- Kharagpur, Dist- West Midnapore, West Bengal</t>
  </si>
  <si>
    <t>I-WB-KGPO-ENB-I005</t>
  </si>
  <si>
    <t>BARBASI</t>
  </si>
  <si>
    <t xml:space="preserve">BARBASI, KHARAGPUR</t>
  </si>
  <si>
    <t>I-WB-KGPO-ENB-I006</t>
  </si>
  <si>
    <t>KHARIGERIA</t>
  </si>
  <si>
    <t xml:space="preserve">KHARIGERIA, MILITARY ROAD</t>
  </si>
  <si>
    <t>I-WB-KGPO-ENB-I007</t>
  </si>
  <si>
    <t xml:space="preserve">MUKSUDPUR BAZAR</t>
  </si>
  <si>
    <t>I-WB-KGPO-ENB-I008</t>
  </si>
  <si>
    <t>BARGONI</t>
  </si>
  <si>
    <t xml:space="preserve">BARGONI, Kharagpur</t>
  </si>
  <si>
    <t>I-WB-KGPR-AG2-0001</t>
  </si>
  <si>
    <t xml:space="preserve">Kharagpur AG2</t>
  </si>
  <si>
    <t>I-WB-KGPR-ENB-0002</t>
  </si>
  <si>
    <t xml:space="preserve">NIRANJAN BAR</t>
  </si>
  <si>
    <t xml:space="preserve">RABINDRANATH NAYEK-9932954920,NIRANJANBAR,RAKHAJUNGLE,P.S-KGP LOCAL,DIST-WEST MEDINIPORE-721301</t>
  </si>
  <si>
    <t>I-WB-KGPR-ENB-0005</t>
  </si>
  <si>
    <t xml:space="preserve">MALANCHA ROAD</t>
  </si>
  <si>
    <t xml:space="preserve">MATILAL VERMA-9046581859,MALANCHA ROAD,P.O-NIMPURA,P.S-KHARAGPUR,DIST-WEST MEDINIPORE</t>
  </si>
  <si>
    <t xml:space="preserve">Vatan Kumar</t>
  </si>
  <si>
    <t>I-WB-KGPR-ENB-0006</t>
  </si>
  <si>
    <t>SADITPUR</t>
  </si>
  <si>
    <t xml:space="preserve">PARAMJEET SINGH-9474598641,VILL &amp; P.O-NIMPURA,P.S-KHARAGPUR,DIST-WEST MEDINIPORE-721304</t>
  </si>
  <si>
    <t>I-WB-KGPR-ENB-0007</t>
  </si>
  <si>
    <t xml:space="preserve">PANCHBERIA RAHMAN</t>
  </si>
  <si>
    <t xml:space="preserve">TAHIR KHAN-9474446191,PANCHBERIA KAJE MOHALLA,WORD NO-4,PO-INDA,PS-KHARAGPUR,PIN-721305</t>
  </si>
  <si>
    <t>I-WB-KGPR-ENB-0008</t>
  </si>
  <si>
    <t xml:space="preserve">INDA MALI BAGAN</t>
  </si>
  <si>
    <t xml:space="preserve">ABHISHEK BHAGAT-9233360628,INDA(MALIBAGAN),P.O-INDA,P.S-KHARAGPUR TOWN,DIST-WEST MEDINIPORE-721305</t>
  </si>
  <si>
    <t>I-WB-KGPR-ENB-0009</t>
  </si>
  <si>
    <t xml:space="preserve">LIC MORE</t>
  </si>
  <si>
    <t xml:space="preserve">SK JALAL, SK BELAL, SK SALAL-9434259535,PEER BABA TOWER,GT ROAD,NEAR HP PETROL PUMP,KHARAGPUR</t>
  </si>
  <si>
    <t>I-WB-KGPR-ENB-0015</t>
  </si>
  <si>
    <t>TALBAGICHA</t>
  </si>
  <si>
    <t xml:space="preserve">RATAN LAL DAM-9434137808,MOUZA-ANDHARKHALI,JL-146,PLOT-431,VILL &amp; P.O-TALBAGICHA,P.S-KHARAGPUR TOWN,DIST-WEST MEDINIPORE</t>
  </si>
  <si>
    <t>I-WB-KGPR-ENB-0018</t>
  </si>
  <si>
    <t xml:space="preserve">BARA AYMA</t>
  </si>
  <si>
    <t xml:space="preserve">SUDHIR CHANDRA DEY-9775576925,BARA AYNA,WARD NO-31,P.O-NIMPURA,P.S-KHARAGPUR TOWN,DIST-WEST MEDINIPORE-721304</t>
  </si>
  <si>
    <t>I-WB-KGPR-ENB-0033</t>
  </si>
  <si>
    <t>BULBULCHOTI</t>
  </si>
  <si>
    <t xml:space="preserve">UTPAL CHAKRABORTY,VILL-MIRPUR,HARSABARDAN LANE,PO-BULBULCHOTI,NEAR HP GAS GODAOWN,PS-KHARAGPUR LOCAL,PIN-721301.</t>
  </si>
  <si>
    <t>I-WB-KGPR-ENB-0037</t>
  </si>
  <si>
    <t>KIDDERPUR</t>
  </si>
  <si>
    <t xml:space="preserve">SWAPAN KUILA,MOB:9002200464, KIDDERPORE, PO : NIMPURA, PS : KHARAGPUR LOCAL, WARD NO 10 WEST MIDNAPORE</t>
  </si>
  <si>
    <t>I-WB-KGPR-ENB-0045</t>
  </si>
  <si>
    <t>KGPR-0045</t>
  </si>
  <si>
    <t xml:space="preserve">VILL + P.O- JHAPETAPUR NEAR NCC OFFICE, P.S- KHARAGPUR, DIST- WEST MIDNAPUR, PIN-721301   KHARAGPUR, 8670728416</t>
  </si>
  <si>
    <t>I-WB-KGPR-ENB-0058</t>
  </si>
  <si>
    <t>KGPR-0058</t>
  </si>
  <si>
    <t xml:space="preserve">Near B.R Nagar Puri Gate</t>
  </si>
  <si>
    <t>I-WB-KGPR-ENB-0061</t>
  </si>
  <si>
    <t>KGPR-0061</t>
  </si>
  <si>
    <t xml:space="preserve">KURBAN ALI &amp; AHMED ALI-9333411157-VIDYASAGARPUR, KHORAJPUR , DIST- WEST MIDPANUR , PIN-721305</t>
  </si>
  <si>
    <t>I-WB-KGPR-ENB-0067</t>
  </si>
  <si>
    <t>PANCHBERIA</t>
  </si>
  <si>
    <t xml:space="preserve">Sk NOWSAD, 9832713602, VI-PANCHBERIA, W O- 04,  PO+PS-KHARAGPUR(TOWN), DIST-PASCHIM MEDINIPUR, PIN-721305</t>
  </si>
  <si>
    <t>I-WB-KGPR-ENB-0086</t>
  </si>
  <si>
    <t>KGPR-0086</t>
  </si>
  <si>
    <t xml:space="preserve">Santanu das-9734429216,saratpally,japhala rd,Dist-Paschim Medinipur,Pin-721301</t>
  </si>
  <si>
    <t>I-WB-KGPR-ENB-0093</t>
  </si>
  <si>
    <t>KGPR-0093</t>
  </si>
  <si>
    <t xml:space="preserve">Saradapalli Kalyan Samiti,vill-Saradapalli,po+ps-Kgp town,ward no-5, west Midnapur,pin-721301, m-9749141730</t>
  </si>
  <si>
    <t>I-WB-KGPR-ENB-0105</t>
  </si>
  <si>
    <t>I-WB-KGPR-ENB-6000</t>
  </si>
  <si>
    <t>RAYANDIHI</t>
  </si>
  <si>
    <t xml:space="preserve"> DAG NO 378 KHATIAN NO 337 JL NO 331 VILL ELASI RAYANDIHI PO BENAPUR DIST WEST MIDNAPORE PIN 721301 </t>
  </si>
  <si>
    <t>I-WB-KGPR-ENB-6002</t>
  </si>
  <si>
    <t xml:space="preserve"> MANDIRTALA KHARIDA BAZAAR KHARAGPUR 721301 </t>
  </si>
  <si>
    <t>I-WB-KGPR-ENB-6003</t>
  </si>
  <si>
    <t>JHULI</t>
  </si>
  <si>
    <t xml:space="preserve"> MRS SEEMA CHATTERJEE MOUZA SONAMUKHI KHATIYAN 175 DAG 188 </t>
  </si>
  <si>
    <t>I-WB-KGPR-ENB-6005</t>
  </si>
  <si>
    <t>MANGALIKI</t>
  </si>
  <si>
    <t xml:space="preserve"> HOUSE OF SUBHASISH DAM MANGALIKI KAUSHALYA MORE KHARAGPUR 721301 DIST MIDNAPORE W PIN 721305 </t>
  </si>
  <si>
    <t>I-WB-KGPR-ENB-6006</t>
  </si>
  <si>
    <t>INDA</t>
  </si>
  <si>
    <t xml:space="preserve">PLOT OF SH. SHIVAJI ROY , WARD NO. -4 , BIDYASAGAR PALLY , NEAR TIRBABA , INDA ,PIN - 721301</t>
  </si>
  <si>
    <t>I-WB-KGPR-ENB-6007</t>
  </si>
  <si>
    <t>HIJLI</t>
  </si>
  <si>
    <t xml:space="preserve"> MRS GEETA RANI DEY C O DEEPAK DEY TULUPARA P O HIJLI P S KHARAGPUR MAIN DIST EAST MIDNAPUR </t>
  </si>
  <si>
    <t>I-WB-KGPR-ENB-6008</t>
  </si>
  <si>
    <t>MALANCHA</t>
  </si>
  <si>
    <t xml:space="preserve">PLOT OF RAJEN SHUKLA,MALANCHA RD,PO+PS-KHARAGPUR,DIST-MIDNAPORE,PLOT NO.-863,KHATIAN NO.-451,HOLDING NO.-335/278,WARD NO.-15,MOUZA-KHARAGPUR KHASJUNGLE,PIN-721141</t>
  </si>
  <si>
    <t>I-WB-KGPR-ENB-6009</t>
  </si>
  <si>
    <t>SALUA</t>
  </si>
  <si>
    <t xml:space="preserve"> PLOT OF SUNIL DUTTA MOUZA GOPALI JL NO 260 KHATIYAN NO 391 THANA KHARAGPUR TOUZI NO 10 DIST EAST MIDNAPORE PIN 721145 </t>
  </si>
  <si>
    <t>I-WB-KGPR-ENB-6010</t>
  </si>
  <si>
    <t xml:space="preserve">MOUZA - NARASINGHAPUR, PLOT NO. 61, JL NO. 353, KHATIAN NO. 229/1, PS - KHARAGPUR, VILL - KHARIGERIA, PO - TENTULMURI, DIST - WEST MIDNAPORE, PIN - 721437</t>
  </si>
  <si>
    <t>I-WB-KGPR-ENB-6011</t>
  </si>
  <si>
    <t>KHARAGPUR_MCN</t>
  </si>
  <si>
    <t xml:space="preserve">VILLAGE BARKOLA, PO MATKATPUR,PS KHARAGPUR,DISTT. MIDNAPUR,</t>
  </si>
  <si>
    <t>I-WB-KGPR-ENB-9004</t>
  </si>
  <si>
    <t>AJABGAR</t>
  </si>
  <si>
    <t xml:space="preserve">SUDIPTA MANNA-9933589209,VILL-AJABGARH,P.O-SAMRAIPUR,P.S-KGP LOCAL,DIST-WEST MEDINIPORE</t>
  </si>
  <si>
    <t>I-WB-KGPR-ENB-9006</t>
  </si>
  <si>
    <t xml:space="preserve">DEAN MARO</t>
  </si>
  <si>
    <t xml:space="preserve">AJIT SINGH-9647464002,NEAR RAILWAY LINE CHURCH,NIMPURA,P.S-KHARAGPUR,DIST-WEST MEDINIPORE</t>
  </si>
  <si>
    <t>I-WB-KGPR-ENB-9007</t>
  </si>
  <si>
    <t>JAPHALA</t>
  </si>
  <si>
    <t xml:space="preserve">SIBAPRASAD MAITY-9434930002,INDA,P.O-INDA,P.S-KGP LOCAL,DIST-WEST MEDINIPORE</t>
  </si>
  <si>
    <t>I-WB-KGPR-ENB-9008</t>
  </si>
  <si>
    <t>RUPNARAYANPUR</t>
  </si>
  <si>
    <t xml:space="preserve">RAMGOPAL PRATIHAR-9233716170,VILL-RUPNARAYANPUR,P.O-JAKPUR,P.S-K.G.P KOCAL,DIST-WEST MEDINIPORE</t>
  </si>
  <si>
    <t>I-WB-KGPR-ENB-9010</t>
  </si>
  <si>
    <t>JOTIA</t>
  </si>
  <si>
    <t xml:space="preserve">KSHITISH CHANDRA MAHATO-9932900795,VILL-JIHATIA,P.O-KHAMASULI,P.S-KGP LOCAL,DIST-WEST MEDINIPORE-721513</t>
  </si>
  <si>
    <t>I-WB-KGPR-ENB-9011</t>
  </si>
  <si>
    <t xml:space="preserve">KASIM MULLICK - 9647301258,VILL- RUPNARAYANPUR, PO: JAKPUR, PS KHARAGPUR LOCAL, WEST MIDNAPUR-721301</t>
  </si>
  <si>
    <t>I-WB-KGPR-ENB-9017</t>
  </si>
  <si>
    <t>KGPR-9017</t>
  </si>
  <si>
    <t xml:space="preserve">BELNH60NEAR MAKRAMPUR, P.S- KHARAGPUR, DIST- WEST MIDNAPUR, PIN- 721437   KHARAGPUR</t>
  </si>
  <si>
    <t>I-WB-KGPR-ENB-9022</t>
  </si>
  <si>
    <t xml:space="preserve">PORIA PARA</t>
  </si>
  <si>
    <t xml:space="preserve">Asim Poria,8972881022,Talbagicha(Poria Para),P.O-Salua, Dist-Paschim Medinipur,P.S.-Kharagpur Local,721145</t>
  </si>
  <si>
    <t>I-WB-KGPR-ENB-9023</t>
  </si>
  <si>
    <t>SHYAMESWARPUR</t>
  </si>
  <si>
    <t xml:space="preserve">Khitendra  Narayan Sarkar-9091158138.Shyameswarpur,Hiradihi</t>
  </si>
  <si>
    <t>I-WB-KGPR-ENB-9025</t>
  </si>
  <si>
    <t>GOKULPUR</t>
  </si>
  <si>
    <t xml:space="preserve">KAMAL KANTA MAITY, 9734364074, VILLAGE-G0kulpur, P.O- Samraipur, P.S: Kharagpur(L), Disr: Paschim Medinipur, Pin:721301</t>
  </si>
  <si>
    <t>I-WB-KGPR-ENB-9031</t>
  </si>
  <si>
    <t>KESHIASOLE</t>
  </si>
  <si>
    <t xml:space="preserve">LAXMI LAL-9933115680-VILL-KESHIASOLE,PO-HIRADIHI,PS-KGP(LOCAL),PIN-721301</t>
  </si>
  <si>
    <t>I-WB-KGPR-ENB-9034</t>
  </si>
  <si>
    <t>SUBHASPALLY</t>
  </si>
  <si>
    <t>Subhaspally,Padampukur,Kharagpur</t>
  </si>
  <si>
    <t>I-WB-KGPR-ENB-9035</t>
  </si>
  <si>
    <t>KGPR-9035</t>
  </si>
  <si>
    <t xml:space="preserve">VILL-BALIGARIYANH 60 NEAR MAKRAMPUR, P.O+P.S-KHARAGPUR, DIST-WEST MIDNAPUR,PIN-721437   KHARAGPUR</t>
  </si>
  <si>
    <t>I-WB-KGPR-ENB-9036</t>
  </si>
  <si>
    <t xml:space="preserve">AMBA PURBA</t>
  </si>
  <si>
    <t xml:space="preserve">SK.Moidul Ali, S/O-Yousuf Ali, Vill-Amba purba,PO-Samraipur,Kalaikunda 4no(GP),Pin-721301(Cont no-9126228144)</t>
  </si>
  <si>
    <t>I-WB-KGPR-ENB-9042</t>
  </si>
  <si>
    <t>KGPR-9042</t>
  </si>
  <si>
    <t xml:space="preserve">Biswanath Pramanik,Hariatara,Kgp local,721304,8016616750</t>
  </si>
  <si>
    <t>I-WB-KGPR-ENB-9043</t>
  </si>
  <si>
    <t>KGPR-9043</t>
  </si>
  <si>
    <t xml:space="preserve">Biswanath Singh-9800092907,Vill+P.O-Dimoli,P.S-Kgp Local</t>
  </si>
  <si>
    <t>I-WB-KGPR-ENB-9044</t>
  </si>
  <si>
    <t>RAKHALGERIA</t>
  </si>
  <si>
    <t xml:space="preserve">Siddheswar Roy -9732651577,Vill-Rakhalgeria,P.O-Rangametia,P.S.-Kharagpur Local,721145</t>
  </si>
  <si>
    <t>I-WB-KGPR-ENB-9045</t>
  </si>
  <si>
    <t>VETIA</t>
  </si>
  <si>
    <t xml:space="preserve">Somendra nath Hati-9547435699,Vill-Vetia,P.O-Dimoli,P.S-Kharagpur Local,721145</t>
  </si>
  <si>
    <t>I-WB-KGPR-ENB-9049</t>
  </si>
  <si>
    <t>MOBARAKCHAK</t>
  </si>
  <si>
    <t xml:space="preserve">Khagendranath Ghosh-9932632227,Vill-Mobarakchak,P.O.-Matkatpur,P.S-Kharagpur Local,721305</t>
  </si>
  <si>
    <t>I-WB-KGPR-ENB-9051</t>
  </si>
  <si>
    <t>KGPR-9051</t>
  </si>
  <si>
    <t xml:space="preserve">Dhiren  Mahato-9732735107,Khemasuli,P.S.-Kharagpur Local,Dist-West Medinipur,721513</t>
  </si>
  <si>
    <t>I-WB-KGPR-ENB-9052</t>
  </si>
  <si>
    <t>KGPR-9052</t>
  </si>
  <si>
    <t xml:space="preserve">Jiten Mishra-9932658507,Vill-Basantapur,P.O-samraipur,Kharagpur Local,721301</t>
  </si>
  <si>
    <t>I-WB-KGPR-ENB-9054</t>
  </si>
  <si>
    <t>KGPR-9054</t>
  </si>
  <si>
    <t xml:space="preserve">Kalu Mallick-9733205906-Vill-Satkui,Po-Matkatpur,ps-Kotwali,Pin-721101</t>
  </si>
  <si>
    <t>I-WB-KGPR-ENB-9057</t>
  </si>
  <si>
    <t>KGPR-9057</t>
  </si>
  <si>
    <t xml:space="preserve">Tarapada mahata,vill Porapara,po salua, Dist WEST Midnapur, pin 721145, 9732868909</t>
  </si>
  <si>
    <t>I-WB-KGPR-ENB-9058</t>
  </si>
  <si>
    <t>KGPR-9058</t>
  </si>
  <si>
    <t xml:space="preserve">NIMAI KUNDU, 9732627128, 8016828401, VI-PARAN NAGAR, PO-BENAPORE, PS-KHARAGPUR(L), DIST-PASCHIM MEDINIPUR, PIN-721301</t>
  </si>
  <si>
    <t>I-WB-KGPR-ENB-9060</t>
  </si>
  <si>
    <t>KGPR-9060</t>
  </si>
  <si>
    <t xml:space="preserve">VILL-PALJHARI,PO-SALUA,PS-KHARAGPUR LOCAL,DIST-WEST MIDNAPUR,PIN-721304  KHARAGPUR</t>
  </si>
  <si>
    <t>I-WB-KGPR-ENB-9061</t>
  </si>
  <si>
    <t>KGPR-9061</t>
  </si>
  <si>
    <t xml:space="preserve">VILL- GOMNASOLE, PO- DIMOLI, PS- KHARAGPUR, DIST- PASCHIM MEDINIPUR, PIN- 721304  KHARAGPUR</t>
  </si>
  <si>
    <t>I-WB-KGPR-ENB-9064</t>
  </si>
  <si>
    <t>KGPR-9064</t>
  </si>
  <si>
    <t xml:space="preserve">Surajit Mondal, vill Amba, Ps Kgp local, Dist West Midnapur,pin 721801, m 8436900109</t>
  </si>
  <si>
    <t>I-WB-KGPR-ENB-9067</t>
  </si>
  <si>
    <t>KGPR-9067</t>
  </si>
  <si>
    <t xml:space="preserve">Debabrata Ghosh-9126875704-Vill- leluakhola,po- Samraipur, Dist- west midnapur,pin-721301</t>
  </si>
  <si>
    <t>I-WB-KGPR-ENB-9071</t>
  </si>
  <si>
    <t>KGPR-9071</t>
  </si>
  <si>
    <t xml:space="preserve">VILL- CHANDAVILLA, P.O- PRATTAPPUR, P.S- KGP(KHARAGP LOCAL, DIST- WEST MIDNAPORE, PIN-721301  KHARAGPUR</t>
  </si>
  <si>
    <t>I-WB-KGPR-ENB-9072</t>
  </si>
  <si>
    <t>COW-0024</t>
  </si>
  <si>
    <t xml:space="preserve">RESHMI METALIKS-9800362646-NH - 6 ,Vill - Gokulpur,P.O - Shyamraipur, Kharagpur, Dist - PaschimMedinipur,Near Star Hotel, Pin - 721304</t>
  </si>
  <si>
    <t>I-WB-KGPR-ENB-9074</t>
  </si>
  <si>
    <t>I-WB-KGPR-ENB-9075</t>
  </si>
  <si>
    <t>NARAYANPUR</t>
  </si>
  <si>
    <t xml:space="preserve">Sk Dilbar and Sk Munna Ali - 7478058001 - Vill- Nrayanpur,po-Pratappur,pin-721301, ps- Kharagpur(L)</t>
  </si>
  <si>
    <t>I-WB-KGPR-ENB-9076</t>
  </si>
  <si>
    <t xml:space="preserve">Sujan Roy-8116736413-Vill-jinsar,p.o-matkatpur,p.s-kgp(L),w.m,721305</t>
  </si>
  <si>
    <t>I-WB-KGPR-ENB-9079</t>
  </si>
  <si>
    <t>I-WB-KGPR-ENB-A001</t>
  </si>
  <si>
    <t xml:space="preserve">MALLANCHA ROAD</t>
  </si>
  <si>
    <t xml:space="preserve">R.LAKSHMI, W/O- R. BABURAO, MALLANCHA ROAD, KHARAGPUR, PIN CODE-721304. PH NO- 9474622210</t>
  </si>
  <si>
    <t>I-WB-KGPR-ENB-A003</t>
  </si>
  <si>
    <t xml:space="preserve">Mr. Soumitra Banerjee Ph No.9933025513C/O Soumitra Banerjee, Subhaspally, Near Arabinda Club, Giri Maidan , Dist : West Midnapur Pin 721301</t>
  </si>
  <si>
    <t>I-WB-KGPR-ENB-B001</t>
  </si>
  <si>
    <t xml:space="preserve">RSU KHARAGPUR</t>
  </si>
  <si>
    <t xml:space="preserve">BOGDA, NEAR KHARAGPUR RAILWAY STATION, PO: KHARAGPUR, PS: KHARAGPUR TOWN, DIST-WEST MEDINIPUR.</t>
  </si>
  <si>
    <t>I-WB-KGPR-ENB-B003</t>
  </si>
  <si>
    <t xml:space="preserve">HIZLI EXCHANGE</t>
  </si>
  <si>
    <t xml:space="preserve">HIZLI TELEPHONE EXCHANGE, PH-9434705805, PO-HIZLI, PS-KHARAGPUR, DIST-WEST MEDINIPUR.</t>
  </si>
  <si>
    <t>I-WB-KGPR-ENB-B004</t>
  </si>
  <si>
    <t xml:space="preserve">RATAN SINGH, CHANGUAL, KHARAGPUR</t>
  </si>
  <si>
    <t>I-WB-KGPR-ENB-B005</t>
  </si>
  <si>
    <t>KHELAR</t>
  </si>
  <si>
    <t xml:space="preserve">Satkui, Khargapur</t>
  </si>
  <si>
    <t>I-WB-KGPR-ENB-B006</t>
  </si>
  <si>
    <t xml:space="preserve">BSNL HOUSING</t>
  </si>
  <si>
    <t xml:space="preserve">TELECOM QUATER FACTORY, RAKHA JUNGLE...</t>
  </si>
  <si>
    <t>I-WB-KGPR-ENB-B008</t>
  </si>
  <si>
    <t>NIMPURA</t>
  </si>
  <si>
    <t xml:space="preserve">Nimpura Telecom Factory</t>
  </si>
  <si>
    <t>I-WB-KGPR-ENB-G001</t>
  </si>
  <si>
    <t>SUKANTAPALLY</t>
  </si>
  <si>
    <t xml:space="preserve">K SUDHAKARAN, SUKANTO PALLY,MALANCHA ROAD,WARD NO-20,KHARAGPUR.</t>
  </si>
  <si>
    <t>I-WB-KGPR-ENB-G002</t>
  </si>
  <si>
    <t>AMARBATI</t>
  </si>
  <si>
    <t xml:space="preserve">SWAPAN SAHA, ARAMBATI, PO- NIMPURA, PS-KHARAGPUR TOWN, DIST- WEST MIDNAPORE</t>
  </si>
  <si>
    <t>I-WB-KGPR-ENB-G003</t>
  </si>
  <si>
    <t>Chotaaima</t>
  </si>
  <si>
    <t xml:space="preserve">SATYA DEO SHARMA, KHARIDABAZAR, KHARAGPUR,</t>
  </si>
  <si>
    <t>I-WB-KGPR-ENB-G004</t>
  </si>
  <si>
    <t>PURATANBAZAR</t>
  </si>
  <si>
    <t xml:space="preserve">DR. Tapan Kr. Pradan, 9434589153, PO+PS:Kharagpur(L)</t>
  </si>
  <si>
    <t>I-WB-KGPR-ENB-G005</t>
  </si>
  <si>
    <t>NILKUTHIPARA</t>
  </si>
  <si>
    <t xml:space="preserve">Abdul Rahim Mallick-8972771929</t>
  </si>
  <si>
    <t>I-WB-KGPR-ENB-G007</t>
  </si>
  <si>
    <t xml:space="preserve">NEAR GIRIMAIDAN</t>
  </si>
  <si>
    <t>I-WB-KGPR-ENB-I001</t>
  </si>
  <si>
    <t>HIJLI-2</t>
  </si>
  <si>
    <t xml:space="preserve">SANTOSH RAUTH,DAG NO:-222,MOUZA+VILL GHAGRA,P.O- SASAITY,P.S- KHARAGPUR, CONTACT NO:-9933963400 </t>
  </si>
  <si>
    <t>I-WB-KGPR-ENB-I002</t>
  </si>
  <si>
    <t>EKHPKHARPR351</t>
  </si>
  <si>
    <t xml:space="preserve">CHHAYA RANI ROY, VILL+PO- KOUSALLA, PS- KHARAGPUR, DIST- E. MIDNAPORE, 9932937102</t>
  </si>
  <si>
    <t>I-WB-KGPR-ENB-I003</t>
  </si>
  <si>
    <t>KALAIKUNDA</t>
  </si>
  <si>
    <t xml:space="preserve">KALAIKUNA CHAKRABONI, KHARAGPUR, WEST MIDNAPUR</t>
  </si>
  <si>
    <t>I-WB-KGPR-ENB-I004</t>
  </si>
  <si>
    <t>MAHASHAYPUR</t>
  </si>
  <si>
    <t xml:space="preserve">Anil Pal Mal,Dag no:-125,126,Kh-02,Mouza+Villl- Mahasaypur,P.O- Amdai,P.s- Kharagpur Local,721513, Contact no:-9647005453 null</t>
  </si>
  <si>
    <t>I-WB-KGPR-ENB-I005</t>
  </si>
  <si>
    <t xml:space="preserve">KHELAR GAJENDRA HIGH SCHOOL, DAG NO- 540/2392, KH- 150, JL- 342, VILL+ MOUZA- KHELAR, P.O- BONPATRA, P.S- KHARAGPUR, PIN- 721301, 9474449321/03222295333</t>
  </si>
  <si>
    <t>I-WB-KGPR-ENB-I006</t>
  </si>
  <si>
    <t>BARAKOLA</t>
  </si>
  <si>
    <t xml:space="preserve">Biplab Bisai, Dag no:-2051,Kh-329,Jl-199,Mouza-+Vill+P.O-Barkhola,P.s- Kharagpur,721301</t>
  </si>
  <si>
    <t>I-WB-KGPR-ENB-I007</t>
  </si>
  <si>
    <t>TALBAGHI</t>
  </si>
  <si>
    <t xml:space="preserve">Vill+Po-Talbaghi,Ps-kharagpur, PIN-721306</t>
  </si>
  <si>
    <t>I-WB-KGPR-ENB-I009</t>
  </si>
  <si>
    <t>UTTARABALI</t>
  </si>
  <si>
    <t xml:space="preserve">Gouribala Mondal,vill-uttarabali, p.o-salwa, p.s-kharagpur, pin-721145, phone no - 9733893060</t>
  </si>
  <si>
    <t>I-WB-KGPR-ENB-I010</t>
  </si>
  <si>
    <t>KHATNAGAR</t>
  </si>
  <si>
    <t xml:space="preserve">Gouranga Kishor Das,Vill: Khatnagar, P.O: Khatnagar, P.S:Belda, District: West Medinipur, PIN: 721451, Ph No:9474895479</t>
  </si>
  <si>
    <t>I-WB-KGPR-ENB-I011</t>
  </si>
  <si>
    <t xml:space="preserve">GHOL GHARIA</t>
  </si>
  <si>
    <t xml:space="preserve">GOLGERIA, BENAPUR, 9434357999</t>
  </si>
  <si>
    <t>I-WB-KGPR-ENB-I012</t>
  </si>
  <si>
    <t>SALUA-2</t>
  </si>
  <si>
    <t xml:space="preserve">MANOJ KARAN,  VILL- KANTHRA, P.O.- SALUA, P.S.- KHARAGPUR LOCAL, DIST -  WEST MIDNAPORE, PIN- 721145, PH 9733794064</t>
  </si>
  <si>
    <t>I-WB-KGPR-ENB-I013</t>
  </si>
  <si>
    <t>KAJLA</t>
  </si>
  <si>
    <t xml:space="preserve">DINESH CHNADRA GHOSH,DAG NO.-462,KH-116,JL-363,MOUZA+VILL+P.O-KAJLA, P.S- KHARAGPUR , DIST - WEST MIDNAPORE, PIN- 721301, CONTACT NO- 9733706867</t>
  </si>
  <si>
    <t>I-WB-KGPR-ENB-I014</t>
  </si>
  <si>
    <t>EKHPKHARPR271</t>
  </si>
  <si>
    <t>Mr.LaxmikantPandit,Village&amp;PO.Kausula,PS.KharagpurTown,Distt.WestMidnapore,PhNo.9733806922</t>
  </si>
  <si>
    <t>I-WB-KGPR-ENB-I016</t>
  </si>
  <si>
    <t xml:space="preserve">DINESHNAGAR, MALANCHA, KHARAGPUR TOWN,DIST-WEST MIDNAPUR,PIN-721306  KHARAGPUR</t>
  </si>
  <si>
    <t>I-WB-KGPR-ENB-I017</t>
  </si>
  <si>
    <t xml:space="preserve">IIT LBS HOSTEL</t>
  </si>
  <si>
    <t>I-WB-KGPR-ENB-I018</t>
  </si>
  <si>
    <t xml:space="preserve">KHARAGPUR IIT</t>
  </si>
  <si>
    <t>I-WB-KGPR-ENB-I019</t>
  </si>
  <si>
    <t>KGPR-I019</t>
  </si>
  <si>
    <t>I-WB-KGPR-ENB-RT01</t>
  </si>
  <si>
    <t xml:space="preserve">KHARAGPUR STN</t>
  </si>
  <si>
    <t xml:space="preserve">Kharagpur Stn.</t>
  </si>
  <si>
    <t>I-WB-KGPR-ENB-RT02</t>
  </si>
  <si>
    <t xml:space="preserve">KHARAGPUR MW BUILDING</t>
  </si>
  <si>
    <t xml:space="preserve">KHARAGPUR MW BUILDINGNEAR FIRE BRIGADEKHARAGPURPASCHIM MIDNAPURWB 721301</t>
  </si>
  <si>
    <t>I-WB-KGPR-ENB-RT03</t>
  </si>
  <si>
    <t xml:space="preserve">Kharagpur DRM Building</t>
  </si>
  <si>
    <t xml:space="preserve">KHARAGPUR DRM OFFICE,P.O+P.S-KHARAGPUR,DIST-WEST MIDNAPUR,PIN-721301  KHARAGPUR</t>
  </si>
  <si>
    <t>I-WB-KGPR-ENB-V001</t>
  </si>
  <si>
    <t>JHAPTAPUR</t>
  </si>
  <si>
    <t xml:space="preserve">VILL: JHAPETAPUR,DURGA MANDIR,P.O+P.S:-KHARAGPUR721159</t>
  </si>
  <si>
    <t>I-WB-KGPR-ENB-V002</t>
  </si>
  <si>
    <t xml:space="preserve">KHARAGPUR MAYAPUR</t>
  </si>
  <si>
    <t>VILL:-MAYAPUR,P.S:-TALBAGICHA,P.S:-KHARAGPUR(LOCAL),PIN-721306721306</t>
  </si>
  <si>
    <t>I-WB-KGPR-ENB-V003</t>
  </si>
  <si>
    <t xml:space="preserve">PREM BAZAR KHARAGPUR</t>
  </si>
  <si>
    <t xml:space="preserve">MR.SHAYMAL SAHA, PREMBAZAR KHARAGPUR TOWN, DIST: WEST MIDNAPUR- PH: 9732987912721306</t>
  </si>
  <si>
    <t>I-WB-KGPR-ENB-V004</t>
  </si>
  <si>
    <t>E_WB_231_35_SHALIKHA</t>
  </si>
  <si>
    <t xml:space="preserve">VILL. – SHALIKHA, P.O. – HARIATARA, P.S. – KHARAGPUR LOCAL, DIST. – MIDNAPUR(W), PIN. – 721304, MOUZA – SHALIKHA721304</t>
  </si>
  <si>
    <t>I-WB-KGPR-ENB-V005</t>
  </si>
  <si>
    <t xml:space="preserve">KHARAGPUR RLY. SETTLEMENT (CT)_CHOTA TANGRA ROAD</t>
  </si>
  <si>
    <t xml:space="preserve">BANKU BEHARI DAS (9851025302),VILL. - TALJURI, P.S.+P.O - KHARAGPUR, DIST. - MIDNAPUR(W), PIN. - 721301721301</t>
  </si>
  <si>
    <t>I-WB-KGPR-ENB-V006</t>
  </si>
  <si>
    <t xml:space="preserve">GOLE BAZAR</t>
  </si>
  <si>
    <t xml:space="preserve">1)ASISH RANJAN, 2) RUPAM PRASAD, 9434013710ASISH RANJAN, RUPAM PRASAD. MOUZA-KHARAGPUR KHAS JUNGLE, JLNO-142, KHATIANNO-674,675,7 76, RS PLOTNO-1376,1381,1382, UNDEAR KHARAGPUR MUNICIPALITY, WORD NO-14, HOLDING NO-378/339 &amp; 178/A/339721301</t>
  </si>
  <si>
    <t>I-WB-KGPR-ENB-V007</t>
  </si>
  <si>
    <t>DEBALPUR</t>
  </si>
  <si>
    <t xml:space="preserve">DAG NO-450 ,KHATIAN NO-299 ,JL NO-190 ,MOUZA-DEBALPUR WITHIN KHARAGPUR MUNISIPALITY  ,MIDNAPUR WEST PIN-721301 ,WEST BENGAL </t>
  </si>
  <si>
    <t>I-WB-KGPR-ENB-V008</t>
  </si>
  <si>
    <t>KHARAGPUR_003(MALLANCHA)</t>
  </si>
  <si>
    <t xml:space="preserve">MR.ASHIM KUMAR ROY,BEHIND MILAN CINEMA,OLD KHARIDA POST OFFICE BLDG,KHARAGPUR - 721301.PH:03222-253131721301</t>
  </si>
  <si>
    <t>I-WB-KGPR-ENB-V009</t>
  </si>
  <si>
    <t>NIMPUR</t>
  </si>
  <si>
    <t xml:space="preserve">Vill- Deewan Maro,PO- Nimpura PS- Kharagpur Twon, Dist- Midnapur, Pin- 721304 null</t>
  </si>
  <si>
    <t>I-WB-KGPR-ENB-V010</t>
  </si>
  <si>
    <t xml:space="preserve">KHARAGPUR RAJPURACHANDIPUR</t>
  </si>
  <si>
    <t xml:space="preserve">VILL- RAJPURA,PO- RAKHAJANGAL, P.S-KHARAGPUR LOCAL, DIST -WEST MEDINIPUR,PIN 721301</t>
  </si>
  <si>
    <t>I-WB-KGPR-ENB-V011</t>
  </si>
  <si>
    <t>TATAMETTALIC</t>
  </si>
  <si>
    <t xml:space="preserve">Vill: Mahespur, Near TATA Metallics, PS: Kharagpur Local pin-721301</t>
  </si>
  <si>
    <t>I-WB-KGPR-ENB-V012</t>
  </si>
  <si>
    <t xml:space="preserve">E WB 427 116 UTTAR SIMLA</t>
  </si>
  <si>
    <t xml:space="preserve">VILL-UTTAR SIMLA,PO-KRISHNANAGAR,PS-KAARGAPUR LOCAL,DIST-PASCHIM MIDNAPUR,PIN-721149</t>
  </si>
  <si>
    <t>I-WB-KGPR-ENB-V013</t>
  </si>
  <si>
    <t xml:space="preserve">Talbagicha Bazar, Kharagpur</t>
  </si>
  <si>
    <t>I-WB-KGPR-ENB-W001</t>
  </si>
  <si>
    <t xml:space="preserve">Officer&amp;aposs mess (Near Children Park)Kalaikunda, Kharagpur, West Bengal 721303</t>
  </si>
  <si>
    <t>I-WB-KGPR-ENB-W002</t>
  </si>
  <si>
    <t xml:space="preserve">Behind Airmen mess (Near LAO office)Kalaikunda, Kharagpur, West Bengal 721303</t>
  </si>
  <si>
    <t>I-WB-KGPR-ENB-W003</t>
  </si>
  <si>
    <t xml:space="preserve">SV shopping complex, Front side, Kalaikunda, Kharagpur, West Bengal 721303</t>
  </si>
  <si>
    <t xml:space="preserve">I-WB-KGPR-FSA-0110 </t>
  </si>
  <si>
    <t>I-WB-KGPR-FSA-0115</t>
  </si>
  <si>
    <t>I-WB-KGPR-JCN-6000</t>
  </si>
  <si>
    <t>I-WB-KHRK-ENB-6000</t>
  </si>
  <si>
    <t xml:space="preserve">MADHAB CHWAK</t>
  </si>
  <si>
    <t xml:space="preserve">DAG NO- 30, KHATIAN NO-727,728, J.L NO- 406 ,MOUZA- MADHAB CHWAK,VILL AND PO- BISHNUPUR BAZAR, PS- SABANG,DIST- WEST MIDNAPORE, PIN- 721144</t>
  </si>
  <si>
    <t xml:space="preserve">Dibyendu Bikash 
Maity</t>
  </si>
  <si>
    <t xml:space="preserve">DG is faulty can't serviced</t>
  </si>
  <si>
    <t xml:space="preserve">water logged, DG needed, RM need</t>
  </si>
  <si>
    <t>I-WB-KHRK-ENB-6001</t>
  </si>
  <si>
    <t>KHARIKA</t>
  </si>
  <si>
    <t xml:space="preserve">DAG NO. 1399 / 2358, KHATIAN NO. 382, JL NO. 351, MOUZA AND VILL AND PO- KHARIKA, DIST-WEST MIDNAPORE, PIN-721144</t>
  </si>
  <si>
    <t xml:space="preserve">RM, DG need atention, mater room kit cat, MCB need</t>
  </si>
  <si>
    <t>I-WB-KHRK-ENB-6002</t>
  </si>
  <si>
    <t>MOHAR</t>
  </si>
  <si>
    <t xml:space="preserve">DAG NO. 1711  AND AMP; 1712, KHATIAN NO. 1313, JL NO. 398, MOUZA - NIMKIMOHAR, VILL  AND AMP;PO- MOHAR, PS- SABANG, PIN-721161</t>
  </si>
  <si>
    <t xml:space="preserve">RM , battery</t>
  </si>
  <si>
    <t xml:space="preserve">water , high</t>
  </si>
  <si>
    <t>I-WB-KHRK-ENB-6003</t>
  </si>
  <si>
    <t>NASRA</t>
  </si>
  <si>
    <t xml:space="preserve">DAG NO- 10 AND 1, J.L.NO- 174, KHATIAN NO-268,110, MOUZA-CHAKBADALPUR, VILL- SINGPUR, PO- BADALPUR, DIST- WEST MIDNAPORE, PIN- 721166</t>
  </si>
  <si>
    <t xml:space="preserve">35 kva</t>
  </si>
  <si>
    <t xml:space="preserve">21112 autocut</t>
  </si>
  <si>
    <t xml:space="preserve">bad meter room condition</t>
  </si>
  <si>
    <t>I-WB-KHRK-ENB-6004</t>
  </si>
  <si>
    <t>SABANG</t>
  </si>
  <si>
    <t xml:space="preserve">PLOT OF SH. SK. DANISH MOHHAMMAD, VILL+ PO  AND AMP; PS-SABANG,DISTRICT-WEST MIDNAPORE,PIN 721144, PLOT NO. 1546,1549,1551, KH NO 1998,JL NO. 293 , MOUZA - SABANG</t>
  </si>
  <si>
    <t xml:space="preserve">2 RM, DG service need</t>
  </si>
  <si>
    <t>I-WB-KHRK-ENB-9016</t>
  </si>
  <si>
    <t>KUNDALPAL</t>
  </si>
  <si>
    <t xml:space="preserve">SAMAR ADHIKARI,VILL+P.O.-KUNDALPAL,P.S-SABANG,721140,PASCHIM MEDINIPUR,tel-9609165116</t>
  </si>
  <si>
    <t xml:space="preserve">controller faulty, 3 RM backpanel faulty</t>
  </si>
  <si>
    <t xml:space="preserve">2 BM is in alarm</t>
  </si>
  <si>
    <t xml:space="preserve">RM backapenl, RM faulty</t>
  </si>
  <si>
    <t>I-WB-KHRK-ENB-9020</t>
  </si>
  <si>
    <t>SHILTALDA</t>
  </si>
  <si>
    <t xml:space="preserve">Ananda Bera  Vill. - Shiltalda, P.O. - Barjaghu,P.S. - Sabang, Pin-721144</t>
  </si>
  <si>
    <t xml:space="preserve">sometimes works, sometimes not</t>
  </si>
  <si>
    <t>I-WB-KHRK-ENB-9024</t>
  </si>
  <si>
    <t>BARCHARA</t>
  </si>
  <si>
    <t xml:space="preserve">Suryakanta Patra  Vill. + P.O. - Barchara,P.S. - Sabang, Pin-721467</t>
  </si>
  <si>
    <t>I-WB-KHRK-ENB-9026</t>
  </si>
  <si>
    <t>KHRK-9026</t>
  </si>
  <si>
    <t xml:space="preserve">VILL-ANDULIA, P.O-LUTUNIA, P.S-SABANG, DIST- PASCHIM MEDINIPUR, PIN-721166  SABANG</t>
  </si>
  <si>
    <t xml:space="preserve">for 5G need 20 kva DG</t>
  </si>
  <si>
    <t>I-WB-KHRK-ENB-9028</t>
  </si>
  <si>
    <t>KHRK-9028</t>
  </si>
  <si>
    <t xml:space="preserve">Monoranjan Rout,vill- Lakshya,po-Lutuniya,ps-Sabang, pin-721166, Dist- West Midnapur</t>
  </si>
  <si>
    <t xml:space="preserve">RM backpanel</t>
  </si>
  <si>
    <t>I-WB-KHRK-ENB-9029</t>
  </si>
  <si>
    <t>KHRK-9029</t>
  </si>
  <si>
    <t xml:space="preserve">VILL- BARADA, PO-MOHAR, PS- SABANG, DIST- PASCHIM MEDINIPUR, PIN-721161  SABANG</t>
  </si>
  <si>
    <t xml:space="preserve">27 kw</t>
  </si>
  <si>
    <t xml:space="preserve">Battery not ok</t>
  </si>
  <si>
    <t xml:space="preserve">not avilable due to returm to office</t>
  </si>
  <si>
    <t>I-WB-KHRK-ENB-9031</t>
  </si>
  <si>
    <t>KHRK-9031</t>
  </si>
  <si>
    <t xml:space="preserve">Gourhari Hari Kuila, vill po sabang, ps Sabang, Dsit Midnapur west,M 9732891470</t>
  </si>
  <si>
    <t xml:space="preserve">solar plate clean</t>
  </si>
  <si>
    <t>I-WB-KHRK-ENB-9032</t>
  </si>
  <si>
    <t>KHRK-9032</t>
  </si>
  <si>
    <t xml:space="preserve">BADAL GHORAI,VILL-JHAPARAARA,PO-TILANTAPARA,PS-SABANG,DIST-PASCHIM MEDINIPUR,PIN-721155,MOB-8001872439</t>
  </si>
  <si>
    <t xml:space="preserve">3 RM need, vegetation clean, battery 3 need</t>
  </si>
  <si>
    <t>I-WB-KHRK-ENB-9034</t>
  </si>
  <si>
    <t>KHRK-9034</t>
  </si>
  <si>
    <t xml:space="preserve">VILL- BURAL, P.S- SABANG, DIST -WEST MIDNAPUR,PIN-721444  SABANG</t>
  </si>
  <si>
    <t xml:space="preserve">9 kw</t>
  </si>
  <si>
    <t xml:space="preserve">3 RM need, battery 3, forest clean</t>
  </si>
  <si>
    <t>I-WB-KHRK-ENB-9035</t>
  </si>
  <si>
    <t>KHRK-9035</t>
  </si>
  <si>
    <t xml:space="preserve">forest clean, meter room clean</t>
  </si>
  <si>
    <t>I-WB-KHRK-ENB-9037</t>
  </si>
  <si>
    <t>KHRK-9037</t>
  </si>
  <si>
    <t xml:space="preserve">SHYAMAPADA MAITY(8327277213),VILL JULKAPUR,PS SABANG,PO KUNDALPAL,DIST WEST MIDNAPUR,PIN 721140</t>
  </si>
  <si>
    <t>I-WB-KHRK-ENB-9038</t>
  </si>
  <si>
    <t>KHRK-9038</t>
  </si>
  <si>
    <t xml:space="preserve">Rameswar Samanta,vill-Laro,po-Nidma Bazar,ps-Sabang,, pin-721467, m-9800555851</t>
  </si>
  <si>
    <t xml:space="preserve">3 battary, 2 RM</t>
  </si>
  <si>
    <t>I-WB-KHRK-ENB-9039</t>
  </si>
  <si>
    <t>KHRK-9039</t>
  </si>
  <si>
    <t xml:space="preserve">LAXMIKANT DUTTA(9547980789),VILL CHAKGUPINATH,PO KHUNKHUNA,PS SABANG,DIST PASCHIM MEDNIPUR.PIN 721166</t>
  </si>
  <si>
    <t xml:space="preserve">MPPT needed, battery needed</t>
  </si>
  <si>
    <t>I-WB-KHRK-ENB-9040</t>
  </si>
  <si>
    <t>KHRK-9040</t>
  </si>
  <si>
    <t xml:space="preserve">Rampada Shit, vill Dandara,Ps Sabang, Dist East Midnapur, pin 721467, m 9732759993</t>
  </si>
  <si>
    <t xml:space="preserve">5 G site</t>
  </si>
  <si>
    <t xml:space="preserve">AVR card faulty, fuel sensor faulty, ODC fan faulty</t>
  </si>
  <si>
    <t>I-WB-KHRK-ENB-A001</t>
  </si>
  <si>
    <t>Taladiha_East</t>
  </si>
  <si>
    <t xml:space="preserve">Sudhir maity, Vill + PO -Taldiha, PS patashpur, Dist Midnapore (E ) - 721454 </t>
  </si>
  <si>
    <t xml:space="preserve">KAUSHIK NANDA 
GOSWAMI</t>
  </si>
  <si>
    <t>I-WB-KHRK-ENB-A002</t>
  </si>
  <si>
    <t xml:space="preserve">Mohar Madhya Para</t>
  </si>
  <si>
    <t xml:space="preserve">discope site</t>
  </si>
  <si>
    <t>I-WB-KHRK-ENB-B001</t>
  </si>
  <si>
    <t>CHANDKURI</t>
  </si>
  <si>
    <t>VILL-CHANDKURI,P.O-CHANDKURI,P.S-SABANG,Dist-Medinipore,Pincode-721467</t>
  </si>
  <si>
    <t xml:space="preserve">1 battery and 1 RM needed</t>
  </si>
  <si>
    <t>I-WB-KHRK-ENB-G001</t>
  </si>
  <si>
    <t>TEMATHANI</t>
  </si>
  <si>
    <t xml:space="preserve">SOURAV SHUNIA , VILL+PO- LUTUNIA, PS- SABANG, PASCHIM MIDNAPUR, PIN- 721166,PH- 9434805328</t>
  </si>
  <si>
    <t>I-WB-KHRK-ENB-I001</t>
  </si>
  <si>
    <t>Bikalbar</t>
  </si>
  <si>
    <t xml:space="preserve">Madanmohan Manna,S/o Bhanu Charan Manna,Vill-Bikalbar,PO-Kapesda,PS-Sabang,Pin-721144,Dist-Medinipore(W),West Bengal</t>
  </si>
  <si>
    <t>I-WB-KHRK-ENB-I002</t>
  </si>
  <si>
    <t>Balpai</t>
  </si>
  <si>
    <t xml:space="preserve">Ratan Ch. Sau, Vill &amp; P.O - No.9 Balpai, PS: Sabang, Dist:W. Midnapur., Phone no-9735276128 NA</t>
  </si>
  <si>
    <t>I-WB-KHRK-ENB-I003</t>
  </si>
  <si>
    <t>SHYAMSUNDARPUR</t>
  </si>
  <si>
    <t xml:space="preserve">Jugal Kishore Manna,Jl-261, dag no:-1725,1732,1733,Kh-137, Mouza+Vill- shyamsundar Pur, P.O- Savang Shyamsundarpur,P.s- savang,721155,Conatct no:-9775009980</t>
  </si>
  <si>
    <t>I-WB-KHRK-ENB-I004</t>
  </si>
  <si>
    <t>KALASBAR</t>
  </si>
  <si>
    <t xml:space="preserve">Vill+P.O- Kalashbar,P.s- Sabang,Pin-721144</t>
  </si>
  <si>
    <t>I-WB-KHRK-ENB-I005</t>
  </si>
  <si>
    <t>SATSAI</t>
  </si>
  <si>
    <t xml:space="preserve">SATSAI, KHARIKA, PASCHIM MEDINIPUR</t>
  </si>
  <si>
    <t>I-WB-KHRK-ENB-I006</t>
  </si>
  <si>
    <t>Perua</t>
  </si>
  <si>
    <t xml:space="preserve">Netai Hazra, Dag No-230, Kh No-97, Jl No-287, Mouza/Vill-Gora, P.O-Ruinan, P.S-Sabong, Dist-West Medinipur, Pin-721144</t>
  </si>
  <si>
    <t>I-WB-KHRK-ENB-I007</t>
  </si>
  <si>
    <t>RUINAN</t>
  </si>
  <si>
    <t xml:space="preserve">SANKAR BANKURA, VILL- BURAI, +P.O-BARJAGU, P.S-SABONG, DIST- MIDNAPORE, PIN-721144,</t>
  </si>
  <si>
    <t>I-WB-KHRK-ENB-I008</t>
  </si>
  <si>
    <t>KHAGRAGERYA</t>
  </si>
  <si>
    <t xml:space="preserve">Khudi Ram paul,Dag no-1371,Kh-115,Jl-224,Vill-P.o- Khagrageruya, P.s- sabang,721144 Contact no:- 9732007712</t>
  </si>
  <si>
    <t>I-WB-KHRK-ENB-I009</t>
  </si>
  <si>
    <t>MOHAR-2</t>
  </si>
  <si>
    <t xml:space="preserve">GAYA OJHA, 956481811, VI:DAKSHIN NIMKI MOHAR</t>
  </si>
  <si>
    <t>I-WB-KHRK-ENB-I010</t>
  </si>
  <si>
    <t>kharika</t>
  </si>
  <si>
    <t>I-WB-KHRK-ENB-I011</t>
  </si>
  <si>
    <t>KERURBAR</t>
  </si>
  <si>
    <t xml:space="preserve">Dag no-450,Kh-75,Jl-270,Mouza+Vill-Basanta Pur, P.O- Kerur,P.s- sasang,721155 na</t>
  </si>
  <si>
    <t>I-WB-KHRK-ENB-I012</t>
  </si>
  <si>
    <t>MALPAR</t>
  </si>
  <si>
    <t xml:space="preserve">Gurupada PatraDag no-374Kh-157105Jl-357Mouza</t>
  </si>
  <si>
    <t>I-WB-KHRK-ENB-I013</t>
  </si>
  <si>
    <t>BHEMWA</t>
  </si>
  <si>
    <t>I-WB-KHRK-ENB-I014</t>
  </si>
  <si>
    <t>NARAYANBAR</t>
  </si>
  <si>
    <t>Narayanbar</t>
  </si>
  <si>
    <t>I-WB-KLPB-ENB-9001</t>
  </si>
  <si>
    <t>KOLUA</t>
  </si>
  <si>
    <t xml:space="preserve">LAXMI KANTA RAUT,(MOB-8906200046), VILL-KOLUA, PO-ANTTRUKHE, PS-KGP LOCAL, DIST- PASCHIM MEDINIPUR, PIN-721149</t>
  </si>
  <si>
    <t xml:space="preserve">old battery</t>
  </si>
  <si>
    <t xml:space="preserve">1 non communicating rectifier</t>
  </si>
  <si>
    <t xml:space="preserve">Technician ask for battery change</t>
  </si>
  <si>
    <t>I-WB-KSHJ-ENB-6000</t>
  </si>
  <si>
    <t>KSHIRAI</t>
  </si>
  <si>
    <t xml:space="preserve">PLOT NO. 2855, JL NO. 66, KHATAIN NO. 188, MOUZA - KSHIRAI, VILL AND PO- KSHIRAI, PS-PINGLA, DIST- WEST MIDNAPORE, PIN-721140</t>
  </si>
  <si>
    <t xml:space="preserve">new didn't get commision at 17 sep</t>
  </si>
  <si>
    <t xml:space="preserve">DG panel fault, AC , DG ladder, meter box ladder, sheletr room likeage</t>
  </si>
  <si>
    <t xml:space="preserve">water loggage high</t>
  </si>
  <si>
    <t>I-WB-KSRY-ENB-0001</t>
  </si>
  <si>
    <t>KSRY-0001</t>
  </si>
  <si>
    <t xml:space="preserve">Barun Karan-9732597581,Vill-Dudhebude,P.O- Jamsol,Keshiary,721133</t>
  </si>
  <si>
    <t>I-WB-KSRY-ENB-9001</t>
  </si>
  <si>
    <t>KALABONI</t>
  </si>
  <si>
    <t xml:space="preserve">BIJOY KRISHNA DEBNATH, PH:9732951783, VILL-KALABONI, PO-KHATNAGAR, PS-BELDA, DIST-WEST MIDNAPUR, PIN-721451</t>
  </si>
  <si>
    <t xml:space="preserve">setmac </t>
  </si>
  <si>
    <t xml:space="preserve">road is not good, earthing is bad , la disconnect</t>
  </si>
  <si>
    <t>I-WB-KSRY-ENB-9016</t>
  </si>
  <si>
    <t>BARPARUA</t>
  </si>
  <si>
    <t xml:space="preserve">Ayon Rana-9932433241,Vill-Barparua,P.O.-Langamore,P.S.-Keshiary,Pin-721133</t>
  </si>
  <si>
    <t>I-WB-KSRY-ENB-9017</t>
  </si>
  <si>
    <t>URIABAR</t>
  </si>
  <si>
    <t xml:space="preserve">Rameswar Murmu, Vill-Uriabar, Po-Kanpur, Ps -Keshiary, Pin-721428, M-9732721298</t>
  </si>
  <si>
    <t xml:space="preserve">controller faulty, phuspok faulty</t>
  </si>
  <si>
    <t xml:space="preserve">communication fault in 1 rm</t>
  </si>
  <si>
    <t xml:space="preserve">earthing problem</t>
  </si>
  <si>
    <t>I-WB-KSRY-ENB-9019</t>
  </si>
  <si>
    <t>KALIAPARA</t>
  </si>
  <si>
    <t xml:space="preserve">Rabindranath Mandal,7585846349,Vill-Kaliapara,P.O.-Belda,P.S.-Keshiary,Dist-Paschim Medinipur,PIN-721424</t>
  </si>
  <si>
    <t>penasonic</t>
  </si>
  <si>
    <t xml:space="preserve">55 ah</t>
  </si>
  <si>
    <t xml:space="preserve">1 h 20 min</t>
  </si>
  <si>
    <t xml:space="preserve">earthing faulty, DG canopy rust, </t>
  </si>
  <si>
    <t>I-WB-KSRY-ENB-9021</t>
  </si>
  <si>
    <t>BORAMARA</t>
  </si>
  <si>
    <t xml:space="preserve">Santu Aich-8116961218/9733667492,Vill-Boramara,P.O.-Barida,P.S.-Keshiary,Paschim Medinipur,721135</t>
  </si>
  <si>
    <t>I-WB-KSRY-ENB-9022</t>
  </si>
  <si>
    <t>SINGAI</t>
  </si>
  <si>
    <t xml:space="preserve">Dinnabandhu Chanda-9064235851/9732799047/8509391094,Vill-Singai,P.O-Jamuna,P.S-Keshiary,Paschim Medinipur,721133</t>
  </si>
  <si>
    <t>I-WB-KSRY-ENB-9023</t>
  </si>
  <si>
    <t>KSRY-9023</t>
  </si>
  <si>
    <t xml:space="preserve">Nabadwip Soren-7319400414,Vill-Kiarchand,P.O-Rambonia,P.S-Keshiary,721135</t>
  </si>
  <si>
    <t>I-WB-KSRY-ENB-9024</t>
  </si>
  <si>
    <t>KSRY-9024</t>
  </si>
  <si>
    <t xml:space="preserve">Nondogopal Dey-9733719059, Vill:: KusumPur, PO: Binandapur, PS: Keshiary, Dist:: Paschim Medinipur</t>
  </si>
  <si>
    <t>I-WB-KSRY-ENB-9025</t>
  </si>
  <si>
    <t>KSRY-9025</t>
  </si>
  <si>
    <t xml:space="preserve">Nikhil Ranjan Manna -9046939771,Vill-Chakla,P.S.-Keshiary,Paschim Medinipur,</t>
  </si>
  <si>
    <t xml:space="preserve">3 Back PCB need to chnage</t>
  </si>
  <si>
    <t>I-WB-KSRY-ENB-9026</t>
  </si>
  <si>
    <t>KSRY-9026</t>
  </si>
  <si>
    <t xml:space="preserve">Gautam Paloi-9735208887,Vill-Kanpur Baglata,P.O.-Bagasti,P.S.-Keshiary,Paschim Medinipur,721133</t>
  </si>
  <si>
    <t>I-WB-KSRY-ENB-9027</t>
  </si>
  <si>
    <t>KSRY-9027</t>
  </si>
  <si>
    <t xml:space="preserve">Ajit Ghosh, Vill-Hasimpur, Po-+ps- Keshary, Dist-west Midnapur,Pin-721133</t>
  </si>
  <si>
    <t xml:space="preserve">earth pit need</t>
  </si>
  <si>
    <t>I-WB-KSRY-ENB-9028</t>
  </si>
  <si>
    <t>KSRY-9028</t>
  </si>
  <si>
    <t xml:space="preserve">Malay Ghosh-9732902262,Vill-Dadra,P.O.-Uttar Demurkula,P.S.-Keshiary,</t>
  </si>
  <si>
    <t>I-WB-KSRY-ENB-9029</t>
  </si>
  <si>
    <t>KSRY-9029</t>
  </si>
  <si>
    <t xml:space="preserve">Shyamal Chakraborty-9933036683,Vill-Haripura,P.O.-Uttar Demunkula,P.S.-Keshiary,Paschim Medinipur,</t>
  </si>
  <si>
    <t>I-WB-KSRY-ENB-9030</t>
  </si>
  <si>
    <t>KSRY-9030</t>
  </si>
  <si>
    <t xml:space="preserve">Bikash Hui-9733960414,Vill-Kalamatia,P.O.-Baghasti,P.S-Keshiary,Paschim Medinipur,721133</t>
  </si>
  <si>
    <t xml:space="preserve">5 back pcb need to change</t>
  </si>
  <si>
    <t>I-WB-KSRY-ENB-9031</t>
  </si>
  <si>
    <t>KSRY-9031</t>
  </si>
  <si>
    <t xml:space="preserve">Madhab Chandra  Das Adhikary,Vill-Arar, po-+ps-Keshary, pin-721133</t>
  </si>
  <si>
    <t xml:space="preserve">DG vibration, earth pit </t>
  </si>
  <si>
    <t>I-WB-KSRY-ENB-9032</t>
  </si>
  <si>
    <t>KSRY-9032</t>
  </si>
  <si>
    <t xml:space="preserve">Mukteshwar  Das-9732135593,Vill-Joykrishnapur,P.O.-Junbonda,P.S-Keshiary,Paschim Medinipur,721133</t>
  </si>
  <si>
    <t xml:space="preserve">needed more </t>
  </si>
  <si>
    <t xml:space="preserve">earthing fault</t>
  </si>
  <si>
    <t>I-WB-KSRY-ENB-9033</t>
  </si>
  <si>
    <t>KSRY-9033</t>
  </si>
  <si>
    <t xml:space="preserve">VILL+PO-DHOLBELUN, PS-KASHIPUR, DIST-WEST MIDNAPORE, PIN-721424  KESHIARY</t>
  </si>
  <si>
    <t xml:space="preserve">DG high fuel consume, earthing fault</t>
  </si>
  <si>
    <t>I-WB-KSRY-ENB-9034</t>
  </si>
  <si>
    <t>KSRY-9034</t>
  </si>
  <si>
    <t xml:space="preserve">VILL-HALDIA,PO-KHATNAGAR,PS-BELDA,DIST-PASCHIM MEDINIPUR,PIN-721451  KESHIARY</t>
  </si>
  <si>
    <t>fault</t>
  </si>
  <si>
    <t xml:space="preserve">llop fault</t>
  </si>
  <si>
    <t>I-WB-KSRY-ENB-9035</t>
  </si>
  <si>
    <t>KSRY-9035</t>
  </si>
  <si>
    <t xml:space="preserve">Gobardhan Barik,Vill-purulia, po-Amda,ps-Keshiary, pin-721133, M-8001282733</t>
  </si>
  <si>
    <t xml:space="preserve">battery faulty</t>
  </si>
  <si>
    <t>I-WB-KSRY-ENB-9036</t>
  </si>
  <si>
    <t>KSRY-9036</t>
  </si>
  <si>
    <t xml:space="preserve">VILL- BHALKISOLE, P.O- BARIDA, P.S- KESHIARY, DIST- WEST MIDNAPUR, PIN- 721135  KESHIARY</t>
  </si>
  <si>
    <t>I-WB-KSRY-ENB-9037</t>
  </si>
  <si>
    <t>KSRY-9037</t>
  </si>
  <si>
    <t xml:space="preserve">SHIB SANKAR GIRI, 7029837305, V+P-LANGAMARA, PS-KESHIARY, DIST-PASCHIM MEDINIPUR, PIN-721133</t>
  </si>
  <si>
    <t>I-WB-KSRY-ENB-9040</t>
  </si>
  <si>
    <t>KSRY-9040</t>
  </si>
  <si>
    <t xml:space="preserve">AVIJIT JANA-7602866465,Vill+P.O-Rautarapur,P.S-Dantan,Pin-721133</t>
  </si>
  <si>
    <t>I-WB-KSRY-ENB-I001</t>
  </si>
  <si>
    <t>KOLBANI</t>
  </si>
  <si>
    <t xml:space="preserve">Parma Nanda Ghosh,Ph-9775594193,Vill-Kulboni, P.O-Benadiha, P.S-Keshiary, West Midnipur, 721133</t>
  </si>
  <si>
    <t>I-WB-KSRY-ENB-I002</t>
  </si>
  <si>
    <t>KESHIARY</t>
  </si>
  <si>
    <t xml:space="preserve">MR.MANINDRA NATH MAITI,P.H-7797200581,VILL+PO-KESHIARI,PS:-KESHIARI,DIST:-W MEDINIPUR,PIN:-721133</t>
  </si>
  <si>
    <t>I-WB-KSRY-ENB-I003</t>
  </si>
  <si>
    <t xml:space="preserve">Dakshin Diha</t>
  </si>
  <si>
    <t xml:space="preserve">Dilip Chanda At-DakhindIHA,Po-Junpolda,Ps-Kesiary,Dist-WestMidinipur/Pin-721133,Ph-9933589331</t>
  </si>
  <si>
    <t>I-WB-KSRY-ENB-I004</t>
  </si>
  <si>
    <t>Bhasraghat</t>
  </si>
  <si>
    <t xml:space="preserve">Mr.Jhareshwar Maity,Vill.+P.O.Bhasra,P.S.Keshiary,Dist.Midnapur(W),Pin-721133,Ph.9732753720.</t>
  </si>
  <si>
    <t>I-WB-KSRY-ENB-I005</t>
  </si>
  <si>
    <t>Nachipur</t>
  </si>
  <si>
    <t xml:space="preserve">Nachipur, PS: Kesiary, Dist: Paschim Medinipur</t>
  </si>
  <si>
    <t>I-WB-KSRY-ENB-I006</t>
  </si>
  <si>
    <t>KOKADAR</t>
  </si>
  <si>
    <t xml:space="preserve">Srikanta Bag,Dag no:-183,Kh-40,JL-123,Mouza- Pratappur,Vill- Kokadar,P.O- Gonsura,P.s- keshri, Contact no:-9635634691</t>
  </si>
  <si>
    <t>I-WB-KSRY-ENB-I007</t>
  </si>
  <si>
    <t>KANDRAMARI</t>
  </si>
  <si>
    <t xml:space="preserve">Nabakumar Guchhait,Dag no:-238,224,Mouza+Vill-Kaundrapari,P.s- Narayangram,Contact no:-9732611722</t>
  </si>
  <si>
    <t>I-WB-KSRY-ENB-I008</t>
  </si>
  <si>
    <t>BARIDA</t>
  </si>
  <si>
    <t xml:space="preserve">Braja Gopal, Dag No.1623, Kh-470, JL-18, Mouza/Vill/Po:Barida, PS:Keshiary, Dist : West Medinipur-721135</t>
  </si>
  <si>
    <t>I-WB-KSRY-ENB-I009</t>
  </si>
  <si>
    <t>Phandar</t>
  </si>
  <si>
    <t xml:space="preserve">Swapan Kumar Bhunia,Dag no-582,Kh-318/2,Jl-203,Mouza+Vill+P.o- Phandar,P.s- keshiery Contact no:- 9732835904 na</t>
  </si>
  <si>
    <t>I-WB-KSRY-ENB-I010</t>
  </si>
  <si>
    <t>KHAJRA</t>
  </si>
  <si>
    <t xml:space="preserve">JATINDRANATH PUSTHY, VILL- KHAJRA, PO- KUSHGERIA, PS- KESHIARYA- 721133</t>
  </si>
  <si>
    <t>I-WB-KSRY-ENB-I011</t>
  </si>
  <si>
    <t>KUKAI</t>
  </si>
  <si>
    <t xml:space="preserve">KUKUI, PS:BELDA, DIST:PASCHIM MEDINIPUR</t>
  </si>
  <si>
    <t>I-WB-KSRY-ENB-I012</t>
  </si>
  <si>
    <t xml:space="preserve">Bena Kuria</t>
  </si>
  <si>
    <t xml:space="preserve">Benukuria, PS: Kesiary, Dist: Paschim Medinipur</t>
  </si>
  <si>
    <t>I-WB-KSRY-ENB-I013</t>
  </si>
  <si>
    <t>SANTRAPUR</t>
  </si>
  <si>
    <t xml:space="preserve">Santrapur, Keshiary</t>
  </si>
  <si>
    <t>I-WB-KSRY-ENB-I014</t>
  </si>
  <si>
    <t>GAGNESHWAR</t>
  </si>
  <si>
    <t xml:space="preserve">Gagneshwar, Keshiary</t>
  </si>
  <si>
    <t>I-WB-MAEX-ENB-9001</t>
  </si>
  <si>
    <t>MAEX-9001</t>
  </si>
  <si>
    <t xml:space="preserve">VILL-MALIGRAM,PO-MALIGRAM,PS-PINGLA,DIST-PASCHIM MIDNAPUR,PIN-721140  MALIGRAM</t>
  </si>
  <si>
    <t xml:space="preserve">DG theft,GCU bypass maual site</t>
  </si>
  <si>
    <t>I-WB-MBDK-ENB-9000</t>
  </si>
  <si>
    <t xml:space="preserve">water logged, road access</t>
  </si>
  <si>
    <t>I-WB-MONU-ENB-6000</t>
  </si>
  <si>
    <t>MOHANPUR</t>
  </si>
  <si>
    <t xml:space="preserve">DAG NO. 186, JL NO. 382, KHATIAN NO. 72, MOUZA - JAMUA, VILL  AND AMP; PO - MOHANPUR, DIST-WEST MIDNAPORE, PIN-721436</t>
  </si>
  <si>
    <t xml:space="preserve">DG commisoning pending</t>
  </si>
  <si>
    <t xml:space="preserve">faulty DGB is return to SP engineer, AMF panel faulty, DGB faulty</t>
  </si>
  <si>
    <t>I-WB-MONU-ENB-9008</t>
  </si>
  <si>
    <t>MONU-9008</t>
  </si>
  <si>
    <t xml:space="preserve">Bankim Bihari Patra,9547611634, Vill-Samsara, po-Parui, Ps -Mohonpur, pin 721436</t>
  </si>
  <si>
    <t xml:space="preserve">2 RM is active and 3 more RM is deactive but they are good</t>
  </si>
  <si>
    <t xml:space="preserve">BM backup need</t>
  </si>
  <si>
    <t>I-WB-MONU-ENB-9012</t>
  </si>
  <si>
    <t>MONU-9012</t>
  </si>
  <si>
    <t xml:space="preserve">VILL-GOMUNDA MOHANPUR ,P.O+P.S-MOHANPUR ,DIST-WEST MINDAPUR,PIN-721457  MOHANPUR</t>
  </si>
  <si>
    <t xml:space="preserve">DG roofcanopy damage so water is filled in DG</t>
  </si>
  <si>
    <t>I-WB-MONU-ENB-9013</t>
  </si>
  <si>
    <t>MONU-9013</t>
  </si>
  <si>
    <t xml:space="preserve">Pradip Patra-8348367200,Vill-Keotkhalisha,P.S.-Mohanpur,721443</t>
  </si>
  <si>
    <t>I-WB-MONU-ENB-9014</t>
  </si>
  <si>
    <t>MONU-9014</t>
  </si>
  <si>
    <t xml:space="preserve">Suvendu Jana-7602673586,Vill-Digda,P.O-Gomunda,P.S-Mohanpur,721457</t>
  </si>
  <si>
    <t xml:space="preserve">toucher screen controller fauty</t>
  </si>
  <si>
    <t xml:space="preserve">mimatch in data reading</t>
  </si>
  <si>
    <t>I-WB-MONU-ENB-9015</t>
  </si>
  <si>
    <t>MONU-9015</t>
  </si>
  <si>
    <t xml:space="preserve">Surendranath Manna-9874031938-villJorisai,po-Baita Bajar,ps- Mohanpur, Dist- WEST Midnapur, pin-721420</t>
  </si>
  <si>
    <t xml:space="preserve">AVR card faulty (25 sep from MONU-9012 AVR card transferred to this site and it came in automation</t>
  </si>
  <si>
    <t>I-WB-MONU-ENB-9018</t>
  </si>
  <si>
    <t>MONU-9018</t>
  </si>
  <si>
    <t xml:space="preserve">Prabhansu Patra-8250557899,Vill-chhatobeli,P.O-Mohanpur,P.S-Mohanpur,721436</t>
  </si>
  <si>
    <t xml:space="preserve">faulty (14 no port is faulty)</t>
  </si>
  <si>
    <t>I-WB-MONU-ENB-9020</t>
  </si>
  <si>
    <t>GOTSANDA</t>
  </si>
  <si>
    <t xml:space="preserve">Harihar Kanungo-8001010150-Harihar Kanungo,vill-Gotsanda, po- Bagunia, Ps- Mohanpur, Dist- West Midnapur, pin-721436, m-8001010150</t>
  </si>
  <si>
    <t xml:space="preserve">DG change need (need 20 kva), DG air locking issue, RM need</t>
  </si>
  <si>
    <t>I-WB-MONU-ENB-9021</t>
  </si>
  <si>
    <t>MONU-9021</t>
  </si>
  <si>
    <t xml:space="preserve">Birendra Nath Dad-6296782073,Siyalsai,Mohanpur,Paschim Medinipur,721436</t>
  </si>
  <si>
    <t xml:space="preserve">DG change need (need 20 kva)</t>
  </si>
  <si>
    <t>I-WB-MONU-ENB-9022</t>
  </si>
  <si>
    <t>AMARDA</t>
  </si>
  <si>
    <t xml:space="preserve">DGB required</t>
  </si>
  <si>
    <t>I-WB-MONU-ENB-A001</t>
  </si>
  <si>
    <t>Mohanpur-3</t>
  </si>
  <si>
    <t xml:space="preserve">RAJNAGAR, MOHANPUR</t>
  </si>
  <si>
    <t>I-WB-MONU-ENB-A002</t>
  </si>
  <si>
    <t xml:space="preserve">VILL  &amp;  P.O- AMARDA, P.S- MOHANPUR, DIST- WEST MEDINIPUR, PIN- 721436  MOHANPUR</t>
  </si>
  <si>
    <t>I-WB-MONU-ENB-I001</t>
  </si>
  <si>
    <t>Nilda</t>
  </si>
  <si>
    <t xml:space="preserve">vill+ po. Nilda,ps mohanpur,midnipur west,pin 721457.</t>
  </si>
  <si>
    <t>I-WB-MONU-ENB-I002</t>
  </si>
  <si>
    <t xml:space="preserve">BAITA BAZAR</t>
  </si>
  <si>
    <t xml:space="preserve">BAITA BAZAR, MOHANPUR</t>
  </si>
  <si>
    <t>I-WB-MONU-ENB-I003</t>
  </si>
  <si>
    <t>JANKAPUR-02</t>
  </si>
  <si>
    <t xml:space="preserve">Atla, PO: Jankapur</t>
  </si>
  <si>
    <t>I-WB-MONU-ENB-I004</t>
  </si>
  <si>
    <t>NBEGBEGUNIA1</t>
  </si>
  <si>
    <t>I-WB-MONU-ENB-I005</t>
  </si>
  <si>
    <t>SAUTIA</t>
  </si>
  <si>
    <t xml:space="preserve">SAUTIA, Mohanpur</t>
  </si>
  <si>
    <t>I-WB-MONU-ENB-V001</t>
  </si>
  <si>
    <t>E_WB_282_3_Tanua</t>
  </si>
  <si>
    <t xml:space="preserve">Villl.+P.o - Tanua, P.s. - Mohanpur, Dist. - West Midnapur, Pin. - 721436721436</t>
  </si>
  <si>
    <t>I-WB-MONU-ILA-9005</t>
  </si>
  <si>
    <t>I-WB-NYGH-ENB-6000</t>
  </si>
  <si>
    <t>NARAYANGARH</t>
  </si>
  <si>
    <t xml:space="preserve">PLOT OF SH. KALYAN ASHISH DEY, VILL-BAHURUPA,PO + PS NARAYANGARH, DISTRICT-MIDNAPORE WEST,PIN 721437, ON PLOT NO. 4497, KH. NO. 192/1 , JL. NO. 268, MOUZA : BAHURUPA.</t>
  </si>
  <si>
    <t>I-WB-NYGH-ENB-6001</t>
  </si>
  <si>
    <t>KHAKUDAH</t>
  </si>
  <si>
    <t xml:space="preserve">VILL&amp;PO- KHAKUDHA,PS- BELDA, DIST-WEST MIDNAPORE,PIN-721445</t>
  </si>
  <si>
    <t xml:space="preserve">earth faulty, ODC rust, DG ladder faulty</t>
  </si>
  <si>
    <t>I-WB-NYGH-ENB-9003</t>
  </si>
  <si>
    <t>MOKRAMPUR</t>
  </si>
  <si>
    <t xml:space="preserve">SWAPAN SENAPATI-9609455647,VILL &amp; P.O-MAKRAMPUR,P.S-NARAYANGARH,DIST-WEST MEDINIPORE</t>
  </si>
  <si>
    <t>I-WB-NYGH-ENB-9004</t>
  </si>
  <si>
    <t>BHAKRABADA</t>
  </si>
  <si>
    <t xml:space="preserve">KHOKON PARI-9933065681,VILL-KAMIACHAWK,P.O-BAKHRABAD,P.S-BELDA,DIST-MEDINIPORE-721424</t>
  </si>
  <si>
    <t xml:space="preserve">controller backpanel faulty</t>
  </si>
  <si>
    <t xml:space="preserve">WCDMESH faulty</t>
  </si>
  <si>
    <t xml:space="preserve">4 kva</t>
  </si>
  <si>
    <t>fauly</t>
  </si>
  <si>
    <t xml:space="preserve">earthing faulty, meter room water logged, class B SPD needed</t>
  </si>
  <si>
    <t>I-WB-NYGH-ENB-9007</t>
  </si>
  <si>
    <t>DARIMARA</t>
  </si>
  <si>
    <t xml:space="preserve">SANKAR CHANDRA KHELAR-9800596285,VILL-DARIMARA,P.O &amp; P.S-NARAYANGARH,DIST-WEST MEDINIPORE-721437</t>
  </si>
  <si>
    <t xml:space="preserve">earthing faulty, ODC need to fixed, meter room broken, SPD install need, soil filling</t>
  </si>
  <si>
    <t>I-WB-NYGH-ENB-9008</t>
  </si>
  <si>
    <t xml:space="preserve">DAUKA TENTULMURI</t>
  </si>
  <si>
    <t xml:space="preserve">KARTICK CHANDRA MAITY-9126746489,VILL-DAUKA,PO-TENTULMURI,PS-NARAYANGARH,DIST-WEST MIDNAPUR,PIN-721437</t>
  </si>
  <si>
    <t>I-WB-NYGH-ENB-9009</t>
  </si>
  <si>
    <t xml:space="preserve">NIKURSENI RLY STATION</t>
  </si>
  <si>
    <t xml:space="preserve">AJOY KR.DAS V-BIRPUR,P.O-GOBRA,P.S -RAMNAGAR,DIST-PURBAMIDNAPUR,721441</t>
  </si>
  <si>
    <t xml:space="preserve">DC IO card is faulty, earthing, meter room broken, </t>
  </si>
  <si>
    <t>I-WB-NYGH-ENB-9012</t>
  </si>
  <si>
    <t>DASHAGRAM</t>
  </si>
  <si>
    <t xml:space="preserve">AMITAVA PAL-9002781654,VILL &amp; P.O-DASAGRAM,P.S-SABANG,DIST-WEST MIDNAPORE-721467</t>
  </si>
  <si>
    <t xml:space="preserve">1 battery BMS card faulty</t>
  </si>
  <si>
    <t>I-WB-NYGH-ENB-9013</t>
  </si>
  <si>
    <t>DURIA</t>
  </si>
  <si>
    <t xml:space="preserve">DIPALI BHUNIA-9609165116,VILL-DURIA,P.S-NARAYANGARH,DIST-WEST MEDINIPUR-721467</t>
  </si>
  <si>
    <t xml:space="preserve">GCU faulty, ODC fan faulty</t>
  </si>
  <si>
    <t>I-WB-NYGH-ENB-9021</t>
  </si>
  <si>
    <t>NYGH-9021</t>
  </si>
  <si>
    <t xml:space="preserve">Rabindranath Sahoo, Vill+PO- Kunarpur, PS- -Narayangar, pin-721437, Mob-9732581755</t>
  </si>
  <si>
    <t xml:space="preserve">battery backup needed</t>
  </si>
  <si>
    <t>I-WB-NYGH-ENB-9023</t>
  </si>
  <si>
    <t>NYGH-9023</t>
  </si>
  <si>
    <t xml:space="preserve">SABRAT KHAN-8159899337-VILL-KARANJI CHAK ASDA,P.O-ASDA,P.S.-BELDA,PASCHIM MEDINIPUR,721424</t>
  </si>
  <si>
    <t xml:space="preserve">DC IO card faulty (load on DG not showing) analog card faulty</t>
  </si>
  <si>
    <t xml:space="preserve">56 ah (6), 55 ah(1)</t>
  </si>
  <si>
    <t xml:space="preserve">1 BM not show due to non panasonic serial number</t>
  </si>
  <si>
    <t xml:space="preserve">earthing faulty, LA disconnect, 100 amp MCB need</t>
  </si>
  <si>
    <t>I-WB-NYGH-ENB-9024</t>
  </si>
  <si>
    <t>NYGH-9024</t>
  </si>
  <si>
    <t xml:space="preserve">Bikash Bebartta,9732360744,Vill : Renua and PO - Garradhanpur ,PS Belda,DIST: Paschim Medinipur</t>
  </si>
  <si>
    <t xml:space="preserve">after backup LVD card happen</t>
  </si>
  <si>
    <t xml:space="preserve">LA disconnected, 100 amp MCB faulty, class B SPD need</t>
  </si>
  <si>
    <t>I-WB-NYGH-ENB-9025</t>
  </si>
  <si>
    <t>NYGH-9025</t>
  </si>
  <si>
    <t xml:space="preserve">KANAI LAL KHATUA (09547032709)-C/O.: LATE DHIRENDRA NATH KHATUA, VILL. + P.O.: MARKUNDA, P.S.: NARAYANGARH, DIST: PASCHIM MEDINIPUR,PIN. - 721133</t>
  </si>
  <si>
    <t>I-WB-NYGH-ENB-9034</t>
  </si>
  <si>
    <t>BASUDEVPUR</t>
  </si>
  <si>
    <t xml:space="preserve">Sahadev Das, 9735333629, Vill : Basudevpur, Kotaigarh PS Narayangarh, 721437</t>
  </si>
  <si>
    <t xml:space="preserve">4 km</t>
  </si>
  <si>
    <t xml:space="preserve">DG shalf and panel wearing faulty</t>
  </si>
  <si>
    <t>I-WB-NYGH-ENB-9036</t>
  </si>
  <si>
    <t>NYGH-9036</t>
  </si>
  <si>
    <t xml:space="preserve">Badal Jana and Others,vill- Kankurgeriya, Po- Gopinathpur, Ps-Narayangar, Dist- West Midnapur,pin-721437, M-9933612989</t>
  </si>
  <si>
    <t xml:space="preserve">DCIO card faulty</t>
  </si>
  <si>
    <t xml:space="preserve">DG battery thefe, DG pane wearing burnt </t>
  </si>
  <si>
    <t>I-WB-NYGH-ENB-9039</t>
  </si>
  <si>
    <t>KHURSI</t>
  </si>
  <si>
    <t xml:space="preserve">MANTU JANA, VILL- KHURSI, P.O- KHURSI, PS-NARAYANGARH, DIST.- PASCHIM MEDINIPUR, MOB- 9609165116</t>
  </si>
  <si>
    <t xml:space="preserve">MPPT and solar plat cleaning needed</t>
  </si>
  <si>
    <t>I-WB-NYGH-ENB-9040</t>
  </si>
  <si>
    <t>THANGAMARA</t>
  </si>
  <si>
    <t xml:space="preserve">Balai Bera (09002972967) Vill. - Thangamara, P.O. - Baharupa, P.S. - Narayangarh, Pin-721437</t>
  </si>
  <si>
    <t>I-WB-NYGH-ENB-9044</t>
  </si>
  <si>
    <t>DIHIUPAR</t>
  </si>
  <si>
    <t xml:space="preserve">VILL-DIHIUPAR,P.O-DIBIPANDA,P.S-NARAYANGARH,DIST-WEST MIDNAPORE,PIN-721437  NARAYANGARH</t>
  </si>
  <si>
    <t>I-WB-NYGH-ENB-9047</t>
  </si>
  <si>
    <t>MURAKATA</t>
  </si>
  <si>
    <t xml:space="preserve">Achinta Ghosh-9593770357,Vill-Murakata,P.O.-Rampura,P.S-Narayangarh,Paschim Medinipur</t>
  </si>
  <si>
    <t>I-WB-NYGH-ENB-9048</t>
  </si>
  <si>
    <t>NYGH-9048</t>
  </si>
  <si>
    <t xml:space="preserve">Nimai Paria-9732722667,Vill-Gobindapur,P.O.-Babla,P.S-Belda,721445</t>
  </si>
  <si>
    <t xml:space="preserve">Display is not showing</t>
  </si>
  <si>
    <t xml:space="preserve">DG consume high fuel, local public issue</t>
  </si>
  <si>
    <t>I-WB-NYGH-ENB-9050</t>
  </si>
  <si>
    <t xml:space="preserve">MIHIR KUMAR JANA; VILL-DHARPUR;PO-PULGERIYA; PS-NRAYANGAR;DIST- MEDINIPUR WEST;PIN-721437; M-9126360638</t>
  </si>
  <si>
    <t>I-WB-NYGH-ENB-9052</t>
  </si>
  <si>
    <t>NYGH-9052</t>
  </si>
  <si>
    <t xml:space="preserve">sk Hasim, Vill Kasba, po ps Narayangar, Dist West Midnapur, pin 721437, m 8370889550</t>
  </si>
  <si>
    <t>I-WB-NYGH-ENB-9053</t>
  </si>
  <si>
    <t>NYGH-9053</t>
  </si>
  <si>
    <t xml:space="preserve">RAMAPADA MANNA(8348124273),VILL DEULBAR,PO JAJIANANKAR,DIST PASCHIM MEDNIPUR,PIN 721437</t>
  </si>
  <si>
    <t xml:space="preserve">DG battery needed, RM needed, Battery needed</t>
  </si>
  <si>
    <t>I-WB-NYGH-ENB-9055</t>
  </si>
  <si>
    <t>NYGH-9055</t>
  </si>
  <si>
    <t xml:space="preserve">Swapan Patra-9635359066-Vill-pachasbetiaPO- Taru</t>
  </si>
  <si>
    <t>I-WB-NYGH-ENB-9056</t>
  </si>
  <si>
    <t>NYGH-9056</t>
  </si>
  <si>
    <t xml:space="preserve">Haripada sau-8116887606/8972627339,saljora,belda,721424</t>
  </si>
  <si>
    <t xml:space="preserve">meter room 100 amp MCB faulty, earthing</t>
  </si>
  <si>
    <t>I-WB-NYGH-ENB-9060</t>
  </si>
  <si>
    <t>NYGH-9060</t>
  </si>
  <si>
    <t xml:space="preserve">Aghor Chandra Sahani, vill- Uttar Dhanasri, po-Chatla, ps- Belda, pin-721424, m-9434991698</t>
  </si>
  <si>
    <t xml:space="preserve">DC IO  card faulty, PSF IO card faulty </t>
  </si>
  <si>
    <t xml:space="preserve">earthing problem, SMPS and RM need to change</t>
  </si>
  <si>
    <t>I-WB-NYGH-ENB-9061</t>
  </si>
  <si>
    <t>NYGH-9061</t>
  </si>
  <si>
    <t xml:space="preserve">BISWANATH MAITY(9064134353),VILL-CHATLA,PO-CHOTO CHATALA,PS-BELDA,DIST-PASCHIM MEDNIPUR,PIN-721424</t>
  </si>
  <si>
    <t xml:space="preserve">Fuel restricted site, BM need, earthing, LA needed, need to change over install</t>
  </si>
  <si>
    <t xml:space="preserve">link site</t>
  </si>
  <si>
    <t>I-WB-NYGH-ENB-9062</t>
  </si>
  <si>
    <t>NYGH-9062</t>
  </si>
  <si>
    <t xml:space="preserve">VILL- BELTI, PO- FULGERIA, PS- NARAYANGARH, DIST- WEST MIDNAPORE, PIN- 721437   NARAYANGARH</t>
  </si>
  <si>
    <t>I-WB-NYGH-ENB-9063</t>
  </si>
  <si>
    <t>NYGH-9063</t>
  </si>
  <si>
    <t xml:space="preserve">Jhareswar Chandra-8001900650-vill-Nahaspurpo-Khat</t>
  </si>
  <si>
    <t xml:space="preserve">faulty </t>
  </si>
  <si>
    <t>I-WB-NYGH-ENB-9065</t>
  </si>
  <si>
    <t>NYGH-9065</t>
  </si>
  <si>
    <t xml:space="preserve">Gopal Chandra Bera, vill Parijatpur,po Markunda,ps Nrayangarh,dist West Midnapur, pin 721131, m 6297607976</t>
  </si>
  <si>
    <t>I-WB-NYGH-ENB-9066</t>
  </si>
  <si>
    <t>NYGH-9066</t>
  </si>
  <si>
    <t xml:space="preserve">NIRMAL DOLAI(9593448533),VILL GURIBATI TAKI,PO MAKRAMPUR,PS NARAYANGARH, DIST WEST MIDNIPUR,PIN 721437</t>
  </si>
  <si>
    <t>I-WB-NYGH-ENB-9067</t>
  </si>
  <si>
    <t>NYGH-9067</t>
  </si>
  <si>
    <t>Bhagbat-9564555477-AstiBelda72144</t>
  </si>
  <si>
    <t>I-WB-NYGH-ENB-9068</t>
  </si>
  <si>
    <t>NYGH-9068</t>
  </si>
  <si>
    <t xml:space="preserve">VILL+P.O- KUTKI, P.S- BELDA, DIST- WEST MIDNAPUR, PIN- 721451  NARAYANGARH</t>
  </si>
  <si>
    <t xml:space="preserve">port faulty</t>
  </si>
  <si>
    <t>I-WB-NYGH-ENB-9069</t>
  </si>
  <si>
    <t>NYGH-9069</t>
  </si>
  <si>
    <t xml:space="preserve">KARTIK MAITY-7029854421-Vill+P.O-Kanthalia,P.S-Narayangarh,Pin-721437</t>
  </si>
  <si>
    <t>I-WB-NYGH-ENB-9070</t>
  </si>
  <si>
    <t>NYGH-9070</t>
  </si>
  <si>
    <t xml:space="preserve">Subal Bhunia-9609911555 / 7484741127-Vill+PO-Goita,PS-Narayangarh,Pin-721424,Dist-Paschim Medinipur</t>
  </si>
  <si>
    <t xml:space="preserve">Service main cable is faulty</t>
  </si>
  <si>
    <t>I-WB-NYGH-ENB-9071</t>
  </si>
  <si>
    <t>SANGONUA</t>
  </si>
  <si>
    <t xml:space="preserve">Surojit Dhal-7427910801-Vill-Sangonua,P.O-Reripur,P.S-Narayangarh,Pin-721424</t>
  </si>
  <si>
    <t xml:space="preserve">DG batterry charger faulty, earthing faulty</t>
  </si>
  <si>
    <t>I-WB-NYGH-ENB-9072</t>
  </si>
  <si>
    <t>NYGH-9072</t>
  </si>
  <si>
    <t xml:space="preserve">VILL- GOHIRA, P.O- SUSINDA, P.S- BELDA, DIST- WEST MIDNAPORE, PIN- 721424  NARAYANGARH</t>
  </si>
  <si>
    <t xml:space="preserve">LA disconnect , earthing</t>
  </si>
  <si>
    <t>I-WB-NYGH-ENB-9073</t>
  </si>
  <si>
    <t>NYGH-9073</t>
  </si>
  <si>
    <t xml:space="preserve">VILL-+PO-BARAKOLANKAIPIN-721437PS-NARAYANGARHDIST-PASCHIM MEDINIPUR</t>
  </si>
  <si>
    <t>I-WB-NYGH-ENB-9074</t>
  </si>
  <si>
    <t>NYGH-9064</t>
  </si>
  <si>
    <t xml:space="preserve">VILL- GOMUA, PO- KHURSHI, PS- NARAYANGARH, DIST- WEST MIDNAPORE, PIN- 721437  NARAYANGARH</t>
  </si>
  <si>
    <t>I-WB-NYGH-ENB-9075</t>
  </si>
  <si>
    <t>NYGH-9075</t>
  </si>
  <si>
    <t xml:space="preserve">Mritunjoy Sahoo-9775154086 / 9734343235-Vill+PO-Narma,Ps-Narayangarh,Pin-721166,Dist-Paschim Medinipur</t>
  </si>
  <si>
    <t xml:space="preserve">RM communication faulty</t>
  </si>
  <si>
    <t xml:space="preserve">need battery backup and RM</t>
  </si>
  <si>
    <t>I-WB-NYGH-ENB-9077</t>
  </si>
  <si>
    <t>NYGH-9077</t>
  </si>
  <si>
    <t xml:space="preserve">Ranjit Routh-9635473752,Vill-Bengda,P.O.+P.S.-Belda,Medinipur West,721424</t>
  </si>
  <si>
    <t xml:space="preserve">Earthing </t>
  </si>
  <si>
    <t>I-WB-NYGH-ENB-9078</t>
  </si>
  <si>
    <t>UKRASANDA</t>
  </si>
  <si>
    <t xml:space="preserve">Dulal Chandra Das-9547570909-Vill- Tagaria, PO- Bakrabad, PS-Belda, Dist-W. Medinipur, Pin-721424</t>
  </si>
  <si>
    <t>I-WB-NYGH-ENB-9079</t>
  </si>
  <si>
    <t>NYGH-9079</t>
  </si>
  <si>
    <t xml:space="preserve">DENISH RAHAMAN, 8348242572,Vill-PATLI PATNA, P.O-BAKRABAD, PS-BELDA, DIST- PASCHIM MEDINIPORE, PIN-721424</t>
  </si>
  <si>
    <t xml:space="preserve">DG charger faulty, soil filling, water logged, earthing</t>
  </si>
  <si>
    <t>I-WB-NYGH-ENB-9080</t>
  </si>
  <si>
    <t>GANGUTIA</t>
  </si>
  <si>
    <t xml:space="preserve">Mriganka Maity-7479129897-Vill-Gangutia,Po-Keshrambha,PS-Belda,pin-721451,Dist-Paschim Medinipur</t>
  </si>
  <si>
    <t xml:space="preserve">service main if faulty, earthing</t>
  </si>
  <si>
    <t>I-WB-NYGH-ENB-9081</t>
  </si>
  <si>
    <t xml:space="preserve">Anil Das-9609051578 / 9733602344-Vill-Khalina, ps- Belda, Dist-west Medinipur, 721442</t>
  </si>
  <si>
    <t xml:space="preserve">backpanel faulty, touch controller faulty</t>
  </si>
  <si>
    <t xml:space="preserve">RM is not visible</t>
  </si>
  <si>
    <t xml:space="preserve">DG breakdown </t>
  </si>
  <si>
    <t>I-WB-NYGH-ENB-9082</t>
  </si>
  <si>
    <t>CHIRKUNIA</t>
  </si>
  <si>
    <t>I-WB-NYGH-ENB-A001</t>
  </si>
  <si>
    <t>Reripur_East</t>
  </si>
  <si>
    <t xml:space="preserve">Amirjan Saha Vill. &amp; P.O  Readypur P.S Narayangarh Dist Midnapur (E) Pin. 721424 </t>
  </si>
  <si>
    <t>I-WB-NYGH-ENB-A002</t>
  </si>
  <si>
    <t>AKANDA</t>
  </si>
  <si>
    <t xml:space="preserve">C/O: O.Mallick, Vill: Akanda, P.O: Belda, P.S: Belda, Pin: 721424</t>
  </si>
  <si>
    <t>I-WB-NYGH-ENB-B001</t>
  </si>
  <si>
    <t>KHUSBHASAL</t>
  </si>
  <si>
    <t xml:space="preserve">KUSBASHAN, KAKURDA, PS:BELDA, DIST: PASCHIM MEDINIPUR, PIN:</t>
  </si>
  <si>
    <t>I-WB-NYGH-ENB-G001</t>
  </si>
  <si>
    <t>BHADRAKALI</t>
  </si>
  <si>
    <t xml:space="preserve">BHADRAKALI, MAKRAMPUR, PASCHIM MEDINIPUR</t>
  </si>
  <si>
    <t>I-WB-NYGH-ENB-I001</t>
  </si>
  <si>
    <t>KHELNA</t>
  </si>
  <si>
    <t xml:space="preserve">KELINA, NARANGRARH, PASCHIM MEDINIPUR, null</t>
  </si>
  <si>
    <t>I-WB-NYGH-ENB-I002</t>
  </si>
  <si>
    <t xml:space="preserve">Vill Raipur,PO Kanthalia,PS-Narayangarh,Dist-West Midnapur,721437</t>
  </si>
  <si>
    <t>I-WB-NYGH-ENB-I003</t>
  </si>
  <si>
    <t>KURUMPUR</t>
  </si>
  <si>
    <t xml:space="preserve">Mr Asit Kumar Mana,Vill:Kurumpur, PO:Tentulia, PS:Narangarh, Dist:West Medinipur,PINCODE--721437</t>
  </si>
  <si>
    <t>I-WB-NYGH-ENB-I004</t>
  </si>
  <si>
    <t>CHAKMAHIMA</t>
  </si>
  <si>
    <t xml:space="preserve">GiriDhari das dag no-38,Kh-18,Jl-688,Mouza+Vill- Keshiachak,P.O- Chak Mahima,P.s- Belda,721426. contact no-9732565998</t>
  </si>
  <si>
    <t>I-WB-NYGH-ENB-I006</t>
  </si>
  <si>
    <t xml:space="preserve">MADAN MOHANCHAK</t>
  </si>
  <si>
    <t xml:space="preserve">Dag No- 155, Khatian No- 2/1, J.L.No- 493, Mouza- Nayagram, P.S- Narayangarh, Dist- West Midnapore, West Bengal</t>
  </si>
  <si>
    <t>I-WB-NYGH-ENB-I007</t>
  </si>
  <si>
    <t xml:space="preserve">THAKUR CHAK</t>
  </si>
  <si>
    <t xml:space="preserve">RABINDRANATH PATRA, VILL+P.O-THAKUR CHAK, P.S-BELDA, DIST- MIDNAPORE, PIN-721424</t>
  </si>
  <si>
    <t>I-WB-NYGH-ENB-I008</t>
  </si>
  <si>
    <t>BELDA-3</t>
  </si>
  <si>
    <t xml:space="preserve">Belda, Near NH-60 by-pass,</t>
  </si>
  <si>
    <t>I-WB-NYGH-ENB-I010</t>
  </si>
  <si>
    <t>LAUDUNGRI</t>
  </si>
  <si>
    <t>MrSapanRoyVillPo-LaudungriPs-BeldaPin-721</t>
  </si>
  <si>
    <t>I-WB-NYGH-ENB-I011</t>
  </si>
  <si>
    <t>BARAKLINKI</t>
  </si>
  <si>
    <t xml:space="preserve">Mouza- Barkalanki, J.L. No. 486, Khatian No. 116, Dag No. 2018(Sabek) 2388(Hal), P.S. Narayanpur, District- Midnapur</t>
  </si>
  <si>
    <t>I-WB-NYGH-ENB-I012</t>
  </si>
  <si>
    <t xml:space="preserve">Duria, Narangrah</t>
  </si>
  <si>
    <t>I-WB-NYGH-ENB-I013</t>
  </si>
  <si>
    <t>EBLELDA041</t>
  </si>
  <si>
    <t xml:space="preserve">MrsGiplakha DasW/o DrSushanta Kr DasVillSusi</t>
  </si>
  <si>
    <t>I-WB-NYGH-ENB-I014</t>
  </si>
  <si>
    <t>SOLUKIA</t>
  </si>
  <si>
    <t>I-WB-NYGH-ENB-W001</t>
  </si>
  <si>
    <t>TARUA</t>
  </si>
  <si>
    <t xml:space="preserve">Technician. Sandip,9083737876, Vill: Rasulpur, Po: Lalnagar, PS: Belda, Dist: Paschim Medinipur</t>
  </si>
  <si>
    <t>I-WB-PING-ENB-6000</t>
  </si>
  <si>
    <t>MALIGRAM</t>
  </si>
  <si>
    <t xml:space="preserve"> DAG NO 5413 KHATIAN NO 240 1 60 1 JL NO 199 MOUZA AND VILL AND PO MALIGRAM PO MALIGRAM DIST WEST MIDNAPORE PIN 721140 </t>
  </si>
  <si>
    <t xml:space="preserve">LVD card faulty</t>
  </si>
  <si>
    <t xml:space="preserve">DG required, battery need, SMPS LVD card faulty, AC faulty, shelter fan faulty</t>
  </si>
  <si>
    <t>I-WB-PING-ENB-6001</t>
  </si>
  <si>
    <t>PINGLA</t>
  </si>
  <si>
    <t xml:space="preserve">DAG NO- 1573/2829,KLHATIAN NO- 2175,2176,JL NO- 83.MOUZA- PINGLA, VILL  AND AMP; PO- PINGLA, PS- PINGLA, DIST- WEST MIDNAPORE,PIN-721140</t>
  </si>
  <si>
    <t xml:space="preserve">GCU controller faulty, RM need, AC faulty</t>
  </si>
  <si>
    <t>I-WB-PING-ENB-9014</t>
  </si>
  <si>
    <t>JAGANNATHPUR</t>
  </si>
  <si>
    <t xml:space="preserve">Sanjoy Kumar Jana    Vill. - Jagannathpur, P.O. - Barageria, P.S. - Pingla, Pin. - 721140, 4 No. Karkai Anchal</t>
  </si>
  <si>
    <t xml:space="preserve">56 ah </t>
  </si>
  <si>
    <t xml:space="preserve">ODC fan faulty</t>
  </si>
  <si>
    <t>I-WB-PING-ENB-9017</t>
  </si>
  <si>
    <t>PING-9017</t>
  </si>
  <si>
    <t xml:space="preserve">PRABHUDAYAL BHUNIA, S/O-LATE KRISHNA PRASAD BHUNIA, VILL-BELAR, PO-KANTACHOWKI, PS-PINGLA, DIST. PASCHIM MEDINIPUR, PIN-721140, MOB NO.9800338393., 1 NO. KUSUMDA,</t>
  </si>
  <si>
    <t xml:space="preserve">6.5 h</t>
  </si>
  <si>
    <t xml:space="preserve">20 kva DG required for 5 G , meter room changer box faulty</t>
  </si>
  <si>
    <t>I-WB-PING-ENB-9018</t>
  </si>
  <si>
    <t>PING-9018</t>
  </si>
  <si>
    <t xml:space="preserve">Pulin Dolai, Vill-JONKHA, Po- Pingla, Pin-721140, M-9126299530</t>
  </si>
  <si>
    <t xml:space="preserve">3 RM backpanel faulty</t>
  </si>
  <si>
    <t>I-WB-PING-ENB-9024</t>
  </si>
  <si>
    <t>PING-9024</t>
  </si>
  <si>
    <t xml:space="preserve">Ranjit Ghorai,Vill Jnhat,po Jalchak, ps Pingla, pin 721155, m 9932474260</t>
  </si>
  <si>
    <t xml:space="preserve">1 BM alarm</t>
  </si>
  <si>
    <t>I-WB-PING-ENB-9025</t>
  </si>
  <si>
    <t>PING-9025</t>
  </si>
  <si>
    <t xml:space="preserve">MRITYUNJOY BERA, VILL PO DANGALSA, PS PINGLA, DIST. PASCHIM MEDINIPUR, PIN 721131, MOB. 8910653581</t>
  </si>
  <si>
    <t xml:space="preserve">DG breakdown (AVR faulty)</t>
  </si>
  <si>
    <t xml:space="preserve">water logged+ high vegetation</t>
  </si>
  <si>
    <t>I-WB-PING-ENB-9027</t>
  </si>
  <si>
    <t>PING-9027</t>
  </si>
  <si>
    <t xml:space="preserve">VILL- CHOTOKHELNA, PO- MALIGRAM, PS- PINGLA, DIST- PASCHIM MEDINIPUR, PIN- 721140  PINGLA</t>
  </si>
  <si>
    <t xml:space="preserve">DG - 14 kva (as per data)</t>
  </si>
  <si>
    <t>I-WB-PING-ENB-9029</t>
  </si>
  <si>
    <t>PING-9029</t>
  </si>
  <si>
    <t xml:space="preserve">Sukumar Das,vill-Makarda, ps-Pingla, pin-721140, m-6294790944</t>
  </si>
  <si>
    <t xml:space="preserve">2 RM backpanel faulty</t>
  </si>
  <si>
    <t xml:space="preserve">2 faulty MPPT retured so net 2 MPPT is in site</t>
  </si>
  <si>
    <t>I-WB-PING-ENB-9031</t>
  </si>
  <si>
    <t xml:space="preserve">Satish Ch Bhowmik,Vill-Panchgeria,Po-Uttarbar,Ps-Pingla,Pin-721140,Cont-6295228967</t>
  </si>
  <si>
    <t>I-WB-PING-ENB-9033</t>
  </si>
  <si>
    <t>PING-9033</t>
  </si>
  <si>
    <t xml:space="preserve">Prafulla Maity-9830457646 / 9732529708-Vill-Chandipur,Po-Pindrui,PS-Pingla,Pin-721131,Dist-Paschim Medinipur</t>
  </si>
  <si>
    <t>I-WB-PING-ENB-9034</t>
  </si>
  <si>
    <t xml:space="preserve">Khudiram sahoo-9732819787 / 6297904288-Vill-Radhaban,Po-Kalukhara,PS-Panskura,Dist-Purba  Medinipur,Pin-721152</t>
  </si>
  <si>
    <t xml:space="preserve">FID pump faulty</t>
  </si>
  <si>
    <t>I-WB-PING-ENB-9035</t>
  </si>
  <si>
    <t xml:space="preserve">Kasinath Barman-8617618654-Vill+PO-Mundamari,PS-Pingla,Pin-721140,Dist-Paschim Medinipur</t>
  </si>
  <si>
    <t xml:space="preserve">CD need to replace with DGB</t>
  </si>
  <si>
    <t>I-WB-PING-ENB-A001</t>
  </si>
  <si>
    <t>NPINPINDURI1</t>
  </si>
  <si>
    <t xml:space="preserve">Jugal Samanta, C/O - Guru Pada Samanta, Vill &amp; P.O. - Pinduri. P.S.-Pingla,  - Mob.9732899878</t>
  </si>
  <si>
    <t>I-WB-PING-ENB-A002</t>
  </si>
  <si>
    <t xml:space="preserve">Village-Keleara, Post-Laxmipari, Ps-Pingla, pin-721155</t>
  </si>
  <si>
    <t>I-WB-PING-ENB-B001</t>
  </si>
  <si>
    <t>DUJK01A</t>
  </si>
  <si>
    <t xml:space="preserve">DUJIPUR, PS.PINGLA, DIST:PASCHIM MEDINIPUR</t>
  </si>
  <si>
    <t xml:space="preserve">LVD card , pushpack faulty</t>
  </si>
  <si>
    <t xml:space="preserve">BM </t>
  </si>
  <si>
    <t>I-WB-PING-ENB-G001</t>
  </si>
  <si>
    <t>Jamna</t>
  </si>
  <si>
    <t xml:space="preserve">GOPAL CHAND DAS AT&amp;PO-JAMANA PS- PINGLA DIST PASCHIM MADINIPUR PH-9933611847</t>
  </si>
  <si>
    <t>I-WB-PING-ENB-I001</t>
  </si>
  <si>
    <t xml:space="preserve">DANGAL BAZAR</t>
  </si>
  <si>
    <t xml:space="preserve">Vill. + P.o. Govardhanpur, P.s. Pingla, Distt. Midnapur(W),</t>
  </si>
  <si>
    <t>I-WB-PING-ENB-I002</t>
  </si>
  <si>
    <t xml:space="preserve">Dhaneshwarpur Paschim Bar</t>
  </si>
  <si>
    <t xml:space="preserve">Mr.Kanai Lal Shit,Vill.Basudeopur,Posr.dhaneswarpur,Ps.Pingla,Dist.West Midnapur,Pin.721166</t>
  </si>
  <si>
    <t>I-WB-PING-ENB-I003</t>
  </si>
  <si>
    <t>KARKALI</t>
  </si>
  <si>
    <t xml:space="preserve">Nitai Chand Mandal, Mouza:Karkai, Vill:&amp; P.O - Karkai, PS: Pingla, Dist: W. Midnapur. Phone No.-9733521236, 9735336492</t>
  </si>
  <si>
    <t>I-WB-PING-ENB-I005</t>
  </si>
  <si>
    <t xml:space="preserve">Gurupada Samai and Balai SamaiDag no-8081Kh-16</t>
  </si>
  <si>
    <t>I-WB-PING-ENB-I006</t>
  </si>
  <si>
    <t>LAXMIPARI</t>
  </si>
  <si>
    <t xml:space="preserve">JL No 227, Touzi No. 179 [Sabek] 16 [Hal] Khatian No 78, Dag No 1871/2308 and situated at Mouza Laxmipari, PS Pingla, District West Midnapur, Pin 721155</t>
  </si>
  <si>
    <t>I-WB-PING-ENB-I007</t>
  </si>
  <si>
    <t>NAYA</t>
  </si>
  <si>
    <t xml:space="preserve">Naya, Pingla</t>
  </si>
  <si>
    <t>I-WB-PING-ENB-I008</t>
  </si>
  <si>
    <t>NSUTSUTCHAR1</t>
  </si>
  <si>
    <t xml:space="preserve">Sutchhara, Pingla</t>
  </si>
  <si>
    <t>I-WB-PING-ENB-I010</t>
  </si>
  <si>
    <t xml:space="preserve">Katapurkur, Pingla</t>
  </si>
  <si>
    <t>I-WB-XXXX-COW-0032</t>
  </si>
  <si>
    <t>XXXX-0032</t>
  </si>
  <si>
    <t xml:space="preserve">JHAPATAPUR SOUTH SIDE KHARAGPURWEST MIDNAPUR WEST BENGAL 721301</t>
  </si>
  <si>
    <t>I-WB-XXXX-COW-0033</t>
  </si>
  <si>
    <t>XXXX-0033</t>
  </si>
  <si>
    <t xml:space="preserve">NEAR GOLE BAZAR RD KHARAGPUR WEST MIDNAPUR WEST BENGAL 721301</t>
  </si>
  <si>
    <t>I-WB-XXXX-COW-0037</t>
  </si>
  <si>
    <t>XXXX-0037</t>
  </si>
  <si>
    <t>I-WB-XXXX-COW-0038</t>
  </si>
  <si>
    <t xml:space="preserve">Kalyan Mandap</t>
  </si>
  <si>
    <t>I-WB-XXXX-COW-0039</t>
  </si>
  <si>
    <t xml:space="preserve">NEAR GIRIMAIDAN-KGPR-part of 06</t>
  </si>
  <si>
    <t xml:space="preserve">Near Giri Maidan Station,OLD settlement Workshop post office,dhobi ghat,kharagpur,721301</t>
  </si>
  <si>
    <t>I-WB-XXXX-COW-0040</t>
  </si>
  <si>
    <t>XXXX-0040</t>
  </si>
  <si>
    <t>I-WB-KGPR-ESC-0001</t>
  </si>
  <si>
    <t>I-WB-DAGT-ESC-0001</t>
  </si>
  <si>
    <t>I-WB-NYGH-ESC-0012</t>
  </si>
  <si>
    <t>I-WB-KHRK-ESC-0016</t>
  </si>
  <si>
    <t>I-WB-NYGH-ESC-0024</t>
  </si>
  <si>
    <t>I-WB-NYGH-ESC-0007</t>
  </si>
  <si>
    <t>I-WB-KSRY-ESC-0002</t>
  </si>
  <si>
    <t>I-WB-KGPO-ESC-0010</t>
  </si>
  <si>
    <t>I-WB-NYGH-ESC-0023</t>
  </si>
  <si>
    <t>I-WB-KSRY-ESC-0007</t>
  </si>
  <si>
    <t>I-WB-DEBR-ESC-0024</t>
  </si>
  <si>
    <t>I-WB-MAEX-ESC-0001</t>
  </si>
  <si>
    <t>I-WB-JAAK-ESC-0001</t>
  </si>
  <si>
    <t>I-WB-PING-ESC-0001</t>
  </si>
  <si>
    <t>I-WB-KHRK-ESC-0015</t>
  </si>
  <si>
    <t>I-WB-KHRK-ESC-0001</t>
  </si>
  <si>
    <t>I-WB-DEBR-ESC-0020</t>
  </si>
  <si>
    <t>I-WB-KHRK-ESC-0005</t>
  </si>
  <si>
    <t>I-WB-KHRK-ESC-0004</t>
  </si>
  <si>
    <t>I-WB-KGPR-ESC-0242</t>
  </si>
  <si>
    <t>I-WB-NYGH-ESC-0019</t>
  </si>
  <si>
    <t>I-WB-DNTN-ESC-0001</t>
  </si>
  <si>
    <t>I-WB-DNTO-ESC-0012</t>
  </si>
  <si>
    <t>I-WB-DNTN-ESC-0011</t>
  </si>
  <si>
    <t>I-WB-DNTO-ESC-0002</t>
  </si>
  <si>
    <t>I-WB-NYGH-ESC-0015</t>
  </si>
  <si>
    <t>I-WB-MAEX-ESC-0002</t>
  </si>
  <si>
    <t>I-WB-NYGH-ESC-0020</t>
  </si>
  <si>
    <t>I-WB-DEBR-ESC-0018</t>
  </si>
  <si>
    <t>I-WB-DNTO-ESC-0011</t>
  </si>
  <si>
    <t>I-WB-KHRK-ESC-0003</t>
  </si>
  <si>
    <t>I-WB-KHRK-ESC-0002</t>
  </si>
  <si>
    <t>I-WB-DEBR-ESC-0019</t>
  </si>
  <si>
    <t>I-WB-DNTO-ESC-0001</t>
  </si>
  <si>
    <t>I-WB-DNTO-ESC-0007</t>
  </si>
  <si>
    <t>I-WB-BLDA-ESC-0001</t>
  </si>
  <si>
    <t>I-WB-BLIK-ESC-0001</t>
  </si>
  <si>
    <t>I-WB-DNTN-ESC-0004</t>
  </si>
  <si>
    <t>I-WB-DNTO-ESC-0006</t>
  </si>
  <si>
    <t>I-WB-MONU-ESC-0009</t>
  </si>
  <si>
    <t>I-WB-DNTO-ESC-0008</t>
  </si>
  <si>
    <t>I-WB-PING-ESC-0008</t>
  </si>
  <si>
    <t>I-WB-NYGH-ESC-0002</t>
  </si>
  <si>
    <t>I-WB-KGPR-ESC-0025</t>
  </si>
  <si>
    <t>I-WB-KSRY-ESC-0008</t>
  </si>
  <si>
    <t>I-WB-DEBR-ESC-0001</t>
  </si>
  <si>
    <t>I-WB-KGPR-ESC-0008</t>
  </si>
  <si>
    <t>I-WB-DNTN-ESC-0006</t>
  </si>
  <si>
    <t>I-WB-KGPR-ESC-0007</t>
  </si>
  <si>
    <t>I-WB-KGPO-ESC-0001</t>
  </si>
  <si>
    <t>I-WB-KHRK-ESC-0021</t>
  </si>
  <si>
    <t>I-WB-PING-ESC-0021</t>
  </si>
  <si>
    <t>I-WB-NYGH-ESC-0027</t>
  </si>
  <si>
    <t>I-WB-BLIK-ESC-0002</t>
  </si>
  <si>
    <t>I-WB-KHRK-ESC-0022</t>
  </si>
  <si>
    <t>I-WB-KGPR-ESC-0240</t>
  </si>
  <si>
    <t>I-WB-NYGH-ESC-0028</t>
  </si>
  <si>
    <t>I-WB-DEBR-ESC-0004</t>
  </si>
  <si>
    <t>I-WB-NYGH-ESC-0026</t>
  </si>
  <si>
    <t>I-WB-KGPO-ESC-0011</t>
  </si>
  <si>
    <t>I-WB-MONU-ESC-0012</t>
  </si>
  <si>
    <t>I-WB-DNTO-ESC-0013</t>
  </si>
  <si>
    <t>I-WB-BLDA-ESC-0009</t>
  </si>
  <si>
    <t>I-WB-DNTN-ESC-0012</t>
  </si>
  <si>
    <t>I-WB-NYGH-ESC-0011</t>
  </si>
  <si>
    <t>I-WB-KGPR-ESC-0009</t>
  </si>
  <si>
    <t>I-WB-KGPR-ESC-0246</t>
  </si>
  <si>
    <t>I-WB-KGPR-ESC-0016</t>
  </si>
  <si>
    <t>I-WB-DNTN-ESC-0013</t>
  </si>
  <si>
    <t>I-WB-KHRK-ESC-0023</t>
  </si>
  <si>
    <t>I-WB-KHRK-ESC-0020</t>
  </si>
  <si>
    <t>I-WB-KGPR-ESC-0019</t>
  </si>
  <si>
    <t>I-WB-MONU-ESC-0010</t>
  </si>
  <si>
    <t>I-WB-KSRY-ESC-0009</t>
  </si>
  <si>
    <t>I-WB-MDPR-ENB-0001</t>
  </si>
  <si>
    <t>Medinipur</t>
  </si>
  <si>
    <t>ASHOKENAGAR</t>
  </si>
  <si>
    <t xml:space="preserve">ASHOK PATHAK-8016165681,ASHOKE PATHAK,VILL-ASHOKENAGAR,WARD NO-04,P.S-KOTWALI,P.O-MIDNAPORE,DIST-WEST MIDNAPORE-721102 - 8016165681</t>
  </si>
  <si>
    <t xml:space="preserve">MITHUN GHORAI</t>
  </si>
  <si>
    <t>I-WB-MDPR-ENB-0002</t>
  </si>
  <si>
    <t xml:space="preserve">SCHOOL BAZAR</t>
  </si>
  <si>
    <t xml:space="preserve">BARUN KUMAR GUIN-9564495868/9433265364,VILL-SANGAT BAZAR,WARD NO-8,P.S-KOTWALI,DIST-WEST MIDNAPORE</t>
  </si>
  <si>
    <t xml:space="preserve">SARAJU PRASAD CHAKRABORTY</t>
  </si>
  <si>
    <t xml:space="preserve">not in the system anymore</t>
  </si>
  <si>
    <t>I-WB-MDPR-ENB-0003</t>
  </si>
  <si>
    <t xml:space="preserve">BERBALLAV PUR</t>
  </si>
  <si>
    <t xml:space="preserve">ANUP RANA,9474456100,VILL-SRIRAMPUR,P.S-KOTWALI,P.S-MIDNAPORE - 721305</t>
  </si>
  <si>
    <t>I-WB-MDPR-ENB-0004</t>
  </si>
  <si>
    <t xml:space="preserve">SAHEB PUKUR</t>
  </si>
  <si>
    <t xml:space="preserve">SASTHI CHARAN DEY-03222-269524,ASTHI DE,VILL-SAHEBPUKUR,PS-KOTWALI,WARD NO-13,PIN-721101</t>
  </si>
  <si>
    <t>I-WB-MDPR-ENB-0005</t>
  </si>
  <si>
    <t xml:space="preserve">MIRZA BAZAR</t>
  </si>
  <si>
    <t xml:space="preserve">SK SALIM-9832192382,MIRJABAJAR,JL-179,KH-117,P.S-KOTWALI,DIST-WEST MEDINIPORE</t>
  </si>
  <si>
    <t>I-WB-MDPR-ENB-0006</t>
  </si>
  <si>
    <t xml:space="preserve">BANDHAN LODGE</t>
  </si>
  <si>
    <t xml:space="preserve">MOHAN DAS-9434007319,PATNABAZAR,P.O-MIDNAPORE,P.S-KOTWALI,DIST-WEST MIDNAPORE</t>
  </si>
  <si>
    <t>I-WB-MDPR-ENB-0007</t>
  </si>
  <si>
    <t xml:space="preserve">MEDNAPUR 7</t>
  </si>
  <si>
    <t xml:space="preserve">DIST SECRETARY, STATE GOVT EMPLOYEES FEDERATION(UNIFIED)-9434958019 (DURLAV RAI),STADIUM ROAD, RABINDRA NAGAR, MIDNAPORE, PIN-721101, WARD NO-7 (05)</t>
  </si>
  <si>
    <t>I-WB-MDPR-ENB-0010</t>
  </si>
  <si>
    <t xml:space="preserve">SARAT PALLY</t>
  </si>
  <si>
    <t xml:space="preserve">MANJUSHREE MAITY &amp; ARINDAM MAITY-9832277849,KERANITALA ,SARAT PALLY,BIDHANNAGAR,P.S-KOTWALI,DIST-WEST MIDNAPORE-721101</t>
  </si>
  <si>
    <t>I-WB-MDPR-ENB-0011</t>
  </si>
  <si>
    <t xml:space="preserve">MEDINIPUR JAL TANK</t>
  </si>
  <si>
    <t xml:space="preserve">DILIP KUMAR BAKLY-9800232066,VILL-MIDNAPORE STATION RD,P.O-MIDNAPORE,P.S-KOTWALI,DIST-WEST MIDNAPORE-721101</t>
  </si>
  <si>
    <t>I-WB-MDPR-ENB-0012</t>
  </si>
  <si>
    <t>NABINABAG</t>
  </si>
  <si>
    <t xml:space="preserve">MITRA DUTTA GUPTA-9434691233,VILL-MIRABAZAR, NABINABAG,P.O-MIDNAPORE,P.S-KOTWALI,WARD NO-10,DIST-WEST MIDNAPORE-721101</t>
  </si>
  <si>
    <t>I-WB-MDPR-ENB-0013</t>
  </si>
  <si>
    <t xml:space="preserve">BAPTIST CHURCH</t>
  </si>
  <si>
    <t xml:space="preserve">KIRAN PRAVA GHOSH-9933927345,AB MISSION COMPOUND,SAFETY BAZAR,P.O-MIDNAPORE,DIST-WEST MIDNAPORE</t>
  </si>
  <si>
    <t>I-WB-MDPR-ENB-0015</t>
  </si>
  <si>
    <t xml:space="preserve">ABAS KALI MANDIR</t>
  </si>
  <si>
    <t xml:space="preserve">RAJIB BHAKAT-9434104211,VILL &amp; P.O-ABASH,P.S-KOTWALI,DIST-WEST MEDINIPORE-721102</t>
  </si>
  <si>
    <t>I-WB-MDPR-ENB-0016</t>
  </si>
  <si>
    <t>TALKUI</t>
  </si>
  <si>
    <t xml:space="preserve">DIPAK SINGHA MAHAPATRA &amp; SISIR SINGHA MAHAPATRA &amp; NISITH SINGHA MAHAPATRA-9932878960,NISITH KAR SINGHA MAHAPATRA,VILL-TALKUI,PO-ABAS,PS-KOTWALI,PIN-721102</t>
  </si>
  <si>
    <t>I-WB-MDPR-ENB-0025</t>
  </si>
  <si>
    <t>NAJARGUNJ</t>
  </si>
  <si>
    <t xml:space="preserve">PRAHALLAD BERA-9932660743,NAZARGUNJ,AMTALAGHAT,P.O-MIDNAPORE,DIST-WEST MIDNAPORE-721101</t>
  </si>
  <si>
    <t>I-WB-MDPR-ENB-6002</t>
  </si>
  <si>
    <t xml:space="preserve">STATION RD 3RD SEC</t>
  </si>
  <si>
    <t xml:space="preserve"> VILL RANGAMATI V V ROAD PO VIDYASAGAR UNIVERSITY PS KOTWALI WARD NO 20 MIDNAPORE DIST PASCHIM MIDNAPORE PIN 721102 </t>
  </si>
  <si>
    <t>I-WB-MDPR-ENB-6005</t>
  </si>
  <si>
    <t>MIDNAPUR</t>
  </si>
  <si>
    <t xml:space="preserve">PLOT OF ABU HOSSAIN SHAH, S/O LATE JAN MOHAMMAD SHAH, RS PLOT NO 592/1828, LR PLOT NO 989 ( PART ), JL NO - 173, MOUZA - MIYABAZAR, PS - MIDNAPORE, PASCHIM MEDINIPOR</t>
  </si>
  <si>
    <t>I-WB-MDPR-ENB-6006</t>
  </si>
  <si>
    <t>BARABAZAR</t>
  </si>
  <si>
    <t xml:space="preserve">MEDINIPUR MUNICIPALITY, MEDINIPUR,PO.+DIST. MEDINIPUR( WEST ), PIN. NO. 721101, PS. MEDINIPUR</t>
  </si>
  <si>
    <t>I-WB-MDPR-ENB-6007</t>
  </si>
  <si>
    <t xml:space="preserve">MIDNAPUR STATION ROAD</t>
  </si>
  <si>
    <t xml:space="preserve"> SMT INDRANI GHOSH MC HOLDING N 267 PLOT NO 19 NEAR SCHOOL BOARD OFFICE STATION ROAD </t>
  </si>
  <si>
    <t>I-WB-MDPR-ENB-6008</t>
  </si>
  <si>
    <t xml:space="preserve">PRATIKSHA LODGE</t>
  </si>
  <si>
    <t xml:space="preserve"> JL NO 168 PL NO 1667 RS PL NO 141 P WARD NO5 HOLDING NO 97 1 SIPAI BAZAR PO AND PS MIDNAPUR DT PASCHIM MIDNAPUR PRATIKSHA PIN 721101 </t>
  </si>
  <si>
    <t>I-WB-MDPR-ENB-B002</t>
  </si>
  <si>
    <t xml:space="preserve">TE_MEDINIPUR CITY</t>
  </si>
  <si>
    <t xml:space="preserve">MEDINIPUR TELEPHONE EXCHANGE, PH-9434705805, RAJNAGAR, NEAR POST OFFICE, PO+PS-MEDINIPUR, </t>
  </si>
  <si>
    <t>I-WB-MDPR-ENB-G001</t>
  </si>
  <si>
    <t>MIDNAPORE</t>
  </si>
  <si>
    <t xml:space="preserve">MR. SUPRIYO PRATIHAR, S/O S.M. PRATIHAR, PLOT NO-43, PART A-86, HEAD POST OFFICE ROAD, BARZ TOWN,  P.S.-KOTWALI, POST-MIDINAPUR,DIST- WEST MIDNAPUR,PH NO-9434218248</t>
  </si>
  <si>
    <t>I-WB-MDPR-ENB-G002</t>
  </si>
  <si>
    <t>MEDINIPUR-23</t>
  </si>
  <si>
    <t xml:space="preserve">HOLDING NO:-763/19,TORAPARA,VILL-HABIBPUR,P.S- KOTWALI, WARD-1,DIST- WEST MIDNAPUR., CONTACT NO:-9434358910CHHAYA CHOWDHURY, CONTACT NO:-9434358910</t>
  </si>
  <si>
    <t>I-WB-MDPR-ENB-I001</t>
  </si>
  <si>
    <t>MEDINIPUR</t>
  </si>
  <si>
    <t xml:space="preserve">NATUN BAZAR/WB2188, BISWARANJAN DAS, BALLVPUR, VILL-SUJAGUNJ, WARD NO- 18, PO+PS-MEDINIPUR.</t>
  </si>
  <si>
    <t>I-WB-MDPR-ENB-V001</t>
  </si>
  <si>
    <t xml:space="preserve">KHARAGPUR - 36</t>
  </si>
  <si>
    <t xml:space="preserve">MR. PIYUSH KANTI SINGHA AND RUMI SINGHA, VILL PATNA BAZAR( MIRZA BAZAR), ,PO: MIDNAPUR,PS: MIDNAPUR, PIN: 721101,DIST: WEST MEDINIPUR,721101</t>
  </si>
  <si>
    <t>I-WB-MDPR-ENB-V002</t>
  </si>
  <si>
    <t xml:space="preserve">MIDNAPUR_001 (CHANDINIBAZAR)</t>
  </si>
  <si>
    <t xml:space="preserve">R.S DAG NO-1829 AND 1830,KHATIAN NO-424,MOUZA-CHANDIANA BAZAR,J.L NO-170,MIDNAPORE(WEST) MUNICIPALIY,HOLDING NO-632/286,WARD NO-3,DIST MIDNAPORE(WEST),POLICE STATION-MIDNAPORE. </t>
  </si>
  <si>
    <t>I-WB-GRBT-ENB-G001</t>
  </si>
  <si>
    <t>GARBETA</t>
  </si>
  <si>
    <t xml:space="preserve">ARUN KUMAR SINHA,  VILL+POST-GARBETA, P.S.-GARBETA, DIST-PASHIM MIDINAPUR,PIN-721127, Ph No-03227-267281</t>
  </si>
  <si>
    <t xml:space="preserve">Nantu Ghosh</t>
  </si>
  <si>
    <t>I-WB-GRBT-ENB-9002</t>
  </si>
  <si>
    <t>ASNASULI</t>
  </si>
  <si>
    <t xml:space="preserve">RAMSUNDAR MURMU-9732191642,VILL-ASNASULI,P.O-DHADIKA,P.S-GARBETA,DIST-WEST MIDNAPORE-721127</t>
  </si>
  <si>
    <t xml:space="preserve"> RM bcakpanel faulty</t>
  </si>
  <si>
    <t xml:space="preserve">road access problem, ODC door broken, Water logged site, earthing pit broken</t>
  </si>
  <si>
    <t>I-WB-GRBT-ENB-9003</t>
  </si>
  <si>
    <t>EKARIA</t>
  </si>
  <si>
    <t xml:space="preserve">ABDUL MONDAL-9733988593,VILL-EAKARIYA,P.O-NOHARI,P.S-GARBETA,DIST-WEST MIDNAPORE</t>
  </si>
  <si>
    <t xml:space="preserve">water logged, earthing pit broken, road access issue</t>
  </si>
  <si>
    <t>I-WB-GRBT-ENB-9006</t>
  </si>
  <si>
    <t xml:space="preserve">DHADIKA BAZAR</t>
  </si>
  <si>
    <t xml:space="preserve">GOPAL CHANDRA GHOSH-9932483084,VILL-MONDAL PUSKARINI,PO-DHADIKA,PS-GARBETA,DIST-WEST MIDNAPUR,PIN-721127</t>
  </si>
  <si>
    <t xml:space="preserve">protocol card sometimes found faulty</t>
  </si>
  <si>
    <t xml:space="preserve">1 BM transfered to GRBT-ENB-9008</t>
  </si>
  <si>
    <t xml:space="preserve">1 RM is in good condition but disconnected due to it can damage during lightening</t>
  </si>
  <si>
    <t xml:space="preserve">ODC gate faulty</t>
  </si>
  <si>
    <t>I-WB-CDKN-ENB-6002</t>
  </si>
  <si>
    <t>JARA</t>
  </si>
  <si>
    <t xml:space="preserve">DAG NO. 4846, KHATIAN NO. 3408, JL NO. 152, MOUZA - JARA, VILL AND PO- JARA, PS- CHANDRAKONA TOWN, DIST- WEST MIDNAPORE,PIN- 721232</t>
  </si>
  <si>
    <t xml:space="preserve">Niranjan Midya</t>
  </si>
  <si>
    <t>I-WB-GHTL-ENB-6005</t>
  </si>
  <si>
    <t>RADHANAGAR</t>
  </si>
  <si>
    <t xml:space="preserve"> DAG NO 618 J L NO 078 KHATIAN NO 82 MOUZA RADHANAGAR DIST WEST MIDNAPORE PIN 721212 </t>
  </si>
  <si>
    <t>I-WB-KSRP-ENB-6000</t>
  </si>
  <si>
    <t>KSHIRPAI</t>
  </si>
  <si>
    <t xml:space="preserve"> MR RATAN CHAKRABORTY CO OPERATIVE HOUSING SOCIETY VILL P O KSHIRPAI WEST MIDNAPUR </t>
  </si>
  <si>
    <t>I-WB-KSRP-ENB-9002</t>
  </si>
  <si>
    <t>KASHIGUNJ</t>
  </si>
  <si>
    <t xml:space="preserve">AJIT KUMAR GHOSHAL &amp; ASIT KUMAR GHOSHAL , S/O-PRAHALLAD GHOSHAL-9732473501VILL-KASHIDANGA,P.O-KHIRPAI,P.S-CHANDRAKONA,WARD NO-08,DIST-WEST MIDNAPORE-721232</t>
  </si>
  <si>
    <t>I-WB-DSPR-ENB-9001</t>
  </si>
  <si>
    <t>NARAJAL</t>
  </si>
  <si>
    <t xml:space="preserve">SK MAHIM ALI-9732614036-VILL &amp; P.O-NARAJOLE,P.S-DASPUR,DIST-WEST MEDINIPORE-721211</t>
  </si>
  <si>
    <t xml:space="preserve">SUBHAIS ROY</t>
  </si>
  <si>
    <t>I-WB-DSPO-ENB-6001</t>
  </si>
  <si>
    <t xml:space="preserve">NISCHINDA PUR</t>
  </si>
  <si>
    <t xml:space="preserve">DAG NO-640, KHATIAN NO-2272/2, J.L. NO-230,VILL AND PO-NISCHINDAPUR,PS-DASPUR PIN-721148</t>
  </si>
  <si>
    <t xml:space="preserve">Abhilash Roy</t>
  </si>
  <si>
    <t xml:space="preserve">t 4875 h1</t>
  </si>
  <si>
    <t xml:space="preserve">no GCU available</t>
  </si>
  <si>
    <t xml:space="preserve">GCU needed, DGB need, ODC battery faulty</t>
  </si>
  <si>
    <t>I-WB-GRBT-ENB-6001</t>
  </si>
  <si>
    <t>KHARKUSUM</t>
  </si>
  <si>
    <t xml:space="preserve">DAG NO. 615, JL NO. 789, KHATIAN NO. 586 AND 353, MOUZA - KHARKUSHAMA, VILL AND PO- KHARKUSHMA, DIST- WEST MIDNAPORE, PIN-721156</t>
  </si>
  <si>
    <t xml:space="preserve">LAKSHIKANTA BAG</t>
  </si>
  <si>
    <t xml:space="preserve">BM needed as it will be converted into 5 G</t>
  </si>
  <si>
    <t>I-WB-KESP-ENB-6000</t>
  </si>
  <si>
    <t>KESPUR</t>
  </si>
  <si>
    <t xml:space="preserve">LAND OF SH MATLEB MIRZA AND SMT KOMALI BEGUM, KESHPUR GOLARPUKUR, MOUZA-KESHPUR SABEK, PS KESHPUR. DIST-WEST MIDNAPUR. WEST BENGAL-721150</t>
  </si>
  <si>
    <t xml:space="preserve">SUBHASIS ROY</t>
  </si>
  <si>
    <t>I-WB-MDPR-ENB-9003</t>
  </si>
  <si>
    <t>HOSNABAD</t>
  </si>
  <si>
    <t xml:space="preserve">HAMU MALLICK-9732580102,VILL-HASNABAD,P.O-HARISPUR,P.S-KOTWALI,DIST-WEST MEDINIPORE</t>
  </si>
  <si>
    <t>I-WB-MDPR-ENB-6000</t>
  </si>
  <si>
    <t>GURGURAPAL</t>
  </si>
  <si>
    <t xml:space="preserve">DAG NO: 483/485, KHATAIN NO:125/1, J.L. NO:134, MOUZA:GURGURIPAL , PIN: 721102, DIST : WEST MIDNAPORE.</t>
  </si>
  <si>
    <t>I-WB-CDKN-ENB-6001</t>
  </si>
  <si>
    <t>RAMJIBANPUR</t>
  </si>
  <si>
    <t xml:space="preserve">PLOT OF SH MRITYUNJOY LAUHA, DAAG NO - 3560 / 4769, KHATIAN NO - 1590, JL NO - 016, MOUJA - RAMJIBANPUR, VILL + PO -RAMJIBANPUR, DIST - PASCHIM MEDINIPUR, PIN - 721242</t>
  </si>
  <si>
    <t xml:space="preserve">DG automation need</t>
  </si>
  <si>
    <t>I-WB-MDPR-ENB-6001</t>
  </si>
  <si>
    <t xml:space="preserve">PRATIKSHA 1ST SEC</t>
  </si>
  <si>
    <t xml:space="preserve">PLOT NO-223, 217, KHATIAN NO-91, JL NO-166, MOUZA - MADARPUR, VILL - KERANICHITI, PO - ABASH, DIST - WEST MIDNAPORE, PIN - 721102</t>
  </si>
  <si>
    <t>I-WB-SLBN-ENB-9006</t>
  </si>
  <si>
    <t>GODAPIASAL</t>
  </si>
  <si>
    <t xml:space="preserve">ANUP KUMAR PANDEY-8906544514,VILL-KULUPACHURIA,P.O-GODAPIASAL,P.S-SALBONI,DIST-WEST MIDNAPORE-721129</t>
  </si>
  <si>
    <t xml:space="preserve">Biswanath Khamrai</t>
  </si>
  <si>
    <t xml:space="preserve">have to call pintu supervisior</t>
  </si>
  <si>
    <t>I-WB-SLBN-ENB-I001</t>
  </si>
  <si>
    <t>BHADUTALA</t>
  </si>
  <si>
    <t xml:space="preserve">SITE ADDRESS:PRANAB MUKHERJEE, VILL+ P.O- BHADUTALA, P.S- SALBANI, DIST - WEST MIDNAPUR, PHONE NO -9775179859/ 9735407304 ,PIN-721129</t>
  </si>
  <si>
    <t xml:space="preserve">Biswanath  Khamrai</t>
  </si>
  <si>
    <t>I-WB-SLBN-ENB-V001</t>
  </si>
  <si>
    <t>SALBONI_4</t>
  </si>
  <si>
    <t xml:space="preserve">VILL. - SALBONI, P.O.+P.S. - SALBONI, DIST. - MIDNAPUR(E), PIN. - 721174721174</t>
  </si>
  <si>
    <t>I-WB-GRTT-ENB-9004</t>
  </si>
  <si>
    <t>DUKI</t>
  </si>
  <si>
    <t xml:space="preserve">SHYAMAL GHOSH, PH:9732657180, VILL+PO-DUKI, PS-GARBETA, DIST-WEST MEDINIPUR, PIN-721253</t>
  </si>
  <si>
    <t xml:space="preserve">KOUSIK KHAN</t>
  </si>
  <si>
    <t xml:space="preserve">1 RM slot not working</t>
  </si>
  <si>
    <t>I-WB-GRBT-ENB-9007</t>
  </si>
  <si>
    <t>TULSICHOTI</t>
  </si>
  <si>
    <t xml:space="preserve">DIPAK KUMAR KUNDU(7602210225),VILL-TULSICHOTI,PO-KEYABONI,DIST-WEST MIDNAPORE,PIN-721253</t>
  </si>
  <si>
    <t>I-WB-KESP-ENB-9001</t>
  </si>
  <si>
    <t>MANDALKUPI</t>
  </si>
  <si>
    <t xml:space="preserve">KRISHNA PRASAD SINGHA.VILL-MANDALKUPI.POST  AND  PS-SALBONI.DIST- MIDNAPUR(W).PIN-721147 .PHONE-9547131731</t>
  </si>
  <si>
    <t xml:space="preserve">Fuel is not showing properly in GCU, EB service cable faulty, 4 pole MCB and cable faulty</t>
  </si>
  <si>
    <t>I-WB-SLBN-ENB-9002</t>
  </si>
  <si>
    <t>SAYADPUR</t>
  </si>
  <si>
    <t xml:space="preserve">PRAN KRISHNA DAS,VILL-KRISHNAPUR,P.O-SAYIDPUR ,P.S. SALBANI,DIST:-W.MIDNAPUR. PIN :-721147,MOB-9647458253</t>
  </si>
  <si>
    <t>I-WB-GRTT-ENB-9001</t>
  </si>
  <si>
    <t>DAKTARPARA</t>
  </si>
  <si>
    <t xml:space="preserve">RANJIT ROY, VILL+PO- KIYABONI, PS- GARBETA, DIST- WEST MIDNAPUR, 721253, PH- 7098360779</t>
  </si>
  <si>
    <t>I-WB-GRBT-ENB-9004</t>
  </si>
  <si>
    <t xml:space="preserve">SUKLAL DESRA VILL-KURCHIDANGA P.O-KEYABONI P.S-GARHBETA PIN-721253 DIST-PASCHIM MEDINIPUR PHONE-9800231080</t>
  </si>
  <si>
    <t>I-WB-AMLG-ENB-6000</t>
  </si>
  <si>
    <t>AMLAGORA</t>
  </si>
  <si>
    <t xml:space="preserve"> PLT OF SH GAUTAM ROY DAAG NO 360 710 KHATIAN NO 71 JL NO 486 MOUJA RADHANAGAR RAJANAGAR PO AMLAGORA DIST PASCHIM MEDINIPUR </t>
  </si>
  <si>
    <t>I-WB-GRTT-ENB-G001</t>
  </si>
  <si>
    <t xml:space="preserve">CHANDRAKONA ROAD</t>
  </si>
  <si>
    <t xml:space="preserve">SANGITA SINGH, MOUZA-DURLOVGANJ, PS-GARWATH, CHANDRAKONA ROAD, DIST- WEST MIDNAPUR,PH-9933005358</t>
  </si>
  <si>
    <t xml:space="preserve">DG breakdown EB conductor faulty</t>
  </si>
  <si>
    <t>I-WB-SLBN-ENB-6003</t>
  </si>
  <si>
    <t>SALBANI</t>
  </si>
  <si>
    <t xml:space="preserve">DURGA MANDIR ROAD,VILL &amp; PO+PS-SALBANI, DISTRICT-MIDNAPORE WEST,PIN 721147, PLOT NO. 768,770,KH NO. 676,1123 , JL NO. 415, MOUZA-SALBONI</t>
  </si>
  <si>
    <t>I-WB-SLBN-ENB-9007</t>
  </si>
  <si>
    <t>GOBRU</t>
  </si>
  <si>
    <t xml:space="preserve">VILL - GOBRU,P.O - GODAPIASAL,P.S_SALBONI,DIST - WEST MIDNAPORE - 721129  SALBANI</t>
  </si>
  <si>
    <t>I-WB-MDPR-ENB-I002</t>
  </si>
  <si>
    <t xml:space="preserve">TANTI GORIA-2</t>
  </si>
  <si>
    <t xml:space="preserve">SAMIR CHAKRABORTY,DAG NO-260,470,KH-627/3,JL-151,MUZA+VILL+P.O-TANTIGORIA,P.S- KATWARI,9933589623</t>
  </si>
  <si>
    <t>I-WB-MDPR-ENB-0032</t>
  </si>
  <si>
    <t xml:space="preserve">VIDYASAGAR UNIVERSITY</t>
  </si>
  <si>
    <t xml:space="preserve">Vill- Rangamati, Bishapally, 721102</t>
  </si>
  <si>
    <t>I-WB-MDPR-ENB-0031</t>
  </si>
  <si>
    <t xml:space="preserve">DHARMA MORE</t>
  </si>
  <si>
    <t xml:space="preserve">ALOK KUMAR PAL,VILL-DHARMA, NARENDRAPUR,WARD NO-09,PS- KOTWALI DIST- PASCHIM MIDNAPORE,PIN-721101</t>
  </si>
  <si>
    <t>I-WB-MDPR-ENB-0028</t>
  </si>
  <si>
    <t>ISTRIGANJ</t>
  </si>
  <si>
    <t xml:space="preserve">OM PRAKASH PANDEY AND OTHERS,VILL-ISTRIGANJ,PO-MIDNAPORE,PS-KOTWALI,4NO KANKABOTY GP,NEAR VIDYASAGAR PARK,PIN-721201,MOB-9547869968</t>
  </si>
  <si>
    <t>I-WB-MDPR-ENB-G003</t>
  </si>
  <si>
    <t>BATTALACHOWK</t>
  </si>
  <si>
    <t xml:space="preserve">MOHAN KUMAR RAY,C/O-MAYA TRADERS,BATTALA CHAWK,MEDNIPUR</t>
  </si>
  <si>
    <t>I-WB-MDPR-ENB-0026</t>
  </si>
  <si>
    <t xml:space="preserve">MAHATAVPUR CHASIPARA</t>
  </si>
  <si>
    <t xml:space="preserve">MAHESH MAHATAVPUR , CHASIPARA , WARD NO - 18,P.S-KOTWALI , DIST- MIDNAPUR.</t>
  </si>
  <si>
    <t>I-WB-GRBT-ENB-9008</t>
  </si>
  <si>
    <t>AGUIBONI</t>
  </si>
  <si>
    <t xml:space="preserve">BAMA SUKUL,VILL-AGUIBONI,PS-DHADIKA,PS-GARBETA,DIST- WEST MIDNAPUR,PIN-721127,MOB-9734842723</t>
  </si>
  <si>
    <t>I-WB-GHTL-ENB-6000</t>
  </si>
  <si>
    <t>BANDAR</t>
  </si>
  <si>
    <t xml:space="preserve">VILL- BANDER, PO- BANDER, PS- KHANAKUL, DIST- HOOGHLY, PIN- 721212  GHATAL</t>
  </si>
  <si>
    <t xml:space="preserve">Janmenjoy Panja</t>
  </si>
  <si>
    <t xml:space="preserve">DG breakdown for 5 years</t>
  </si>
  <si>
    <t xml:space="preserve">water logged + river crossing site</t>
  </si>
  <si>
    <t>I-WB-DSPO-ENB-A001</t>
  </si>
  <si>
    <t xml:space="preserve">Arkhana Uttar</t>
  </si>
  <si>
    <t xml:space="preserve">Pijush Kanti Mallick, Vill - Arkhana, PO - Sahapur, PS - Daspur, Dist - West Midnapur, Pin - 721641, #7501600691
</t>
  </si>
  <si>
    <t>I-WB-MDPR-ENB-9013</t>
  </si>
  <si>
    <t>SIRISHDANGA</t>
  </si>
  <si>
    <t xml:space="preserve">Harimohan Adhikari, Vil+P.O-Sirishdanga, P.S-Kotwali, Pin.- 721102, Phone- 9609013292</t>
  </si>
  <si>
    <t>I-WB-CDKN-ENB-V001</t>
  </si>
  <si>
    <t xml:space="preserve">VILL-RADHABALLAVPUR, PO+PS-CHANDRAKONA, WEST MEDINIPUR, PIN-721201.</t>
  </si>
  <si>
    <t>I-WB-CDKN-ENB-I002</t>
  </si>
  <si>
    <t>Jayantipur</t>
  </si>
  <si>
    <t xml:space="preserve">Satyasadhan Ghosh,Dag no-445,Khatian no-773,J.L no-109,Mouza-Jayantipur, Vill/p.o/p.s-Chandrakona,West Midnapore721201</t>
  </si>
  <si>
    <t>I-WB-CDKN-ENB-I006</t>
  </si>
  <si>
    <t>SRINAGAR</t>
  </si>
  <si>
    <t xml:space="preserve">SHYAMSUNDAR BARIK &amp; SHYAM SUNDAR BARIK, VILL+P.O-JARA, P.S-CHANDROKONA TOWN, DIST- WEST MIDNAPORE, PIN-721232, PH- 03225-269074.</t>
  </si>
  <si>
    <t>I-WB-CDKN-ENB-I001</t>
  </si>
  <si>
    <t>AGAR</t>
  </si>
  <si>
    <t xml:space="preserve">Kamalarani Ghosh,Dag no-393,Kh-616,Jl-180,Mouza+Vill- Agar,P.O- Agar, P.s- Chandra Kona,721222. Contact no- 9933955586</t>
  </si>
  <si>
    <t>I-WB-CDKN-ENB-I003</t>
  </si>
  <si>
    <t>Balinagar</t>
  </si>
  <si>
    <t xml:space="preserve">Sk. Hasibur Rahaman,Dag no-354,Kh-51,Jl-260,Mouza+Vill- Balinagar,P.o- Dingal,P.s- Chandrakona,721232. Contact no.- 9874139289</t>
  </si>
  <si>
    <t xml:space="preserve">Janmenjoy  Panja</t>
  </si>
  <si>
    <t>I-WB-CDKN-ENB-B001</t>
  </si>
  <si>
    <t>CHANDUR</t>
  </si>
  <si>
    <t xml:space="preserve">CHANDUR MEDNIPUR WB</t>
  </si>
  <si>
    <t>I-WB-CDKN-ENB-9015</t>
  </si>
  <si>
    <t>CDKN-9015</t>
  </si>
  <si>
    <t xml:space="preserve">BARADA PRASAD PAUL, MOB. 7076458356,VILL+P.O-MADHABPUR, P.S.-CHANDRAKONA, DIST. PASCHIM MEDINIPUR, PIN-721242</t>
  </si>
  <si>
    <t>I-WB-CDKO-ENB-I002</t>
  </si>
  <si>
    <t>KALLA</t>
  </si>
  <si>
    <t xml:space="preserve">Md. Delwar Hossain , Vill: Putimari, P.O: Karandighi, PS: Karandighi, Dist:N. Dinajpur, Pin: 733215, PH=9932636112</t>
  </si>
  <si>
    <t>I-WB-CDKO-ENB-B001</t>
  </si>
  <si>
    <t>BHAGWANPUR</t>
  </si>
  <si>
    <t xml:space="preserve">BSNL BHAGWANPUR.</t>
  </si>
  <si>
    <t xml:space="preserve">Battery CBMS faulty</t>
  </si>
  <si>
    <t>I-WB-CDKO-ENB-I003</t>
  </si>
  <si>
    <t>Palashchabari-03</t>
  </si>
  <si>
    <t xml:space="preserve">Site Address:Mr. Sheikh Sameen,Noim Ali, Vill:BasantChoraPo:Chhatraganj,Ps:Chandrakona, Dist.Mednipur(W)-721201,Ph:9932074064,9733716521</t>
  </si>
  <si>
    <t>I-WB-CDKO-ENB-B002</t>
  </si>
  <si>
    <t>JANKRA</t>
  </si>
  <si>
    <t xml:space="preserve">JHAKRA BSNL EXCHANGE</t>
  </si>
  <si>
    <t>I-WB-DSPO-ENB-V001</t>
  </si>
  <si>
    <t>Ranichack</t>
  </si>
  <si>
    <t xml:space="preserve">Prem Chand mondal, s/o Nanda Lal Mondal, Vill +Po Ranichawk, PS Daspur, Dist West Midnapur, 721212, 9933523824</t>
  </si>
  <si>
    <t>I-WB-DSPO-ENB-I001</t>
  </si>
  <si>
    <t>SONAKHALIM-4</t>
  </si>
  <si>
    <t xml:space="preserve">Susanta Dinda, Simanta Dinda,Mouza- Bhuta,Kh-863,Jl-29,Dag no-2290,Vill+ P.O- Bhuta,P.s- Daspur,721211, Dist-West Mednipure03225248245, 9830406718/9732728920</t>
  </si>
  <si>
    <t>I-WB-DSPO-ENB-I006</t>
  </si>
  <si>
    <t>Sagarpukur-02</t>
  </si>
  <si>
    <t xml:space="preserve">Mr.Purnendu Shekhar Mondal,vill.Hazraber,Post.DihiRamnagar,Ps.Daspur,Dist.West Midnapur,Pin.721212,Ph.9832508284, 9933400894</t>
  </si>
  <si>
    <t>I-WB-DSPO-ENB-I005</t>
  </si>
  <si>
    <t>Sonakali-03</t>
  </si>
  <si>
    <t xml:space="preserve">Kanakbala PMunshi Hazim, Vill. Meerapota,atMr. Mr. Sushil kumar Roy, Vill. + P.ra, Vill- Kanakbala Patra, Vill- Ajuriya, PO- Palaspai, PS- Daspur, Dist- West Midnapore, Ph No- 9932946489Ajuriya, PO- P</t>
  </si>
  <si>
    <t>I-WB-DSPO-ENB-I003</t>
  </si>
  <si>
    <t>MAGURIA</t>
  </si>
  <si>
    <t xml:space="preserve">Gunadhar Pramanik, Dag No.1311, Kh-1395, JL-242, Mouza:Maguriya, Vill/Po/Ps:Daspur, Dist:West Medinipur-721153 null</t>
  </si>
  <si>
    <t>I-WB-DSPO-ENB-V002</t>
  </si>
  <si>
    <t>E_WB_155_2_Sitapur</t>
  </si>
  <si>
    <t xml:space="preserve">Vill+P.o.-Sitapur, P.s. - Daspur, Dist. - Midnapur(W), Pin. - 721154721154</t>
  </si>
  <si>
    <t>I-WB-DSPO-ENB-I002</t>
  </si>
  <si>
    <t>CHANIPAT</t>
  </si>
  <si>
    <t xml:space="preserve">Mr.Sunil Ari,Vill.Chaipat,Post.Doriajoddhya,PS.Daspur</t>
  </si>
  <si>
    <t>I-WB-DSPO-ENB-I007</t>
  </si>
  <si>
    <t>GopmohalUrfManoharpur</t>
  </si>
  <si>
    <t xml:space="preserve">SAMBHU CHAKROBARTY, VILL+P.O.-GOPE MAHAL, P.S.- GHATAL, DIST- MIDNAPORE, PIN-721213, PH- 9733833932.</t>
  </si>
  <si>
    <t>I-WB-DSPR-ENB-I005</t>
  </si>
  <si>
    <t xml:space="preserve">CAPC_SITE15/GOURA (NEAR DASPUR)</t>
  </si>
  <si>
    <t xml:space="preserve">MR SWAPAN SINGH, VILL=PO:GOUR, PS:DASHPUR, PIN 721146</t>
  </si>
  <si>
    <t>I-WB-DSPR-ENB-I006</t>
  </si>
  <si>
    <t>BELTALA-2</t>
  </si>
  <si>
    <t xml:space="preserve">VISWANATH PATRA, VILL - BASUDEBPUR, PO - SHANKARPUR, PS - DASPUR, PIN - 9732551984ARUN MOLLIEK  DIST. MIDNAPORE</t>
  </si>
  <si>
    <t>I-WB-DSPR-ENB-B001</t>
  </si>
  <si>
    <t>SARBERIA</t>
  </si>
  <si>
    <t xml:space="preserve">Sarberia BSNL Exchange WEST MEDNIPUR</t>
  </si>
  <si>
    <t>I-WB-DSPR-ENB-I001</t>
  </si>
  <si>
    <t>SIMANA</t>
  </si>
  <si>
    <t xml:space="preserve">Sudhir Chandra Mondal Sushil Chndra Mondal,Dag no:-760,Kh-384,Jl-08,Mouza+Vill+P.O- Katdarja,P.s- Daspur,721232, Conatct no:-9733717075 null</t>
  </si>
  <si>
    <t>I-WB-DSPR-ENB-I002</t>
  </si>
  <si>
    <t>SINAGHAI</t>
  </si>
  <si>
    <t xml:space="preserve">AJEET RAI, VILL- SINAGHAI, PO- PHRIRAJPUR, PS- DASPUR-721211, PH: 9434185311(PP)</t>
  </si>
  <si>
    <t>I-WB-GHTL-ENB-V002</t>
  </si>
  <si>
    <t>GHATAL-4</t>
  </si>
  <si>
    <t xml:space="preserve">SODESH RANA, PH 9830431518 NEAR SHILABATI HOSPITAL, KUSH PATA, PO+PS GHATAL, DIST WEST MIDNAPUR</t>
  </si>
  <si>
    <t>I-WB-GHTL-ENB-I006</t>
  </si>
  <si>
    <t>Ghatal-02</t>
  </si>
  <si>
    <t>DipakHarh,Vill-Konnagar,Po+Ps-Ghatal,Dist-WestMidnapur,Pincode-721212,PhNo-9422541579</t>
  </si>
  <si>
    <t>I-WB-GHTL-ENB-I004</t>
  </si>
  <si>
    <t>PANNA</t>
  </si>
  <si>
    <t xml:space="preserve">PRANAB DAS, VILL-RASIDGANJ, P.O-NIMTALA, P.S-DASPUR,</t>
  </si>
  <si>
    <t>I-WB-GHTL-ENB-I005</t>
  </si>
  <si>
    <t>KATAN</t>
  </si>
  <si>
    <t xml:space="preserve">DAG NO. 122, KHATIAN NO. 20/1, 20,????.. J.L. NO.149, TOUZI NO. 20, MOUZA KATAN, P.S. GHATAL, DIST. PASCHIM MIDNAPUR, WEST BENGAL</t>
  </si>
  <si>
    <t>I-WB-GHTL-ENB-V001</t>
  </si>
  <si>
    <t>Ghatal_3</t>
  </si>
  <si>
    <t xml:space="preserve">MITALI MANNA, VILL-RANIR BAZAR, P.O- RANI SAMULIA, P.S-GHATAL, DIST- WEST MEDINIPUR, PIN-721212</t>
  </si>
  <si>
    <t>I-WB-GHTL-ENB-I001</t>
  </si>
  <si>
    <t>Ramcharpur</t>
  </si>
  <si>
    <t xml:space="preserve">Dag No.2380, kh-715, jl-33, mouza-Chouli, Po/PS : Ghatal, Dist : West Medinpur - 721212</t>
  </si>
  <si>
    <t>I-WB-GHTL-ENB-6004</t>
  </si>
  <si>
    <t>MANSUKHA</t>
  </si>
  <si>
    <t xml:space="preserve">DAG NO 1062 1063 J L NO 25 KHATIAN NO 9 VILL and PO and MOUZA MANSUKHA DIST WEST MIDNAPORE PIN 721212</t>
  </si>
  <si>
    <t xml:space="preserve">1 BM sometimes not work</t>
  </si>
  <si>
    <t xml:space="preserve">30 kv</t>
  </si>
  <si>
    <t>I-WB-GHTL-ENB-I003</t>
  </si>
  <si>
    <t>MaharajPur</t>
  </si>
  <si>
    <t xml:space="preserve">Johar Pandit,s/o-Late Sarat Pandit,At+PO-maharajPur,Ps-,Ps-Ghatal,Dist-West Midinapur,Pin-721232,ph-9932073916</t>
  </si>
  <si>
    <t>I-WB-GRBO-ENB-6001</t>
  </si>
  <si>
    <t>HUMGARH</t>
  </si>
  <si>
    <t xml:space="preserve">VILL and PO MURADIH PS SANTURI 723156</t>
  </si>
  <si>
    <t xml:space="preserve">DEBKANTA DEY</t>
  </si>
  <si>
    <t>lightening</t>
  </si>
  <si>
    <t xml:space="preserve">DG is water logged from 2 years</t>
  </si>
  <si>
    <t xml:space="preserve">RM and DG</t>
  </si>
  <si>
    <t>I-WB-GRBO-ENB-I002</t>
  </si>
  <si>
    <t>KIAMACHA</t>
  </si>
  <si>
    <t xml:space="preserve">Harihar Karak, Vill:&amp; P.O: Kiamcha, P.S: Goaltore, Dist:W. Midnapur, Pin: 721253, Phone No. - 9734565850 NA null</t>
  </si>
  <si>
    <t>I-WB-GRBO-ENB-6000</t>
  </si>
  <si>
    <t>GOALTORE</t>
  </si>
  <si>
    <t xml:space="preserve">PLOT MR AJIT KR SAW SH RANJIT KR SAW VILL MAHALISAI PO PS GOALTOR MIDNAPORE WEST PIN 721128 ON PLOT NO 182 421 KH NO 159 JL NO 101 MOUZA MAHALISAI</t>
  </si>
  <si>
    <t xml:space="preserve">AC 100 amp MCB 1 slot faulty </t>
  </si>
  <si>
    <t xml:space="preserve">due to MCB faulty 1 RM is not running + 1RM is faulty</t>
  </si>
  <si>
    <t xml:space="preserve">not avilab</t>
  </si>
  <si>
    <t xml:space="preserve">manual </t>
  </si>
  <si>
    <t xml:space="preserve">GCU need, SD box 100 amp, hight vegetation issue</t>
  </si>
  <si>
    <t>I-WB-GRBO-ENB-I003</t>
  </si>
  <si>
    <t>BULANPUR</t>
  </si>
  <si>
    <t xml:space="preserve">Shyamal Chagdar,Vill &amp; P.O- Bulanpur, P.S- Gaultore, Dist- West Midnapore, Pin- 721121, West Bengal.</t>
  </si>
  <si>
    <t>I-WB-GRBO-ENB-S001</t>
  </si>
  <si>
    <t>ADALIYA</t>
  </si>
  <si>
    <t xml:space="preserve">VILL:-ADALIYA,PS:-GOALTOR,DIST:-W.MIDNAPUR,pin721157 null</t>
  </si>
  <si>
    <t>I-WB-GRBO-ENB-I005</t>
  </si>
  <si>
    <t>AMJOR</t>
  </si>
  <si>
    <t xml:space="preserve">Nokul Pal,Dag no:-789,Kh-53/2,Mouza+Vill+P.O- Amjor,P.s- Goaltore,721160, Contact no:-9735264601</t>
  </si>
  <si>
    <t>I-WB-GRBO-ENB-I006</t>
  </si>
  <si>
    <t>AGORBANDH</t>
  </si>
  <si>
    <t xml:space="preserve">ANADI BARAN GOSWAMI, VILL-AGARBANDH, P.O-HOOMGARH, P.S-GOALTORE, DIST- WEST MIDNAPORE, PIN-721157.</t>
  </si>
  <si>
    <t>I-WB-GRBO-ENB-I010</t>
  </si>
  <si>
    <t xml:space="preserve">GOHAL DANGA</t>
  </si>
  <si>
    <t xml:space="preserve">Gobinda Changdar,Dag no:-695,Kh-54/1,Mouza+Vull- Gohal Danga,P.o- Goaltore,721157, Contact no:-9002229800</t>
  </si>
  <si>
    <t>I-WB-GRBO-ENB-I008</t>
  </si>
  <si>
    <t>ERIAMARI</t>
  </si>
  <si>
    <t xml:space="preserve">LAXMIKANT GHOSH,S/O-LATE VIMAL ACHARYA GHOSH,VILL+POST-ERIAMARIP.S.-GOALTOR,DIST-WEST MEDINIPUR,PIN-721157,PHONE-9732609959</t>
  </si>
  <si>
    <t>I-WB-GRBO-ENB-I004</t>
  </si>
  <si>
    <t>PatraPara</t>
  </si>
  <si>
    <t xml:space="preserve">Sunil DasAt+po-PatraPara,Ps-GolTori,Dist-WestMidinaPur,Phone-9933886421,pin-721121</t>
  </si>
  <si>
    <t>I-WB-GRBO-ENB-I001</t>
  </si>
  <si>
    <t>AMLASULI03</t>
  </si>
  <si>
    <t xml:space="preserve">Arun Mahanta, Dag No.321, Kh-79, JL-173, Mouza:Bor Ela Gorai, Vill:Bolbandhi, Po:Goaltore, PS:Garbeta, Dist:West Medinipur-721157 null</t>
  </si>
  <si>
    <t>I-WB-GRBO-ENB-I007</t>
  </si>
  <si>
    <t>MADNAPUR</t>
  </si>
  <si>
    <t xml:space="preserve">Md. Hossain Chowdhury, Vill- Mdanpur,P.O-JagarDanga, P.S.- Goaltore, Pin-721121, Phone No - 9734354914/9734855785 NA null</t>
  </si>
  <si>
    <t>I-WB-GRBO-ENB-B001</t>
  </si>
  <si>
    <t xml:space="preserve">AMLA SULI</t>
  </si>
  <si>
    <t xml:space="preserve">AMLASULI BSNL EXCHANGE PIN 721157</t>
  </si>
  <si>
    <t xml:space="preserve">night access not vailable(after 8 PM no acess)</t>
  </si>
  <si>
    <t>I-WB-GRBT-ENB-B001</t>
  </si>
  <si>
    <t>BIRAJPUR</t>
  </si>
  <si>
    <t>I-WB-GRBT-ENB-I002</t>
  </si>
  <si>
    <t>Uttarbin2</t>
  </si>
  <si>
    <t xml:space="preserve">Hedayaatulla Khan,Dag No-65,Jl-827,Kh-333,Mouza/Vill-Durgarbankati,P.O-Uttarbill,P.S-Garbeta,Dist-West Medinipore-721127</t>
  </si>
  <si>
    <t>I-WB-GRBT-ENB-9011</t>
  </si>
  <si>
    <t>FULBERIA</t>
  </si>
  <si>
    <t xml:space="preserve">Sagar Ghosh, Anchal 3 No Baramula, Fulberia, Garbeta, Pin 721127, Ph-9593953191</t>
  </si>
  <si>
    <t>I-WB-GRBT-ENB-I001</t>
  </si>
  <si>
    <t>MOULARA</t>
  </si>
  <si>
    <t xml:space="preserve">Sanjay Mondal, Vill:&amp; P.O: Moulara, P Goaltore, Dist:W. Midnapur, Pin: 721121, Phone No. - 9732555148 null</t>
  </si>
  <si>
    <t>I-WB-GRTT-ENB-I002</t>
  </si>
  <si>
    <t xml:space="preserve">Naya Basat</t>
  </si>
  <si>
    <t xml:space="preserve">Mr.Shaktipado Hazra,Vill.+P.O.Naya basat,P.S.Garbeta,Dist.Midnapur(W),Pin-721257,Ph.03227-283782,9733919029. null</t>
  </si>
  <si>
    <t>I-WB-GRTT-ENB-I006</t>
  </si>
  <si>
    <t>Bhorasole</t>
  </si>
  <si>
    <t xml:space="preserve">SHANKAR PAUL, SURAJIT PAUL, NABIN PAUR, VILL- BOHRASOLA, PO- GHATMURDA, GERBETA-721201</t>
  </si>
  <si>
    <t>I-WB-GRTT-ENB-I003</t>
  </si>
  <si>
    <t>Guadaha</t>
  </si>
  <si>
    <t>GuadahaHighSchoolVill-KachDouri,Po-GuhadaP.s-GarbettaDist-W.Mednipur</t>
  </si>
  <si>
    <t>I-WB-GRTT-ENB-I007</t>
  </si>
  <si>
    <t>KANCHANGIRI</t>
  </si>
  <si>
    <t xml:space="preserve">Subhas Chnadra Pal,Dag no:-26/589,Kh-262,Mouza+Vill- Kanchangiri,P.O0- Kadra,P.s- Garbeta,721253,Contact no:-9732954289</t>
  </si>
  <si>
    <t>I-WB-GRTT-ENB-I008</t>
  </si>
  <si>
    <t>AMSOL</t>
  </si>
  <si>
    <t xml:space="preserve">Bijoy Karfa,Dag no:-290,Kh-201,Jl-239,Mouza+Vill+P.O- Amsol,P.s- Garbeta Contact no:-9734894643</t>
  </si>
  <si>
    <t>I-WB-GRTT-ENB-B001</t>
  </si>
  <si>
    <t>BASDEEHA</t>
  </si>
  <si>
    <t xml:space="preserve">BASDEEHA   MEDNIPUR WB</t>
  </si>
  <si>
    <t xml:space="preserve">service cable faulty(BSNL)</t>
  </si>
  <si>
    <t>I-WB-GRTT-ENB-I001</t>
  </si>
  <si>
    <t>SAINARA</t>
  </si>
  <si>
    <t xml:space="preserve">RANJET GHOSH,VILL-SAINARA,PO-MANGALBUNDHI,PS-C.K.ROADPH.NO-9732221332,9733645881</t>
  </si>
  <si>
    <t>I-WB-GRTT-ENB-I004</t>
  </si>
  <si>
    <t>Rashkundu</t>
  </si>
  <si>
    <t xml:space="preserve">MR. BABULAL ROY, VILL+ P.O- RASHKUNDU, P.S- GOALTORE, PH- 03227-287305</t>
  </si>
  <si>
    <t>I-WB-KESP-ENB-I012</t>
  </si>
  <si>
    <t>PANCHKURI-01</t>
  </si>
  <si>
    <t xml:space="preserve">SHITALAMATA THAKURANI SEWAIT, C/O- MR. KANAILAL KOLA,VILL- PANCHKHURI,P.S-BURAPAT, P.S-ANANDPUR,DIST-WEST MEDINIPUR,PH- 9933693713/ 03227 289575</t>
  </si>
  <si>
    <t>I-WB-KESP-ENB-W001</t>
  </si>
  <si>
    <t>ANANDAPUR</t>
  </si>
  <si>
    <t xml:space="preserve">Mr.Arjun Das, S/o Jatrindra Das #DAG NO-1404,Khathian no-1971,JL No-378,Mouja &amp; Vill+PO.- Anandapur, P.S.- Keshpur, Dist.-West Midnapur, pin- 721122, ph.- 9800999231</t>
  </si>
  <si>
    <t xml:space="preserve">SUBASHIS ROY</t>
  </si>
  <si>
    <t>I-WB-KESP-ENB-B001</t>
  </si>
  <si>
    <t>KAJICHAK</t>
  </si>
  <si>
    <t xml:space="preserve">KAJICHAK WEST MEDNIPUR  WB, (RMM- 9609233664)</t>
  </si>
  <si>
    <t>I-WB-KESP-ENB-9008</t>
  </si>
  <si>
    <t>CHARKA</t>
  </si>
  <si>
    <t xml:space="preserve">SK SAMSUL HOQUE, VILL- CHARKA, P.O- ARAKUCHI, PS- KESHPUR, DIST.- PASCHIM MEDINIPUR, PIN-721150, MOB- 9735216601</t>
  </si>
  <si>
    <t>I-WB-KESP-ENB-I004</t>
  </si>
  <si>
    <t>Khetua</t>
  </si>
  <si>
    <t xml:space="preserve">Sk Abdul Rakib,Jl-175,Kh-94/2, Dag no:-64,Mouza- keshpur, Vill- Miradanga,P.O- Garh sonapeta,P.s- Keshpur,721260, Contact no:-9647220084</t>
  </si>
  <si>
    <t>I-WB-KESP-ENB-I007</t>
  </si>
  <si>
    <t>BISHWANATHPUR</t>
  </si>
  <si>
    <t xml:space="preserve">Kalipada Maity,Dag no-4/391,Kh-19/1,Jl-570,Vill+P.O-Biswanathpur,P.s- KespurContact No:-9434368186</t>
  </si>
  <si>
    <t>I-WB-KESP-ENB-I001</t>
  </si>
  <si>
    <t>BARMAHISHDA</t>
  </si>
  <si>
    <t xml:space="preserve">Gokul Chndra Bhuiya,Dag no:-169,Kh-92,Mouza-Mahisda, Vill- Baro Mahisda,P.O- Mahisda,721150, Contact no:-9932142533</t>
  </si>
  <si>
    <t>I-WB-KESP-ENB-I011</t>
  </si>
  <si>
    <t>MAHISHDA</t>
  </si>
  <si>
    <t xml:space="preserve">MUKSUDDIN MALLIK, VILL: UCHAHAR, PO: SUTRAGARH, PS: KESHPUR, PIN: 721150, DIST: MEDINIPUR</t>
  </si>
  <si>
    <t>I-WB-KESP-ENB-I003</t>
  </si>
  <si>
    <t>AMURYA</t>
  </si>
  <si>
    <t xml:space="preserve">Yusuf khan &amp; Others,Vill- kamalpur, P.O- amuria, P.s- Keshpur, Pin- 721660, Phone no - 9933652937 null</t>
  </si>
  <si>
    <t>I-WB-KESP-ENB-I002</t>
  </si>
  <si>
    <t>SahasPur</t>
  </si>
  <si>
    <t xml:space="preserve">Subratagosh Ghosh,S/o Satya Brata Ghosh,Vill+Po-SashsPur,Ps-AnandaPur,Dist- WestMidinipur,Pin-721122,Ph-9734529463 null</t>
  </si>
  <si>
    <t>I-WB-KESP-ENB-I008</t>
  </si>
  <si>
    <t>MUGBASAN</t>
  </si>
  <si>
    <t xml:space="preserve">Dag No-3, Khatian No- 29, J.L.No- 211, Mouza- Kanakpath, P.S- Keshpur, Dist- West Midnapore, West Bengal Vill &amp; P.O- Mugbasan, P.S- Keshpur, Dist- Paschim</t>
  </si>
  <si>
    <t>I-WB-KESP-ENB-I006</t>
  </si>
  <si>
    <t>Sholdhia</t>
  </si>
  <si>
    <t xml:space="preserve">Mr Aditya Kumar Chatarjee,Vill-Soldiya,Po-ShoialCh</t>
  </si>
  <si>
    <t>I-WB-KESP-ENB-I005</t>
  </si>
  <si>
    <t>SIROMONI</t>
  </si>
  <si>
    <t xml:space="preserve">Nakul Bera,Dag No-211,Jl-416,Kh-24/1,Mouza/Vill-Choto Boroz,P.S-Keshpur,P.O-Barteghari,Dist-West Midnapore-721122 null</t>
  </si>
  <si>
    <t>I-WB-KHMO-ENB-6000</t>
  </si>
  <si>
    <t>KHARAR</t>
  </si>
  <si>
    <t xml:space="preserve">PLOT OF SH KRISHNAPADA KARMAKAR DAAG NO 2001 KHATIAN NO 993 JL NO 44 MOUJA KHARAR VILL PO KHARAR DIST PASCHIM MEDINIPUR</t>
  </si>
  <si>
    <t>I-WB-MDPR-ENB-I003</t>
  </si>
  <si>
    <t>Panchkhuri</t>
  </si>
  <si>
    <t xml:space="preserve">Manjusha Sahoo,Dag No-1681,Jl-241,KH-7/1,Mouza/Vill-Panchkuri,P.O-Panchkuri,P.S-Kotali,Dist-West Medinipore-721150 null</t>
  </si>
  <si>
    <t>I-WB-MDPR-ENB-I004</t>
  </si>
  <si>
    <t>PATHRA</t>
  </si>
  <si>
    <t xml:space="preserve">Shachindranath Paul, Vill - Palashi, P.O - Pachra, P.S - Kotyali, Dist: W. Midnapur, Pin - 721149, Phone No - 9933076491, 03222-287035</t>
  </si>
  <si>
    <t>I-WB-MDPR-ENB-I005</t>
  </si>
  <si>
    <t>Nayagram</t>
  </si>
  <si>
    <t xml:space="preserve">SITE ADDRESS:C/O S.K.HOPIJUDDIN,VILL &amp; POST.NAYAGRAM BENAFULI,PS.KOTWALI,DIST.WEST MIDNAPUR,PIN.721102</t>
  </si>
  <si>
    <t>I-WB-MDPR-ENB-9008</t>
  </si>
  <si>
    <t>DHERUA</t>
  </si>
  <si>
    <t xml:space="preserve">TAPAN SINGHA, VILL-DHERUA, PO-DHERUA, PS-KOTWALI,DIST.-PASCHIM MEDINIPUR, PIN-721102, MOB. 8016836505</t>
  </si>
  <si>
    <t xml:space="preserve">Pranab Laha</t>
  </si>
  <si>
    <t>I-WB-MDPR-ENB-I010</t>
  </si>
  <si>
    <t xml:space="preserve">AYODHYA NAGAR</t>
  </si>
  <si>
    <t xml:space="preserve">Mouza a?? Ajodhyanagar, J.L. No. 237, Dag No. 484, Khatian No. 133, Village a?? Ajodhyanagar, Police Station a?? Kotayali, District a?? Midnapur, under the jurisdiction of 7, Bonpura Gram Panchayet, West Beng</t>
  </si>
  <si>
    <t>I-WB-MDPR-ENB-I007</t>
  </si>
  <si>
    <t>Shiromani</t>
  </si>
  <si>
    <t xml:space="preserve">Rabindra Nath Bakshi, Vill &amp; P.O - Shiromoni, P.S. - Medinipur Sadar, Dist - West Medinipur, Pin - 721101, Phone No - 032222-205671, 9474444513 NA</t>
  </si>
  <si>
    <t>I-WB-MDPR-ENB-V003</t>
  </si>
  <si>
    <t>Mednipur_13</t>
  </si>
  <si>
    <t xml:space="preserve">AGUSTI LAL MAHATO VILL GABNALA BAISAKHI PALLY RANGAMATI  PO VIDYASAGAR UNIVERSITY PS KOTWALI PIN 721102 DIST MEDINIPUR W null</t>
  </si>
  <si>
    <t>I-WB-MDPR-ENB-I006</t>
  </si>
  <si>
    <t>Patra</t>
  </si>
  <si>
    <t xml:space="preserve">Mr.ShiekKased/Mr.SalemaBibi,Vill.-Ramnagar,Po.-RamnagarGopinathpur,Ps.-Kotal,Pin.-721305,Ph.-03222-235257/9932312513 null</t>
  </si>
  <si>
    <t>I-WB-SLBN-ENB-6002</t>
  </si>
  <si>
    <t>ABRADIHI</t>
  </si>
  <si>
    <t xml:space="preserve">Vill Abradihi PO Pirakata PS Salbani dist W</t>
  </si>
  <si>
    <t>I-WB-SLBN-ENB-I002</t>
  </si>
  <si>
    <t xml:space="preserve">GAIGHATA (WM)</t>
  </si>
  <si>
    <t xml:space="preserve">Jatindra Nath Mahato,Dag no:-134,Kh-149,Mouza-Sundarpur,Vill- Gaighata,P.O- Satpati,P.s- salboni,721516, Contact no:-9002672417 null</t>
  </si>
  <si>
    <t xml:space="preserve">Pranab  Laha</t>
  </si>
  <si>
    <t>I-WB-SLBN-ENB-I005</t>
  </si>
  <si>
    <t>Moupal</t>
  </si>
  <si>
    <t xml:space="preserve">Dag No- 425, Khatian No- 207, J.L.No- 249, Mouza- Moupal, P.S- Salboni, Dist- West Midnapore, West Beng null</t>
  </si>
  <si>
    <t>I-WB-SLBN-ENB-I004</t>
  </si>
  <si>
    <t>BHIMPUR</t>
  </si>
  <si>
    <t xml:space="preserve">Ajoy Kumar Sarkar, Tushar Kanti Sarkar,Vill - Bhimpur, P.O.- Bhimpur, P.S - Salboni, Dist - W. Midnapur, Phone No - 9734361838 null</t>
  </si>
  <si>
    <t>I-WB-SLBN-ENB-I006</t>
  </si>
  <si>
    <t>Bhaudi</t>
  </si>
  <si>
    <t xml:space="preserve">JL. No. 371, Khatian No. 193/1, Dag No 115,116 &amp; 117 and situated at Mouza Bhaudi, Village &amp; P.O Bhaudi, P.S Salboni, Dist. Midanpur{W},Pin 721147</t>
  </si>
  <si>
    <t>I-WB-SLBN-ENB-I010</t>
  </si>
  <si>
    <t xml:space="preserve">BARA SIJUA</t>
  </si>
  <si>
    <t xml:space="preserve">SK. SAHAJUDDIN, VILL-BARASIJUA, P.O. RAUTARA, P.S. SALBONI, DIST- MIDNAPORE, PIN-721147.</t>
  </si>
  <si>
    <t>I-WB-SLBN-ENB-I007</t>
  </si>
  <si>
    <t>PATHARKUMARI</t>
  </si>
  <si>
    <t xml:space="preserve">Partha Sarathi Patra,Dag no:-201,Kh-174,Jl-221,Vill:- Pathar Kumkumi,P.s- salboni,P.O- Ghatal,721129. Contact no:-9735510484 Dag no:-201,Kh-174,Jl-221,Vill:- Pathar Kumkumi,P.s- salboni,P.O- Ghatal,72</t>
  </si>
  <si>
    <t>I-WB-SLBN-ENB-I003</t>
  </si>
  <si>
    <t xml:space="preserve">Ashish Nag N Debasish Nag,Dag No-133,Kh-56,Jl-235,Mouza-Sarda,Vill-Saora,P.S-Salboni,P.O-Bhadutala,Dist-West Medinipore-721129 null</t>
  </si>
  <si>
    <t>I-WB-MDPR-ENB-V006</t>
  </si>
  <si>
    <t>LALKUTHI</t>
  </si>
  <si>
    <t xml:space="preserve">RANGAMATI,VIDYASAGAR UNIVERSITY,KOLWALI,DIST-PASCHIM MEDINIPUR,PIN-721102</t>
  </si>
  <si>
    <t>I-WB-RJBN-ENB-I001</t>
  </si>
  <si>
    <t xml:space="preserve">MR.DIPAK GOSWAMI,P.H-9733960515,VILL+PO- RAMJIBANPUR, PS- CHANDRAKONA,DIST-WEST MIDNAPUR,PIN-721242</t>
  </si>
  <si>
    <t>I-WB-CDKN-ENB-I004</t>
  </si>
  <si>
    <t xml:space="preserve">CHANDRAKONA TOWN2</t>
  </si>
  <si>
    <t xml:space="preserve">RATNA KAMAL DEY , VILL-GOPINATHPUR, P.O.- CHANDRAKONA,, P.S.CHANDRAKONA, PIN NO- 721201, ,DISTRICT MIDNAPUR,</t>
  </si>
  <si>
    <t>I-WB-GHTL-ENB-9014</t>
  </si>
  <si>
    <t>GHTL-9014</t>
  </si>
  <si>
    <t xml:space="preserve">Biswanath Das, Vill+P.O- Ratneswarbati, P.S-Ghatal,Pin 721212</t>
  </si>
  <si>
    <t xml:space="preserve">1 h 15 min</t>
  </si>
  <si>
    <t>I-WB-DRLB-ENB-9002</t>
  </si>
  <si>
    <t>DABCHA</t>
  </si>
  <si>
    <t xml:space="preserve">Alok Ghosh , Dabcha, Satbankura, West Medinipur,Pin-721253, Ph-9932939030</t>
  </si>
  <si>
    <t>I-WB-GRTT-ENB-9014</t>
  </si>
  <si>
    <t>ORGANJA</t>
  </si>
  <si>
    <t xml:space="preserve">Sibsankar Dandapat, VILL-ORGANIJHA, PO-ORGANIJHA, PS-CHANDRAKONA ROAD, DIST. PASCHIM MEDINIPUR, PIN-721253, MOB-9933953509</t>
  </si>
  <si>
    <t>I-WB-GRBT-ENB-9014</t>
  </si>
  <si>
    <t>UTTARBIL</t>
  </si>
  <si>
    <t xml:space="preserve">SAHAJAHAN MALLIK   VILL-MOHANPUR, PO-UTTARBIL, PS-GARHBETA, PIN-721127, GP 1 NO. KADRA UTTARBIL</t>
  </si>
  <si>
    <t xml:space="preserve">GCU is 30kva compitable but it is running in this 20 kva dg</t>
  </si>
  <si>
    <t>I-WB-GRBT-ENB-I005</t>
  </si>
  <si>
    <t>GARBETA-3</t>
  </si>
  <si>
    <t xml:space="preserve">VILL- DHABABERIA, P.O.- CHANDIVILA, , P.S.- GARBETA, DIST- MIDNAPORE, PIN- 721127.</t>
  </si>
  <si>
    <t>I-WB-DSPO-ENB-9014</t>
  </si>
  <si>
    <t>KHANJANPUR</t>
  </si>
  <si>
    <t xml:space="preserve">Pankaj Maity,S/O- Late Satya Maity, Vill+P.O-Khanjapur,P.S-Daspur,Pin-721212, Contact--9734416773</t>
  </si>
  <si>
    <t>I-WB-GHTL-ENB-I007</t>
  </si>
  <si>
    <t xml:space="preserve">BARDHAN CHOKAN-2</t>
  </si>
  <si>
    <t xml:space="preserve">Pranoy Kumar Samanta,Dag No.1598, Kh-422/1, Jl-68, Mouza/Vill:Ajobnagar,Po:Ratipur, PS:Gatal, Dist:West Medinipur-721212, Mob:7501600691</t>
  </si>
  <si>
    <t>I-WB-DSPR-ENB-9010</t>
  </si>
  <si>
    <t>DASPUR</t>
  </si>
  <si>
    <t xml:space="preserve">Sahad Ali, Vill-Mamudpur, PO.-Daspur, PS-Daspur, Pin-721211</t>
  </si>
  <si>
    <t xml:space="preserve">water logged+ forest</t>
  </si>
  <si>
    <t>I-WB-MDPR-ENB-I009</t>
  </si>
  <si>
    <t xml:space="preserve">KHARULLA CHAK</t>
  </si>
  <si>
    <t xml:space="preserve">Mr.Suranjan Khatua,P.H-9635488824,vill.fulpahari,post.Vidyasagar University,Ps.Kotowali, Dist. West Midnapur,Pincode-721102</t>
  </si>
  <si>
    <t>I-WB-DSPR-ENB-I007</t>
  </si>
  <si>
    <t xml:space="preserve">BELIYA GHATA</t>
  </si>
  <si>
    <t xml:space="preserve">BISWAJIT BERA,PH NO-8972600537,VILL-BELIAGHATA, P.0+P.S-DASPUR, DIST. PASCHIM MIDNAPUR, WEST BENGAL, PIN-721211</t>
  </si>
  <si>
    <t>I-WB-DSPO-ENB-I004</t>
  </si>
  <si>
    <t>SONAMUEE</t>
  </si>
  <si>
    <t xml:space="preserve">VILLAGE-SONAMUEE, P.O. GOURA, P.S. DASPUR, PIN NO-721146, DISTRICT:- MIDNAPUR WEST BENGAL</t>
  </si>
  <si>
    <t>I-WB-GHTL-ENB-0011</t>
  </si>
  <si>
    <t>ALAMGANJ</t>
  </si>
  <si>
    <t xml:space="preserve">Raj Kumar Das-8436185289-Rasikgunj Nimtala Daspu</t>
  </si>
  <si>
    <t xml:space="preserve">night acess issue</t>
  </si>
  <si>
    <t>I-WB-DSPR-ENB-I004</t>
  </si>
  <si>
    <t>NBELBELTALA1</t>
  </si>
  <si>
    <t>Village-Vasudevpur,Post-Shankarpur.P.S.-Daspur.Dist-Midnipur(W).Pin-721211</t>
  </si>
  <si>
    <t>I-WB-DRLB-ENB-I001</t>
  </si>
  <si>
    <t>GHUSINGHA</t>
  </si>
  <si>
    <t xml:space="preserve">Haru Seikh,Vill+P.O- Satbankura,P.s- Garbeta, PIN-721253</t>
  </si>
  <si>
    <t>I-WB-DSPR-ENB-A001</t>
  </si>
  <si>
    <t>SARBERIYA2</t>
  </si>
  <si>
    <t xml:space="preserve">NITAI HANRA, PH-9932557127, VILL- ANANTAPUR, P.O-FATEHPUR, P.S-DASPUR, DIST-WEST MEDINIPUR, PIN-721146</t>
  </si>
  <si>
    <t>I-WB-CDKN-ENB-I005</t>
  </si>
  <si>
    <t>SRINAGAR-2</t>
  </si>
  <si>
    <t xml:space="preserve">Vill:Deopur, PO:Deo Amdan, PS:Chandrakona, Dist:West Mesdinipur-721242</t>
  </si>
  <si>
    <t>I-WB-DSPR-ENB-V001</t>
  </si>
  <si>
    <t xml:space="preserve">VILL-BALIHAR, P.S+P.O- DASPUR, WEST MEDINIPUR, PIN-721211</t>
  </si>
  <si>
    <t>I-WB-SLBN-ENB-I011</t>
  </si>
  <si>
    <t>SALBANI-2</t>
  </si>
  <si>
    <t xml:space="preserve">Laxmikanta Roy, Vill-Barakuli,P.O+P.S-Salboni,Dist-Mednipur, PIN-721147</t>
  </si>
  <si>
    <t>I-WB-DSPO-ENB-V003</t>
  </si>
  <si>
    <t>KULTIKIRI</t>
  </si>
  <si>
    <t xml:space="preserve">RADHESHYAM DAS, NEAR PRIMARY SCHOOL, VILL+PO: KULTI KORI, PS: DASPUR, DIST: WEST MIDNAPUR, PIN-721153</t>
  </si>
  <si>
    <t>I-WB-SLBN-ENB-9022</t>
  </si>
  <si>
    <t xml:space="preserve">207 COBRA CAMP</t>
  </si>
  <si>
    <t xml:space="preserve">207 COBRA CAMP.</t>
  </si>
  <si>
    <t>I-WB-CDKN-ENB-I007</t>
  </si>
  <si>
    <t>GANGCHA</t>
  </si>
  <si>
    <t xml:space="preserve">Chitta Ranjan Mandal, Dag No. 36,08, Khatian No. 48, J.L. No. 278, Vill. Ekbalpur, Mouza: Ekbalpur, P.O.: Dingal Kamargeria, P.S. Chandrakona, Dist- Midnapur West, Pin-721232.</t>
  </si>
  <si>
    <t>I-WB-CDKN-ENB-9019</t>
  </si>
  <si>
    <t>MANGRUL</t>
  </si>
  <si>
    <t xml:space="preserve">MOHANLAL PAL, VILL-MANGRUL, PO-MANGRUL, PS-CK TOWN, DIST. PASCHIM MEDINIPUR, PIN-721232,MANGRUL 3NO GP, 9932613441</t>
  </si>
  <si>
    <t>I-WB-SLBN-ENB-A002</t>
  </si>
  <si>
    <t>SALBONI_3</t>
  </si>
  <si>
    <t xml:space="preserve">Subhash mondal, Purapara, P.o. - Sayedpur, p.s. - Salboni, Dist. - Midnapur(E), Pin. - 721147.</t>
  </si>
  <si>
    <t>I-WB-GRTT-ENB-I005</t>
  </si>
  <si>
    <t xml:space="preserve">CK ROAD</t>
  </si>
  <si>
    <t>I-WB-GRBO-ENB-9017</t>
  </si>
  <si>
    <t>MAKLI</t>
  </si>
  <si>
    <t xml:space="preserve">Shyamsundar Mondal, Vil+Po. Makli, P.S.- Goaltore, Pin 721121,9800236893</t>
  </si>
  <si>
    <t xml:space="preserve">Old DG</t>
  </si>
  <si>
    <t>I-WB-DSPR-ENB-I003</t>
  </si>
  <si>
    <t>SULTANNAGAR</t>
  </si>
  <si>
    <t xml:space="preserve">Vill-Sultannagar,P.O-Radhakantapur,P.S-Daspur,Dis-West Midnapur,Pin-721211</t>
  </si>
  <si>
    <t>I-WB-GRBO-ENB-I011</t>
  </si>
  <si>
    <t>PINGBONI</t>
  </si>
  <si>
    <t xml:space="preserve">BADAL DWAN / NANDA DWAN, VILL+POST PINGONI, PS- GOALTORE-721128</t>
  </si>
  <si>
    <t>I-WB-MDPR-ENB-G004</t>
  </si>
  <si>
    <t xml:space="preserve">MIRZA MATABBAR ALI, VILL+P.O- KISMAT ANGUA, P.S- KOTWALI, DIST- WEST MEDINIPUR, PIN-721101, PH-9002273872</t>
  </si>
  <si>
    <t>I-WB-SLBN-ENB-A001</t>
  </si>
  <si>
    <t>BANSBANDHI</t>
  </si>
  <si>
    <t xml:space="preserve">MANIK GORAI, VILL-BANSBANDI, P.S-SALBONI, P.O-SODHPUR, DIST- WEST MEDINIPUR, PIN- 721147</t>
  </si>
  <si>
    <t>I-WB-SLBN-ENB-I008</t>
  </si>
  <si>
    <t>RBIMUDRAN(RELOCATION)</t>
  </si>
  <si>
    <t xml:space="preserve">Bharatiya Reserve Bank NOTE MUDRAN P LIMITED, PO-RBI Note Mudran, Ps-Salboni, Dist-West Medinipur, Pin-721132</t>
  </si>
  <si>
    <t>I-WB-GRBT-ENB-I006</t>
  </si>
  <si>
    <t>BAHARABONI</t>
  </si>
  <si>
    <t xml:space="preserve">Hossain Ali Mallick, Vill- Benachapra,P.O- Sandhipur,P.s- garbeta, pin-721127.</t>
  </si>
  <si>
    <t>I-WB-GRBT-ENB-I004</t>
  </si>
  <si>
    <t xml:space="preserve">KANKRA SOL</t>
  </si>
  <si>
    <t xml:space="preserve">NIMAI JANA, VILL-KANKARASOL, P.O-SAPDAHA, P.S- GARBETA, DIST- WEST MEDINIPUR, PIN- 721127, MOB- 9800231468</t>
  </si>
  <si>
    <t>I-WB-SLBN-ENB-I009</t>
  </si>
  <si>
    <t>BISNUPUR</t>
  </si>
  <si>
    <t xml:space="preserve">Mrs. Janaki Samanta,Vill-Bishnupur,PO-Jira Bishnupur,PS-Salboni,Dist-West Medinipore,Pin-721147,West Bengal</t>
  </si>
  <si>
    <t>I-WB-CDKN-ENB-9020</t>
  </si>
  <si>
    <t>CDKN-9020</t>
  </si>
  <si>
    <t xml:space="preserve">VILL-BELADANDA PO-GOHALDANGA PS-CK TOWN DIST-WEST MIDNAPORE,PIN-721232</t>
  </si>
  <si>
    <t>I-WB-GRBT-ENB-I003</t>
  </si>
  <si>
    <t>KASHTAGORA</t>
  </si>
  <si>
    <t xml:space="preserve">SAGAR CHANDRA GHOSH,VILL:-KASHTHAGURA,PO:-PANI KOTO,PS:-GARBETA, PIN-721127</t>
  </si>
  <si>
    <t>I-WB-GRBT-ENB-I007</t>
  </si>
  <si>
    <t>KANPAGARA</t>
  </si>
  <si>
    <t xml:space="preserve">Aburaihan Gayen,Dag no:-337,Kh-114,Mouza- Katagar,Vill- Kantakara, P.O- Tilari,P.s- Garbeta,721127,Conatct no:-9734469582</t>
  </si>
  <si>
    <t>I-WB-KESP-ENB-I013</t>
  </si>
  <si>
    <t>AMANPUR</t>
  </si>
  <si>
    <t xml:space="preserve">Subrata Chakraborty,Vill- Amanpur,P.s+P.O- Anandapur,Pin-721260</t>
  </si>
  <si>
    <t>I-WB-GRBO-ENB-I009</t>
  </si>
  <si>
    <t xml:space="preserve">DUMURIA BETJHARIA</t>
  </si>
  <si>
    <t xml:space="preserve">JOYDEB PATRA, PH-9732733890, VILL-DUMURIA, P.O-BETZRIA, P.S-GOALTORE, DIST- WEST MEDINIPUR, PIN-721169</t>
  </si>
  <si>
    <t>I-WB-MDPR-ENB-V004</t>
  </si>
  <si>
    <t xml:space="preserve">E WB 275 7 SIPAIBAZAR</t>
  </si>
  <si>
    <t xml:space="preserve">Sipai Bazar, ward No. - 2, P.O. - Midnapur, Pin. - 721101, P.S - Kotwali, Dist. - Midnapur(W)</t>
  </si>
  <si>
    <t>I-WB-MDPR-ENB-B004</t>
  </si>
  <si>
    <t xml:space="preserve">JUDGES COURT</t>
  </si>
  <si>
    <t>BSNL</t>
  </si>
  <si>
    <t>I-WB-MDPR-ENB-I011</t>
  </si>
  <si>
    <t>ABAS</t>
  </si>
  <si>
    <t xml:space="preserve">Jahar Lal Saha,Dag no:-458,457,461,Kh-835 (RS), LR-48,691/1, Mouza+Vill- Khas Jangal,P.O- Abas,P.s- Kotwali,721101 Contact no:-9474630453</t>
  </si>
  <si>
    <t>I-WB-JBON-ENB-I008</t>
  </si>
  <si>
    <t xml:space="preserve">KACHHARI ROAD</t>
  </si>
  <si>
    <t xml:space="preserve">Kalipada Rana,Dag no-213, Kh-137,Jl-473,Mouza- Beuncha, Vill- 9 no. Kashijora,P.s- salboni,9733707178</t>
  </si>
  <si>
    <t>I-WB-DSPR-ENB-A002</t>
  </si>
  <si>
    <t>RAJNAGARM-2</t>
  </si>
  <si>
    <t xml:space="preserve">Near Temple, Vill - Rajnagar Paschim, Post - Rajnagar Chetua, P.S - Daspur, Dist - Midnapur west</t>
  </si>
  <si>
    <t>I-WB-GRTT-ENB-A001</t>
  </si>
  <si>
    <t xml:space="preserve">NERAKUPA WEST</t>
  </si>
  <si>
    <t xml:space="preserve">NiranjanMondal, Vill- Narakopa, PO- Raskundu, PS- Garbeta, Dist- Midnapur(W), PIN- 721127</t>
  </si>
  <si>
    <t>I-WB-DSPR-ENB-I008</t>
  </si>
  <si>
    <t>HARIRAMPURM</t>
  </si>
  <si>
    <t xml:space="preserve">MOUZA HARIRAMPUR, P.S. DASPUR, J,L. NO.38, TOUZI NO. 21, DIST. PURBA MIDNAPUR, WEST BENGAL</t>
  </si>
  <si>
    <t>I-WB-GHTL-ENB-9016</t>
  </si>
  <si>
    <t>MULGRAM</t>
  </si>
  <si>
    <t xml:space="preserve">Sayed Mohommad Afjal, Vill-Mulgram, Po-Rani Simulia,Ps-Ghatal,Dist West Midnapur, pin-721212</t>
  </si>
  <si>
    <t xml:space="preserve">forest + water logged</t>
  </si>
  <si>
    <t>I-WB-SLBN-ENB-I015</t>
  </si>
  <si>
    <t>BABAIBASA</t>
  </si>
  <si>
    <t xml:space="preserve">Babaibasa, Amlabati, Medinipur West, West Bengal</t>
  </si>
  <si>
    <t>I-WB-MDPR-ENB-I012</t>
  </si>
  <si>
    <t>JHAMKUNDA</t>
  </si>
  <si>
    <t xml:space="preserve">MOBRAK MALLIK,VILL-JAMKUNDA.P.O-HABIBPUR,P.S-KOTWALI,PIN-721102,CON-7797064585</t>
  </si>
  <si>
    <t>I-WB-DSPO-ENB-I008</t>
  </si>
  <si>
    <t>NSITSITAPUR1</t>
  </si>
  <si>
    <t xml:space="preserve">Mr.Bholanath Maity,Village,Jairamchak,P.O ,Ramghchia,P.S Daspur,Distt West MidnapurPin 721148,Phone 9933193789.</t>
  </si>
  <si>
    <t>I-WB-GRBT-ENB-A001</t>
  </si>
  <si>
    <t xml:space="preserve">IDPUR WEST</t>
  </si>
  <si>
    <t xml:space="preserve">Sudharshan Sarker, Vill- Bhagabanta, PO- Sandhipur, PS- Garbata, Dist- Midnapur (W), PIN- 721127</t>
  </si>
  <si>
    <t>I-WB-GHTL-ENB-I009</t>
  </si>
  <si>
    <t xml:space="preserve">SUNILGHATI MOD</t>
  </si>
  <si>
    <t xml:space="preserve">GURUPADA BHAKTA, VILL-SUNIL GHATI MORE, P.O-HARINAGAR, P.S-GHATAL, PIN-721232, PH-9732675143</t>
  </si>
  <si>
    <t>I-WB-GHTL-ENB-A001</t>
  </si>
  <si>
    <t>Mungral</t>
  </si>
  <si>
    <t xml:space="preserve">Vill-Mungral, P.O-Joynagar, P.S.-Ghantal, Pin-721212</t>
  </si>
  <si>
    <t>I-WB-GRTT-ENB-9018</t>
  </si>
  <si>
    <t>DOMOANI</t>
  </si>
  <si>
    <t xml:space="preserve">Tapan Mallick.Domoani,Garhbeta,Guiadaha,PIN-721258 Mob-7872064480</t>
  </si>
  <si>
    <t xml:space="preserve">1 RM sometimes give 0 output</t>
  </si>
  <si>
    <t xml:space="preserve">MPPT need</t>
  </si>
  <si>
    <t>I-WB-KESP-ENB-9024</t>
  </si>
  <si>
    <t>KANASOL</t>
  </si>
  <si>
    <t xml:space="preserve">KSHITISH DIGAR, VILL- KANASOL, P.O- KANASOL, PS- ANANDAPUR,DIST.- PASCHIM MEDINIPUR, PIN-721122, MOB- 9641718197</t>
  </si>
  <si>
    <t>I-WB-KESP-ENB-9025</t>
  </si>
  <si>
    <t>PIPURDA</t>
  </si>
  <si>
    <t xml:space="preserve">KARTICK CHANDRA DOLAI, VILL- JAORA, P.O-ANANDAPUR, PS-KESHPUR, DIST.- PASCHIM MEDINIPUR, PIN-721122, MOB.- 7602631535</t>
  </si>
  <si>
    <t>I-WB-KESP-ENB-I018</t>
  </si>
  <si>
    <t>KESHPUR-03</t>
  </si>
  <si>
    <t xml:space="preserve">hasibul khan &amp; ajijul khan , vil- sarai, post-keshpur , dist. Mednipu(w)-721150, ph-0322725036</t>
  </si>
  <si>
    <t>I-WB-GRTT-ENB-A002</t>
  </si>
  <si>
    <t xml:space="preserve">ANDHAR NAYAN</t>
  </si>
  <si>
    <t xml:space="preserve">SK. Akbar Ali Akbar, S/o Late SK. Dayem Ali, Vill + PO - Andarnayan, PS Garbeta, Midnapur (W) - 721201.</t>
  </si>
  <si>
    <t>I-WB-SLBN-ENB-A003</t>
  </si>
  <si>
    <t>Satpati_West</t>
  </si>
  <si>
    <t xml:space="preserve">Bhaskar Kumar Nandi Vill.&amp; P.o Satpati P.s Salboni Dist. Midnapur (W) Pin.721516 # 9735415532</t>
  </si>
  <si>
    <t>I-WB-CDKN-ENB-I008</t>
  </si>
  <si>
    <t>TATARPUR</t>
  </si>
  <si>
    <t xml:space="preserve">TARUN KANTI MONDAL, VILL+P.O.- TATARPUR, P.S.- CHANDROKONA, DIST- WEST MIDNAPORE.</t>
  </si>
  <si>
    <t>I-WB-CDKN-ENB-I009</t>
  </si>
  <si>
    <t>KHIRPAI-04</t>
  </si>
  <si>
    <t xml:space="preserve">Subal Mondal/Nakul Mondal. Vill- KASHKULI,p.o-baka,p.s-C.K. Town.distt-West Mednipur.pin-721202.P.H-09932838300</t>
  </si>
  <si>
    <t>I-WB-DSPR-ENB-A003</t>
  </si>
  <si>
    <t>Mirjjapurm</t>
  </si>
  <si>
    <t xml:space="preserve">Vill. - Baisakhipally, P.o. - Vidyasagar, P.s. - Kotwali, Dist. - Midnapur(W), Pin. - 721102.</t>
  </si>
  <si>
    <t>I-WB-AMLG-ENB-I001</t>
  </si>
  <si>
    <t>EGARGARBTA051</t>
  </si>
  <si>
    <t xml:space="preserve">Site Address:Smt. Sujata Dutta,Vill:Reudi,Po:Fatehsinghpur,Ps:Goaltore-721121,Distt.Mednipur(W),Ph:9832782404</t>
  </si>
  <si>
    <t>I-WB-GHTL-ENB-I010</t>
  </si>
  <si>
    <t>KHARAR-2</t>
  </si>
  <si>
    <t xml:space="preserve">GITA RANI SAMUI,DAG NO:-874,KH-631,865,JL-48,MOUZA+VILL+P.O- BIRSINGHA,P.S- GHATAL,721256 CONTACT NO:-9734526118</t>
  </si>
  <si>
    <t>I-WB-CDKN-ENB-I010</t>
  </si>
  <si>
    <t xml:space="preserve">KALIKAPUR (M)</t>
  </si>
  <si>
    <t xml:space="preserve">Anima Ghorai/ Mitali Ghorai,Mouza- Jagannath pur, jl- 114, Kh-31/2,867,866,868, dag no-806, Vill- Kalikapur, P.o-Benka, P.s- C.k Town, 721201.Contact no-9932178907</t>
  </si>
  <si>
    <t>I-WB-DSPR-ENB-V002</t>
  </si>
  <si>
    <t>RAJNAGAR-3</t>
  </si>
  <si>
    <t xml:space="preserve">NAND DULAL GURU NEAR SHEETLA MANDIR, VILL GOBINDPUR, PO JOTBANI, PS DASPUR, DIST WEST MIDNAPUR721212</t>
  </si>
  <si>
    <t>I-WB-GRBT-ENB-I011</t>
  </si>
  <si>
    <t>LAKSHMANPUR</t>
  </si>
  <si>
    <t xml:space="preserve">SITENDRA NATH KARAK,VII-LAXMANPUR,PO-AKCHARA,PIN-721253,PS-GOUALTOD,PH-9732659155</t>
  </si>
  <si>
    <t>I-WB-GRBT-ENB-I008</t>
  </si>
  <si>
    <t>NKKMKHRKUSNA1</t>
  </si>
  <si>
    <t xml:space="preserve">Vill: Kharkusna PO Garbeta, PS Garbeta, Dist: West Midnapore Pin: 721127.</t>
  </si>
  <si>
    <t>I-WB-GRTT-ENB-A003</t>
  </si>
  <si>
    <t xml:space="preserve">BARA RAJGRAM</t>
  </si>
  <si>
    <t xml:space="preserve">Kartik Ghosh, Vill-Rajgram Con-8972443824</t>
  </si>
  <si>
    <t>I-WB-GHTL-ENB-I011</t>
  </si>
  <si>
    <t xml:space="preserve">GHATAL GANGAPRASAD</t>
  </si>
  <si>
    <t xml:space="preserve">Ajit Dolai,Dag No-575,Jl-28,Kh-245,Mouza/Vill-Gangaprasad,P.O-Doulatchak,P.S-Ghatal,Dist-West Medinipore-721212.</t>
  </si>
  <si>
    <t>I-WB-KESP-ENB-I016</t>
  </si>
  <si>
    <t>NAMRAMRAKUCH1</t>
  </si>
  <si>
    <t xml:space="preserve">NaliniKanta Puilya,Vill+PO-AmraKuchi,Ps-KeshPur,Pin-721750,Ph-9732821966</t>
  </si>
  <si>
    <t>I-WB-KESP-ENB-9028</t>
  </si>
  <si>
    <t>TEGHARI</t>
  </si>
  <si>
    <t xml:space="preserve">Dilip Kumar Chingari, Vill-Teghari, Po- Boro Teghari, Ps - Anadapur,Pin-721122, MOB-9434894897</t>
  </si>
  <si>
    <t>I-WB-KESP-ENB-I019</t>
  </si>
  <si>
    <t>NKHEKHETUA1</t>
  </si>
  <si>
    <t xml:space="preserve">Madu sudan pan, AT-Ranior,post_ sirsa,Ps_anandpur,dist_w.M.Pin-721260,Ph-9933151649</t>
  </si>
  <si>
    <t>I-WB-KESP-ENB-I020</t>
  </si>
  <si>
    <t xml:space="preserve">KORANGA POTA</t>
  </si>
  <si>
    <t xml:space="preserve">Khagen Ghosh/Khokan ghosh,Dag no:-298,Kh-7814,Jl-366,Mouza+Vill- karanga pota, P.o- kumarima,P.s- Keshpur,,721416 Contact no:-9735407304</t>
  </si>
  <si>
    <t>I-WB-SLBN-ENB-I012</t>
  </si>
  <si>
    <t xml:space="preserve">SK. ABDUL MUSTAKIN,VILL+PO=SAIYEDPUR,PS=SALBONI,PIN=721147,MO= 9734529657</t>
  </si>
  <si>
    <t>I-WB-KESP-ENB-I015</t>
  </si>
  <si>
    <t>JHANTLA</t>
  </si>
  <si>
    <t xml:space="preserve">Himadri Choudhuri-Vill+ P.O- Jhetla, P.s- Keshpur, Dist- 721150, Phone no - 9733639073</t>
  </si>
  <si>
    <t>I-WB-KESP-ENB-I017</t>
  </si>
  <si>
    <t>JIYAGERA</t>
  </si>
  <si>
    <t xml:space="preserve">NEAR SCHOOL,VILL-JIYAGERA,PO.-RAUTA,PS.-KESHPUR,DIST-MIDNAPUR(W),PIN CODE-721150</t>
  </si>
  <si>
    <t>I-WB-MDPR-ENB-9021</t>
  </si>
  <si>
    <t>SHIRSHI</t>
  </si>
  <si>
    <t xml:space="preserve">Biren Mahata,Vill-Shirshi, PO-Chandra,PS- Kotwali, Pin-721102,Mob-9775679765</t>
  </si>
  <si>
    <t>I-WB-SLBN-ENB-B001</t>
  </si>
  <si>
    <t>SALBONI</t>
  </si>
  <si>
    <t xml:space="preserve">SALBANI, MEDINIPUR, WEST BENGAL, 721147
SALBANI SALBANI INDIA</t>
  </si>
  <si>
    <t>I-WB-SLBN-ENB-9028</t>
  </si>
  <si>
    <t>MADHUPUR</t>
  </si>
  <si>
    <t xml:space="preserve">CHANDRA KANTA DEBSINGHA, VILL-MADHUPUR, P.O- MADHUPUR, PS- SALBONI,DIST.- PASCHIM MEDINIPUR, PIN-721516, MOB.- 7602132688</t>
  </si>
  <si>
    <t>I-WB-SLBN-ENB-9029</t>
  </si>
  <si>
    <t>GARRA</t>
  </si>
  <si>
    <t xml:space="preserve">THAKURDAS MAHATA, VILL- GARRA, P.O- BHIMPUR, PS- SALBONI, DIST.- PASCHIM MEDINIPUR, PIN-721516, MOB- 8670319282</t>
  </si>
  <si>
    <t>I-WB-SLBN-ENB-9030</t>
  </si>
  <si>
    <t>JAYPUR</t>
  </si>
  <si>
    <t xml:space="preserve">SUNIL MAHATA &amp; CHANDRAKANTA MAHATA, VILL- JAYPUR, P.O- MAHATAPUR, PS- SALBONI, DIST.- PASCHIM MEDINIPUR, PIN-721516, MOB- 9732953215</t>
  </si>
  <si>
    <t>I-WB-SLBN-ENB-I013</t>
  </si>
  <si>
    <t>BORAGADA</t>
  </si>
  <si>
    <t xml:space="preserve">Smt Sankari Bala Das,Vill-Boragada,PO-Saiyadpur,PS-Salboni,Dist-West Medinipore,Pin-721147,West Bengal</t>
  </si>
  <si>
    <t>I-WB-SLBN-ENB-9032</t>
  </si>
  <si>
    <t>SIDADIHI</t>
  </si>
  <si>
    <t xml:space="preserve">KAMALA KANTA KHAN, VILL- SIDADIHI, P.O- KHAMARBARH, PS- SALBONI, DIST.- PASCHIM MEDINIPUR, PIN-721253,MOB- 9903238717</t>
  </si>
  <si>
    <t>I-WB-SLBN-ENB-9033</t>
  </si>
  <si>
    <t>KARNAGARH</t>
  </si>
  <si>
    <t xml:space="preserve">RAJENDRANATH CHAKRABORTY, VILL- KARNAGARH, P.O- KARNAGARH, PS- SALBONI, DIST.- PASCHIM MEDINIPUR, PIN-721129, MOB- 7872712066</t>
  </si>
  <si>
    <t>I-WB-GRBO-ENB-I012</t>
  </si>
  <si>
    <t>JIRAPARA</t>
  </si>
  <si>
    <t xml:space="preserve">Jirapara, Medinipur West, West Bengal</t>
  </si>
  <si>
    <t>I-WB-KESP-ENB-A002</t>
  </si>
  <si>
    <t xml:space="preserve">Andi Chak</t>
  </si>
  <si>
    <t xml:space="preserve">Vill - Tabageria, P.O- GhoshPur, P.S-Keshpur, Dist- West Mednapur, Pin- 721150</t>
  </si>
  <si>
    <t>I-WB-KESP-ENB-A001</t>
  </si>
  <si>
    <t>Pasha</t>
  </si>
  <si>
    <t xml:space="preserve">Vill-Barpasha, PO-Ghoshdiya, PS - Keshpur, Dist - West Midnapur</t>
  </si>
  <si>
    <t>I-WB-KESP-ENB-I021</t>
  </si>
  <si>
    <t>KALINAGAR</t>
  </si>
  <si>
    <t xml:space="preserve">Gita Bala Ghosh, Vill &amp; P.O. -Kotai, P.S- Anandpur, Dist -  West Midnapur, Pin - 721122, Phone No - 9933536640</t>
  </si>
  <si>
    <t>I-WB-SLBN-ENB-I014</t>
  </si>
  <si>
    <t>BARAKALSIBANGA</t>
  </si>
  <si>
    <t xml:space="preserve">Braja Gopal Mahato,Dag no.- 620,1216,Kh-52,Jl-113,Mouza+Vill+P.O- Pathari,P.O- Pirakhatu, P.S- salbani,721516. Contact no:-9733565779</t>
  </si>
  <si>
    <t>I-WB-CDKO-ENB-9009</t>
  </si>
  <si>
    <t>GOPALPUR</t>
  </si>
  <si>
    <t xml:space="preserve">BALAI GHOSH, VILL- GOPALPUR, P.O- KALAKODI, PS- CHANDRAKONA, DIST.- PASCHIM MEDINIPUR, PIN-721201, MOB- 9933952848</t>
  </si>
  <si>
    <t>I-WB-KESP-ENB-V001</t>
  </si>
  <si>
    <t>CHANDRAKONA-KUNJABIHARI</t>
  </si>
  <si>
    <t xml:space="preserve">VILL:-KUNJABIHARI GANJ,P.O:-KUAPUR,P.S:-CHANDARKONA,PIN-721201</t>
  </si>
  <si>
    <t>I-WB-GRTT-ENB-9019</t>
  </si>
  <si>
    <t>DARIKA</t>
  </si>
  <si>
    <t xml:space="preserve">Durga Murmu C/O-B.MURMU.DARIKA,GUIADAHA,GARBETA 721253. PHN-9647805178</t>
  </si>
  <si>
    <t>I-WB-CDKO-ENB-I004</t>
  </si>
  <si>
    <t>BALA</t>
  </si>
  <si>
    <t xml:space="preserve">Biplab Roy/ Biswajit Roy,Jl-239,Dag no:-2461,2464/2462,Kh-196,425,691,Mouza-Bala, Vill- Brabada, P.O- Bala,721201, Contact no:-9832781264</t>
  </si>
  <si>
    <t>I-WB-GRTT-ENB-9020</t>
  </si>
  <si>
    <t>URIYASHAI</t>
  </si>
  <si>
    <t xml:space="preserve">SANNYASHI MAITY, VILL- URIYASHAI, P.O- URIYASHAI, PS- GARHBETA, DIST.- PASCHIM MEDINIPUR, PIN-721260, MOB- 9932576237</t>
  </si>
  <si>
    <t>I-WB-CDKO-ENB-I005</t>
  </si>
  <si>
    <t>TENPUR</t>
  </si>
  <si>
    <t xml:space="preserve">Chittaranjan Kanti,Dag no-704,Kh-127,Jl-230,Mouza+Vill- Tenpur,P.s- Chandrakona, Contact no:-9933925393/03225-264651</t>
  </si>
  <si>
    <t>I-WB-GHTL-ENB-I012</t>
  </si>
  <si>
    <t xml:space="preserve">Bhabani Maji,Dag No.600, Kh-362, JL-120, Mouza/Vill/Po:Panna, PS:Ghatal, Dist-West Medinipur-721212, Mob:9733625440</t>
  </si>
  <si>
    <t>I-WB-GHTL-ENB-9019</t>
  </si>
  <si>
    <t>RAGHUNATHPUR</t>
  </si>
  <si>
    <t xml:space="preserve">Chittaranjan Bera, Vill- Hemantapur, po-Maharajapur, ps- Ghatal, pin-721232, M-9892746009</t>
  </si>
  <si>
    <t>forest</t>
  </si>
  <si>
    <t>I-WB-GHTL-ENB-I013</t>
  </si>
  <si>
    <t>KHASBAR</t>
  </si>
  <si>
    <t xml:space="preserve">Site Address:Pradip Kumar Maity, Vill-Khasbar, PO-Khasbar,PS-Ghatal,Dist-West Midnapore,PIN-721212, 9733827936</t>
  </si>
  <si>
    <t>I-WB-CDKN-ENB-I011</t>
  </si>
  <si>
    <t>LAKSHIPUR</t>
  </si>
  <si>
    <t xml:space="preserve">Arup Mondal ,Dag No.1254, Kh-31/1, JL-30, Mouza/Vill:Laksmipur, Ps:Chandrakona, Dist:West Medinipur-721242, Mob:9800812909</t>
  </si>
  <si>
    <t>I-WB-MDPR-ENB-V005</t>
  </si>
  <si>
    <t xml:space="preserve">MEDNIPUR - 12</t>
  </si>
  <si>
    <t xml:space="preserve">Vill. - keranichoti, P.o. - Bhadutala, P.s. - Kotowali, Dist. - Midnapur(W), Pin. - 721102</t>
  </si>
  <si>
    <t>I-WB-GRBT-ENB-I012</t>
  </si>
  <si>
    <t>AMLAGORA-2</t>
  </si>
  <si>
    <t xml:space="preserve">MILAN KUMAR KUNDU, VILL+P.O.- AMLAGORA, P.S.- GARBETA, PIN- 721121.</t>
  </si>
  <si>
    <t>I-WB-GRBT-ENB-I009</t>
  </si>
  <si>
    <t>GOLAKPUR</t>
  </si>
  <si>
    <t xml:space="preserve">SUKHDEV PATRA/9933180064/VILL-NACHANJAM(NEAR SALDAHA),PO-PEARDOBA,PS-GARBETA,DIST-WEST MEDINA PUR,PIN-722145,</t>
  </si>
  <si>
    <t>I-WB-GRBT-ENB-I010</t>
  </si>
  <si>
    <t xml:space="preserve">BARA NOHARI(NOHARI)</t>
  </si>
  <si>
    <t xml:space="preserve">Shiv Prasad Sarkar At-Nohari,Po-Nohari,Ps-Ghultar,Pin-721121,Ph-9733658955,</t>
  </si>
  <si>
    <t>I-WB-SLBN-ENB-9035</t>
  </si>
  <si>
    <t>JSW</t>
  </si>
  <si>
    <t xml:space="preserve">Paritosh Mahata, vill-Asnashuli, po-Sayedpur,Ps-Salboni, Pin-721147</t>
  </si>
  <si>
    <t>I-WB-SLBN-ENB-B002</t>
  </si>
  <si>
    <t xml:space="preserve">BSNL MINT</t>
  </si>
  <si>
    <t>I-WB-GHTL-ENB-I014</t>
  </si>
  <si>
    <t>SINGHAUPUR</t>
  </si>
  <si>
    <t xml:space="preserve">Samir Kumar Majhi,Jl-27,Kh-1479,Dag no:-504,471,Mouza- Choulisinghapur, Vill- Singhapur, P.O+P.s- ghatal, Pin-721212</t>
  </si>
  <si>
    <t>I-WB-DSPR-ENB-I010</t>
  </si>
  <si>
    <t>SONAKHALI-2</t>
  </si>
  <si>
    <t xml:space="preserve">Site Address:Vill-Chawkkishor,Po-Sonakali,Dist-West Midnapur,Ps-Daspur Pin 721212</t>
  </si>
  <si>
    <t>I-WB-DSPO-ENB-B001</t>
  </si>
  <si>
    <t>CHAIPUT</t>
  </si>
  <si>
    <t xml:space="preserve">BSNL CHAIPAT EXCHANGE</t>
  </si>
  <si>
    <t>I-WB-GRBO-ENB-9024</t>
  </si>
  <si>
    <t>GRBO-9024</t>
  </si>
  <si>
    <t xml:space="preserve">VILL-KANKRISIOL, PO-GOYALTORE, PS-GOWALTORE, DIST. PASCHIM MEDINIPUR, 721128, MOB NO-8670273296</t>
  </si>
  <si>
    <t xml:space="preserve">GCU, charging alternator, sholder rellay, fuez box faulty, EB battery charger faulty</t>
  </si>
  <si>
    <t>I-WB-NBKL-ENB-9001</t>
  </si>
  <si>
    <t>NABAKOLA</t>
  </si>
  <si>
    <t xml:space="preserve">AKBAR ALI BHANGI, VILL-NOBKOLA, PO-SATBANKURA, PS-GARHBETA, DIST. PASCHIM MEDNIPUR, PIN-721253, MOB NO. 7063458083</t>
  </si>
  <si>
    <t>I-WB-DRLB-ENB-9004</t>
  </si>
  <si>
    <t>SATBANKURA</t>
  </si>
  <si>
    <t xml:space="preserve">Sannyashi Ch Ghosh,CK Road,Satbankura, Garbeta, West Medinipur-721253, Con-9635682753/9434192506</t>
  </si>
  <si>
    <t>I-WB-GRTT-ENB-9025</t>
  </si>
  <si>
    <t>GRTT-9025</t>
  </si>
  <si>
    <t xml:space="preserve">BIKASH DAS, ABHILAS DAS, PALASH DAS, VILL+PO-PANIKOTOR, PS-GARHBETA, DIST. PASCHIM MEDINIPUR, PIN-721127, MOB NO. 9733916598</t>
  </si>
  <si>
    <t xml:space="preserve">weak BM, DG continuously running in case of no EB</t>
  </si>
  <si>
    <t>I-WB-GRTT-ENB-V001</t>
  </si>
  <si>
    <t xml:space="preserve">Dag no. - 1540, Khatian No. - 91(R.S.) &amp; 159(L.R.), J.L. no. - 746 situated at Vill.+P.O. - Raskundu, P.S. - Garhbeta, Dist. - West Midnapur, Pin. - 721127</t>
  </si>
  <si>
    <t>I-WB-CDKN-ENB-9026</t>
  </si>
  <si>
    <t xml:space="preserve">KHIRPAI TOWN HALL</t>
  </si>
  <si>
    <t xml:space="preserve">Mantu Mohon Sen, Vill-+Po- Khirpai, PS- Chandrakona, Pin-721232, Mob-9733771397</t>
  </si>
  <si>
    <t>I-WB-MDPR-ENB-9030</t>
  </si>
  <si>
    <t>KUNDALBANI</t>
  </si>
  <si>
    <t xml:space="preserve">Hargobinda Roy,Vill-Dhajidhara,P.0-Chandra, P.S-Kotwali, Dist- West MidnaporePin-721102,Ph-9609944853</t>
  </si>
  <si>
    <t>I-WB-GRTT-ENB-9026</t>
  </si>
  <si>
    <t xml:space="preserve">ANANDA NAGAR</t>
  </si>
  <si>
    <t xml:space="preserve">Shital Chandra Patra,vill-Darkhola,PO-Barpara,Pin-721253,Dist- West Midnapur,Mob-9564140243</t>
  </si>
  <si>
    <t>I-WB-GRTT-ENB-I009</t>
  </si>
  <si>
    <t xml:space="preserve">Site Address:NANDAN KOLE, MANGAL PARA,NODHASHULI,PS GOALTOR,Pin- 721253, CONT.9733609368</t>
  </si>
  <si>
    <t>I-WB-MDPR-ENB-9034</t>
  </si>
  <si>
    <t>MDPR-9034</t>
  </si>
  <si>
    <t xml:space="preserve">Narayan Singh &amp; Brothers, Vill-Bagdubi,P.O-Mataldanga,P.S-Kotwali,Pin-721102</t>
  </si>
  <si>
    <t>I-WB-MDPR-ENB-9028</t>
  </si>
  <si>
    <t>DELUA</t>
  </si>
  <si>
    <t xml:space="preserve">SK Najrul, Vill Delua, P.O. VU, P.S Kotwali, Dist West Medinipur, Pin 721102, 8436388537</t>
  </si>
  <si>
    <t>I-WB-SLBN-ENB-9036</t>
  </si>
  <si>
    <t>DEBAGRAM</t>
  </si>
  <si>
    <t xml:space="preserve">SOLEMAN KHAN, VILL-+PO-DEBAGRAM, PS-SALBONI, DIST. PASCHIM MEDINIPUR, PIN-721128, MOB. 7797260704</t>
  </si>
  <si>
    <t>I-WB-SLBN-ENB-9043</t>
  </si>
  <si>
    <t>JAGULARA</t>
  </si>
  <si>
    <t xml:space="preserve">MRS. Purnima Das, Vill-Jagulara,PO-Jatra Bishnupur, Ps- SALBONI, Pin-721147, M-9735449192</t>
  </si>
  <si>
    <t>I-WB-CDKN-ENB-9027</t>
  </si>
  <si>
    <t>BARA</t>
  </si>
  <si>
    <t xml:space="preserve">LAXMIKANTA GHOSH, VILL-BARA, PO-JARA, PS-CHANDRAKONA TOWN, DIST.-PASCHIM MEDINIPUR, PIN-721232, 4 NO. MADHABKUNDU GP, MOB. 7872851711</t>
  </si>
  <si>
    <t>I-WB-CDKN-ENB-9029</t>
  </si>
  <si>
    <t>BAMARIYA</t>
  </si>
  <si>
    <t xml:space="preserve">SAKTI RANJAN HAZRA, VILL+PO-HAMATPUR, PS-CHANDRAKONA,DIST-PASCHIM MEDINIPUR, PIN-721232, MOB-9932012796</t>
  </si>
  <si>
    <t>I-WB-SLBN-ENB-9044</t>
  </si>
  <si>
    <t>NIMTALA</t>
  </si>
  <si>
    <t xml:space="preserve">Amita Mahish,C/o- Gopesh Chandra Mahish, Vill-Nimtala, Po-Pirakata, Ps Salboni. Dist- West Midnapur, Pin-721516, M-9733237437</t>
  </si>
  <si>
    <t>I-WB-SLBN-ENB-9045</t>
  </si>
  <si>
    <t>DHANGHORI</t>
  </si>
  <si>
    <t xml:space="preserve">Prabir Mallick,po-Dhanghori.po-Pirakata,ps-Salboni,pin-721516,Dist West Midnapur,M-9733618425</t>
  </si>
  <si>
    <t>I-WB-GRBT-ENB-9027</t>
  </si>
  <si>
    <t>AMKOPA</t>
  </si>
  <si>
    <t xml:space="preserve">Sankar Kundu,Vill-Amkopa,P.O-Monglapur, PS-Goualtore, Dist. Paschim Medinipur, Pin-721121, Mob. 9932504464/8348934404</t>
  </si>
  <si>
    <t>I-WB-GRTT-ENB-V003</t>
  </si>
  <si>
    <t xml:space="preserve">Soma Bose, Vill Bila ( Chandrakona )PO Satbankura,PS Garbeta,Dist West Medinipur,721257,</t>
  </si>
  <si>
    <t>I-WB-GRTT-ENB-V004</t>
  </si>
  <si>
    <t xml:space="preserve">Vill-Attabanda.PO-Duki.PS-Garbeta .Dist-Midnapur(w).pin-721253</t>
  </si>
  <si>
    <t>I-WB-MDPR-ENB-9031</t>
  </si>
  <si>
    <t>BELIA</t>
  </si>
  <si>
    <t xml:space="preserve">Nagendra  Mahata, Belia, Po-Chandra,Ps- Kotwali, Dist- Paschim Medinipur,Pin-721102, Mob-9474068908</t>
  </si>
  <si>
    <t>I-WB-MDPR-ENB-9032</t>
  </si>
  <si>
    <t>TIKARPARA</t>
  </si>
  <si>
    <t xml:space="preserve">Mukta Das, vill- Tikarpara, Po-Ellaboni, Ps- Kotwali, Pin-721102, Dist- west Midnapur, M-8967579719</t>
  </si>
  <si>
    <t>I-WB-GRBT-ENB-9036</t>
  </si>
  <si>
    <t>CHANDAVILLA</t>
  </si>
  <si>
    <t xml:space="preserve">JOYDEB CHOWDHURY, VILL+PO-CHANDABILA, PS-GARBETA, PIN-721127, SABITA MUKHERJEE(SUKUL), VILL+PO+PS-GARHBETA, PIN-721127, CHAMPA MANDAL(PATRA), VILL-PATHRISOLE, PO+PS-GARHBETA, PIN-721127, ALL DIST-PASCHIM MEDINIPUR MOB., 9647197045</t>
  </si>
  <si>
    <t>I-WB-SLBN-ENB-9041</t>
  </si>
  <si>
    <t>MASHINA</t>
  </si>
  <si>
    <t xml:space="preserve">Mrinal Kanti Mandal,Vill- Maushina,P.O- Kharikasuli, P.S-Salboni, Dist-West Medinipur,9732953236</t>
  </si>
  <si>
    <t>I-WB-GRTT-ENB-9037</t>
  </si>
  <si>
    <t>DIGRI</t>
  </si>
  <si>
    <t xml:space="preserve">Swapan Garai, Bara Sarenga, Digri, Garbeta, West Medinipur,Mob-91533213893</t>
  </si>
  <si>
    <t>I-WB-GRTT-ENB-V002</t>
  </si>
  <si>
    <t>Village-Shuknator,P.O.-Digri,P.S.-Garbeta,District</t>
  </si>
  <si>
    <t>I-WB-GRBO-ENB-9025</t>
  </si>
  <si>
    <t>KADASOLE</t>
  </si>
  <si>
    <t xml:space="preserve">Amal Gorai, Vill-Kadasole,PO-Pingboni, PS- Goaltore, pin-721128, M-9933486582</t>
  </si>
  <si>
    <t>I-WB-MDPR-ENB-9024</t>
  </si>
  <si>
    <t>MUNIDAHA</t>
  </si>
  <si>
    <t xml:space="preserve">Indrajit Patra and Others,Vill- Manidha,Ps-Kotwali, Pin-721102, M-9932006541, Dist -West Midnapur</t>
  </si>
  <si>
    <t>I-WB-DSPO-ENB-A002</t>
  </si>
  <si>
    <t xml:space="preserve">VILL-KAJLAPARA, P.O - JOTEGHANASHYAM, P.S - DASPUR, DIST - PASCHIM MIDNAPUR, PIN - 721153, MADHURI MONDAL - 9932070164</t>
  </si>
  <si>
    <t>I-WB-GRBT-ENB-9029</t>
  </si>
  <si>
    <t>AGRA</t>
  </si>
  <si>
    <t xml:space="preserve">SAIDUN BIBI, VILL-AGRA, PO-NOARI, PS-GARHBETA, DIST. PASCHIM MEDINIPUR, PIN-721121, MOB. 9434230385</t>
  </si>
  <si>
    <t>I-WB-GRTT-ENB-9032</t>
  </si>
  <si>
    <t>SONARBER</t>
  </si>
  <si>
    <t xml:space="preserve">CHUNARAM TUDU &amp; UMESH MURMU,(MOB-8116649547), VILL-SONARBERH, P.O-URASAI, PS-GARHBETA, DIST- PASCHIM MEDINIPUR, PIN-721260</t>
  </si>
  <si>
    <t>I-WB-GRTT-ENB-9033</t>
  </si>
  <si>
    <t>BENACHAPRA</t>
  </si>
  <si>
    <t xml:space="preserve">BILASH SARKAR, VILL+PO-BENACHAPRA, PS-GARHBETA, DIST. PASCHIM MEDINIPUR, PIN-721201, MOB. 9434185305</t>
  </si>
  <si>
    <t>I-WB-GRTT-ENB-9024</t>
  </si>
  <si>
    <t>METIADAHAR</t>
  </si>
  <si>
    <t xml:space="preserve">Babar Ali Bhangi, vill- Metidhar, po-Guidaha, ps- Garbeta, dist- West Midnapur, pin-721252, m-9735865152</t>
  </si>
  <si>
    <t>I-WB-GRBO-ENB-9021</t>
  </si>
  <si>
    <t>MALIBANDHI</t>
  </si>
  <si>
    <t xml:space="preserve">Badal  Mandi,Vill- Malibandhi, Ps -Goaltore , Pin-721121, Mob-7047365531</t>
  </si>
  <si>
    <t xml:space="preserve">GCU faulty, AVR card faulty, road access during rainy season</t>
  </si>
  <si>
    <t>I-WB-SLBN-ENB-9040</t>
  </si>
  <si>
    <t>KASHIJORA</t>
  </si>
  <si>
    <t xml:space="preserve">Vill-Kashijora, P.O-kashijora P.S-Salboni,Dist-West Midnapore,Pin-721129</t>
  </si>
  <si>
    <t>I-WB-SLBN-ENB-9047</t>
  </si>
  <si>
    <t xml:space="preserve">CHOTO BHURSHA</t>
  </si>
  <si>
    <t xml:space="preserve">Sanjoy Dutta ,vill-Chotobhursha,po-kashijora,Ps-Salboni,pin-721129,Dist- West Midnapur M-8967896714</t>
  </si>
  <si>
    <t>I-WB-KESP-ENB-9039</t>
  </si>
  <si>
    <t xml:space="preserve">Tarun Karak, Vill-Gobindapur, po-Kongorarayma,ps-anandapur,dist-west midnapur,m-9434360703</t>
  </si>
  <si>
    <t>I-WB-CDKN-ENB-9025</t>
  </si>
  <si>
    <t>KAURGRAM</t>
  </si>
  <si>
    <t xml:space="preserve">Tarun Kundu,Vill-Kaurgram,Po-Dinapur,Ps-Chandrakona,Pin-721242,Dist-W.Mid,Cont no-9775621169.Laxmipur-1no (GP)</t>
  </si>
  <si>
    <t xml:space="preserve">old replaced battery so backup is very low</t>
  </si>
  <si>
    <t>I-WB-GRBT-ENB-9030</t>
  </si>
  <si>
    <t>BANKATI</t>
  </si>
  <si>
    <t xml:space="preserve">Fela Mondal, vill-Bankhati,po-Dhadika, ps-Garbeta,Pin-721127, M-8145412644</t>
  </si>
  <si>
    <t>I-WB-MDPR-ENB-9023</t>
  </si>
  <si>
    <t>GAOLDANGA</t>
  </si>
  <si>
    <t>I-WB-GRTT-ENB-9035</t>
  </si>
  <si>
    <t>PURSHASHA</t>
  </si>
  <si>
    <t xml:space="preserve">Arun Bhunia, Vill-Pursura, P.O-Patharturia, P.S- Garbeta, Dist-Paschim Medinipur, Pin-722127, Mob-9609000585/964780013</t>
  </si>
  <si>
    <t xml:space="preserve">poor BM backup</t>
  </si>
  <si>
    <t>I-WB-SLBN-ENB-9048</t>
  </si>
  <si>
    <t>MIRGA</t>
  </si>
  <si>
    <t xml:space="preserve">Rita Glhosh, ,vill-Mirga,po-Moupal,ps-Salboni,dist-west midnapur,m-9735496339</t>
  </si>
  <si>
    <t>I-WB-GRBO-ENB-9019</t>
  </si>
  <si>
    <t>SUNDARGERE</t>
  </si>
  <si>
    <t xml:space="preserve">Aswini Pramanik,Vill- Sundargeriya, Po-Dobati,Ps- Goaltore, Pin-721121, Dist -West Midnapur, M-7602356296</t>
  </si>
  <si>
    <t>I-WB-GRBO-ENB-9026</t>
  </si>
  <si>
    <t>BHEDUA</t>
  </si>
  <si>
    <t xml:space="preserve">Dipak Pal, S/O- Late Gopal Pal,Vill-Bhedua,po-Pingboni,Dist -West Midnapur, Pin-721128, M-9733487925</t>
  </si>
  <si>
    <t>I-WB-SLBN-ENB-9037</t>
  </si>
  <si>
    <t>SLBN-9037</t>
  </si>
  <si>
    <t xml:space="preserve">ARUP RATAN MONDAL,  VILL-RAGHUNATHPUR, PO-RAGHUNATHPUR, PS-SALBONI, DIST. PASCHIM MEDINIPUR, PIN-721147, MOB. NO. 9733565798</t>
  </si>
  <si>
    <t>I-WB-SLBN-ENB-9042</t>
  </si>
  <si>
    <t>PIDRAKULI</t>
  </si>
  <si>
    <t xml:space="preserve">BAHADUR MAHATA,(MOB-7477465835), VILL-PIRRAKULI, PO-SALBONI, PS-SALBONI, DIST- PASCHIM MEDINIPUR, PIN-721147</t>
  </si>
  <si>
    <t>I-WB-KESP-ENB-9038</t>
  </si>
  <si>
    <t>GOBORDANGA</t>
  </si>
  <si>
    <t xml:space="preserve">Amal Pan,Vill-Gobordanga,PO+PS- Anandapur,Dist- West Midnapur, Pin-721122, M-9547045657</t>
  </si>
  <si>
    <t>I-WB-MDPR-ENB-9033</t>
  </si>
  <si>
    <t>MDPR-9033</t>
  </si>
  <si>
    <t xml:space="preserve">Kartik Chandra Dey, Vill=Salika, Po-Gurguripal, Ps-Kotwali,Dist-West Midnapur, Pin-721102, M-9647182867</t>
  </si>
  <si>
    <t>I-WB-GRBO-ENB-V001</t>
  </si>
  <si>
    <t xml:space="preserve">Nityananda Pal.Vill:-Talbandi Jagardanga.Post-Jogardanga  Ps-Goaltore,Dist:-West Midnapur,Pin:-721121</t>
  </si>
  <si>
    <t>I-WB-KESP-ENB-9035</t>
  </si>
  <si>
    <t>MANJURIA</t>
  </si>
  <si>
    <t xml:space="preserve">ASADUL MALLIK,  VILL-MANJURIA, PO-GHOSHPUR, PS-KESHPUR, DIST. PASCHIM MEDINIPUR, PIN-721150, MOB NO. 9733776651</t>
  </si>
  <si>
    <t>I-WB-KESP-ENB-9037</t>
  </si>
  <si>
    <t>CHHUTARGERYA</t>
  </si>
  <si>
    <t xml:space="preserve">Abdul Sobhan, Vill-Amalda,Po-Kalagram,ps-Keshpur,Dist-West Midnapur, Pin-721150, M-9732675191</t>
  </si>
  <si>
    <t>I-WB-SLBN-ENB-9049</t>
  </si>
  <si>
    <t xml:space="preserve">KRISHNA NAGAR</t>
  </si>
  <si>
    <t xml:space="preserve">Biswanath Khamrui, Vill - Krishnanagar, Po- Godapiasal,PS- Salboni,Pin-721129,Con-7604016094</t>
  </si>
  <si>
    <t>I-WB-SLBN-ENB-9046</t>
  </si>
  <si>
    <t xml:space="preserve">Bibekananda Samanta, Vill-Bharboni, Po- Pirakata,Ps-Salboni,Pin-721516, M-9733884959</t>
  </si>
  <si>
    <t>I-WB-KESP-ENB-9040</t>
  </si>
  <si>
    <t>HINDALBAR</t>
  </si>
  <si>
    <t xml:space="preserve">Melu Mondal, vill-Hindalbar, Po-Saidbali. Pin-721280. M-9933836853</t>
  </si>
  <si>
    <t>I-WB-SLBN-ENB-9039</t>
  </si>
  <si>
    <t>KADAMDIHA</t>
  </si>
  <si>
    <t xml:space="preserve">Suryakanta patra,Vill-kedamdiha,Po-Nayagram,ps-salbani,dist- west Midnapur, Pin-721102 Mob-9002865946/8348948173</t>
  </si>
  <si>
    <t>I-WB-GRTT-ENB-9031</t>
  </si>
  <si>
    <t>DALDALI</t>
  </si>
  <si>
    <t xml:space="preserve">SAMIR DEY, VILL-Nalbona PO-Nalbona, PS-Goaltore, PASCHIM MEDINIPUR, PIN-721253, MOB NO. 9476443225</t>
  </si>
  <si>
    <t>I-WB-KESP-ENB-9034</t>
  </si>
  <si>
    <t>PANCHAMI</t>
  </si>
  <si>
    <t xml:space="preserve">SK kityauddin &amp; SK Jahiruddin , VILL-PANCHAMI, PO-PURSURA, PS-KESHPUR, DIST. PASCHIM MEDINIPUR, PIN-721150, MOB. NO. 8327867074</t>
  </si>
  <si>
    <t>I-WB-GRBO-ENB-9022</t>
  </si>
  <si>
    <t>SASHABEDIA</t>
  </si>
  <si>
    <t xml:space="preserve">Ashoke Roy,Vill-Sasabedia, P.O-Patharpara, P.S- Goaltore. West Medinipur,8170841696</t>
  </si>
  <si>
    <t xml:space="preserve">voltage flactuation</t>
  </si>
  <si>
    <t>I-WB-GRBT-ENB-9032</t>
  </si>
  <si>
    <t>MAYTA</t>
  </si>
  <si>
    <t xml:space="preserve">VILL-MAYTA, PO-MAYTA, PS-Goaltore, DIST- PASCHIM MEDINIPUR, PIN-721121</t>
  </si>
  <si>
    <t>I-WB-CDKO-ENB-9011</t>
  </si>
  <si>
    <t xml:space="preserve">VILL-MURAKATA, PO-MURAKATA MAHESHPUR, PS- CHANDRAKONA, DIST-WEST MIDNAPUR, PIN-721201  CHANDRAKONA - II</t>
  </si>
  <si>
    <t>I-WB-DSPR-ENB-I011</t>
  </si>
  <si>
    <t xml:space="preserve">Mr. Ashit Kumar Kole,Vill+Post-Sagarpur,P.S.Daspur,Distt.W.Mednipur-721211,Ph.No-09434030419,09474452408</t>
  </si>
  <si>
    <t>I-WB-GRBT-ENB-9031</t>
  </si>
  <si>
    <t>CHAMKAITALA</t>
  </si>
  <si>
    <t xml:space="preserve">Ayub Ali Mallick, Vill-Nischintapur, Po-Tilari Chamkaitala, Pin-712122, Dist-  West Midnapur, M-8250608362</t>
  </si>
  <si>
    <t>I-WB-MDPR-ENB-V007</t>
  </si>
  <si>
    <t xml:space="preserve">15/12 Rabindra Nagar , P.O. Midnapore, Pin-721101, Ward No.22, within Midnapore Municipality , Dist. West Midnapore.721101</t>
  </si>
  <si>
    <t>I-WB-MDPR-ENB-V008</t>
  </si>
  <si>
    <t xml:space="preserve">Khiatan no 828/1, plot no 326/ 579., Lr plot no 353, 354 Mouza tantigaria ward no _21 bednapur minicipality , po tantigaria , PS kotwali, dist west midnipur , wst bengal , Bijay kumar Chowdary 9434217674</t>
  </si>
  <si>
    <t>I-WB-MDPR-ENB-0041</t>
  </si>
  <si>
    <t>MDPR-0041</t>
  </si>
  <si>
    <t xml:space="preserve">Police Lines, P.O Medinipur, P.S : Kotwali, Dist : Paschim Medinipur, PIN 721101, M 7001990094/8585066295</t>
  </si>
  <si>
    <t>I-WB-MDPR-ENB-6003</t>
  </si>
  <si>
    <t>JUGNITALA</t>
  </si>
  <si>
    <t>Jugnitala</t>
  </si>
  <si>
    <t>I-WB-GHTL-ENB-A002</t>
  </si>
  <si>
    <t xml:space="preserve">Mouja+Vill-Konnagar, PO -Ghatal, PS-Ghatal, PIN-721212, Dist-West Midnapur</t>
  </si>
  <si>
    <t>I-WB-DSPR-ENB-9023</t>
  </si>
  <si>
    <t xml:space="preserve">Sambhunath Samanta, Vill Po Sahapur, Ps Daspur, Pin 721641, M 9635984426</t>
  </si>
  <si>
    <t xml:space="preserve">somehow it is working</t>
  </si>
  <si>
    <t>I-WB-KESP-ENB-9059</t>
  </si>
  <si>
    <t>KESP-9059</t>
  </si>
  <si>
    <t xml:space="preserve">VILL- JAMUYA, PO- CHATNA, PS- KESHPUR, DIST- WEST MIDNAPUR, PIN- 721150  KESHPUR</t>
  </si>
  <si>
    <t>I-WB-CDKO-ENB-9021</t>
  </si>
  <si>
    <t>CDKO-9021</t>
  </si>
  <si>
    <t xml:space="preserve">Samar Jana,vill Kadamtala,Ps Chandrakona, Dist West Midnapur,pin 721202, m 9800502873</t>
  </si>
  <si>
    <t>I-WB-GRBO-ENB-9038</t>
  </si>
  <si>
    <t>GRBO-9038</t>
  </si>
  <si>
    <t xml:space="preserve">VILL KADAMDIHA,PO GOALTORE,PS GOALTORE,DIST PASCHIM MIDNAPUR,PIN 721128  GOALTORE</t>
  </si>
  <si>
    <t>I-WB-GRBO-ENB-9039</t>
  </si>
  <si>
    <t>TESKONA</t>
  </si>
  <si>
    <t xml:space="preserve">ANIL PATRA,VILL-TESKONA,PO-AMLASULI,PS-GOALTORE,DIST-PASCHIM MEDINIPUR,PIN-721157,MOB-9732724563</t>
  </si>
  <si>
    <t>I-WB-KESP-ENB-9063</t>
  </si>
  <si>
    <t xml:space="preserve">BARA BARUJ</t>
  </si>
  <si>
    <t xml:space="preserve">VILL-BARA BAROJ PO-BARA TEGHORI PS-ANANDAPUR DIST. PASCHIM MEDINIPUR PIN-721122  KESHPUR</t>
  </si>
  <si>
    <t>I-WB-CDKO-ENB-9022</t>
  </si>
  <si>
    <t>GUADANGA</t>
  </si>
  <si>
    <t xml:space="preserve">LAXMIKANTA PAN, VILL LOYADANGA, PO KRISHNAPUR, PS CHANDRAKONA, DIST. PASCHIM MEDINIPUR, PIN 721127, MOB 8001928505</t>
  </si>
  <si>
    <t xml:space="preserve">BM replaced</t>
  </si>
  <si>
    <t>I-WB-CDKN-ENB-9042</t>
  </si>
  <si>
    <t>CDKN-9042</t>
  </si>
  <si>
    <t xml:space="preserve">APTA MALLICK(8670717885),VILL INDA,PO DIAPUR,PS CHANDROKONA,DIST WEST MIDNAPUR,PIN 721242</t>
  </si>
  <si>
    <t xml:space="preserve">Display faulty (but working)</t>
  </si>
  <si>
    <t>I-WB-GRBT-ENB-9053</t>
  </si>
  <si>
    <t>JEMUASHOL</t>
  </si>
  <si>
    <t xml:space="preserve">VILL-JEMUASHOL,P.O-CHANDABILA,P.S-GARHBETA,DIST-PASCHIM MEDINIPUR,PIN-721127  GARBETA</t>
  </si>
  <si>
    <t>I-WB-CDKO-ENB-9024</t>
  </si>
  <si>
    <t>RAJGANGA</t>
  </si>
  <si>
    <t xml:space="preserve">TRILOCHAN CHANKRABORTY, VILL-DEORA, PO-RAJGANJA, PS-CHANDRAKONA TOWN, PIN-721201, DIST. PASCHIM MEDINIPUR, MOB-9933752514</t>
  </si>
  <si>
    <t>I-WB-GRBT-ENB-9054</t>
  </si>
  <si>
    <t>GRBT-9054</t>
  </si>
  <si>
    <t xml:space="preserve">MEGHNATH MISTRI(9932753431),VILL BHULA,PO MONGLAMARI,PS GOALTORE,DIST PASCHIM MEDINIPUR,PIN 721121</t>
  </si>
  <si>
    <t>I-WB-CDKN-ENB-9043</t>
  </si>
  <si>
    <t>CDKN-9043</t>
  </si>
  <si>
    <t xml:space="preserve">TUTUL ROY(9800808540),VILL SRINAGAR,PO SRINAGAR,PS CHANDRAKONA,DIST PASCHIM MIDNAPUR,PIN 721242</t>
  </si>
  <si>
    <t>I-WB-SLBN-ENB-9057</t>
  </si>
  <si>
    <t>SARASBEDIA</t>
  </si>
  <si>
    <t xml:space="preserve">SUJATA MAHATA, VILL-SARASBEDIA, PO-SAYEDPUR, PS-SALBONI, DIST. PASCHIM MEDINIPUR, PIN-721147, MOB-9732755067</t>
  </si>
  <si>
    <t>I-WB-KESP-ENB-9066</t>
  </si>
  <si>
    <t>KAPASTIKRI</t>
  </si>
  <si>
    <t xml:space="preserve">VILL-KAPASTIKRI, PO-GHOSHDIHA, PS-KESHPUR, DIST- PASCHIM MEDINIPUR, PIN-721156  KESHPUR</t>
  </si>
  <si>
    <t>I-WB-MDPR-ENB-9042</t>
  </si>
  <si>
    <t>MDPR-9042</t>
  </si>
  <si>
    <t xml:space="preserve">VILL-BANPURA, PO-AJODHYA NAGAR, PS-KOTWALI, DIST-PASCHIM MEDINIPUR, PIN-721150   MEDINIPUR</t>
  </si>
  <si>
    <t>I-WB-KESP-ENB-9067</t>
  </si>
  <si>
    <t>KESP-9067</t>
  </si>
  <si>
    <t xml:space="preserve">RADHA SHYAM SAMANTA(9732543438),VILL-SALIKHA,PO-ROUTA,PS-KESHPUR,DIST-PACHIM MEDNIPUR,PIN-721150</t>
  </si>
  <si>
    <t>I-WB-GRTT-ENB-9040</t>
  </si>
  <si>
    <t>GRTT-9040</t>
  </si>
  <si>
    <t xml:space="preserve">KOUSHIK GHOSH &amp; JAYANTA GHOSH(7719168733),VILL-PRATAPPUR,PO-GUYADAHA,PS-GARHBETA,DIST-PASCHIM MEDNIPUR,PIN-721253</t>
  </si>
  <si>
    <t>I-WB-GRBO-ENB-9040</t>
  </si>
  <si>
    <t>GRBO-9040</t>
  </si>
  <si>
    <t xml:space="preserve">JAGANNATH SOREN(8348403149),VILL LOGINOARI,PO ERIAMARA,PS GOALTORE,DIST PASCHIM MIDNAPUR,PIN 721157</t>
  </si>
  <si>
    <t>I-WB-GRBO-ENB-9041</t>
  </si>
  <si>
    <t>GRBO-9041</t>
  </si>
  <si>
    <t xml:space="preserve">VILL- CHANDAVILLA, P.O- CHANDAVILLA, P.S- GARBETA, DIST- WEST MIDNAPUR, PIN- 721157  GOALTORE</t>
  </si>
  <si>
    <t xml:space="preserve">DG overload alarm </t>
  </si>
  <si>
    <t>I-WB-SLBN-ENB-9059</t>
  </si>
  <si>
    <t>SLBN-9059</t>
  </si>
  <si>
    <t xml:space="preserve">VILL- CHUNPARA, PO- BHAUDI, PS- SALBONI, DIST-WEST MIDNAPUR, PIN- 721147  SALBANI</t>
  </si>
  <si>
    <t>I-WB-GRBT-ENB-9055</t>
  </si>
  <si>
    <t>GRBT-9055</t>
  </si>
  <si>
    <t xml:space="preserve">SUSMITA PRADHAN KHAN(9933155655),VILL KHARKUSUMA,PO KHARKUSUMA,PS GARHBETA,DIST,PACHIM MEDNIPUR.PIN 721127</t>
  </si>
  <si>
    <t>I-WB-GRBO-ENB-9042</t>
  </si>
  <si>
    <t>AMAKONDA</t>
  </si>
  <si>
    <t xml:space="preserve">VILL-RAJADALI, PO-PUICHARA, PS- GOALTORE, DIST-WEST MIDNAPUR, PIN-721157  GOALTORE</t>
  </si>
  <si>
    <t xml:space="preserve">Rat issue , EB service cable issue</t>
  </si>
  <si>
    <t>I-WB-GRTT-ENB-9041</t>
  </si>
  <si>
    <t>GRTT-9041</t>
  </si>
  <si>
    <t xml:space="preserve">Ranjit Murmu,Natundanga,po-Kadra,ps-Garbeta,M-9734358406</t>
  </si>
  <si>
    <t>I-WB-MDPR-ENB-9044</t>
  </si>
  <si>
    <t>MDPR-9044</t>
  </si>
  <si>
    <t xml:space="preserve">Bishnuiya Mishra,Vill Bishra, Ps Kotwali,pin 721102, m 75686956375</t>
  </si>
  <si>
    <t>I-WB-GRBO-ENB-9043</t>
  </si>
  <si>
    <t>GRBO-9043</t>
  </si>
  <si>
    <t xml:space="preserve">VILL-DHANGHORI, PO-KANTORE, PS-GOALTORE,DIST- WEST MIDNAPORE, PIN-721157</t>
  </si>
  <si>
    <t xml:space="preserve">DG canopy door broken</t>
  </si>
  <si>
    <t>I-WB-MDPR-ENB-9045</t>
  </si>
  <si>
    <t>MDPR-9045</t>
  </si>
  <si>
    <t xml:space="preserve">SANJIT HANDAL(9735317835),VILL KUNYBURI,PO NYAGRAM,PS GURGURIPAL,DIST WEST MIDNAPUR,PIN 721102</t>
  </si>
  <si>
    <t>I-WB-GRTT-ENB-9044</t>
  </si>
  <si>
    <t xml:space="preserve">VILL-NARAYANPUR, PO-RASHKUNDU, PS-GARHBETA, DIST- PASCHIM MEDINIPUR, PIN-721127  GARBETA - III</t>
  </si>
  <si>
    <t>I-WB-GRTT-ENB-9045</t>
  </si>
  <si>
    <t>LOCHANGARH</t>
  </si>
  <si>
    <t xml:space="preserve">VILL-LOCHANGARH, PO-GHATMURA, PS-GARHBETA, DIST- PASCHIM MEDINIPUR, PIN- 721201  GARBETA - III</t>
  </si>
  <si>
    <t xml:space="preserve">due to lightening GCU faulty</t>
  </si>
  <si>
    <t>I-WB-GRBT-ENB-9043</t>
  </si>
  <si>
    <t>UPARJABA</t>
  </si>
  <si>
    <t xml:space="preserve">VILL-UPARJABA, PO-FULBERIA, PS-GARHBETA, DIST-PASCHIM MEDINIPUR, PIN-721127  GARBETA</t>
  </si>
  <si>
    <t>I-WB-GRBT-ENB-9049</t>
  </si>
  <si>
    <t>GILABANI</t>
  </si>
  <si>
    <t xml:space="preserve">DILIP DUTTA, VILL-GILABONI, PO-NOHARI, PS-GARBETA, PIN-721121, DIST. PASCHIM MEDINIPUR, MOB-7602283656</t>
  </si>
  <si>
    <t>I-WB-GRBT-ENB-9047</t>
  </si>
  <si>
    <t>GRBT-9047</t>
  </si>
  <si>
    <t xml:space="preserve">VILL- DHABANI P.O+P.S-KHARAGPUR,DIST-PASCHIM MEDINIPUR,PIN-721127  GARBETA</t>
  </si>
  <si>
    <t>I-WB-GRBT-ENB-9051</t>
  </si>
  <si>
    <t>GRBT-9051</t>
  </si>
  <si>
    <t xml:space="preserve">SUBRATA NANDI(9064693069),VILL-NERASOL,PO-MATIA,PS-GOALTORA,DIST-WEST MIDNAPUR,PIN-721121</t>
  </si>
  <si>
    <t>I-WB-GRBT-ENB-9042</t>
  </si>
  <si>
    <t>GRBT-9042</t>
  </si>
  <si>
    <t xml:space="preserve">VILL-RAULIA,PO-SANMURA,PS-GARBETA,DIST-PASCHIM MEDINIUPUR,PIN-721127  GARBETA</t>
  </si>
  <si>
    <t xml:space="preserve">poor battery backup</t>
  </si>
  <si>
    <t>I-WB-GRBT-ENB-9038</t>
  </si>
  <si>
    <t>GRBT-9038</t>
  </si>
  <si>
    <t xml:space="preserve">BISWARUP MAITY(9732657313),VILL MOLDANGA,PO PS GARHBETA,DIST WEST MIDNAPUR,PIN 721127</t>
  </si>
  <si>
    <t>I-WB-GRBT-ENB-9041</t>
  </si>
  <si>
    <t>JANDA</t>
  </si>
  <si>
    <t xml:space="preserve">PRABHAKAR CHAKRABORTY, VILL-JANDA,PO-MALBANDI,PS-GARHBETA,DIST-PASCHIM MEDINIPUR,PIN-721127,MOB-9933478966</t>
  </si>
  <si>
    <t xml:space="preserve">2 faulty+ 2 weak</t>
  </si>
  <si>
    <t>I-WB-GRBO-ENB-9029</t>
  </si>
  <si>
    <t>SUNIAKON</t>
  </si>
  <si>
    <t xml:space="preserve">Amal Mondal, Vill Suniakon, Po Manglapur, Ps Goaltore, pin 721121, m 8145989733</t>
  </si>
  <si>
    <t>I-WB-GRBO-ENB-9035</t>
  </si>
  <si>
    <t>KALABATI</t>
  </si>
  <si>
    <t xml:space="preserve">ASIT SAHA AND HARADHAN SAHA, VILL-PERUABANDH, PO-MAKLI, PS-GOUALTORE, PIN-721157, DIST. PASCHIM MEDINIPUR, MOB. 9609282597</t>
  </si>
  <si>
    <t xml:space="preserve">DG llop sensor faulty (it causes DG common fault)</t>
  </si>
  <si>
    <t>I-WB-GRBO-ENB-9030</t>
  </si>
  <si>
    <t>GRBO-9030</t>
  </si>
  <si>
    <t xml:space="preserve">UTTAM KUMAR SAHA(973360177),VILL MOTGORA(CHHOTO DHADIKA),PO HOOMGARH,PS GOALTORE,DIST PASCHIM MIDNAPUR,PIN 721157</t>
  </si>
  <si>
    <t>I-WB-GRBT-ENB-9048</t>
  </si>
  <si>
    <t xml:space="preserve">VILL-SAHEBDANGA, PO-AMLAGORA, PS-GOALTORE, DIST-PASCHIM MEDINIPUR, PIN-721121  GARBETA</t>
  </si>
  <si>
    <t>I-WB-GRBO-ENB-9033</t>
  </si>
  <si>
    <t>GRBO-9033</t>
  </si>
  <si>
    <t xml:space="preserve">BISWAJIT KUNDU(9800507712),VILL RAJBANDH,PO PARDHA,PS GOALTORE,DIST PASCHIM MEDNAPUR,PIN 721157</t>
  </si>
  <si>
    <t>I-WB-GRBO-ENB-9031</t>
  </si>
  <si>
    <t>GRBO-9031</t>
  </si>
  <si>
    <t xml:space="preserve">GOUTAM MONDAL &amp; UTTAM MONDAL(9733560901),VILL BARAMESIA,PO HOMEGARH,PS GOULTORE,DIST WEST MIDNAPUR,PIN 721121</t>
  </si>
  <si>
    <t>I-WB-CDKO-ENB-W002</t>
  </si>
  <si>
    <t xml:space="preserve">VILL-KALLA ,PO-KALLA ,PS- CHANDRAKONA TOWN ,DIST.- PASCHIM MEDINIPUR ,PIN-721201  CHANDRAKONA - II</t>
  </si>
  <si>
    <t>I-WB-GRBO-ENB-9037</t>
  </si>
  <si>
    <t>GRBO-9037</t>
  </si>
  <si>
    <t xml:space="preserve">PRASANTA BARIK, VILL-PALASIA, PO-PATHARPARA, PS-GOULTORE, DIST. PASCHIM MEDINIPUR, PIN-721121, MOB-9547307183</t>
  </si>
  <si>
    <t>I-WB-CDKN-ENB-9031</t>
  </si>
  <si>
    <t>KANKABATI</t>
  </si>
  <si>
    <t xml:space="preserve">DULAL ROY, VILL+PO-KANKABATI, PS-CHANDRAKONA, DIST. PASCHIM MEDINIPUR, PIN-721232, MOB. 9775143055</t>
  </si>
  <si>
    <t>I-WB-GRBO-ENB-9034</t>
  </si>
  <si>
    <t xml:space="preserve">CHHOTA NAKDANA</t>
  </si>
  <si>
    <t xml:space="preserve">SUBHAS MAHATA,VILL+ PO-CHHOTO NAKDANA,PS-GOALTORE,DIST-PASCHIM MEDINIPUR,PIN-721157,MOB-7797735769</t>
  </si>
  <si>
    <t>I-WB-GRBO-ENB-9036</t>
  </si>
  <si>
    <t>GRBO-9036</t>
  </si>
  <si>
    <t xml:space="preserve">DURJHATI MAHATA,ACHINTA MAHATA &amp; BISWARUP MAHATA(8967739143),VILL-HATIA,PO-BALANPUR,PS-GOALTORE,DIST-PASCHIM MEDNIPUR,PIN-721128</t>
  </si>
  <si>
    <t>I-WB-GRBO-ENB-9032</t>
  </si>
  <si>
    <t>GRBO-9032</t>
  </si>
  <si>
    <t xml:space="preserve">ABANI BHUSAN MISHRA(7319331176),VILL-CHAMTUBAD,PO-DHAMCHA,PS-GOUALTORE,DIST-PACHIM MEDINIPUR,PN-721121</t>
  </si>
  <si>
    <t>I-WB-CDKO-ENB-9017</t>
  </si>
  <si>
    <t>CDKO-9017</t>
  </si>
  <si>
    <t xml:space="preserve">VILL-BAIKHUNTHAPUR, PO-JAYANTIPUR, PS-CHANDRAKONA, DIST-WEST MEDINAPORE, PIN-721201  CHANDRAKONA - II</t>
  </si>
  <si>
    <t>I-WB-CDKO-ENB-W001</t>
  </si>
  <si>
    <t xml:space="preserve">VILL+P.O-GACH SITALA(NEAR IST COLLEGE),P.S-CHADRAKONA,DIST-WEST MEDNIPORE,PIN-721201  CHANDRAKONA - II</t>
  </si>
  <si>
    <t>I-WB-CDKN-ENB-9034</t>
  </si>
  <si>
    <t>CDKN-9034</t>
  </si>
  <si>
    <t xml:space="preserve">Ram Monohar Patra,vill- Mar,Ps- Daspur,pin-721232, m-9800915429</t>
  </si>
  <si>
    <t>I-WB-GRBO-ENB-9028</t>
  </si>
  <si>
    <t>GRBO-9028</t>
  </si>
  <si>
    <t xml:space="preserve">BIJOY MAHATO(9732723145),VILL BARPATOSOLE.PO PINGBONI,PS GOYALTOR,DIST WEST MIDNAPUR,PIN 721128</t>
  </si>
  <si>
    <t>I-WB-GRTT-ENB-9038</t>
  </si>
  <si>
    <t>GRTT-9038</t>
  </si>
  <si>
    <t xml:space="preserve">VILL- DAMODARPUR, PO- LODHASULI, PS- GOALTORE, DIST- PASCHIM MEDINIPUR, PIN- 721253  GARBETA - III</t>
  </si>
  <si>
    <t>I-WB-GRBO-ENB-9027</t>
  </si>
  <si>
    <t>KADRA</t>
  </si>
  <si>
    <t xml:space="preserve">Hirak Kumar Kundu,Vill- Barakadra,po-Kiyamacha,Ps- Goaltore,pin-721553, m-7001777375</t>
  </si>
  <si>
    <t>I-WB-CDKO-ENB-9013</t>
  </si>
  <si>
    <t>CDKO-9013</t>
  </si>
  <si>
    <t xml:space="preserve">Rabindranath Chowdhury,vill po Hodal Srirampur,pin 721202,m 9800634636</t>
  </si>
  <si>
    <t>I-WB-CDKO-ENB-9014</t>
  </si>
  <si>
    <t>CDKO-9014</t>
  </si>
  <si>
    <t xml:space="preserve">VILL-KENCHKAPUR, PO+PS-CHANDRAKONA, DIST-WEST MEDINAPORE, PIN 721201  CHANDRAKONA - II</t>
  </si>
  <si>
    <t>I-WB-KESP-ENB-9055</t>
  </si>
  <si>
    <t>KESP-9055</t>
  </si>
  <si>
    <t xml:space="preserve">SK AMANUR RAHAMAN, VILL PO BLYAMAHARAJPUR, PS ANANDAPUR, DIST. PASCHIM MEDINIPUR, PIN 721260, MOB 9800446196 / 9732233107</t>
  </si>
  <si>
    <t>I-WB-GHTL-ENB-9039</t>
  </si>
  <si>
    <t>GHTL-9039</t>
  </si>
  <si>
    <t xml:space="preserve">VILL -HAREKRISHNAPUR, P.S- GHATAL,DIST -WEST MIDNAPUR,PIN-721232  GHATAL</t>
  </si>
  <si>
    <t>I-WB-CDKO-ENB-9018</t>
  </si>
  <si>
    <t>BANDIPUR</t>
  </si>
  <si>
    <t xml:space="preserve">RABINDRANATH MONDAL, VILL+PO-BANDIPUR, PS-CHANDRAKONA, DIST. PASCHIM MEDINIPUR, PIN-721260, MOB-7047375750</t>
  </si>
  <si>
    <t>I-WB-CDKO-ENB-9020</t>
  </si>
  <si>
    <t>CDKO-9020</t>
  </si>
  <si>
    <t xml:space="preserve">BHAKTI PADA BHUNIA(9932106958),VILL PINGLASH,PO KHALAKPUR,PS CHANDRAKONA,DIST PASCHIM MEDNIPUR,PIN 721260</t>
  </si>
  <si>
    <t>I-WB-KESP-ENB-9054</t>
  </si>
  <si>
    <t>KESP-9054</t>
  </si>
  <si>
    <t xml:space="preserve">GOKUL CHANDRA GHOSH, VILL MAIPUR, PO TARIA, PS ANANDAPUR, DIST. PASCHIM MEDINIPUR, PIN 721260, MOB 9933652950</t>
  </si>
  <si>
    <t>I-WB-SLBN-ENB-9051</t>
  </si>
  <si>
    <t>SLBN-9051</t>
  </si>
  <si>
    <t xml:space="preserve">VILL-GARRA, PO MADHUPUR, PS SALBONI, DIST-WEST MEDINAPORE, PIN-721516  SALBANI</t>
  </si>
  <si>
    <t>I-WB-KESP-ENB-9058</t>
  </si>
  <si>
    <t>KESP-9058</t>
  </si>
  <si>
    <t xml:space="preserve">Sukchand Murmu, vill Jrakudi, pin 721147, m 8158891792</t>
  </si>
  <si>
    <t>I-WB-CDKN-ENB-W001</t>
  </si>
  <si>
    <t xml:space="preserve">VILL - KULDAHA, PO - CHANDUR, PS - CHANDRAKONA, PASCHIM MIDNAPUR, PIN - 721260  CHANDRAKONA</t>
  </si>
  <si>
    <t>I-WB-KESP-ENB-9045</t>
  </si>
  <si>
    <t>LAKSHMANCHAK</t>
  </si>
  <si>
    <t xml:space="preserve">Tapas hazra,Vill Lakshmanchak,Po Amuria,PS Keshpur,Pin 721260,Cont no 8972191015</t>
  </si>
  <si>
    <t>I-WB-GHTL-ENB-9038</t>
  </si>
  <si>
    <t xml:space="preserve">CHAK LACHHIPUR</t>
  </si>
  <si>
    <t xml:space="preserve">AKM Farukjaman, vill+po-Chaknachipur,Ps- ghatal, M-9800281836, West Midnapur,pin-721242</t>
  </si>
  <si>
    <t>I-WB-CDKN-ENB-9038</t>
  </si>
  <si>
    <t>CDKN-9038</t>
  </si>
  <si>
    <t xml:space="preserve">Tapas Samanta, vill po Monoharpur,ps Chandrakona,Pin 721232,m 964749560</t>
  </si>
  <si>
    <t>I-WB-DSPR-ENB-9029</t>
  </si>
  <si>
    <t>DSR-9029</t>
  </si>
  <si>
    <t xml:space="preserve">MAHADEB SAMANTA(9732780058),VILL SURATPUR,PO HARIRAMPUR,PS DASPUR,DIST PASCHMI MIDNAPUR,PIN 721211</t>
  </si>
  <si>
    <t>I-WB-KESP-ENB-9057</t>
  </si>
  <si>
    <t>KESP-9057</t>
  </si>
  <si>
    <t xml:space="preserve">Arun Dandapat,vill Dolang,po Sahapur,pin 721122, m 8967356250</t>
  </si>
  <si>
    <t>I-WB-KESP-ENB-9043</t>
  </si>
  <si>
    <t>KESHPUR</t>
  </si>
  <si>
    <t xml:space="preserve">DURGAPADA SANTRA, VILL-PARSURI, PO-SUPA, PS-DASPUR, DIST. PASCHIM MEDINIPUR, PIN-721260, MOB-900250595</t>
  </si>
  <si>
    <t>I-WB-KESP-ENB-9044</t>
  </si>
  <si>
    <t>BANSGERIA</t>
  </si>
  <si>
    <t xml:space="preserve">RANJIT SINGHA, VILL-BANSGERIA, PO-JHALKA, PS-KESHPOUR, PIN-721150, MOB-8158884619</t>
  </si>
  <si>
    <t>I-WB-KESP-ENB-9042</t>
  </si>
  <si>
    <t>KESP-9042</t>
  </si>
  <si>
    <t xml:space="preserve">BALARAM DAS(973241289)VILL+PO-MOGRA,PS-KESHPUR,DIST-WEST MEDNIPUR,PIN-721156</t>
  </si>
  <si>
    <t>I-WB-KESP-ENB-9056</t>
  </si>
  <si>
    <t>KESP-9056</t>
  </si>
  <si>
    <t xml:space="preserve">DILIP KUMAR MAL(8918050910)VILL-NAGDA,PO-KAMRGERIYA,PS-KESPUR,DIST-WEST MEDNIPUR,PIN-721122</t>
  </si>
  <si>
    <t>I-WB-DSPO-ENB-9028</t>
  </si>
  <si>
    <t>DSPO-9028</t>
  </si>
  <si>
    <t xml:space="preserve">VILL RAMPUR,PO-PALASHPAI,P.S-DASPUR,DIST-WEST MIDNAPUR,PIN-721146  DASPUR - II</t>
  </si>
  <si>
    <t>I-WB-SLBN-ENB-9050</t>
  </si>
  <si>
    <t>SLBN-9050</t>
  </si>
  <si>
    <t xml:space="preserve">Sanjay Mahata,vill Nonasole,po Moupal,ps salboni,dit West m idnapur,pin 721516, m 9547637553</t>
  </si>
  <si>
    <t>I-WB-DSPR-ENB-W001</t>
  </si>
  <si>
    <t xml:space="preserve">VILL-BALAK ROUTH PO-BALAK ROUTH  PS- DASPUR DIST.- PASCHIM MEDINIPUR PIN-721641</t>
  </si>
  <si>
    <t>I-WB-KESP-ENB-9048</t>
  </si>
  <si>
    <t>KESP-9048</t>
  </si>
  <si>
    <t xml:space="preserve">Shankar Prasad Ghosh,vill Dhobageriya,po Pukuriya,ps Keshpur,pin 721126,m 8371017149</t>
  </si>
  <si>
    <t>I-WB-MDPR-ENB-9036</t>
  </si>
  <si>
    <t>KHANGARDIHI</t>
  </si>
  <si>
    <t xml:space="preserve">ARAFUL MALLICK &amp; OTHERS, VILL-KHANGURDIHI, PO-PANCHKHURI, PS-KOTAWALI, PIN-721150, MOB09933497501</t>
  </si>
  <si>
    <t>I-WB-MDPR-ENB-9037</t>
  </si>
  <si>
    <t>MDPR-9037</t>
  </si>
  <si>
    <t xml:space="preserve">VILL- GOBINDANAGAR, PO- RAMNAGAR GOPINATHPUR, PS- KOTWALI, DIST- PASCHIM MEDINIPUR, PIN- 721305  MEDINIPUR</t>
  </si>
  <si>
    <t>I-WB-MDPR-ENB-W001</t>
  </si>
  <si>
    <t xml:space="preserve">Habiul Rohaman khan. Vill-Ranipatna.Post-Mahatapnagar.PS-Kotowali. Pin-721149.Dist-Midnapur (West) Phone-9932278228</t>
  </si>
  <si>
    <t>I-WB-SLBN-ENB-6001</t>
  </si>
  <si>
    <t xml:space="preserve">PLOT OF RAMESH CHANDRA MAHATO AND KHAGEN MAHATO KALABERIA BHADUTALA PLOT NO 20 KHATIAN NO 53 PO BHADUTALA PS SALBANI DIST PASCHIM MIDNAPUR</t>
  </si>
  <si>
    <t>I-WB-JABE-ENB-9001</t>
  </si>
  <si>
    <t>JABE-9001</t>
  </si>
  <si>
    <t xml:space="preserve">VILL-NARAYANPUR,KACHUGERIA,P.O-SRINAGAR.PS -CHANDRAKONA,DIST-WEST MIDNAPUR ,PIN-721242  JARA</t>
  </si>
  <si>
    <t>mahindr</t>
  </si>
  <si>
    <t>I-WB-GRBT-ENB-9039</t>
  </si>
  <si>
    <t>GRBT-9039</t>
  </si>
  <si>
    <t xml:space="preserve">VILL-SANPUR, PO-AMLAGOLA, PS-GARBETA, DIST-PASCHIM MEDINIPUR, PIN-721121  GARBETA</t>
  </si>
  <si>
    <t>I-WB-CDKN-ENB-9032</t>
  </si>
  <si>
    <t>CDKN-9032</t>
  </si>
  <si>
    <t xml:space="preserve">SEKH GOLAM RASUL(9564414989),VILL NEKARBAGH,PO TATARPUR,PS CHONDROKONA,DIST PASCHIM MIDNAPUR,PIN 721242</t>
  </si>
  <si>
    <t>I-WB-CDKN-ENB-I012</t>
  </si>
  <si>
    <t xml:space="preserve">Sukurulla Sekh, Dag no:-293,Kh-77,Mouza+Vill- Hatpukur,P.O- Ranimadhabpur,P.s- Chandrakona,721242</t>
  </si>
  <si>
    <t>I-WB-MDPR-ENB-A001</t>
  </si>
  <si>
    <t>MALIARA</t>
  </si>
  <si>
    <t xml:space="preserve">VILL- PAHARIPUR, P.O. + P.S -MIDNAPUR, DIST- WEST MIDNAPUR, PIN- 724106  MEDINIPUR</t>
  </si>
  <si>
    <t>I-WB-GHTL-ENB-9036</t>
  </si>
  <si>
    <t>GHTL-9036</t>
  </si>
  <si>
    <t xml:space="preserve">VILL+P.O-KURAN ,P.S-GHATAL ,DIST-PASCHIM MIDNAPUR ,PIN-721222  GHATAL</t>
  </si>
  <si>
    <t xml:space="preserve">fuez faulty</t>
  </si>
  <si>
    <t>I-WB-CDKO-ENB-9019</t>
  </si>
  <si>
    <t>CDKO-9019</t>
  </si>
  <si>
    <t xml:space="preserve">VILL-RAMPUR, P.O-KARAMIRA, P.S- AMSOLE, DIST- PASCHIM MEDINIPUR, PIN-721201  CHANDRAKONA - II</t>
  </si>
  <si>
    <t>I-WB-GRBT-ENB-9040</t>
  </si>
  <si>
    <t>HATKUMARGUNJ</t>
  </si>
  <si>
    <t xml:space="preserve">VILL + P.O- SANDHIPUR,P.S-GARHBETA,DIST-PASCHIM MEDINIPUR,PIN-721127  GARBETA</t>
  </si>
  <si>
    <t>I-WB-CDKO-ENB-9023</t>
  </si>
  <si>
    <t>CDKO-9023</t>
  </si>
  <si>
    <t xml:space="preserve">VILL + PO- KESHADAL, PS- CHANDRAKONA TOWN, DIST- WEST MIDNAPUR, PIN- 721201  CHANDRAKONA - II</t>
  </si>
  <si>
    <t xml:space="preserve">DG upgradation needed</t>
  </si>
  <si>
    <t>I-WB-GHTL-ENB-9026</t>
  </si>
  <si>
    <t xml:space="preserve">Kismat Khanjapur</t>
  </si>
  <si>
    <t xml:space="preserve">VILL- KHANJAPUR, PO- KHANJAPUR, PS- DASPUR, DIST- WEST MIDNAPORE, PIN- 721212    GHATAL</t>
  </si>
  <si>
    <t>I-WB-GHTL-ENB-9037</t>
  </si>
  <si>
    <t>DIGHA-ANANDAPUR</t>
  </si>
  <si>
    <t xml:space="preserve">VILL DIGHA ANANDAPUR, PO ALUI, PS GHATAL, DIST. PASCHIM MEDINIPUR, PIN 721232  GHATAL</t>
  </si>
  <si>
    <t>I-WB-KHMO-ENB-A001</t>
  </si>
  <si>
    <t xml:space="preserve">KHARAR, WARD NO. 7, P.S - GHATAL, DIST- MIDNAPUR</t>
  </si>
  <si>
    <t>I-WB-SLBN-ENB-9056</t>
  </si>
  <si>
    <t>SLBN-9056</t>
  </si>
  <si>
    <t xml:space="preserve">VILL- TURAPARA, P.O+P.S- SALBONI, DIST- WEST MEDINIPUR, PIN- 721147  SALBANI</t>
  </si>
  <si>
    <t>I-WB-CDKN-ENB-9033</t>
  </si>
  <si>
    <t>CDKN-9033</t>
  </si>
  <si>
    <t xml:space="preserve">VILL- GOHALSINI, PO- GOYALDANGA, PS- CHANDRAKONA, DIST- WEST MIDNAPORE, PIN- 721232  CHANDRAKONA</t>
  </si>
  <si>
    <t>I-WB-GRTT-ENB-9042</t>
  </si>
  <si>
    <t>GRTT-9042</t>
  </si>
  <si>
    <t xml:space="preserve">VILL PO KADRA, PS GARHBETA, PIN 721253, DIST. PASCHIM MEDINIPUR  GARBETA - III</t>
  </si>
  <si>
    <t xml:space="preserve">procom GCU not showing DG rating (run time, kwh)prperly</t>
  </si>
  <si>
    <t>I-WB-RJBN-ENB-I002</t>
  </si>
  <si>
    <t xml:space="preserve">VILL+PO-RAMGIVANPUR,PS-CHANDROKONATOWN,DIST-WEST MIDNAPUR,PIN-721222  RAMJIBANPUR</t>
  </si>
  <si>
    <t>I-WB-GRBT-ENB-9046</t>
  </si>
  <si>
    <t>GRBT-9046</t>
  </si>
  <si>
    <t xml:space="preserve">VILL- DHABANI KASTOGORA, PO- CHANDABILA, PS- GARBETA, DIST- PASCHIM MEDINIPUR, PIN- 721127  GARBETA</t>
  </si>
  <si>
    <t>I-WB-SLBN-ENB-9058</t>
  </si>
  <si>
    <t>SLBN-9058</t>
  </si>
  <si>
    <t xml:space="preserve">VILL-SAIYADPUR P.S-SALBONI,DIST-WEST MIDNAPUR, PIN-721147,  SALBANI</t>
  </si>
  <si>
    <t>I-WB-GRBT-ENB-9028</t>
  </si>
  <si>
    <t xml:space="preserve">VILL+PO-+PS- GARBETA, DIST- WEST MIDNAPUR, PIN- 721127  GARBETA</t>
  </si>
  <si>
    <t>I-WB-DSPR-ENB-9019</t>
  </si>
  <si>
    <t>HAREKRISHNAPUR</t>
  </si>
  <si>
    <t xml:space="preserve">VILL- HAREKRISHNAPUR, PO- HAREKRISHNAPUR, PS- DASPUR, DIST- WEST MIDNAPUR, PIN- 721211  DASPUR</t>
  </si>
  <si>
    <t xml:space="preserve">change over faulty, earthing pit rust faulty</t>
  </si>
  <si>
    <t>I-WB-KESP-ENB-9049</t>
  </si>
  <si>
    <t>KESP-9049</t>
  </si>
  <si>
    <t xml:space="preserve">VILL- GADRI, PO- MOHABONI, PS- ANANDAPUR, DIST- PASCHIM MEDINIPUR, PIN- 721260  KESHPUR</t>
  </si>
  <si>
    <t>I-WB-KESP-ENB-9047</t>
  </si>
  <si>
    <t>KESP-9047</t>
  </si>
  <si>
    <t xml:space="preserve">VILL+P.O-GOLAR,P.S -KEASHPUR,DIST-WEST MEDINIPUR,PIN -721260  KESHPUR</t>
  </si>
  <si>
    <t>I-WB-SLBN-ENB-9060</t>
  </si>
  <si>
    <t>CHAKTARINI</t>
  </si>
  <si>
    <t xml:space="preserve">VILL CHAKTARINI, PO SALBONI, PS SALBONI, DIST. PASCHIM MEDINIPUR, PIN 721147  SALBANI</t>
  </si>
  <si>
    <t>I-WB-CDKN-ENB-9036</t>
  </si>
  <si>
    <t>CDKN-9036</t>
  </si>
  <si>
    <t xml:space="preserve">VILL MAHISHAMURI,PO HIRADHANPUR,PS CHANDRAKONA,DIST PACHMI MEDNIPUR,PIN 721232</t>
  </si>
  <si>
    <t>I-WB-AMLG-ENB-9003</t>
  </si>
  <si>
    <t>JHARBONI</t>
  </si>
  <si>
    <t xml:space="preserve">VILL-JHARBONI,PO-AMLAGORA,PS-GARBETA,DIST-PASCHIM MEDINIPUR,PIN-721121  AMLAGORA</t>
  </si>
  <si>
    <t>I-WB-KESP-ENB-9051</t>
  </si>
  <si>
    <t>KESP-9051</t>
  </si>
  <si>
    <t xml:space="preserve">VILL-PURUNBERYA,PO-MUGHBASAN,PS-KESHPUR,DIST-PASCHIM MEDINIPUR,PIN CODE-721150  KESHPUR</t>
  </si>
  <si>
    <t>I-WB-KESP-ENB-9060</t>
  </si>
  <si>
    <t>KESP-9060</t>
  </si>
  <si>
    <t xml:space="preserve">VILL- JAGANATHPUR, PO+PS- KESHPUR, DIST- WEST MIDNAPUR, PIN-721122  KESHPUR</t>
  </si>
  <si>
    <t>I-WB-CDKN-ENB-9037</t>
  </si>
  <si>
    <t>NRID-9001</t>
  </si>
  <si>
    <t xml:space="preserve">VILL-KASANDA,PO-JARA,PS-CHANDRAKONA,DIST-WEST MIDNAPUR,PIN-721212  CHANDRAKONA</t>
  </si>
  <si>
    <t>I-WB-DRLB-ENB-9005</t>
  </si>
  <si>
    <t>DRLB-9005</t>
  </si>
  <si>
    <t xml:space="preserve">VILL +PO -CHANDRAKONA ROAD,PS- GARBETA,DIST- PASCHIM MEDINIPUR,PIN- 721253  DURLLABHGANJ</t>
  </si>
  <si>
    <t>I-WB-GHTL-ENB-6002</t>
  </si>
  <si>
    <t xml:space="preserve">GHATAL 2ND SEC</t>
  </si>
  <si>
    <t xml:space="preserve">VILL- KONNAGAR FARI, PO-GOBINDA NAGAR,PS- GHATAL  ,DIST -WEST MEDNAPORE, PIN CODE-721212 GHATAL</t>
  </si>
  <si>
    <t>I-WB-MDPR-ENB-9043</t>
  </si>
  <si>
    <t>MDPR-9043</t>
  </si>
  <si>
    <t xml:space="preserve">VILL+PO- PANCHKHURI, PS- KOTWALI, DIST- WEST MIDNAPUR, PIN- 721150   MEDINIPUR</t>
  </si>
  <si>
    <t>I-WB-SLBN-ENB-9052</t>
  </si>
  <si>
    <t>SLBN-9052</t>
  </si>
  <si>
    <t xml:space="preserve">VILL- JAMDAHARA, PO- BEUNCHA, PS- SALBONI, DIST- PACHIM MEDINIPUR, PIN- 721129  SALBANI</t>
  </si>
  <si>
    <t>I-WB-DSPR-ENB-9031</t>
  </si>
  <si>
    <t>DSPR-9031</t>
  </si>
  <si>
    <t xml:space="preserve">VILL- KISMAT NARAJOLE, PS- DASPUR, DIST- PASCHIM MEDINIPUR, PIN- 721211  DASPUR</t>
  </si>
  <si>
    <t>I-WB-GRTT-ENB-9043</t>
  </si>
  <si>
    <t>GRTT-9043</t>
  </si>
  <si>
    <t xml:space="preserve">VILL- BURAMAPARA, PO- BELA MAHAPAJPUR, PS- GARBETA, DIST- WEST MIDNAPORE, PIN- 721147  GARBETA - III</t>
  </si>
  <si>
    <t>I-WB-GHTL-ENB-9033</t>
  </si>
  <si>
    <t>Sultanpur</t>
  </si>
  <si>
    <t xml:space="preserve">VILL+PO- SULTANPUR, PS- GHATAL, DIST- WEST MIDNAPORE, PIN- 721222  GHATAL</t>
  </si>
  <si>
    <t>I-WB-SLBN-ENB-9061</t>
  </si>
  <si>
    <t>SLBN-9061</t>
  </si>
  <si>
    <t xml:space="preserve">VILL-HARTORA,P.O-MAHATAPUR,P.S-SALBONI,DIST-WEST MIDNAPUR,PIN-721516  SALBANI</t>
  </si>
  <si>
    <t>I-WB-GHTL-ENB-9042</t>
  </si>
  <si>
    <t>GHTL-9042</t>
  </si>
  <si>
    <t xml:space="preserve">VILL- BARNOBONI, P.O- MAHARAJPUR, P.S- GHATAL, DIST- WEST MIDNAPORE, PIN- 721232  GHATAL</t>
  </si>
  <si>
    <t>I-WB-MDPR-ENB-9046</t>
  </si>
  <si>
    <t>MDPR-9046</t>
  </si>
  <si>
    <t xml:space="preserve">VILL-SAROGOURISOL, P.S.-KOTWALI, DIST-WEST MIDNAPUR, PIN-721102  MEDINIPUR</t>
  </si>
  <si>
    <t>I-WB-KESP-ENB-9068</t>
  </si>
  <si>
    <t>KESP-9068</t>
  </si>
  <si>
    <t xml:space="preserve">VILL- BETBONI, PO-TEGHORI, PS- ANANDAPUR, DIST-PASCHIM MEDINIPUR, PIN- 721122  KESHPUR</t>
  </si>
  <si>
    <t>I-WB-GRBO-ENB-9044</t>
  </si>
  <si>
    <t>GRBO-9044</t>
  </si>
  <si>
    <t xml:space="preserve">VILL- UKHLA,P.O- AKCHARA,P.S- GOALTORE,DIST -WEST MIDNAPUR,PIN -721253  GOALTORE</t>
  </si>
  <si>
    <t>I-WB-KESP-ENB-9023</t>
  </si>
  <si>
    <t>NARADEUL</t>
  </si>
  <si>
    <t xml:space="preserve">VILL-SIRAJPURPO-NERADEULPS- KESHPURPIN-721260 DIST- WEST MIDNAPUR</t>
  </si>
  <si>
    <t>I-WB-DSPR-ENB-9030</t>
  </si>
  <si>
    <t>DSPR-9030</t>
  </si>
  <si>
    <t xml:space="preserve">GOPAL GHORAI-7477616309-VILL+PO-SAMAT, PS-DASPUR, DIST. PASCHIM MEDINIPOUR, PIN-721211</t>
  </si>
  <si>
    <t>I-WB-GRBT-ENB-9050</t>
  </si>
  <si>
    <t>MDPR-9036</t>
  </si>
  <si>
    <t xml:space="preserve">VILL-DHENGADAHAPO-ANKCHHORAPS-GOALTOREDIST-PASCHIM MEDINIPURPIN-721121</t>
  </si>
  <si>
    <t>I-WB-MDPR-ENB-9038</t>
  </si>
  <si>
    <t>MDPR-9038</t>
  </si>
  <si>
    <t xml:space="preserve">SK A BILLA, S/O- SK ABDUL SHORAM-9002374442-VILL-BIRSINGHAPUR, PO-HARISHPUR, PS-KOTAWALI</t>
  </si>
  <si>
    <t>I-WB-DSPO-ENB-W001</t>
  </si>
  <si>
    <t>PANGECHHIA</t>
  </si>
  <si>
    <t>I-WB-MDPR-ENB-W002</t>
  </si>
  <si>
    <t>BALLAVPUR</t>
  </si>
  <si>
    <t>I-WB-SLBN-ENB-9053</t>
  </si>
  <si>
    <t>SLBN-9053</t>
  </si>
  <si>
    <t xml:space="preserve">Kalyan chakraborty-9641213014 / 8327856776-Vill+po-Godapiyasal,ps-Salboni,pin-721129</t>
  </si>
  <si>
    <t>I-WB-MDPR-ENB-9007</t>
  </si>
  <si>
    <t>CHANDRA</t>
  </si>
  <si>
    <t xml:space="preserve">Keya Mahapatra and others-947633479-Keya Mahapatra and others , vill+po-Chandra, pin-721102, m-947633479</t>
  </si>
  <si>
    <t>I-WB-MDPR-ENB-9015</t>
  </si>
  <si>
    <t xml:space="preserve">MRITYUNJOY BANERJEE-9932555089-PATHRA, KOTWALI,WEST MIDNAPORE - 721149</t>
  </si>
  <si>
    <t>I-WB-DSPR-ENB-9013</t>
  </si>
  <si>
    <t>SUJANAGAR</t>
  </si>
  <si>
    <t xml:space="preserve">Bhutnath Shaw and Raghunath Shaw, C/o- Balaram Shaw, Vil-Sujanagar, Pirtala,PO+PS- Daspur,Pin-721211, Ph-8945884473</t>
  </si>
  <si>
    <t xml:space="preserve">SMPS touch controller faulty</t>
  </si>
  <si>
    <t>I-WB-MDPR-ENB-I008</t>
  </si>
  <si>
    <t xml:space="preserve">MR.KHAGENDRA NATH BARIK, P.H-9153628899,VILL- KANKABATI,P.O- MATALDANGA,P.S- KOTWALI,PIN-721102</t>
  </si>
  <si>
    <t>I-WB-MDPR-ENB-9019</t>
  </si>
  <si>
    <t>PALBARI</t>
  </si>
  <si>
    <t xml:space="preserve">JAGANNATH SINGH-9153844760-VILL- PALBARI , P.O- MEDINIPUR, P.S.- KOTWALI, DIST.- PASCHIM MEDINIPUR, PIN-721101</t>
  </si>
  <si>
    <t>I-WB-GRTT-ENB-9027</t>
  </si>
  <si>
    <t>VELIAITIKRI</t>
  </si>
  <si>
    <t xml:space="preserve">VILL-GOBRATOREPO-MORBARPARAPS-GARBETA DIST-WEST MIDNAPOREPIN-721253</t>
  </si>
  <si>
    <t>I-WB-MDPR-ENB-0044</t>
  </si>
  <si>
    <t xml:space="preserve">Circuit House(Keranitala)</t>
  </si>
  <si>
    <t xml:space="preserve">BALAI PATRA-9832138884-KERANITOLA STATION,PO- MIDNAPUR,PS - KOTWALI, DIST- WEST MIDNAPUR, PIN-721101</t>
  </si>
  <si>
    <t>I-WB-MDPR-ENB-I014</t>
  </si>
  <si>
    <t>MDPR-0058</t>
  </si>
  <si>
    <t xml:space="preserve">Biswajit Das Adhikari-7001222324-Vill-Mahatabpur,Po-Midnapore,Ps-Kotwali,Pin-721101</t>
  </si>
  <si>
    <t>I-WB-MDPR-ENB-0061</t>
  </si>
  <si>
    <t>MDPR-0061</t>
  </si>
  <si>
    <t xml:space="preserve">Sukhendu Mondal-9434383134-vill-Town colony,po- Tantigeriya,pin-721102</t>
  </si>
  <si>
    <t>I-WB-MDPR-ENB-I013</t>
  </si>
  <si>
    <t xml:space="preserve">CHIRIMARSAI,MIDNAPUR WEST MIDNAPUR-721101</t>
  </si>
  <si>
    <t>I-WB-AMLG-ENB-9004</t>
  </si>
  <si>
    <t>AMLG-9004</t>
  </si>
  <si>
    <t xml:space="preserve">DIBAKAR MAHANTA-9933534018-DIBAKAR MAHANTA, VILL+PO-AMLAGORA,PS-GARBETA,DIST-PASCHIM MEDINIPUR,PIN-721121,MOB-9933534018</t>
  </si>
  <si>
    <t>I-WB-CDKN-ENB-9041</t>
  </si>
  <si>
    <t>NAYAGANJ</t>
  </si>
  <si>
    <t xml:space="preserve">Jayanti &amp; Sunil Chakraborty-9732023615-Vill-Nayaganj,P. O+P.S-Chandrakona  Dist-Paschim Medinipur, pin-721201</t>
  </si>
  <si>
    <t>I-WB-GHTL-ENB-9029</t>
  </si>
  <si>
    <t>JALSARA</t>
  </si>
  <si>
    <t xml:space="preserve">MITHUN PATRA-8016476876-VILL-JALSARA PO- RADHANAGARPS- GHATAL PIN-721212</t>
  </si>
  <si>
    <t>I-WB-DSPO-ENB-9026</t>
  </si>
  <si>
    <t>DSPO-9026</t>
  </si>
  <si>
    <t xml:space="preserve">SATYARANJAN PANJA-9732973953-VILL-KESHABCHAK,PIN-721212</t>
  </si>
  <si>
    <t>I-WB-DSPO-ENB-9029</t>
  </si>
  <si>
    <t>DSPO-9029</t>
  </si>
  <si>
    <t xml:space="preserve">GOPAL SAMANTA;VILL-SRIPUR;PO-JAGANATHPUR;PS- DASPUR;M-9932546222</t>
  </si>
  <si>
    <t>I-WB-DSPO-ENB-9036</t>
  </si>
  <si>
    <t>ARIT</t>
  </si>
  <si>
    <t xml:space="preserve">Bikas Diyan-8695069270-Vill+po-Arit,Ps- Daspur,Dist- West Midnapur,pin-721148</t>
  </si>
  <si>
    <t>I-WB-DSPO-ENB-9035</t>
  </si>
  <si>
    <t>DONGABHANGA</t>
  </si>
  <si>
    <t xml:space="preserve">Ramratan Maity,Vill-Vill- Dongabhanga, P.O.-Narayanchak, P.S-Daspur, Dist-Paschim.Midnapur, Pin-721154.Cont-7718332320</t>
  </si>
  <si>
    <t>I-WB-GHTL-ENB-9041</t>
  </si>
  <si>
    <t>GHTL-9041</t>
  </si>
  <si>
    <t xml:space="preserve">Arup Kar-8972152125-Vil+P.O.-Chowkha,P.S-Ghatal, Dist-west Midnapur, Pin-721232</t>
  </si>
  <si>
    <t>ko</t>
  </si>
  <si>
    <t>I-WB-GHTL-ENB-4400</t>
  </si>
  <si>
    <t xml:space="preserve">JANMENJOY PANJA</t>
  </si>
  <si>
    <t xml:space="preserve">earthing  chamber not visible</t>
  </si>
  <si>
    <t>I-WB-KSRP-ILA-0001</t>
  </si>
  <si>
    <t>I-WB-GHTL-ENB-9046</t>
  </si>
  <si>
    <t>GHTL-9046</t>
  </si>
  <si>
    <t xml:space="preserve">Kamal Kanti Jana-9593004805-Vill-Pratappur,PO-Panchmaro Pratappur,PS-Ghatal,Pin-721212</t>
  </si>
  <si>
    <t>I-WB-DSPR-ENB-9025</t>
  </si>
  <si>
    <t>DSPR-9025</t>
  </si>
  <si>
    <t xml:space="preserve">Bidesh Ghosh-9775442446-Bidesh Ghosh, Vill- Karunachak, po-Radhakantapur,pin-721211, m-9775442446</t>
  </si>
  <si>
    <t>I-WB-KESP-ENB-9050</t>
  </si>
  <si>
    <t>KESP-9050</t>
  </si>
  <si>
    <t xml:space="preserve">Sk Oliur Rahaman-8926421435-Vill- Gogarpata,po-Kespur, ps-Kespur, pin-721150</t>
  </si>
  <si>
    <t>I-WB-DSPR-ENB-9028</t>
  </si>
  <si>
    <t>DSPR-9028</t>
  </si>
  <si>
    <t xml:space="preserve">Sanjay Patra-9609467361-Sanjay Patra, Vill- Dadpur, DIST -West Midnapur, pin-721211, m-9609467361</t>
  </si>
  <si>
    <t>I-WB-GHTL-ENB-9044</t>
  </si>
  <si>
    <t>GHTL-9044</t>
  </si>
  <si>
    <t xml:space="preserve">Haradhan Samui,Vill-Aragi Krishna Bati,Po-Dirgha Gram,PS-Ghatal,Dist-Paschim Medinipur,PIN-721212,M-9679929661.</t>
  </si>
  <si>
    <t>I-WB-KESP-ENB-9079</t>
  </si>
  <si>
    <t>KESP-9079</t>
  </si>
  <si>
    <t xml:space="preserve">SK.Firoz Mahammad.Vill-Dogachia,Po-Keshpur,PS-Keshpur,Dist-Paschim Medinipur,PIN-721150,M-7797924560/9609692120</t>
  </si>
  <si>
    <t>I-WB-GRBT-ENB-9059</t>
  </si>
  <si>
    <t>GRBT-9059</t>
  </si>
  <si>
    <t xml:space="preserve">Haradhan Hazra &amp; others,Vill-Pachadahara,PS-Garbeta,Paschim Medinipur,PIN-721127,M-9609492252</t>
  </si>
  <si>
    <t>I-WB-KESP-ENB-9069</t>
  </si>
  <si>
    <t>KESP-9069</t>
  </si>
  <si>
    <t xml:space="preserve">Arati Durai,Vill-Kanchantala,Po-Mogra,PS-Keshpur,Dist-PaschimMedinipur,PIN-721150,M-9836709798.</t>
  </si>
  <si>
    <t>I-WB-GRBT-ENB-9057</t>
  </si>
  <si>
    <t>GRBT-9057</t>
  </si>
  <si>
    <t xml:space="preserve">Durga Manna&amp; others, Vill+PO-Kadambandhi, PS-Garhbeta, Paschim Medinipur,Pin-721127, Ph-8368122808</t>
  </si>
  <si>
    <t>I-WB-SLBN-ENB-9063</t>
  </si>
  <si>
    <t>SLBN-9063</t>
  </si>
  <si>
    <t xml:space="preserve">Dilip Mahata,Vill- Mirga,PO+PS-Shalboni,Dist- Paschim Medinipur,PIN-721147,M-8509135519</t>
  </si>
  <si>
    <t>I-WB-SLBN-ENB-9062</t>
  </si>
  <si>
    <t>SLBN-9062</t>
  </si>
  <si>
    <t xml:space="preserve">Tapan mahata,Vill-Bhangabandh,Po-Bhaudi,Ps-Salboni,Dist-Paschim Medinipur,PIN-721147,M- 6296661646</t>
  </si>
  <si>
    <t>I-WB-HACL-ENB-9002</t>
  </si>
  <si>
    <t>HACL-9002</t>
  </si>
  <si>
    <t xml:space="preserve">Alfat Jamader, Hatihalka, Ramnangar, Gopinathpur, Kotwali, Paschim Medinipur, Ph-963540313</t>
  </si>
  <si>
    <t>I-WB-KESP-ENB-9080</t>
  </si>
  <si>
    <t>KESP-9080</t>
  </si>
  <si>
    <t xml:space="preserve">Indrajit Maji &amp; others,Vill-Chatla,PO-Ghosgdia,PS-Keshpur,Dist-Paschim Medinipur,PIN-721156,M-9064882546</t>
  </si>
  <si>
    <t>I-WB-KESP-ENB-9081</t>
  </si>
  <si>
    <t>KESP-9081</t>
  </si>
  <si>
    <t xml:space="preserve">Bablu Das &amp; Others,Vill-Bahara,PO-Toria,PS-Anandapur,Dist-PaschimMedinipur,Pin-721160,M-9002262476</t>
  </si>
  <si>
    <t>I-WB-KESP-ENB-9072</t>
  </si>
  <si>
    <t>KESP-9072</t>
  </si>
  <si>
    <t xml:space="preserve">shyamal Samnata and others , vill-Bhagirathbar, po-Mogra, ps- keshpur, west midnapur, 721150, m-8509599708 / 9091351062</t>
  </si>
  <si>
    <t>I-WB-KESP-ENB-9082</t>
  </si>
  <si>
    <t>KESP-9082</t>
  </si>
  <si>
    <t xml:space="preserve">Sanjit Ghosh &amp; others, Vill- Sainsol,PO-Belamaharajpur,PS-Anandapur,Dist- Paschim Medinipur,PIN-721260,M- 8972640359/ 8145221232</t>
  </si>
  <si>
    <t>I-WB-MDPR-ENB-I015</t>
  </si>
  <si>
    <t>MDPR-I015</t>
  </si>
  <si>
    <t xml:space="preserve">site clean need</t>
  </si>
  <si>
    <t>I-WB-CDKO-ENB-9025</t>
  </si>
  <si>
    <t>CDKO-9025</t>
  </si>
  <si>
    <t xml:space="preserve">Prasanta Roy, Vill-Raida, Po-- Kuapur,paschim Medinipur, M-8016457040 , 721201</t>
  </si>
  <si>
    <t>I-WB-CDKO-ENB-9026</t>
  </si>
  <si>
    <t>CDKO-9026</t>
  </si>
  <si>
    <t xml:space="preserve">Satyakinkar Mondal ,9732580439,  Vill+PO- Dhannagachi,PS- C.K.Town,Dist- Paschim Medinipur,PIN-721201</t>
  </si>
  <si>
    <t>I-WB-GHTL-ENB-9047</t>
  </si>
  <si>
    <t>GHTL-9047</t>
  </si>
  <si>
    <t xml:space="preserve">Madhusudan Ghosh,vill-Kalisa, pin-721222, m-9679653797</t>
  </si>
  <si>
    <t xml:space="preserve">service cable needed</t>
  </si>
  <si>
    <t>I-WB-GHTL-ENB-9048</t>
  </si>
  <si>
    <t>GHTL-9048</t>
  </si>
  <si>
    <t xml:space="preserve">Tapas Ghatak,Vill-Shyamsundarpur,PO-Dandipur,PS-Ghatal,Dist-Paschim Medinipur,PIN-721222,M-9732054986/9933590806</t>
  </si>
  <si>
    <t>I-WB-DSPR-ENB-9033</t>
  </si>
  <si>
    <t>DSPR-9033</t>
  </si>
  <si>
    <t xml:space="preserve">Sk.Rajibul Rahaman &amp; others, Vill- Shyamsundarpur,PO+PS- Daspur,Dist-Paschim Medinipur,PIN-721211,M- 9593213075</t>
  </si>
  <si>
    <t>I-WB-MDPR-ENB-B006</t>
  </si>
  <si>
    <t>SIPAIBAZAR</t>
  </si>
  <si>
    <t>I-WB-MDPR-ENB-0071</t>
  </si>
  <si>
    <t>MDPR-0071</t>
  </si>
  <si>
    <t xml:space="preserve">Ranu Majhi, W/O-Late  Durga charan Majhi, Vill-Kalgang Narampur,PS- Gurguripal, Dist-Paschim Medinipur,Pin-721101, Ph-6294544458</t>
  </si>
  <si>
    <t>I-WB-GHTL-ENB-9049</t>
  </si>
  <si>
    <t>GHTL-9049</t>
  </si>
  <si>
    <t xml:space="preserve">Tara shankar Mukherjee &amp; Others,Vill-Dandipur,PO-Dandipur,PS-Ghatal,Dist-Paschim Medinipur,PIN-721222,M-90733323138</t>
  </si>
  <si>
    <t xml:space="preserve">change over faulty</t>
  </si>
  <si>
    <t>I-WB-MDPR-ENB-G005</t>
  </si>
  <si>
    <t>MDPR-G005</t>
  </si>
  <si>
    <t>I-WB-KESP-ENB-9083</t>
  </si>
  <si>
    <t>KESP-9083</t>
  </si>
  <si>
    <t xml:space="preserve">Sk.Matlab Ali,Vill- Pritambarchak,PO- Sarishakhola,PS- Keshpur,Dist- Paschim Medinipur,PIN- 721150,M- 9733608526</t>
  </si>
  <si>
    <t>I-WB-MDPR-ENB-9047</t>
  </si>
  <si>
    <t>MDPR-9047</t>
  </si>
  <si>
    <t xml:space="preserve">Molay Gorai, vill- Golapichak, ps- Gurguripal,Dist- Medinipur(W), PIN-721102, M-9232070204 </t>
  </si>
  <si>
    <t>I-WB-DSPO-ENB-9037</t>
  </si>
  <si>
    <t xml:space="preserve">Jayanta Duyari-8768994749-Tajpur,Sonakhali,west midnapur,pin-721146</t>
  </si>
  <si>
    <t>I-WB-GHTL-ENB-9051</t>
  </si>
  <si>
    <t>BALIDANGA</t>
  </si>
  <si>
    <t xml:space="preserve">Ananda Mandal-9732706046-Vill+PO- Balidanga,PS- Ghatal,Dist- Paschim Medinipur,PIN- 721212</t>
  </si>
  <si>
    <t xml:space="preserve">2 h 15 min</t>
  </si>
  <si>
    <t>I-WB-DSPO-ENB-9017</t>
  </si>
  <si>
    <t xml:space="preserve">SREEBORA  PO</t>
  </si>
  <si>
    <t xml:space="preserve">Nimai chandra Roy &amp; Parimal Roy,Vill+ Po- Sreebora,PS- Daspur,Dist- Paschim Medinipur,PIN- 721130, M- 8370858485</t>
  </si>
  <si>
    <t>I-WB-MDPR-ENB-9048</t>
  </si>
  <si>
    <t>GOPINATHPUR</t>
  </si>
  <si>
    <t xml:space="preserve">Kumkum Dolai-9609093391-Vill- Gopinathpur,Po- Jaguli,PS- Kotwali,Dist- Paschim Medinipur,PIN- 721149</t>
  </si>
  <si>
    <t>I-WB-DSPR-ENB-9034</t>
  </si>
  <si>
    <t>DEWANCHAK</t>
  </si>
  <si>
    <t xml:space="preserve">Ranjit Mandal-7904028876-Vill- Dewanchak,Po- Chowka, PS- Ghatal,Dist- Paschim Medinipur,PIN- 721232</t>
  </si>
  <si>
    <t>I-WB-MDPR-ENB-0050</t>
  </si>
  <si>
    <t>KUIKOTA</t>
  </si>
  <si>
    <t xml:space="preserve">Raja Barik &amp; Others-8250231338-Raja Barik &amp; Others,C/O Lt.Nirmal Barik,  Vill- Kuikota,Ward- 02, PO- Midnapore, PS- Kotwali, Dist- Paschim Medinipur,PIN-721101,M- 8250231338</t>
  </si>
  <si>
    <t>I-WB-XXXX-COW-0143</t>
  </si>
  <si>
    <t>JAMDEDYA</t>
  </si>
  <si>
    <t xml:space="preserve">Srikanta Rath-9178454550-Infront of Admin Building-Salboni JSW Plant, Salboni, West Medinipur, Pin-721129</t>
  </si>
  <si>
    <t>I-WB-MDPR-FSA-0107</t>
  </si>
  <si>
    <t>I-WB-MDPR-ENB-0066</t>
  </si>
  <si>
    <t>SARATPALLY</t>
  </si>
  <si>
    <t xml:space="preserve">Manjushree Maity, 7001228447, Saratpally,Duckbanglo road,Pin-721101,PO-Midnapore,PS-Kotwali,Dist-Paschim Medinipur</t>
  </si>
  <si>
    <t>I-WB-MDPR-ENB-0046</t>
  </si>
  <si>
    <t xml:space="preserve">COLONEL GOLA</t>
  </si>
  <si>
    <t xml:space="preserve">MAYA GHOSH-9733508420-COLONEL GOLA ward no-09, P.o-Medinipur,P.s-kotwali,Dist-Paschim Medinipur,Pin-721101</t>
  </si>
  <si>
    <t>I-WB-GRBT-ENB-9060</t>
  </si>
  <si>
    <t xml:space="preserve">Swapan Chakraborty-9932938903-Vill- Lapunia,Garbeta, pin-721127</t>
  </si>
  <si>
    <t>I-WB-MDPR-ENB-9049</t>
  </si>
  <si>
    <t xml:space="preserve">Sisir Ghosh-8967886555 / 9635224221-Vill-Barua, Po- Abas,Ps- Kotwali,Dist _ Paschim Medinipore, PIN- 721102</t>
  </si>
  <si>
    <t>I-WB-CDKN-ENB-9046</t>
  </si>
  <si>
    <t xml:space="preserve">Basanta Chatterjee-9932691377 / 9932094103-Vill- Shyamsundarpur, Ward- 04, PO+PS- C.K.Town, Dist- Paschim Medinipur, PIN-721201</t>
  </si>
  <si>
    <t>I-WB-MDPR-ENB-0082</t>
  </si>
  <si>
    <t>JAMUNABALI</t>
  </si>
  <si>
    <t xml:space="preserve">Shibani Singha &amp; Ajay Kr.Singha-9733764826-Vill- Jamunabali( patna),Po- Abas, PS- kotwali, Dist- Paschim Medinipur, 713326</t>
  </si>
  <si>
    <t>I-WB-MDPR-ENB-0063</t>
  </si>
  <si>
    <t>BURACHAK</t>
  </si>
  <si>
    <t xml:space="preserve">SK Abdul Mallick, Vill- Burachak, po- Medinipur, ps- Medinipur, Dist West Medinipur, PIN-721101, M- 9800293395</t>
  </si>
  <si>
    <t>I-WB-MDPR-ENB-0069</t>
  </si>
  <si>
    <t>GOLKUANCHAK</t>
  </si>
  <si>
    <t xml:space="preserve">Dhanajay Mondal-9933313972 / 9474116748-Golkuanchak,Ward-9, PO - Midnapore,PS- Kotwali,Dist- paschim Medinipur,PIN-721101</t>
  </si>
  <si>
    <t>I-WB-GHTL-ENB-9052</t>
  </si>
  <si>
    <t xml:space="preserve">Subhash Samanta-7718221135-Vill- Anandapur,PO- Khashbarh,PS- Ghatal,Dist- Paschim Medinipur, PIN- 721212</t>
  </si>
  <si>
    <t>I-WB-KESP-ENB-9084</t>
  </si>
  <si>
    <t>I-WB-SLBN-ENB-9065</t>
  </si>
  <si>
    <t>I-WB-GRTT-ENB-9048</t>
  </si>
  <si>
    <t>KHANDIBANDH</t>
  </si>
  <si>
    <t>I-WB-KESP-ENB-9085</t>
  </si>
  <si>
    <t>AKHMURA</t>
  </si>
  <si>
    <t>I-WB-GHTL-ENB-9053</t>
  </si>
  <si>
    <t>UDAYGANGH</t>
  </si>
  <si>
    <t xml:space="preserve">4.5 h</t>
  </si>
  <si>
    <t>I-WB-GHTL-ENB-0015</t>
  </si>
  <si>
    <t>KONNAGAR</t>
  </si>
  <si>
    <t>I-WB-DSPO-ENB-9038</t>
  </si>
  <si>
    <t>JOTEGHANASHYAM</t>
  </si>
  <si>
    <t>I-WB-XXXX-COW-0175</t>
  </si>
  <si>
    <t>XXXX-COW-0175</t>
  </si>
  <si>
    <t>I-WB-MDPR-ENB-0087</t>
  </si>
  <si>
    <t>KERANITALA</t>
  </si>
  <si>
    <t>I-WB-GRTT-ENB-9046</t>
  </si>
  <si>
    <t>I-WB-GRTT-ENB-9047</t>
  </si>
  <si>
    <t>I-WB-SLBN-ESC-0016</t>
  </si>
  <si>
    <t>I-WB-SLBN-ESC-0013</t>
  </si>
  <si>
    <t>I-WB-DRLB-ESC-0001</t>
  </si>
  <si>
    <t>I-WB-SLBN-ESC-0009</t>
  </si>
  <si>
    <t>I-WB-SLBN-ESC-0005</t>
  </si>
  <si>
    <t>I-WB-GRTT-ESC-0005</t>
  </si>
  <si>
    <t>I-WB-GRBO-ESC-0004</t>
  </si>
  <si>
    <t>I-WB-MDPR-ESC-0201</t>
  </si>
  <si>
    <t>I-WB-DSPR-ESC-0006</t>
  </si>
  <si>
    <t>I-WB-MDPR-ESC-0198</t>
  </si>
  <si>
    <t>I-WB-GRBT-ESC-0001</t>
  </si>
  <si>
    <t>I-WB-GRBT-ESC-0009</t>
  </si>
  <si>
    <t>I-WB-GRBT-ESC-0007</t>
  </si>
  <si>
    <t>I-WB-GRBO-ESC-0002</t>
  </si>
  <si>
    <t>I-WB-GRBT-ESC-0010</t>
  </si>
  <si>
    <t>I-WB-CDKN-ESC-0007</t>
  </si>
  <si>
    <t>I-WB-CDKN-ESC-0008</t>
  </si>
  <si>
    <t>I-WB-GRBO-ESC-0005</t>
  </si>
  <si>
    <t>I-WB-KESP-ESC-0001</t>
  </si>
  <si>
    <t>I-WB-GRBT-ESC-0006</t>
  </si>
  <si>
    <t>I-WB-CDKO-ESC-0001</t>
  </si>
  <si>
    <t>I-WB-GRBO-ESC-0007</t>
  </si>
  <si>
    <t>I-WB-KESP-ESC-0005</t>
  </si>
  <si>
    <t>I-WB-SLBN-ESC-0020</t>
  </si>
  <si>
    <t>I-WB-KESP-ESC-0003</t>
  </si>
  <si>
    <t>I-WB-CDKN-ESC-0002</t>
  </si>
  <si>
    <t>I-WB-KESP-ESC-0018</t>
  </si>
  <si>
    <t>I-WB-KESP-ESC-0017</t>
  </si>
  <si>
    <t>I-WB-KSRP-ESC-0001</t>
  </si>
  <si>
    <t>I-WB-GRBT-ESC-0008</t>
  </si>
  <si>
    <t>I-WB-KESP-ESC-0016</t>
  </si>
  <si>
    <t>I-WB-HACL-ESC-0001</t>
  </si>
  <si>
    <t>I-WB-GRTT-ESC-0001</t>
  </si>
  <si>
    <t>I-WB-KESP-ESC-0004</t>
  </si>
  <si>
    <t>I-WB-MDPR-ESC-0009</t>
  </si>
  <si>
    <t>I-WB-SLBN-ESC-0021</t>
  </si>
  <si>
    <t>I-WB-KESP-ESC-0015</t>
  </si>
  <si>
    <t>I-WB-CDKN-ESC-0011</t>
  </si>
  <si>
    <t>I-WB-SLBN-ESC-0022</t>
  </si>
  <si>
    <t>I-WB-MDPR-ESC-0006</t>
  </si>
  <si>
    <t>I-WB-CDKN-ESC-0009</t>
  </si>
  <si>
    <t>I-WB-SLBN-ESC-0024</t>
  </si>
  <si>
    <t>I-WB-GRBO-ESC-0006</t>
  </si>
  <si>
    <t>I-WB-SLBN-ESC-0023</t>
  </si>
  <si>
    <t>I-WB-DSPR-ESC-0009</t>
  </si>
  <si>
    <t>I-WB-KESP-ESC-0022</t>
  </si>
  <si>
    <t>I-WB-KESP-ESC-0021</t>
  </si>
  <si>
    <t>I-WB-AMLG-ESC-0001</t>
  </si>
  <si>
    <t>I-WB-MDPR-ESC-0010</t>
  </si>
  <si>
    <t>I-WB-MDPR-ESC-0007</t>
  </si>
  <si>
    <t>I-WB-DSPO-ESC-0003</t>
  </si>
  <si>
    <t>I-WB-KESP-ESC-0006</t>
  </si>
  <si>
    <t>I-WB-DSPO-ESC-0001</t>
  </si>
  <si>
    <t>I-WB-DSPR-ESC-0010</t>
  </si>
  <si>
    <t>I-WB-CDKN-ESC-0014</t>
  </si>
  <si>
    <t>I-WB-KESP-ESC-0023</t>
  </si>
  <si>
    <t>I-WB-NBKL-ESC-0001</t>
  </si>
  <si>
    <t>I-WB-CDKN-ESC-0012</t>
  </si>
  <si>
    <t>I-WB-CDKO-ESC-0005</t>
  </si>
  <si>
    <t>I-WB-GRTT-ESC-0002</t>
  </si>
  <si>
    <t>I-WB-GRTT-ESC-0007</t>
  </si>
  <si>
    <t>I-WB-KESP-ESC-0025</t>
  </si>
  <si>
    <t>I-WB-GRBT-ESC-0011</t>
  </si>
  <si>
    <t>I-WB-MBQF-ESC-0001</t>
  </si>
  <si>
    <t>I-WB-KESP-ESC-0019</t>
  </si>
  <si>
    <t>I-WB-GRBT-ESC-0004</t>
  </si>
  <si>
    <t>I-WB-KESP-ESC-0013</t>
  </si>
  <si>
    <t>I-WB-KESP-ESC-0020</t>
  </si>
  <si>
    <t>I-WB-KESP-ESC-0024</t>
  </si>
  <si>
    <t>I-WB-DRLB-ESC-0002</t>
  </si>
  <si>
    <t>I-WB-GHTL-ESC-0004</t>
  </si>
  <si>
    <t>I-WB-CDKO-ESC-0004</t>
  </si>
  <si>
    <t>I-WB-DSPO-ESC-0005</t>
  </si>
  <si>
    <t>I-WB-GBLO-ENB-I004</t>
  </si>
  <si>
    <t>Jhargram</t>
  </si>
  <si>
    <t>MOHLI</t>
  </si>
  <si>
    <t xml:space="preserve">Dilip Kumar Singh,Jl-158,Dag no:-88/1448,Kh-464 Mouza Asanboni PO:Rantua PS: Gopiballavpur Dist.: JhargramContact no:-9434205536</t>
  </si>
  <si>
    <t xml:space="preserve">AJIT GHOSH</t>
  </si>
  <si>
    <t>I-WB-JBON-ENB-I007</t>
  </si>
  <si>
    <t>Jambani</t>
  </si>
  <si>
    <t xml:space="preserve">Himangshu Mohan Barik Vill+P.O.: Ghutia P.S.:Jamboni Dist: west Midnapore PIN:721517</t>
  </si>
  <si>
    <t>I-WB-JGMM-ENB-I005</t>
  </si>
  <si>
    <t>TALBETAL</t>
  </si>
  <si>
    <t xml:space="preserve">Mrinalini Tripathi, Vill: &amp;, P.O: Chandri, P.S. Jhargram, Dist: Midnapur, Pin: 721507</t>
  </si>
  <si>
    <t>I-WB-JBON-ENB-I003</t>
  </si>
  <si>
    <t>TULIBORH</t>
  </si>
  <si>
    <t xml:space="preserve">Dag No- 68, 69, Khatian No- 176(New), 66/1 (Old), J.L.No- 223, Mouza- Tuliborh, P.S- Jamboni, Dist- West Midnapore</t>
  </si>
  <si>
    <t>I-WB-GBLO-ENB-I001</t>
  </si>
  <si>
    <t>BHAMAL</t>
  </si>
  <si>
    <t xml:space="preserve">VILL-Bhamal,P.O-Guruma Bhamal,P.S-Beliabera,Dist-West Medinipore,Pincode-721517</t>
  </si>
  <si>
    <t>I-WB-JGMM-ENB-V002</t>
  </si>
  <si>
    <t xml:space="preserve">JHARGRAM 1</t>
  </si>
  <si>
    <t xml:space="preserve">SAMIR MAITY, VILL+P.O:-AGUIBANI, P.S:-JHARGRAM,PIN-721507, Ph. 9932488009</t>
  </si>
  <si>
    <t>I-WB-JBON-ENB-I005</t>
  </si>
  <si>
    <t>JOKA</t>
  </si>
  <si>
    <t xml:space="preserve">MRINGENDRA NATH GHOSH,VILL-JOKA,PO-BALIDIHA,PS-JAMBONI,DIST-WEST MEDINIPUR,PIN-721505,PH-9734426741</t>
  </si>
  <si>
    <t>I-WB-GBLO-ENB-I002</t>
  </si>
  <si>
    <t>Chorchita</t>
  </si>
  <si>
    <t xml:space="preserve">Mr.Bansidhar Ghosh &amp; Mr.Pashupati Ghosh,Vill.Akna,Post.Bhadangari,Ps.BeliaPara,Dist.Midnapur,Pin.721517,Ph.03221 266607,9932482173</t>
  </si>
  <si>
    <t>I-WB-GBLO-ENB-I003</t>
  </si>
  <si>
    <t xml:space="preserve">Rantua more</t>
  </si>
  <si>
    <t xml:space="preserve">Dilip Kumar Rout &amp; Sukuntala Rout,Dag No-26,Kh-79,JL No-205,Mouza-Beldiha,Vill-Rantua,P.O-Rantua,P.S-Belaberia,Dist-West Midnapore, PIN:721517</t>
  </si>
  <si>
    <t>I-WB-GBLO-ENB-S001</t>
  </si>
  <si>
    <t>CHARCHITA</t>
  </si>
  <si>
    <t xml:space="preserve">Village+Post: Chorchita PS: Beliapara Dist:West Midnapur PIN 721517</t>
  </si>
  <si>
    <t>I-WB-GBLO-ENB-I005</t>
  </si>
  <si>
    <t>NMAHMAHAPAL1</t>
  </si>
  <si>
    <t xml:space="preserve">Monaranjan Kar Vill-MahaPal,Po-PetBilhdi,Ps-BeliaBerah,,Pin-721517,Ph-9732844697</t>
  </si>
  <si>
    <t>I-WB-GBLP-ENB-I002</t>
  </si>
  <si>
    <t>Sasara</t>
  </si>
  <si>
    <t xml:space="preserve">Sunil Bhuniya_Vil &amp; POST_Sasra,PS-Gopiballabpur,West Midnapore,Pin_721506 Ph-9933344253</t>
  </si>
  <si>
    <t xml:space="preserve">Anup Ghosh</t>
  </si>
  <si>
    <t>I-WB-NYGM-ENB-I008</t>
  </si>
  <si>
    <t>KADOKOTA</t>
  </si>
  <si>
    <t xml:space="preserve">Ghasiram Singh, Vill - Kadokota, P.O - Chandavila, PS: Nayagram, Dist:W. Midnapur, Pin - 721125, Phone No - 3223200165</t>
  </si>
  <si>
    <t>I-WB-GBLP-ENB-I001</t>
  </si>
  <si>
    <t>Ashui</t>
  </si>
  <si>
    <t xml:space="preserve">Sri Ashok Rana, son of Late Debendra Nath Rana,JL. No. 151, Khatian No. 16, Dag No. 291, 294 and situated at Mouza &amp; P.O. Ashui, P.S. Gopiballavpur, District - West Midnapore,,Pin_721506,Ph-9932465580</t>
  </si>
  <si>
    <t>I-WB-GBLP-ENB-I003</t>
  </si>
  <si>
    <t>Amarda</t>
  </si>
  <si>
    <t xml:space="preserve">VILL- GOUR NAYAGRAM, PO- ATHENGI, PS- GOPIBALLAVPUR, DIST- JHARGRAM, PIN- 721506  GOPIBALLAVPUR</t>
  </si>
  <si>
    <t>I-WB-GBLP-ENB-I004</t>
  </si>
  <si>
    <t>AMDASOL-02</t>
  </si>
  <si>
    <t xml:space="preserve">Village:GhutboniP.O.:Asanbani P.S.:Gopiballavpur Disttrict:West Midnapore PIN:721506</t>
  </si>
  <si>
    <t>I-WB-GBLP-ENB-I005</t>
  </si>
  <si>
    <t>BAKRA</t>
  </si>
  <si>
    <t xml:space="preserve">Mr.Chttaranjan Chakraborty//Vill+Post.Bakra, P.S:Gopiballabhpur, Dist.: West Midnapur, Pin.721506,//Ph.9434031027//</t>
  </si>
  <si>
    <t>I-WB-NYGM-ENB-I014</t>
  </si>
  <si>
    <t xml:space="preserve">KHAS JANGAL</t>
  </si>
  <si>
    <t xml:space="preserve">Mouza- Khas Jangal,Vill/P.O-Patina, P.S-Nayagram,Dist-West Medinipur, Pin-721506</t>
  </si>
  <si>
    <t>I-WB-NYGM-ENB-I010</t>
  </si>
  <si>
    <t>GOPIBALLAVPUR-03</t>
  </si>
  <si>
    <t xml:space="preserve">Site Address:Laili Khatun N Ishak Ali , Dag No.652, kh-420, 1223, jl-154, mouza/vill -Nayabasan, Po/Ps : gopiballavpur, Dist : West Medinipur - 721506, 9932562202</t>
  </si>
  <si>
    <t>I-WB-JGMM-ENB-I006</t>
  </si>
  <si>
    <t>JAMBEDA</t>
  </si>
  <si>
    <t xml:space="preserve">Kartik Chandra Mahato,Dag no:-267,Kh-28,Jl-505,Vill- damodarpurP.o- Bodhana,p.s- Jhargram,721507, Contact no:-9732644974</t>
  </si>
  <si>
    <t xml:space="preserve">Chanchal Mahata</t>
  </si>
  <si>
    <t>I-WB-JGMM-ENB-V001</t>
  </si>
  <si>
    <t xml:space="preserve">E_WB_200_05_SINDURGAUR (JHARGRAM)</t>
  </si>
  <si>
    <t xml:space="preserve">613/9, RAGHUNATHPUR, PO+PS- JHARGRAM, DIST- MIDNAPUR (W), PIN- 721507721507</t>
  </si>
  <si>
    <t xml:space="preserve">CHANDAN MAHATA</t>
  </si>
  <si>
    <t>I-WB-JGMM-ENB-I001</t>
  </si>
  <si>
    <t xml:space="preserve">JHARGRAM 03</t>
  </si>
  <si>
    <t>MR.JAYDEVBANNERJEE,VILL.-BHARATPUR,PO.-JHARGRAM,W.MIDNAPORE,WORDNO.-15,PIN.-721507,PH.-03221-257877</t>
  </si>
  <si>
    <t>I-WB-JGMM-ENB-W001</t>
  </si>
  <si>
    <t>JHARGRAM</t>
  </si>
  <si>
    <t xml:space="preserve">VILL: KADAM KANAN; PO+PS: JHARGRAM , DIST: JHARGRAM, PIN:721507 </t>
  </si>
  <si>
    <t>I-WB-BINO-ENB-I001</t>
  </si>
  <si>
    <t>JARDA</t>
  </si>
  <si>
    <t xml:space="preserve">Aparna Dubey, Vill-Jarda, P.O-Muniada, P.S- Belpahari, Dist-West Medinipur, Pin-721501, Ph-9732682936</t>
  </si>
  <si>
    <t xml:space="preserve">MANASH MONDAL</t>
  </si>
  <si>
    <t>I-WB-BINO-ENB-I007</t>
  </si>
  <si>
    <t xml:space="preserve">BHULA BHEDA</t>
  </si>
  <si>
    <t xml:space="preserve">Vill+P.O.: Bhula BhedaP.S.:Belpahari Dist.: West Midnapur PIN:721501</t>
  </si>
  <si>
    <t>I-WB-BINO-ENB-I008</t>
  </si>
  <si>
    <t>BARASUKHJODA</t>
  </si>
  <si>
    <t xml:space="preserve">Vill: Barasukhjora P.O: Shilda P.S:Binpur Dist: Jhargram PIN:721515</t>
  </si>
  <si>
    <t>I-WB-BINO-ENB-I002</t>
  </si>
  <si>
    <t>BHELIADIHA</t>
  </si>
  <si>
    <t xml:space="preserve">Sudhanshu Sekhar Sahoo,Jl-218,Dag no:-633,1069,Kh-535,Mouza+Vill+P.o-Bheliadaha,P.S- Belpahari,721515, Contact no:-9474090536</t>
  </si>
  <si>
    <t>I-WB-BINO-ENB-I003</t>
  </si>
  <si>
    <t>BHAGABANDA</t>
  </si>
  <si>
    <t xml:space="preserve">Sudhanshu mahato,Dag no:-418,Kh-371,Jl-286,Mouza-+Vill+P.O-Bhagabandh, P.s- Binpur,721515, Conatct no:-9732167329/03221-252005</t>
  </si>
  <si>
    <t>I-WB-BINO-ENB-I004</t>
  </si>
  <si>
    <t>MALABATI</t>
  </si>
  <si>
    <t xml:space="preserve">Swapan Kumar Nayek, Dag no-195,Kh-67,Jl-358,Mouza+Vill- Malaboti,  P.o- Bhanderow,P.s- Binpur,721507</t>
  </si>
  <si>
    <t>I-WB-BINO-ENB-I005</t>
  </si>
  <si>
    <t>GAJPATHAR</t>
  </si>
  <si>
    <t xml:space="preserve">Tarini Singh,Dag no:-484,Kh-98,Mouza+Vill-Gajpathar,P.o- Thakuranpahari,P.s- Belpahari, contact no:-9734376204, Dist:West Midnapore, PIN:721501</t>
  </si>
  <si>
    <t>I-WB-BINO-ENB-I009</t>
  </si>
  <si>
    <t>BANSPAHARI</t>
  </si>
  <si>
    <t xml:space="preserve">Dag No- 552, Khatian No- 285/1, J.L.No-3, Mouza- Banshpahari, P.S- Binpur, Dist- West Midnapore, West Bengal</t>
  </si>
  <si>
    <t>I-WB-BINO-ENB-I010</t>
  </si>
  <si>
    <t xml:space="preserve">Abhijit Mandal, Dag No-114, Kh No-547, Jl No-13, Mouza/Vill/P.O-Chakadoba, P.S-Belpahari, Dist-West Medinipur, Pin-721501</t>
  </si>
  <si>
    <t>I-WB-BINO-ENB-I011</t>
  </si>
  <si>
    <t>KANIMAHULI</t>
  </si>
  <si>
    <t xml:space="preserve">DHRUBA KUMAR NANDI, VILL-JAMIRASOLI, P.O-SILDA, PS-BINPUR, DIST. PASCHIM MEDINIPUR, PIN-721515</t>
  </si>
  <si>
    <t>I-WB-NYGM-ENB-I002</t>
  </si>
  <si>
    <t>DHUMSAI</t>
  </si>
  <si>
    <t xml:space="preserve">Dag No- 415, Khatian No- 489,127, J.L.No- 323, Mouza- Dhumsai, P.S- Naya Gram, Dist- West Midnapore, West Bengal</t>
  </si>
  <si>
    <t xml:space="preserve">MIHIR KUMAR BARIK</t>
  </si>
  <si>
    <t>I-WB-NYGM-ENB-I004</t>
  </si>
  <si>
    <t xml:space="preserve">Bara Ningui</t>
  </si>
  <si>
    <t xml:space="preserve">Mouza Boronigui, J.L No. 52, Dag No.486 &amp; 487, Khatian No. 508 &amp; 977/2,. Village &amp; P.O Boronigui, P.S Nayagram, Dist. West Midnapur.. Pin 721 125</t>
  </si>
  <si>
    <t>I-WB-NYGM-ENB-I007</t>
  </si>
  <si>
    <t>CHANDABILA</t>
  </si>
  <si>
    <t xml:space="preserve">Suran Giri, Vill &amp; P.O.- Chandavilla, PS: Nayagram, Dist:Midnapur, Pin - 721125,Phone No. - 9733586312</t>
  </si>
  <si>
    <t>I-WB-NYGM-ENB-I013</t>
  </si>
  <si>
    <t>NKMLKAMLAAPR1</t>
  </si>
  <si>
    <t xml:space="preserve">Mr.Satyaranjan Hitimni,Vill. Kamlapur,Post.Taufaria Kamlapur,Ps.Nayagram,Dist,West Midnapur,Pin,721460,Ph.9933363037</t>
  </si>
  <si>
    <t>I-WB-NYGM-ENB-I001</t>
  </si>
  <si>
    <t xml:space="preserve">KESHAR RAKHA</t>
  </si>
  <si>
    <t xml:space="preserve">Pitamwar Tudu/ Pradhan Tudu,Mouza- keshrikha,dag no-193,Kh-107,Jl-182,Vill- Keshrrakha,P.O- Chalkipada,P.s- nayagram,721125 Contact no:-9775527552 Mouza- keshrikha,dag no-193,Kh-107,Jl-182,Vill- Keshr</t>
  </si>
  <si>
    <t>I-WB-NYGM-ENB-I003</t>
  </si>
  <si>
    <t>DhobaGobindPur</t>
  </si>
  <si>
    <t xml:space="preserve">JL. No. 318, Khatian No. 48/1, Dag No. 178 and situated at Mouza Jamdahra, Post Office â€“ Paika, Police Station â€“ Nayagram, District â€“ Paschim Midnapur, Pin Code â€“ 721125</t>
  </si>
  <si>
    <t>I-WB-NYGM-ENB-I005</t>
  </si>
  <si>
    <t>Baligeria</t>
  </si>
  <si>
    <t xml:space="preserve">SISIR KUMAR MAHATO,VILL+PO: BALIGARIA, PS: NAYAGRAM, PIN:721125</t>
  </si>
  <si>
    <t>I-WB-NYGM-ENB-I009</t>
  </si>
  <si>
    <t>BORAJHURI</t>
  </si>
  <si>
    <t xml:space="preserve">Jamini Kanta Singh,Dag no:-293,Kh-235,Jl-61,Mouza+Vill- Barajharia,P.o- bachoor Khoar,P.s- Nayagram Conatct no:-9733726310</t>
  </si>
  <si>
    <t>I-WB-NYGM-ENB-I011</t>
  </si>
  <si>
    <t>KUSTIKRA</t>
  </si>
  <si>
    <t xml:space="preserve">Paresh chandra Bera, Sukumar Bera,Mouza- Khemasole,Dag no-442,Kh-127,Jl-287,Vill- Kustikara,P.O- Baligeria,p.s- Nayagram,721125    Contact no- 9932241097</t>
  </si>
  <si>
    <t>I-WB-NYGM-ENB-I012</t>
  </si>
  <si>
    <t xml:space="preserve">BARA BANDH</t>
  </si>
  <si>
    <t xml:space="preserve">Vill:Marapada, PO:Kharika Mathani, PS:Nayagram, Dist:West Medinipur-721159</t>
  </si>
  <si>
    <t>I-WB-BINP-ENB-I003</t>
  </si>
  <si>
    <t>GOHOMI</t>
  </si>
  <si>
    <t xml:space="preserve">Madan Mohan Mondal, Vill: Gohomi, P.O: Dharampur, P.S: Lalgarh, Dist:W. Midnapur, Pin:721516, Phone No. 9732006967 NA</t>
  </si>
  <si>
    <t>I-WB-BINP-ENB-I008</t>
  </si>
  <si>
    <t>DIRKARA</t>
  </si>
  <si>
    <t xml:space="preserve">Mr.nagendra nath singha , vil-dirkara, post-netai, ps- nalgarh dist w midnapur- 721516, ph09932070082</t>
  </si>
  <si>
    <t>I-WB-BINP-ENB-I009</t>
  </si>
  <si>
    <t>BAMAL</t>
  </si>
  <si>
    <t xml:space="preserve">Shachinandan Khanra, Dinabandhu Khanra , Vill &amp; P.O. - Bamal, P.S- Lal garh, Dist -Midnapur, Pin - 721516, Phone No - 9734447791, 9732654104</t>
  </si>
  <si>
    <t>I-WB-BINP-ENB-I010</t>
  </si>
  <si>
    <t>RAMGARH</t>
  </si>
  <si>
    <t xml:space="preserve">BIDYUT SAHA, VILL+PO: RAMGARH, PS: LALGARH , PIN: 721141, WEST MEDINIPUR</t>
  </si>
  <si>
    <t>I-WB-BINP-ENB-I004</t>
  </si>
  <si>
    <t>KATAPAHADI</t>
  </si>
  <si>
    <t xml:space="preserve">KATAPAHARI VIVEKANANDA VIDYAPITH,VILL.PO. KATAPAHARI,PS. LALGARH,DIST.W MIDNAPUR.PIN721121,</t>
  </si>
  <si>
    <t>I-WB-JGMM-ENB-I004</t>
  </si>
  <si>
    <t>BELTALA-04</t>
  </si>
  <si>
    <t xml:space="preserve">Sankhajit Dey, Vill &amp; P.O.- Manik Para, PS: Jhargram, Dist:Midnapur, Pin - 721513, Phone No - 9732626059</t>
  </si>
  <si>
    <t xml:space="preserve">Tarun Mahata</t>
  </si>
  <si>
    <t xml:space="preserve">chanchal mahata replaced him</t>
  </si>
  <si>
    <t>I-WB-JGMM-ENB-I002</t>
  </si>
  <si>
    <t>Gajasimal</t>
  </si>
  <si>
    <t xml:space="preserve">Dag No.20, Khatian No. 69/1 JL. No. 949, Mouza No. Shaltoriya, P.O. Gajasimul, P.S. Jhargram, Dist :West Midnapore</t>
  </si>
  <si>
    <t>I-WB-BINP-ENB-I006</t>
  </si>
  <si>
    <t>ANDHARIYA</t>
  </si>
  <si>
    <t xml:space="preserve">Pradip Dandapat, Vill: &amp; P.O: Andharia, P.S.Binpur, Dist: West Midnapur, Pin: 721519, Phone No - 9732521743</t>
  </si>
  <si>
    <t xml:space="preserve">SAMAJIT ROY</t>
  </si>
  <si>
    <t>I-WB-BINP-ENB-I007</t>
  </si>
  <si>
    <t>EBPRBINPUR021</t>
  </si>
  <si>
    <t xml:space="preserve">Vill: Kanko P.O.+P.S.:Binpur Dist.: West MidnaporePIN:721501</t>
  </si>
  <si>
    <t>I-WB-JBON-ENB-I006</t>
  </si>
  <si>
    <t>KAPGARIE</t>
  </si>
  <si>
    <t xml:space="preserve">Hatem Mallick,Vill &amp;, P.O -- Khapgarie, P.S - Jambani, Dist: W. Midnapur, pin-721505, Phone No - 9732567835</t>
  </si>
  <si>
    <t>I-WB-BINO-ENB-I006</t>
  </si>
  <si>
    <t>Harda</t>
  </si>
  <si>
    <t xml:space="preserve">Mr.Sushobhan Mondal,Vill  and  post.harda,Ps.Binpur,Dist.West Midnapur,Pin.721504,Ph.9732932958</t>
  </si>
  <si>
    <t>I-WB-BINO-ENB-I012</t>
  </si>
  <si>
    <t>RAGHUNATPUR</t>
  </si>
  <si>
    <t xml:space="preserve">NARAYAN CHANDRA MAITI, Jl- 535,Kh-170,Dag no-356,P.s- bisnupur, Mouza- Rghunathpur,NEAR PRIMARY SCHOOL,VILL-RAGHUNATHPUR,PO-MURABONI,PS-BINPUR DIST-JHARGRAM Contact no03221-260641(P.P)</t>
  </si>
  <si>
    <t>I-WB-BINP-ENB-I001</t>
  </si>
  <si>
    <t xml:space="preserve">CHOTO SHYAM NAGAR</t>
  </si>
  <si>
    <t xml:space="preserve">SUNIL KR.BASKE,VILL-CHOTO SHYAM NAGAR,PO-RANARANI,PS-LALGARH,DIST-WEST MEDINIPUR,PH-9732521743</t>
  </si>
  <si>
    <t>I-WB-BINP-ENB-I002</t>
  </si>
  <si>
    <t>BELATIKRI</t>
  </si>
  <si>
    <t xml:space="preserve">Shyamal De and sanjit de, Dag no-658,Kh-667,Jl-762,Mouza+Vill+Post-Belatikri.P.S-Lalgar.Pin-721516. Contact no-9732582682 Dag no-658,Kh-667,Jl-762,Mouza+Vill+Post-Belatikri.P.S-Lalgar.Pin-721516. Cont</t>
  </si>
  <si>
    <t>I-WB-BINP-ENB-I005</t>
  </si>
  <si>
    <t>MOLARA</t>
  </si>
  <si>
    <t xml:space="preserve">Ratan Chandra Mondal, Vill: Molara P.O: Talbani, P.S.Lalgorh, Dist:W. Midnapur, Pin: 721507, Phone No. - 9732006967 NA</t>
  </si>
  <si>
    <t>I-WB-JBON-ENB-I001</t>
  </si>
  <si>
    <t>DHENGBAHARA</t>
  </si>
  <si>
    <t xml:space="preserve">DAG NO- 259, KHATIAN NO- 484, J.L.NO- 75, MOUZA- DUMURIYA, P.S- JAMBONI, DIST- WEST MIDNAPORE, WEST BENGAL </t>
  </si>
  <si>
    <t>I-WB-JBON-ENB-I002</t>
  </si>
  <si>
    <t>CHILKIGARH</t>
  </si>
  <si>
    <t xml:space="preserve">Ashish Kumar Pal, Vill - Belda, P.O. - Chilkigarh, P.S- Jambani, Dist - West Midnapur, Pin - 721502, Phone No - 9734534009, 9933685671 NA</t>
  </si>
  <si>
    <t>I-WB-JBON-ENB-I004</t>
  </si>
  <si>
    <t xml:space="preserve">SAMAJIT ROY </t>
  </si>
  <si>
    <t>I-WB-GBLO-ENB-I006</t>
  </si>
  <si>
    <t>ROGRA-02</t>
  </si>
  <si>
    <t xml:space="preserve">Vill-Daria, Post.-Petbandi, Ps.-Belabera, Dist.-West Midnapur, Pin.721517</t>
  </si>
  <si>
    <t xml:space="preserve">VIVEKANANDA MAHATA</t>
  </si>
  <si>
    <t>I-WB-SRAL-ENB-I001</t>
  </si>
  <si>
    <t>BELYABERA</t>
  </si>
  <si>
    <t xml:space="preserve">Dag no.- 209, Kh-170,Jl-135, Mouza+Vill-Manikjhautia,P.O- Bakra Chak, P.S- Sakrail,721135.</t>
  </si>
  <si>
    <t>I-WB-SRAL-ENB-I002</t>
  </si>
  <si>
    <t>BANPURA</t>
  </si>
  <si>
    <t xml:space="preserve">Dag No- 355, Khatian No- 104/1, J.L.No-96, Mouza- Banpura, P.S- Sankrail, Dist- West Midnapore, West Bengal</t>
  </si>
  <si>
    <t>I-WB-SRAL-ENB-I005</t>
  </si>
  <si>
    <t>CHUNPARA</t>
  </si>
  <si>
    <t xml:space="preserve">GangaDhar Mahato,Dag no-187,Kh-54,Jl-287,Mouza+Vill+P.O- Chunpara,P.s- Sankhrail,721135.    Contact no- 9933416720</t>
  </si>
  <si>
    <t>I-WB-SRAL-ENB-V002</t>
  </si>
  <si>
    <t xml:space="preserve">VILL:SANKRAIL PO+PS:SANKRAIL DIST:JHARGRAM</t>
  </si>
  <si>
    <t>I-WB-NYGM-ENB-I015</t>
  </si>
  <si>
    <t>ROGRA-03</t>
  </si>
  <si>
    <t xml:space="preserve">Ajit Ghosh,Dag No-9/5,KH-2,Jl-51,Mouza/Vill-Haraparia,P.S-Sankrail,P.O-Kukrakhupi,Dist-West Medinipore-721517</t>
  </si>
  <si>
    <t>I-WB-SRAL-ENB-I003</t>
  </si>
  <si>
    <t>KOLBONI</t>
  </si>
  <si>
    <t xml:space="preserve">Gopal Mishra, Dag No.298,300, Kh-352, JL-283, Mouza:Dahabar, Vill:Sikhapatna, Po:Jhanjhanankar, Ps:Sankrail, Dist:West Medinipur-721437</t>
  </si>
  <si>
    <t>I-WB-SRAL-ENB-I004</t>
  </si>
  <si>
    <t>KESIAPATA</t>
  </si>
  <si>
    <t xml:space="preserve">Dag No-15, Khatian No-47,J.L.No-194, Mouza-Rangadiha P.s-Sankrail Dist.-West MidanporePIN:721135</t>
  </si>
  <si>
    <t>I-WB-SRAL-ENB-V001</t>
  </si>
  <si>
    <t>Rohini</t>
  </si>
  <si>
    <t xml:space="preserve">Khatian No -92/3,  Plot No - 260, J.L No-252, Mouza  - Rohini,under Rohini No 4 G.P,Vill-/P.O-Rohini, P.S -Sankrail, Dist - Midnapore (W),Pin-721143 null</t>
  </si>
  <si>
    <t>I-WB-JGMM-ENB-9061</t>
  </si>
  <si>
    <t>jamira</t>
  </si>
  <si>
    <t>VILL-JAMIRA-PO-CHANDRI-PS-JHARGRAM-PIN-721503</t>
  </si>
  <si>
    <t>I-WB-GBLO-ENB-9017</t>
  </si>
  <si>
    <t>GBLO-9017</t>
  </si>
  <si>
    <t xml:space="preserve">VILLAGE: SHANKRARIPOST OFFICE+ POLICE STATION: BELIABERAH DISTRICT: JHARGRAM PIN CODE:721517 DULAL MAHAPATRA PHONE NUMBER:9800502834</t>
  </si>
  <si>
    <t xml:space="preserve">BLVD not working, controller faulty</t>
  </si>
  <si>
    <t xml:space="preserve">pushpuck faulty</t>
  </si>
  <si>
    <t xml:space="preserve">3 battary switch faulty</t>
  </si>
  <si>
    <t xml:space="preserve">oil tank faulty</t>
  </si>
  <si>
    <t>I-WB-GBLO-ENB-9014</t>
  </si>
  <si>
    <t>TALGRAM</t>
  </si>
  <si>
    <t xml:space="preserve">MURLIDHAR PAUL, VILL- TALGRAM, PO-GURMA BHAMAL, DIST- JHARGRAM, PIN-721517, Ph No 7477438284</t>
  </si>
  <si>
    <t>I-WB-GBLO-ENB-9018</t>
  </si>
  <si>
    <t>GBLO-9018</t>
  </si>
  <si>
    <t xml:space="preserve">DILIP KUILA, VILL-PITHAPUR, PO-MALANCHA, PS-BALIABARAH, DIST-JHARGRAM, PIN-721517, PH No- 9547564109</t>
  </si>
  <si>
    <t xml:space="preserve">1 RM is not good</t>
  </si>
  <si>
    <t xml:space="preserve"> 4 pole MCB neede</t>
  </si>
  <si>
    <t>I-WB-NYGM-ENB-9025</t>
  </si>
  <si>
    <t>BANGORA</t>
  </si>
  <si>
    <t xml:space="preserve">Mrinal Patra, Vill: Bangora P.O-Malancha, P.S -Beliabera, Dist: Jhargram PIN - 721517, Ph No - 8016375153</t>
  </si>
  <si>
    <t>I-WB-NYGM-ENB-9021</t>
  </si>
  <si>
    <t xml:space="preserve">Vill+P.O: Talgram P.O: LauparaP.s: BeliaberaDist: JhargramPIN:721517</t>
  </si>
  <si>
    <t>I-WB-JGMM-ENB-9064</t>
  </si>
  <si>
    <t>JGMM-9064</t>
  </si>
  <si>
    <t xml:space="preserve">Rambilash saho,Vill-Fulsundri,Po-Chandri,PS-Jamboni-Pin-721503,dist-Jhargram,Cont-9932828799/867006535</t>
  </si>
  <si>
    <t>I-WB-JBON-ENB-9021</t>
  </si>
  <si>
    <t>PARSULI</t>
  </si>
  <si>
    <t xml:space="preserve">Basudeb Mahata,Ph No-8942024037, Vill+Po-Parsuli, Ps- Jamboni, Dist-West Medinipur, Pin-721503</t>
  </si>
  <si>
    <t xml:space="preserve">SMPS controller backpanel needed </t>
  </si>
  <si>
    <t>I-WB-GBLO-ENB-9021</t>
  </si>
  <si>
    <t>GBLO-9021</t>
  </si>
  <si>
    <t xml:space="preserve">VILL-KANPUR, P.O-KANPUR SALBONI ,P.S-BELIABERA, DIST-JHARGRAM,PIN-721517  BELABERYA</t>
  </si>
  <si>
    <t xml:space="preserve">DG stop solenoid faulty</t>
  </si>
  <si>
    <t>I-WB-JBON-ENB-6002</t>
  </si>
  <si>
    <t>SHOLENDRA</t>
  </si>
  <si>
    <t xml:space="preserve">DAG NO 186 KHATIAN NO 151 2 JL NO 277 MOUZA and VILL SHOLENDRA PO CHICHIRA DIST WEST MIDNAPORE PIN 721507</t>
  </si>
  <si>
    <t xml:space="preserve">battery are not in good condition</t>
  </si>
  <si>
    <t xml:space="preserve">i7000 non auto</t>
  </si>
  <si>
    <t>I-WB-GBLO-ENB-6000</t>
  </si>
  <si>
    <t xml:space="preserve">DAG NO 243 244 JL NO 287 KHATIAN NO 516 MOUZA BELIABERAH PIN 721517 VILL BELIABERAH PO PS BELIABERAH DIST WEST MIDNAPORE PIN 721517</t>
  </si>
  <si>
    <t xml:space="preserve">21112 auto</t>
  </si>
  <si>
    <t>I-WB-JBON-ENB-9028</t>
  </si>
  <si>
    <t>JBON-9028</t>
  </si>
  <si>
    <t xml:space="preserve">PARIMAL SINGHA, VILL-BANDHGORA,P.O-CHICHIRA, PS-JAMBONI,DIST-JHARGRAM, PIN-721503, PH No-9932114443</t>
  </si>
  <si>
    <t>I-WB-GBLO-ENB-9015</t>
  </si>
  <si>
    <t>DHADANGRI</t>
  </si>
  <si>
    <t xml:space="preserve">LAXMIKANTA NAYAK, VILL+PO- DHADANGRI, PS- BELABERAH, DIST-JHARGRAM, PIN721517, PH No-9002640718</t>
  </si>
  <si>
    <t>I-WB-GBLO-ENB-9004</t>
  </si>
  <si>
    <t>SIRSI</t>
  </si>
  <si>
    <t xml:space="preserve">Jogeshwar Senapati &amp; other Vill- Sirshi,P.O-jhuria Bandhgora, P.S-Beliabara,Dist- Paschim Medinipur,PIN-721515,9002387642</t>
  </si>
  <si>
    <t xml:space="preserve">4 pole MCB main and change over</t>
  </si>
  <si>
    <t>I-WB-JGMM-ENB-9031</t>
  </si>
  <si>
    <t>JGMM-9031</t>
  </si>
  <si>
    <t xml:space="preserve">DHARANI MAHATA, VILL-CHAKUA, PO- BIRIHANDI, PS- JHARGRAM, DIST- JHARGRAM, PIN-721514, PH No-9547934087</t>
  </si>
  <si>
    <t>I-WB-JGMM-ENB-9009</t>
  </si>
  <si>
    <t>PURNAPANI</t>
  </si>
  <si>
    <t xml:space="preserve">BANKIM MAHATO-9547680609 / 9547273029,VILL-PURAPANI,P.O-AGUBONI,P.S-JHARGRAM,DIST-WEST MEDINIPORE-721517</t>
  </si>
  <si>
    <t xml:space="preserve">2 faulty RM removed so needed</t>
  </si>
  <si>
    <t>I-WB-GBLO-ENB-9016</t>
  </si>
  <si>
    <t>GBLO-9016</t>
  </si>
  <si>
    <t xml:space="preserve">DHANAJOY SINGHA, VILL-BALIA, PO-BALIA BHUTKALIA,PS-BELIABERA,DIST-JHARGRAM,PIN-721517,PH No-9932097881</t>
  </si>
  <si>
    <t xml:space="preserve">water logged site, soil filling required needed</t>
  </si>
  <si>
    <t>I-WB-JGMM-ENB-9011</t>
  </si>
  <si>
    <t>BAKSOLE</t>
  </si>
  <si>
    <t xml:space="preserve">DILIP KUMAR MAHATA,9933690575, VILL-BAKSOLE, P.O-MONTIPA MOHANPUR, DIST-WEST MIDNAPUR,PIN-721513</t>
  </si>
  <si>
    <t>I-WB-JBON-ENB-9007</t>
  </si>
  <si>
    <t>JUKDIHA</t>
  </si>
  <si>
    <t xml:space="preserve">BANIPADA MAHATO//PH-9732882151//VILL:-SARDIHA;PO:-JUKDIHA;PS:-BELABERIA;DIST:-PASCHIM MEDINIPUR;  PIN:-721517</t>
  </si>
  <si>
    <t xml:space="preserve">soill filling required</t>
  </si>
  <si>
    <t>I-WB-GBLO-ENB-9005</t>
  </si>
  <si>
    <t>GBLO-9005</t>
  </si>
  <si>
    <t xml:space="preserve">Ayan Mahapatra//PH-9932619762// Vill+P.O-Tapsia, P.S-Belabaria,Dist: West Midnapur PIN-721517,</t>
  </si>
  <si>
    <t xml:space="preserve">controller, pushpuck, gwm fault</t>
  </si>
  <si>
    <t xml:space="preserve">coslight </t>
  </si>
  <si>
    <t>I-WB-GBLP-ENB-9025</t>
  </si>
  <si>
    <t>GBLP-9025</t>
  </si>
  <si>
    <t xml:space="preserve">KARTIK BASKEY, VILL-SONARIMARA, PO-SARIA, PS-GOPIBALLAVPUR, PIN-721506, DIST. JHARGRAM, MOB.-9679217733</t>
  </si>
  <si>
    <t xml:space="preserve">blvd short</t>
  </si>
  <si>
    <t xml:space="preserve">detla </t>
  </si>
  <si>
    <t xml:space="preserve">GCU faulty, battery charger faulty, 4 pole MCB faulty,change over faulty,  selector switch faulty</t>
  </si>
  <si>
    <t>I-WB-GBLP-ENB-9016</t>
  </si>
  <si>
    <t>GBLP-9016</t>
  </si>
  <si>
    <t xml:space="preserve">DHANU MANDI, VILL-PURNAPANI,PO-DHANSOLE, PS-GOPIBALLAVPUR,DIST-JHARGRAM, PIN-721506, PH No-993900173/9547987999</t>
  </si>
  <si>
    <t xml:space="preserve">mahindra </t>
  </si>
  <si>
    <t>I-WB-GBLP-ENB-9017</t>
  </si>
  <si>
    <t>GBLP-9017</t>
  </si>
  <si>
    <t xml:space="preserve">SUKHAMOY JANA/SRIKANTA JANA, VILL-KAMALA SOLE, PO-BASINDA,PS- GOPIBALLAVPUR, DIST-JHARGRAM, PIN-721506, Ph No-8159440374/8159044374</t>
  </si>
  <si>
    <t>new</t>
  </si>
  <si>
    <t xml:space="preserve">working </t>
  </si>
  <si>
    <t xml:space="preserve">ladder broken, erathing issue</t>
  </si>
  <si>
    <t>I-WB-GBLP-ENB-9020</t>
  </si>
  <si>
    <t>GBLP-9020</t>
  </si>
  <si>
    <t xml:space="preserve">VILL.: RAIBONI P.O.:RAMBHA P.S.: GOPIBALLAVPUR DIST.:JHARGRAM PIN:721506</t>
  </si>
  <si>
    <t>emerson</t>
  </si>
  <si>
    <t xml:space="preserve">2 backpanel burn</t>
  </si>
  <si>
    <t xml:space="preserve">bus bar fired</t>
  </si>
  <si>
    <t>I-WB-GBLP-ENB-9015</t>
  </si>
  <si>
    <t>GBLP-9015</t>
  </si>
  <si>
    <t xml:space="preserve">Hindu Ram Soren, vill+po -Sawrgochhira,PS- Gobiballavpur,pin-721506, m-8167081477</t>
  </si>
  <si>
    <t xml:space="preserve">1 RM backpanel fired</t>
  </si>
  <si>
    <t xml:space="preserve">dont know</t>
  </si>
  <si>
    <t xml:space="preserve">Service cable need, EB 4 pole MCB 100 amp</t>
  </si>
  <si>
    <t>I-WB-GBLP-ENB-9019</t>
  </si>
  <si>
    <t>GBLP-9019</t>
  </si>
  <si>
    <t xml:space="preserve">JAGADISH RANA, VILL+PO-MAHUL BONI, PS- GOPIBALLAVPUR, DIST-JHARGRAM, PIN-721506, PH No 9932098942</t>
  </si>
  <si>
    <t xml:space="preserve">backpanel fired</t>
  </si>
  <si>
    <t xml:space="preserve">change over fired, ODC lock faulty</t>
  </si>
  <si>
    <t>I-WB-GBLP-ENB-9028</t>
  </si>
  <si>
    <t>GBLP-9028</t>
  </si>
  <si>
    <t xml:space="preserve">Sadhu Bera,Vill-Shyamsundarpur,PO-Sumitrapur,PS-Gopiballavpur,Pin-721506,Dist-Jhargram,Cont-7384018088</t>
  </si>
  <si>
    <t xml:space="preserve">don't know</t>
  </si>
  <si>
    <t xml:space="preserve">no output keep</t>
  </si>
  <si>
    <t xml:space="preserve">0 output, backpanel fired, service cable weak </t>
  </si>
  <si>
    <t>I-WB-GBLP-ENB-9014</t>
  </si>
  <si>
    <t>BHOLA</t>
  </si>
  <si>
    <t xml:space="preserve">Paresh Rout, Vill- Bhola Mahuli, PO+ PS- Gopiballavpur, Pin-721506, Ph No- 9073996132</t>
  </si>
  <si>
    <t>I-WB-GBLP-ENB-9027</t>
  </si>
  <si>
    <t>GBLP-9027</t>
  </si>
  <si>
    <t xml:space="preserve">VILL- KAPASIA, PO+PS- GOPIBALLAVPUR, DIST- JHARGRAM, PIN- 721506  GOPIBALLAVPUR</t>
  </si>
  <si>
    <t xml:space="preserve">faulty break down</t>
  </si>
  <si>
    <t>I-WB-GBLP-ENB-9026</t>
  </si>
  <si>
    <t>GBLP-9026</t>
  </si>
  <si>
    <t xml:space="preserve">VILL- PANIJA, PO-NARASIMUL, PS-JHARGRAM, DIST-JHARGRAM, PIN- 721506  GOPIBALLAVPUR</t>
  </si>
  <si>
    <t>I-WB-GBLP-ENB-9023</t>
  </si>
  <si>
    <t>GBLP-9023</t>
  </si>
  <si>
    <t xml:space="preserve">VILL-MANICHBERIYA,P.O-JANAGHATI,P.S-GOPIBALLAVPUR,DIST-JHARGRAM,PIN-721506  GOPIBALLAVPUR</t>
  </si>
  <si>
    <t xml:space="preserve">change over faulty, service cable weak</t>
  </si>
  <si>
    <t>I-WB-GBLP-ILA-6000</t>
  </si>
  <si>
    <t>I-WB-GBLP-ENB-9003</t>
  </si>
  <si>
    <t>CHATINASOLE</t>
  </si>
  <si>
    <t xml:space="preserve">VILL-CHATINASOLE,P.O+P.S-GOPIBALLAVPUR,DIST-JHARGRAM,PIN-721506  CHHATINASOL</t>
  </si>
  <si>
    <t xml:space="preserve">controller is not good</t>
  </si>
  <si>
    <t xml:space="preserve">change over fired</t>
  </si>
  <si>
    <t xml:space="preserve">water logged site high vegetation site</t>
  </si>
  <si>
    <t>I-WB-NYGM-ENB-9022</t>
  </si>
  <si>
    <t xml:space="preserve">Vill: Gopinathpur P.O: Chatinasole P.S: Gopiballavpur: Dist.: Jhargram PIN:721506</t>
  </si>
  <si>
    <t xml:space="preserve">only 1 RM needed more</t>
  </si>
  <si>
    <t xml:space="preserve">service calbe not good</t>
  </si>
  <si>
    <t xml:space="preserve">water logged site  , vegetation good</t>
  </si>
  <si>
    <t>I-WB-GBLP-ENB-9018</t>
  </si>
  <si>
    <t>GBLP-9018</t>
  </si>
  <si>
    <t xml:space="preserve">JHARNA RANI MURMU,VILL-REHARA GHUTU,PO-JHATIRA,PS-GOPIBALLAVPUR,DIST-JHARGRAMPIN-721506,PH NO-9609392824/9609392248</t>
  </si>
  <si>
    <t xml:space="preserve">backpanel faulty 3 RM</t>
  </si>
  <si>
    <t>I-WB-NYGM-ENB-9020</t>
  </si>
  <si>
    <t>NYGM-9020</t>
  </si>
  <si>
    <t xml:space="preserve">SANTOSH KUMAR GIRI, Vill+Po- Chamarbandh, P.S.- Nayagram,DIST-Jhargram,Pin-721506,Ph No-9800009631</t>
  </si>
  <si>
    <t xml:space="preserve">orion controller normal faulty ,pushpack faulty</t>
  </si>
  <si>
    <t xml:space="preserve">4  kw</t>
  </si>
  <si>
    <t xml:space="preserve">GCU faulty, Mains conductor faulty, Battery charger faulty, rellay faulty</t>
  </si>
  <si>
    <t>I-WB-NYGM-ENB-9039</t>
  </si>
  <si>
    <t>TALDANGRA</t>
  </si>
  <si>
    <t xml:space="preserve">VILL- TALDANGRA, PO- FULBONI, PS- NAYAGRAM, DIST- JHARGRAM, PIN- 721125  NAYAGRAM</t>
  </si>
  <si>
    <t xml:space="preserve">backpanel faulty 5 RM</t>
  </si>
  <si>
    <t xml:space="preserve">C type SPD fired</t>
  </si>
  <si>
    <t xml:space="preserve">ODC lock faulty</t>
  </si>
  <si>
    <t>I-WB-GBLP-ENB-9012</t>
  </si>
  <si>
    <t>NOAGAN</t>
  </si>
  <si>
    <t xml:space="preserve">Sudip Dandpat, Vill-Noagan,Po-Kortia,PS-Gopiballavpur,Dist-Jhargram,Pin-721506,Ph No 9609060365</t>
  </si>
  <si>
    <t>I-WB-GBLP-ENB-9013</t>
  </si>
  <si>
    <t>PANDACHHENCHA</t>
  </si>
  <si>
    <t xml:space="preserve">BIKASH MAHATA//ph-8658135593//, Vill-PANDACHHENCHA, PO- SARIA,PS- GOPI BALLAVPUR,DIST- JHARGRAM,PIN-721506</t>
  </si>
  <si>
    <t xml:space="preserve">1 RM faulty</t>
  </si>
  <si>
    <t>I-WB-GBLP-ENB-9021</t>
  </si>
  <si>
    <t>DHARAMPUR</t>
  </si>
  <si>
    <t xml:space="preserve">VILL-DHARAMPUR,PO+PS- GOPIBALLAVAPUR,DIST-JHARGRAM,PIN-721506  GOPIBALLAVPUR</t>
  </si>
  <si>
    <t xml:space="preserve">SMPS controller switch broken</t>
  </si>
  <si>
    <t xml:space="preserve">lightening faulty 1 RM</t>
  </si>
  <si>
    <t xml:space="preserve">water logged, need</t>
  </si>
  <si>
    <t>I-WB-JGMM-ENB-B002</t>
  </si>
  <si>
    <t>Khalsuli</t>
  </si>
  <si>
    <t xml:space="preserve">Vill+PO: Khalsheuli Dist: West Midnapur PIN:721513</t>
  </si>
  <si>
    <t>I-WB-JGMM-ENB-9062</t>
  </si>
  <si>
    <t>JGMM-9062</t>
  </si>
  <si>
    <t xml:space="preserve">VILL- KARIA, P.O- BODHANA, P.S- JHARGRAM, DIST- JHARGRAM, PIN- 721102  JHARGRAM</t>
  </si>
  <si>
    <t>I-WB-JGMM-ENB-9050</t>
  </si>
  <si>
    <t>BARJUDI</t>
  </si>
  <si>
    <t xml:space="preserve">SAJAL MAHATA,VILL-BARJUDI,PO-BORIMOL, PS-JHARGRAM,DIST-JHARGRAM,PIN-721513, PH NO-9002404741/8918570986</t>
  </si>
  <si>
    <t>I-WB-JGMM-ENB-9042</t>
  </si>
  <si>
    <t>JGMM-9042</t>
  </si>
  <si>
    <t xml:space="preserve">BINAYA MAHATA, VILL+ PO- BURIMOLE, PS- JHARGRAM, DIST- JHARGRAM, PIN 721513, Ph No- 9476401897</t>
  </si>
  <si>
    <t>I-WB-JGMM-ENB-9030</t>
  </si>
  <si>
    <t>JGMM-9030</t>
  </si>
  <si>
    <t xml:space="preserve">Ashok Saw, Vill-Pathari, P.O - Chigurkassa, P.S - Jhargram,Dist - Jhargram, Pin -721513, Ph No - 9547000904</t>
  </si>
  <si>
    <t>I-WB-MNIK-ENB-9003</t>
  </si>
  <si>
    <t>MANIKPARA</t>
  </si>
  <si>
    <t xml:space="preserve">Pranab Kumar Singh-9800160056-Vill+Po-Manikpara,Ps-Jhargram,Pin-721315,dist-Jhargram</t>
  </si>
  <si>
    <t xml:space="preserve">from 2 RM (1 i faulty+1 RM is sometime faulty)</t>
  </si>
  <si>
    <t>I-WB-JGMM-ENB-9063</t>
  </si>
  <si>
    <t>JGMM-9063</t>
  </si>
  <si>
    <t xml:space="preserve">VILL- CHHANAPARA, PO- JAYPUR, PS- JHARGRAM, DIST- JHARGRAM, PIN- 721513  JHARGRAM</t>
  </si>
  <si>
    <t>I-WB-JGMM-ENB-9004</t>
  </si>
  <si>
    <t xml:space="preserve">BANSTAL RLY STATION</t>
  </si>
  <si>
    <t xml:space="preserve">MANGAL MAHATA.VILL-KHASDAHI.POST-BADHNA. PS-JHARGRAM.PIN-721514 DIST-PASCHIM MEDINIPUR.PHONE-9679702669</t>
  </si>
  <si>
    <t xml:space="preserve">SMPS contrpller</t>
  </si>
  <si>
    <t>I-WB-JGMM-ENB-9005</t>
  </si>
  <si>
    <t>RASUA</t>
  </si>
  <si>
    <t xml:space="preserve">KANCHAN MAHATA//PH:9733754710, VILL:-RASUA, PO:-JHATIBANDH, PS:-JHARGRAM; DIST: PASCHIM MEDINIPUR; PIN:721513</t>
  </si>
  <si>
    <t>I-WB-JGMM-ENB-6000</t>
  </si>
  <si>
    <t>SARDIHA</t>
  </si>
  <si>
    <t xml:space="preserve">PLOT NO. 174, JL NO. 585, KHATIAN NO. 218, MOUZA  AND AMP; VILL - SARDIHA, PO- CHINGURKASHA, DIST-WEST MIDNAPORE,PIN-721513</t>
  </si>
  <si>
    <t xml:space="preserve">non is avilable as of 19 sep</t>
  </si>
  <si>
    <t xml:space="preserve">controller, CD need</t>
  </si>
  <si>
    <t>I-WB-MNIK-ENB-6000</t>
  </si>
  <si>
    <t xml:space="preserve">VILL AND AMP;PO- MANIKPARA,DIST- WEST MIDNAPORE, PIN-721513</t>
  </si>
  <si>
    <t xml:space="preserve">CD and Fuel sensor need</t>
  </si>
  <si>
    <t>I-WB-MNIK-ENB-9002</t>
  </si>
  <si>
    <t>MNIK-9002</t>
  </si>
  <si>
    <t xml:space="preserve">UMA SANKAR SHARMA &amp; SWAPAN KUMAR GHOSH, VILL+PO-MANIKPARA, PS-JHARGRAM,DIST-JHARGRAM,PIN-721513,PH NO 9564268366/9474304880</t>
  </si>
  <si>
    <t>I-WB-JGMM-ENB-9021</t>
  </si>
  <si>
    <t>JGMM-9021</t>
  </si>
  <si>
    <t xml:space="preserve">Vill:Narayanpur P.O:Bodhna P.S: Jhargram Dist: Jhargram PIN:721507</t>
  </si>
  <si>
    <t>I-WB-JGMM-ENB-9039</t>
  </si>
  <si>
    <t>BALLA</t>
  </si>
  <si>
    <t xml:space="preserve">UJJAL DE, VILL- BALLA, PO- DHANIPARA, PS-JHARGRAM, DIST- JHARGRAM, PIN-721513, PH No 9734359266</t>
  </si>
  <si>
    <t>I-WB-JGMM-ENB-9006</t>
  </si>
  <si>
    <t xml:space="preserve">MANIK PARA</t>
  </si>
  <si>
    <t xml:space="preserve">JAGADISH CHANDRA MAHATO-9932620363,VILL+P.O- MANIKPARA P.S- JHARGRAM DIST- PASCHIM MEDINIPUR BLOCK- JHARGRAM</t>
  </si>
  <si>
    <t xml:space="preserve">DG battery need</t>
  </si>
  <si>
    <t>I-WB-JGMM-ENB-9040</t>
  </si>
  <si>
    <t>JGMM-9040</t>
  </si>
  <si>
    <t xml:space="preserve">UTTAM MAHATA,VILL-TARAPUR,PO-KHALSULI,PS-JHARGRAM,DIST-JHARGRAM,PIN -721513, PH NO 9564157421</t>
  </si>
  <si>
    <t>I-WB-JGMM-ENB-9003</t>
  </si>
  <si>
    <t xml:space="preserve">ADITYA MAHATA,VILL-KALINAGAR,PO-BODHANA,PS-JHARGRAM,PIN-721514</t>
  </si>
  <si>
    <t>I-WB-JGMM-ENB-9002</t>
  </si>
  <si>
    <t>SALUKGARIA</t>
  </si>
  <si>
    <t xml:space="preserve">PROHALLAD MAHATA,SALUKGARIA,JORAKHALI,PS-JHARGRAM,DIST- MEDINIPUR,PIN-721514.</t>
  </si>
  <si>
    <t>I-WB-JGMM-ENB-9034</t>
  </si>
  <si>
    <t>JGMM-9034</t>
  </si>
  <si>
    <t xml:space="preserve">PANMANI HANSDA, VILL-JAYGERIA,PO+PS- JHARGRAM, DIST-JHARGRAM, PIN-721507, PH NO-9932581147</t>
  </si>
  <si>
    <t>I-WB-JGMM-ENB-9057</t>
  </si>
  <si>
    <t>JGMM-9057</t>
  </si>
  <si>
    <t xml:space="preserve">VILL-KUSUMDANGA, PO-PUKURIA,P.S-JHARGRAM, DIST-JHARGRAM,PIN-721514  JHARGRAM</t>
  </si>
  <si>
    <t>I-WB-JGMM-ENB-0021</t>
  </si>
  <si>
    <t>PUKURIA</t>
  </si>
  <si>
    <t xml:space="preserve">MONOHAR MAHATO,VILL+PO-PUKURIA,PS-JHARGRAM,DIST-PASCHIM MEDINIPUR,SARDIHA 4NO GP,PIN-721507</t>
  </si>
  <si>
    <t>I-WB-JGMM-ENB-0022</t>
  </si>
  <si>
    <t>AMRULIA</t>
  </si>
  <si>
    <t>VILL-AMRULIA,PO-BANDHGORA,PS-JHARGRAM,PIN-721507</t>
  </si>
  <si>
    <t>I-WB-JGMM-ENB-G001</t>
  </si>
  <si>
    <t>RAGHUNATHPUR_JHARGRAM</t>
  </si>
  <si>
    <t xml:space="preserve">MR. DEBASIS GANGULY(BABUN) SALVALY HOUSING SOCIATY RAGHUNATHPUR JHARGRAM DIST. WEST MIDNAPUR CONT.(03221)255742/09830240536</t>
  </si>
  <si>
    <t>I-WB-JGMM-ENB-9024</t>
  </si>
  <si>
    <t>JGMM-9024</t>
  </si>
  <si>
    <t xml:space="preserve">GANESH MAHATA,VILL-PANCHAMI,PO-PUKURIA,PS-JHARGRAM,DIST-JHARGRAM, PIN-721514,PH No- 9732822095</t>
  </si>
  <si>
    <t>I-WB-JGMM-AG1-0003</t>
  </si>
  <si>
    <t>I-WB-JGMM-ENB-9035</t>
  </si>
  <si>
    <t>JGMM-9035</t>
  </si>
  <si>
    <t xml:space="preserve">VILL.: KASIA P.O.:PUKURIAP.S.+DIST.: JHARGRAM PIN:721507//AMAR HANSDA//PH.NO:9733512325//</t>
  </si>
  <si>
    <t>I-WB-JGMM-ENB-0007</t>
  </si>
  <si>
    <t xml:space="preserve">KADAM KANAN</t>
  </si>
  <si>
    <t xml:space="preserve">PURNENDU KUMAR DEY-9475197214,VILL-KADAM KANAN,P.S &amp; P.O-JHARGRAM,JL-393,KH-96,DAG NO-311,MOUZA-KADAM KANALI,WARD NO-07</t>
  </si>
  <si>
    <t>I-WB-JGMM-ENB-0008</t>
  </si>
  <si>
    <t>BACHURDOBA</t>
  </si>
  <si>
    <t xml:space="preserve">TAPAN KUMAR MONDAL-9733831211,VILL-BACHURDOBA,P.O &amp; P.S-JHARGRAM,DIST-WEST MEDINIPORE-721507</t>
  </si>
  <si>
    <t>I-WB-JGMM-ENB-0002</t>
  </si>
  <si>
    <t xml:space="preserve">BALARAM DIHI</t>
  </si>
  <si>
    <t xml:space="preserve">DHRUBESH MAHATA-9732804808,VILL-BALARAM DIHI,P.O &amp; P.S-JHARGRAM,WARD NO-2,DIST-WEST MEDINIPORE-721507</t>
  </si>
  <si>
    <t>I-WB-JGMM-ENB-0016</t>
  </si>
  <si>
    <t xml:space="preserve">RAJ COLLEGE ROAD</t>
  </si>
  <si>
    <t xml:space="preserve">BISWAJIT ROUT-8372963480,BISWAJIT ROUT , PH:8372963480, RAJ COLLEGE ROAD, WARD NO-13, PO+PS-JHARGRAM, DIST-WEST MEDINIPUR</t>
  </si>
  <si>
    <t>I-WB-JGMM-ENB-0006</t>
  </si>
  <si>
    <t>GHORADHARA</t>
  </si>
  <si>
    <t xml:space="preserve">KALPATARU BERA-9800646246,DAG NO-725,JL-395,MOUZA-JUNGLEKHAS,KH-195,VILL-GHORADAHA,P.O &amp; P.S-JHARGRAM,WARD NO-08,DIST-WSET MEDINIPORE-721507</t>
  </si>
  <si>
    <t>I-WB-JGMM-ENB-0010</t>
  </si>
  <si>
    <t>JAMDA</t>
  </si>
  <si>
    <t xml:space="preserve">SUKLAL SOREN-9932821667,MOUZA-JAMDA(PART),JL-370,JHARGRAM,WEST MEDINIPORE-721507</t>
  </si>
  <si>
    <t>I-WB-JGMM-ENB-0009</t>
  </si>
  <si>
    <t xml:space="preserve">BACHURDOBA HOUSING</t>
  </si>
  <si>
    <t xml:space="preserve">MANJU RANI MAHATA-9932928145,DAG NO-71,JL-390,MOUZA-KHAS JANGAL,P.S-BHARGRAM,DIST-WEST MEDINIPORE</t>
  </si>
  <si>
    <t>I-WB-JGMM-ENB-0024</t>
  </si>
  <si>
    <t>JGMM-0024</t>
  </si>
  <si>
    <t xml:space="preserve">Sishu Ranjan Bej,Chandipur,Ward no-16,Near Fanir More,PO+PS-Jhargram,Pin-721507,Dist-Jhargram,Cont-8700701100</t>
  </si>
  <si>
    <t>I-WB-JGMM-ENB-0015</t>
  </si>
  <si>
    <t xml:space="preserve">RAGHUNATH PUR</t>
  </si>
  <si>
    <t xml:space="preserve">DINABANDHU MAHATO-9002277394,MOUZA-JUNGLEKHASH,JL-395,PLOT NO-4372,KH-8893,VILL-GOLASUI,P.O-AMRATORA,P.S-BINPUR,DIST-WEST MEDINIPORE-721505</t>
  </si>
  <si>
    <t>I-WB-JGMM-ENB-0038</t>
  </si>
  <si>
    <t xml:space="preserve">Ujjal Kumar Mudli &amp; Utpal kumar Mudli-9933926112/6295517292-Ujjal Kumar Mudli &amp; Utpal kumar Mudli,Satyaban Pally,Ward no-13,PO+PS+DIST-Jhargram,Pin-721517,Cont no-9933926112/6295517292</t>
  </si>
  <si>
    <t>I-WB-JGMM-ENB-0034</t>
  </si>
  <si>
    <t xml:space="preserve">Monoj  Das,vill-Raghunathpur,Jhargram, pin-721507,M-9932825308</t>
  </si>
  <si>
    <t>I-WB-JGMM-ENB-0013</t>
  </si>
  <si>
    <t xml:space="preserve">NIRPAN PALLY</t>
  </si>
  <si>
    <t xml:space="preserve">SRI HARI CHARAN SINGH-9474478747,MOUZA-KHASJANGUNJ,JHARGRAM,WEST MEDINIPORE-721507</t>
  </si>
  <si>
    <t>I-WB-JGMM-ENB-0026</t>
  </si>
  <si>
    <t>JGMM-0026</t>
  </si>
  <si>
    <t xml:space="preserve">Vill: Ghoradhora PO.+PS.+Dist.: Jhargram Ward No:9  PIN:721507</t>
  </si>
  <si>
    <t>I-WB-JGMM-ENB-0033</t>
  </si>
  <si>
    <t>JGMM-0033</t>
  </si>
  <si>
    <t xml:space="preserve">VILL- VIDYASAGARPALLY, PO- JHARGRAM, PS- JHARGRAM, DIST-JHARGRAM, PIN- 721507  </t>
  </si>
  <si>
    <t>I-WB-JGMM-ENB-9013</t>
  </si>
  <si>
    <t>TUKRUBHOLA</t>
  </si>
  <si>
    <t xml:space="preserve">HARIPADA MAHATA(9635541637),VILL-TUKRUBHOLA,PO-BODHANA,PS-JHARGRAM,PIN-721514</t>
  </si>
  <si>
    <t>I-WB-JGMM-ENB-0025</t>
  </si>
  <si>
    <t>JGMM-0025</t>
  </si>
  <si>
    <t xml:space="preserve">Banamali Ghosh//ph-8972757630//Vill-Gaighata,P.O+P.S-jhargram,Ward-3,Pin-721507</t>
  </si>
  <si>
    <t>I-WB-JGMM-ENB-9032</t>
  </si>
  <si>
    <t>JGMM-9032</t>
  </si>
  <si>
    <t xml:space="preserve">Anil Mahata and others vill- Nedabahara, po-Garshalboni,Ps- Jhragram, pin-721513,m-9775085488</t>
  </si>
  <si>
    <t>I-WB-JGMM-ENB-9054</t>
  </si>
  <si>
    <t>JGMM-9054</t>
  </si>
  <si>
    <t xml:space="preserve">Chaitanya Soren, Vill-Kalaboni, PO+PS-Jhargram, pin-721507, m-9679187093</t>
  </si>
  <si>
    <t>I-WB-JGMM-ENB-0014</t>
  </si>
  <si>
    <t xml:space="preserve">MADHUBAN MORE</t>
  </si>
  <si>
    <t xml:space="preserve">TARUN KANTI MAHATA-9230356252,VILL-RAGHUNATHPUR,MADHUBAN MORE,PS+PO-JHARGRAM,PIN-721507</t>
  </si>
  <si>
    <t>I-WB-JGMM-ENB-0018</t>
  </si>
  <si>
    <t xml:space="preserve">MASUNDA JEERAT</t>
  </si>
  <si>
    <t xml:space="preserve">KRISHNA DE-9647120642 / 9933831447,DAG NO-30,JL-396,KH-134/2,MOUZA-JHARGRAM,WARD NO-12,P.O &amp; P.S-JHARGRAM,DIST-WEST MEDINIPORE</t>
  </si>
  <si>
    <t>I-WB-JGMM-ENB-0001</t>
  </si>
  <si>
    <t>RAJANIKUTHI</t>
  </si>
  <si>
    <t>I-WB-JGMM-ENB-0017</t>
  </si>
  <si>
    <t xml:space="preserve">PAPER MILL ROAD</t>
  </si>
  <si>
    <t xml:space="preserve">DINABANDHU MAHATA-9735446072,VILL-JUNGLE KHAS NEAR FIRE STATION,P.O &amp; P.S-JHARGRAM,DIST-WEST MIDNAPORE</t>
  </si>
  <si>
    <t>I-WB-JGMM-ENB-0005</t>
  </si>
  <si>
    <t xml:space="preserve">STATION PARA</t>
  </si>
  <si>
    <t xml:space="preserve">SUBIR KUNDU-9732743008,VILL-BACHURDOBA(STATION PARA),P.O &amp; P.S-JHARGRAM,WARD NO-02,DIST-WEST MEDINIPORE-721507</t>
  </si>
  <si>
    <t>I-WB-JGMM-ENB-0003</t>
  </si>
  <si>
    <t>NUNGARIA</t>
  </si>
  <si>
    <t xml:space="preserve">LALIT KUMAR MAHATO-9933363602,VILL-NUNNUGARIA,DAG NO-07,KH-73/2,JL-359,WARD NO-13,P.O &amp; P.S-JHARGRAM,DIST-WEST MEDINIPORE</t>
  </si>
  <si>
    <t>I-WB-JGMM-ENB-6001</t>
  </si>
  <si>
    <t xml:space="preserve"> PLOT OF SMT MARTHA MEHRA PLOT NO 219 KHATIAN NO 51 AND 115 JL NO 360 MOUJA NUTANDIHI PO PS JHARGRAM DIST PASCHIM MEDINIPORE </t>
  </si>
  <si>
    <t>I-WB-JGMM-ENB-6002</t>
  </si>
  <si>
    <t xml:space="preserve">OLD JHARGRAM</t>
  </si>
  <si>
    <t xml:space="preserve"> PLOT OF GANESH DAS PLOT NO 29 30 MOUZA BANDAR BHULA J L NO 732 P S JHARGRAM DIST MIDNAPUR PIN 721507 </t>
  </si>
  <si>
    <t>I-WB-BINP-ENB-9027</t>
  </si>
  <si>
    <t>BINP-9027</t>
  </si>
  <si>
    <t xml:space="preserve">SUBAL HEMBRAM,VILL-SAKHISHOLE,PO-RAMGARH,PS-LALGARH,DIST-JHARGRAM,PIN-721141,PH No-8597840566</t>
  </si>
  <si>
    <t>I-WB-JBON-ENB-9026</t>
  </si>
  <si>
    <t>DHARSA</t>
  </si>
  <si>
    <t xml:space="preserve">Shashanka Dutta,Vill-Dubrajpur,Po-Dharsa, PS-Jamboni,Dist-Jhargram,Pin-721505,Ph no 9002279545</t>
  </si>
  <si>
    <t>I-WB-BINO-ENB-B003</t>
  </si>
  <si>
    <t>Belpahari</t>
  </si>
  <si>
    <t xml:space="preserve">Village: Belpahari Post Office: Belpahari Police Station: Belpahari District: West Midnapore PIN 721501</t>
  </si>
  <si>
    <t>I-WB-JBON-ILA-9026</t>
  </si>
  <si>
    <t>I-WB-BINO-ENB-B002</t>
  </si>
  <si>
    <t>BAMUNDIHA</t>
  </si>
  <si>
    <t xml:space="preserve">Village+Post office: Bamundiha Police station: Belpahari District: West midnapore PIN:721501</t>
  </si>
  <si>
    <t>I-WB-BINO-ENB-9042</t>
  </si>
  <si>
    <t>BINO-9042</t>
  </si>
  <si>
    <t xml:space="preserve">VILL.:DHANGI KUSUM P.O.:ODOLCHUAP.S.:BELPAHARIDIST.:JHARGRAMPIN:721501</t>
  </si>
  <si>
    <t>I-WB-BINO-ENB-9030</t>
  </si>
  <si>
    <t>BINO-9030</t>
  </si>
  <si>
    <t xml:space="preserve">Kanda saren ,S/O Birendranath Saren  ,vill-Burijor, po-Kankrajhor,ps- Belpahari,pin-721501,m-8972640535/9675434975</t>
  </si>
  <si>
    <t>I-WB-BINO-ENB-9032</t>
  </si>
  <si>
    <t>BINO-9032</t>
  </si>
  <si>
    <t xml:space="preserve">Vill+P.O.: Pathra chakri P.S.: Belpahari Dist.:JhargramPIN: 721501</t>
  </si>
  <si>
    <t>I-WB-BINO-ENB-9029</t>
  </si>
  <si>
    <t>BINO-9029</t>
  </si>
  <si>
    <t xml:space="preserve">Haripada Kisku//PH-8670266701// Vill- Odolchua,Po+ps-Belpahari,Dist.-Jhargram, pin-721501,</t>
  </si>
  <si>
    <t>I-WB-BINO-ENB-9025</t>
  </si>
  <si>
    <t>BINO-9025</t>
  </si>
  <si>
    <t xml:space="preserve">TUHIN SUBHRA HEMBRAM//PH.-8016687176// Vill: Churimara PO:Oruli PS: Belpahari PIN:721501</t>
  </si>
  <si>
    <t>I-WB-BINO-ENB-9020</t>
  </si>
  <si>
    <t>BINO-9020</t>
  </si>
  <si>
    <t xml:space="preserve">VILL+PO-KANKRAJHORA,PS-BELPAHARI,DIST-JHARGRAM,PIN-721501  BELPAHARI</t>
  </si>
  <si>
    <t>I-WB-BINO-ENB-9016</t>
  </si>
  <si>
    <t>BINO-9016</t>
  </si>
  <si>
    <t xml:space="preserve">SANKAR KUMAR BID &amp; Others, VILL-DHARAMPUR,PO-KOREKORA,PS-BINPUR,DIST-JHARGRAM,PIN-721504,PH no-9734817894</t>
  </si>
  <si>
    <t>I-WB-BINO-ENB-9027</t>
  </si>
  <si>
    <t>BINO-9027</t>
  </si>
  <si>
    <t xml:space="preserve">Nikhil Saha, Vill- Jamboni, po-Borsol, ps-Belpahari, Pin-721501, M-7679257482</t>
  </si>
  <si>
    <t>I-WB-JBON-ENB-9036</t>
  </si>
  <si>
    <t>Tentulia</t>
  </si>
  <si>
    <t xml:space="preserve">Sripati Das-9933832586-Vill-Tentulia,Po-Parihati,PS-jhargram,Pin-721505,Dist Jhargrm</t>
  </si>
  <si>
    <t>I-WB-BINO-ENB-9045</t>
  </si>
  <si>
    <t>BINO-9045</t>
  </si>
  <si>
    <t xml:space="preserve">VILL-RAGHUNATHPUR,P.O -ASHAKANTHI,P.S -BINPUR,DIST-JHARGRAM,PIN-721515  BELPAHARI</t>
  </si>
  <si>
    <t>I-WB-BINO-ENB-9040</t>
  </si>
  <si>
    <t>BINO-9040</t>
  </si>
  <si>
    <t xml:space="preserve">PROBODH CH.SINGH(8116016142),VILL-GOHALBERA,PO-AGUIBIL,PS-BELPAHARI,DIST-JHARGRAM,PIN-721501</t>
  </si>
  <si>
    <t>I-WB-BINO-ENB-9039</t>
  </si>
  <si>
    <t>BINO-9039</t>
  </si>
  <si>
    <t xml:space="preserve">VILL- KODOPUR ,PO-KALAPATHAR,DIST-JHARGRAM,PIN-721501  BELPAHARI</t>
  </si>
  <si>
    <t>I-WB-BINO-ENB-9041</t>
  </si>
  <si>
    <t>BINO-9041</t>
  </si>
  <si>
    <t xml:space="preserve">VILL- PATAGHAR, P.O- BANSPAHARI, P.S- BELPAHARI, DIST-JHARGRAM, PIN- 721501  BELPAHARI</t>
  </si>
  <si>
    <t>I-WB-BINO-ENB-9024</t>
  </si>
  <si>
    <t>BINO-9024</t>
  </si>
  <si>
    <t xml:space="preserve">GURUPADA MAHATA, VILL-GADRA, PO-KODAPORA, PS-BELPAHARI, DIST-JHARGRAM, PIN-721102, PH No-9609470647</t>
  </si>
  <si>
    <t>I-WB-BINO-ENB-9023</t>
  </si>
  <si>
    <t>BINO-9023</t>
  </si>
  <si>
    <t xml:space="preserve">ANIL KUMAR MURMU &amp; DURGA MURMU, VILL-SUSNIJUBI, PO-CHARAK PAHARI, PS-BELPAHARI, DIST-JHARGRAM, PIN-721501, PH No-8900309564/9564648544</t>
  </si>
  <si>
    <t>I-WB-BINO-ENB-9036</t>
  </si>
  <si>
    <t>BINO-9036</t>
  </si>
  <si>
    <t xml:space="preserve">Jitendra Nath Singha, Vill-Kuchla pahari, po-Sahari, ps- Belpahari, pin-721515,m-9635637426</t>
  </si>
  <si>
    <t>I-WB-JBON-ENB-9025</t>
  </si>
  <si>
    <t>DOMOHANI</t>
  </si>
  <si>
    <t xml:space="preserve">SRIDAM KISKU, VILL-DOMUHANI,PO-DHARSA,PS-JAMBONI, DIST-JHARGRAM,PIN 721505, PH No- 7797320792/9775088872</t>
  </si>
  <si>
    <t>I-WB-BINO-ENB-9035</t>
  </si>
  <si>
    <t>BINO-9035</t>
  </si>
  <si>
    <t xml:space="preserve">KASHIM MIR, VILL + PO- KARKORA, PS- BINPUR, DIST- JHARGRAM, PIN-721507, PH No 9547074947</t>
  </si>
  <si>
    <t>I-WB-BINO-ENB-9018</t>
  </si>
  <si>
    <t xml:space="preserve">Rakhahari Mahata,//Ph-9733825345//Vill- Narayanpur PO-Shilda PS-Binpur Dist-Jhargram, Pin 721515,</t>
  </si>
  <si>
    <t>I-WB-BINO-ENB-9013</t>
  </si>
  <si>
    <t>MAJUGARA</t>
  </si>
  <si>
    <t xml:space="preserve">Mr.Subhas Singh ph-8670341988 Vill-MajugaraP.O.:BhulabhedaP.S.:BelpahariDist: West MednipurPIN:721501</t>
  </si>
  <si>
    <t>I-WB-BINO-ENB-9037</t>
  </si>
  <si>
    <t>BINO-9037</t>
  </si>
  <si>
    <t xml:space="preserve">VILL-BARARA, PO-DIASI, PS-BELPAHARI, DIST- JHARGRAM, PIN-721515  BELPAHARI</t>
  </si>
  <si>
    <t>I-WB-BINO-ENB-9038</t>
  </si>
  <si>
    <t>BINO-9038</t>
  </si>
  <si>
    <t xml:space="preserve">Baneswra Murmu,Vill-Parulia,po-Bhandaru,ps-Binpur, pin-721515, m-7872308644</t>
  </si>
  <si>
    <t>I-WB-BINO-ENB-9028</t>
  </si>
  <si>
    <t>BHARARUPAL</t>
  </si>
  <si>
    <t xml:space="preserve">VILL-BHARARUPALPO-BELAIDIAH PS-BELPAHARI DIST-JHARGRAM PIN-721515</t>
  </si>
  <si>
    <t>I-WB-BINO-ENB-9033</t>
  </si>
  <si>
    <t>CHIRUGARA</t>
  </si>
  <si>
    <t xml:space="preserve">CHUNARAM SAREN, VILL-CHIRUGARA, PO- CHARAKPAHARI, PS-BELPAHARI, DIST- JHARGRAM, PIN-721501, PH No-9732600481/8001794145</t>
  </si>
  <si>
    <t>I-WB-BINO-ENB-6001</t>
  </si>
  <si>
    <t>SILDA</t>
  </si>
  <si>
    <t xml:space="preserve">LAND OF SH ANANTA MUKHERJEE S O LATE MAHABED MUKHERJEE PO SILDA PS BINPUR KHESRA JL NO 305 PLOT NO 542 717 KHATA NO 963 1 CIRCLE SILDA DIST WEST IDNAPUR PIN 721515 PH 9732156543</t>
  </si>
  <si>
    <t>I-WB-NYGM-ENB-9041</t>
  </si>
  <si>
    <t>NIMAINAGAR</t>
  </si>
  <si>
    <t xml:space="preserve">VILL- NIMAINAGAR, PO+PS- NAYAGRAM, DIST- JHARGRAM, PIN CODE- 721159  NAYAGRAM</t>
  </si>
  <si>
    <t xml:space="preserve">bhaskar mahato will replace him</t>
  </si>
  <si>
    <t>I-WB-NYGM-ENB-B002</t>
  </si>
  <si>
    <t xml:space="preserve">NAYA GRAM</t>
  </si>
  <si>
    <t xml:space="preserve">VILLAGE+POST OFFICE: KHARIKA; POLICE STATION: NAYAGRAM; DISTRICT: JHARGRAM; PIN 721159</t>
  </si>
  <si>
    <t>I-WB-NYGM-ENB-B001</t>
  </si>
  <si>
    <t>KALMAPUKURIA</t>
  </si>
  <si>
    <t xml:space="preserve">Village: Choto Jaria Post Office: Kalma Pukuria Police Station: Nayagram District: West Midnapore Pin:721159</t>
  </si>
  <si>
    <t>I-WB-NYGM-ENB-9032</t>
  </si>
  <si>
    <t>DOKRA</t>
  </si>
  <si>
    <t xml:space="preserve">Kalisankar Patra, Vill +Po-Dokra, Ps-Nayagram,Dist-Jhargram,Pin-721125,Ph No 9932717922</t>
  </si>
  <si>
    <t>I-WB-NYGM-ENB-9019</t>
  </si>
  <si>
    <t>MORCHI</t>
  </si>
  <si>
    <t xml:space="preserve">SURANDRA MOHAN SINGHA// Vill+PO-MORCHI,PS-NAYAGRAM,Dist-Paschim Medinipur,Pin-721125 Ph no-9831435695</t>
  </si>
  <si>
    <t>I-WB-NYGM-ENB-9050</t>
  </si>
  <si>
    <t>NYGM-9050</t>
  </si>
  <si>
    <t xml:space="preserve">Binay krishna Jana-7064645070 / 89727543007-Vill-Paika,Po-Paika,PS-Nayagram,Pin-721125,Dist-Jhargram</t>
  </si>
  <si>
    <t>I-WB-NYGM-ENB-9048</t>
  </si>
  <si>
    <t>KULDIHA</t>
  </si>
  <si>
    <t xml:space="preserve">VILL-KULDIHA PO-CHANDABILA PS-NAYAGRAM DIST. JHARGRAM PIN-721125</t>
  </si>
  <si>
    <t>I-WB-NYGM-ENB-9047</t>
  </si>
  <si>
    <t>NYGM-9047</t>
  </si>
  <si>
    <t xml:space="preserve">VILL-BALIMUNDI P.O-NAGRIPADA P.S-NAYAGRAM DIST-WEST MEDINIPUR  PIN-721112</t>
  </si>
  <si>
    <t>I-WB-NYGM-ENB-9049</t>
  </si>
  <si>
    <t>Gokhurpal</t>
  </si>
  <si>
    <t xml:space="preserve">VILL-GOKHURPALPO-BARANEGUIPIN-721138PS-NAYAGRAM DIST-JHARGRAM</t>
  </si>
  <si>
    <t>I-WB-NYGM-ENB-9044</t>
  </si>
  <si>
    <t>NYGM-9044</t>
  </si>
  <si>
    <t xml:space="preserve">VILL-KADAMDIHA,PO-BARANIGUI,PS-NAYAGRAM,JHARGRAM,DIST-JHARGRAM,PIN-721125   NAYAGRAM</t>
  </si>
  <si>
    <t>I-WB-NYGM-ENB-9045</t>
  </si>
  <si>
    <t>NYGM-9045</t>
  </si>
  <si>
    <t xml:space="preserve">VILL-RUKHNIMARA,PO- BAHURKHOAR,PS- NAYAGRAM,JHARGRAM,DIST-JHARGRAM,PIN-721143  NAYAGRAM</t>
  </si>
  <si>
    <t>I-WB-NYGM-ENB-9040</t>
  </si>
  <si>
    <t>PANCHKAHANIA</t>
  </si>
  <si>
    <t xml:space="preserve">VILL-PANCHKAHANIAP.O-MORCHIP.S-NAYAGRAM DIST-JHARGRAM PIN-721125</t>
  </si>
  <si>
    <t>I-WB-NYGM-ENB-9046</t>
  </si>
  <si>
    <t>NYGM-9046</t>
  </si>
  <si>
    <t xml:space="preserve">VILL-CHOTTADHASOLE, P.O-BONISOLE, P.S-NAYAGRAM, DIST-JHARGRAM, PIN-722125  NAYAGRAM</t>
  </si>
  <si>
    <t>I-WB-NYGM-ENB-9042</t>
  </si>
  <si>
    <t>NYGM-9042</t>
  </si>
  <si>
    <t xml:space="preserve">VILL- ASURHATA, PO- NEKRASOLE, P.S- NAYAGRAM, DIST- JHARGRAM, PIN- 721159  NAYAGRAM</t>
  </si>
  <si>
    <t>I-WB-NYGM-ENB-6001</t>
  </si>
  <si>
    <t>NAYAGRAM</t>
  </si>
  <si>
    <t xml:space="preserve">DAG NO 260 1025 JL NO 143 KHATIN NO 48 1 MOUZA NAYAGRAM VILL and PO NAYAGRAM DIST MIDNAPORE WEST PIN 721138</t>
  </si>
  <si>
    <t>I-WB-NYGM-ENB-9035</t>
  </si>
  <si>
    <t>PALASIA</t>
  </si>
  <si>
    <t xml:space="preserve">VILL- PALASIA, PO- DOLGRAM, PS- NAYAGRAM, DIST- JHARGRAM, PIN- 721525  NAYAGRAM</t>
  </si>
  <si>
    <t>I-WB-NYGM-ENB-9023</t>
  </si>
  <si>
    <t>NYGM-9023</t>
  </si>
  <si>
    <t xml:space="preserve">Hemant Bera, Vill+po-Bahcurkhoar, ps-Nayagram,pin-721143, m-7365814269</t>
  </si>
  <si>
    <t>I-WB-NYGM-ENB-9030</t>
  </si>
  <si>
    <t>BANSKUTHI</t>
  </si>
  <si>
    <t xml:space="preserve">SATYARANJAN BARIK, Vill+Po-BANSKUTHI,PS-NAYAGRAM,DIST-JHARGRAM,PIN-721125,Ph No 9732554621</t>
  </si>
  <si>
    <t>I-WB-NYGM-ENB-9027</t>
  </si>
  <si>
    <t>NYGM-9027</t>
  </si>
  <si>
    <t xml:space="preserve">Dhiren Hemram, Vill-Barajharia, Po-Bachhur Khoyar, Ps- Nayagram,Dist-Jhargram, Pin-721143,Ph No 9647634550</t>
  </si>
  <si>
    <t>I-WB-NYGM-ENB-9024</t>
  </si>
  <si>
    <t>NYGM-9024</t>
  </si>
  <si>
    <t xml:space="preserve">Dhiman Mahata,Ph.No-9932234826 Vill+Po- Kuldiha,PS-Nayagram,Dist-Paschim Medinipur, Pin-721125</t>
  </si>
  <si>
    <t>I-WB-NYGM-ENB-9033</t>
  </si>
  <si>
    <t xml:space="preserve">BARA DHANSOLA</t>
  </si>
  <si>
    <t xml:space="preserve">//Tapas Mahata//Phone No - 7602913508// Vill - Boradhansola, P.O - Kharika Mathani, P.S - Nayagram, PIN - 721159</t>
  </si>
  <si>
    <t>I-WB-NYGM-ENB-9038</t>
  </si>
  <si>
    <t>NYGM-9038</t>
  </si>
  <si>
    <t xml:space="preserve">MRIGANDRA NATH PATRA, VILL-BHALUKTARA, PO-BALIGERIA,PS-NAYAGRAM,DIST-JHARGRAM,PIN-721125,PH NO-800147390</t>
  </si>
  <si>
    <t>I-WB-BINP-ENB-9032</t>
  </si>
  <si>
    <t>BINP-9032</t>
  </si>
  <si>
    <t xml:space="preserve">Santosh Mahata,vill-Baradhansola,po- Ramgarh, ps- Lalgarh,Dist- Jhargram, pin-721128, m-9832483705</t>
  </si>
  <si>
    <t>I-WB-BINP-ENB-9019</t>
  </si>
  <si>
    <t>KALAIMURI</t>
  </si>
  <si>
    <t xml:space="preserve">VILL+PO- KALAIMURI PS-SALBONI DIST-JHARGRAM PIN-721516</t>
  </si>
  <si>
    <t>I-WB-BINP-ENB-9021</t>
  </si>
  <si>
    <t>BINP-9021</t>
  </si>
  <si>
    <t xml:space="preserve">Sunil De, Vill+ Po- Sijua, Ps- Lalgarh, Dist- Paschim Medinipur, Pin-721121, Ph No-9932367961</t>
  </si>
  <si>
    <t>I-WB-BINP-ENB-9024</t>
  </si>
  <si>
    <t>BINP-9024</t>
  </si>
  <si>
    <t xml:space="preserve">ASHUTOSH MAHATA,VILL-PURNAPANI,PO+PS-BINPUR DIST-JHARGRAM,PIN-721516,PH NO 9609452238</t>
  </si>
  <si>
    <t>I-WB-BINP-ENB-9017</t>
  </si>
  <si>
    <t>BIRKARD</t>
  </si>
  <si>
    <t xml:space="preserve">Kalipada Das &amp; Ranjit Das, Vill-Chamitara, Po-Bamal,Ps- Lalgarh,Dist- Jhargram,Pin: 721516, Ph No 08348577761</t>
  </si>
  <si>
    <t>I-WB-BINP-ENB-9026</t>
  </si>
  <si>
    <t>AJNASULI</t>
  </si>
  <si>
    <t xml:space="preserve">BANAMALI MAHATA, VILL-AJNASULI,PO-DHARAMPUR,PS-LALGARH, DIST-JHARGRAM,PIN-721516, PH No-8972778351</t>
  </si>
  <si>
    <t>I-WB-BINP-ENB-9028</t>
  </si>
  <si>
    <t>BINP-9028</t>
  </si>
  <si>
    <t xml:space="preserve">Gajendra Nath Mahata, Vill+ Po- Dharampur, Ps- Lalgarh, Dist- Jhargram, Pin-721516, Ph No 7602739565</t>
  </si>
  <si>
    <t>I-WB-BINP-ENB-9011</t>
  </si>
  <si>
    <t>BINP-9011</t>
  </si>
  <si>
    <t xml:space="preserve">Siddheswar Das,vill+po+ps- Lalgar,Dist- Jhargram,pin-721516, m-7602789124</t>
  </si>
  <si>
    <t>I-WB-BINP-ENB-9033</t>
  </si>
  <si>
    <t>BINP-9033</t>
  </si>
  <si>
    <t xml:space="preserve">VILL- DHARAMPUR, P.O- BANPURULIA, P.S- LALGARH, DIST- JHARGRAM, PIN- 721121  BINPUR</t>
  </si>
  <si>
    <t>I-WB-JGMM-ENB-9008</t>
  </si>
  <si>
    <t xml:space="preserve">JHARGRAM LODHASULI</t>
  </si>
  <si>
    <t xml:space="preserve">UJJWAL MUDLI &amp; UTPAL MUDLI-9933926112,VILL-SATYABANPALLY,P.O &amp; P.S-JHARGRAM,DIST-WEST MEDINIPORE</t>
  </si>
  <si>
    <t>I-WB-JGMM-ENB-B001</t>
  </si>
  <si>
    <t>JITSOL_ERIC</t>
  </si>
  <si>
    <t>I-WB-JGMM-ENB-9043</t>
  </si>
  <si>
    <t>JGMM-9043</t>
  </si>
  <si>
    <t xml:space="preserve">VILL+PO-GOJASHIMUL, PS-JHARGRAM DIST-JHARGRAM, PIN-721513</t>
  </si>
  <si>
    <t>I-WB-JGMM-ENB-9044</t>
  </si>
  <si>
    <t>JGMM-9044</t>
  </si>
  <si>
    <t xml:space="preserve">SUDHIR MAHATA, VILL- DALKHALI,P.O-GAJASIMUL,P.S-JHARGRAM,PIN-721513,Mob -9735382654</t>
  </si>
  <si>
    <t>I-WB-JGMM-ENB-9051</t>
  </si>
  <si>
    <t>JGMM-9051</t>
  </si>
  <si>
    <t xml:space="preserve">VILL-KALSIBHANGA,P.O-DUDHKUNDI, P.S- JHARGRAM, DIST- JHARGRAM, PIN-721513  JHARGRAM</t>
  </si>
  <si>
    <t>I-WB-JGMM-ENB-9052</t>
  </si>
  <si>
    <t>JGMM-9052</t>
  </si>
  <si>
    <t xml:space="preserve">MILAN MAHATA &amp; BROTHERS, VILL-KAMARBANDI, PO-GARH SALBONI,PS +DIST- JHARGRAM,PIN-721514,PH NO-9732690881/9733680911</t>
  </si>
  <si>
    <t>I-WB-JGMM-ENB-9037</t>
  </si>
  <si>
    <t>JGMM-9037</t>
  </si>
  <si>
    <t xml:space="preserve">ANUKUL RUHIDAS,VILL- SUKNAKHALI, P.O-DUDHKUNDI,P.S-JHARGRAM,DIST-JHARGRAM,PIN-721513 Mob-8001039007</t>
  </si>
  <si>
    <t>I-WB-JGMM-ENB-9066</t>
  </si>
  <si>
    <t xml:space="preserve">ORISSA STEEL&amp; Power pvt.Ltd(OSPPL) -Amit Jana (8617502139/9932739435)-  Jitusole,Po-Gar Salboni,PS-Jhargram,Pin-721514,Dist-Jhargram</t>
  </si>
  <si>
    <t>I-WB-JGMM-ENB-9056</t>
  </si>
  <si>
    <t>JGMM-9056</t>
  </si>
  <si>
    <t xml:space="preserve">VILL- BHAUDA, P.O- BODHNA, PS- JHARGRAM, DIST-JHARGRAM, PIN- 721507 </t>
  </si>
  <si>
    <t>I-WB-JGMM-ENB-9045</t>
  </si>
  <si>
    <t>GARRO</t>
  </si>
  <si>
    <t xml:space="preserve">SAFARANI MAHATA, VILL-GARRO, PO-GARHSALBONI, PS- JHARGRAM, DIST-JHARGRAM,PIN-721514, PH No- 9932722354</t>
  </si>
  <si>
    <t>I-WB-JGMM-ENB-9038</t>
  </si>
  <si>
    <t>JGMM-9038</t>
  </si>
  <si>
    <t xml:space="preserve">CHURAMONI MAHATA &amp; BHARATI MAHATA, VILL AMLACHATI, PO- LODHASULI, PS_ JHARGRAM, DIST- JHARGRAM, PH NO- 9679243066</t>
  </si>
  <si>
    <t>I-WB-JGMM-ENB-G002</t>
  </si>
  <si>
    <t xml:space="preserve">Village: Mohanpur P.O.: Montipa MohanpurNH-6,Jhargram Dist: West Midnapore PIN:721507</t>
  </si>
  <si>
    <t>I-WB-JGMM-ENB-9012</t>
  </si>
  <si>
    <t>BALIBHASA</t>
  </si>
  <si>
    <t xml:space="preserve">KAMAL MAHATA,VILL-BALIBHASA,PO-DUDKUNDI,PS-JHARGRAM,DIST-PASCHIM MEDINIPUR,PIN- 721513</t>
  </si>
  <si>
    <t>I-WB-JGMM-ENB-9053</t>
  </si>
  <si>
    <t>JGMM-9053</t>
  </si>
  <si>
    <t xml:space="preserve">KHAGEN MAHATA, VILL-BARIA,PO- GARHSALBONI, PS-JHARGRAM,DIST JHARGRAM, PIN-721514,PH No-9735354466</t>
  </si>
  <si>
    <t>I-WB-JGMM-ENB-9007</t>
  </si>
  <si>
    <t>DOGARIYA</t>
  </si>
  <si>
    <t xml:space="preserve">NAMITA MAHATO-7602111899,VILL-DOGARIYA,P.O-BORIMOLE,P.S-JHARGRAM,DIST-WEST MEDINIPORE-721515</t>
  </si>
  <si>
    <t>I-WB-JGMM-ENB-9029</t>
  </si>
  <si>
    <t xml:space="preserve">Depak Mahata//PH-9836916580//Vill:ChunparaP.O:Mohim NischintaP.S:Sankrail PIN:721513//</t>
  </si>
  <si>
    <t>I-WB-SRAL-ENB-9009</t>
  </si>
  <si>
    <t>SRAL-9009</t>
  </si>
  <si>
    <t xml:space="preserve">Krishna Prasad Mahata//Ph.-9002324635, 9933966981// Vill-Tungadhua, P.O-Mohimnischinta,P.S-Sankrail, District-West Midnapore, G.P-Bankra 6NO,  Pin-721513</t>
  </si>
  <si>
    <t>I-WB-JBON-ENB-B005</t>
  </si>
  <si>
    <t>DUBRA</t>
  </si>
  <si>
    <t xml:space="preserve">Vill: Dubra PO: GidhniPS: Jamboni Dist: Jhargram PIN:721505</t>
  </si>
  <si>
    <t>I-WB-JBON-ENB-B004</t>
  </si>
  <si>
    <t>I-WB-JBON-ENB-B001</t>
  </si>
  <si>
    <t>PALASBANI</t>
  </si>
  <si>
    <t xml:space="preserve">Vill: Palasbani ps: Jamboni Dist: West Midnapore West Bengal</t>
  </si>
  <si>
    <t>I-WB-JBON-ENB-9032</t>
  </si>
  <si>
    <t>JBON-9032</t>
  </si>
  <si>
    <t xml:space="preserve">Sambhu Mahata,Vill-Tulshiboni,Po-Chilkigarh,PS-Jamboni,Pin-721503,Dist-Jhargram,Cont-7063704770</t>
  </si>
  <si>
    <t>I-WB-JBON-ENB-9033</t>
  </si>
  <si>
    <t>JBON-9033</t>
  </si>
  <si>
    <t xml:space="preserve">VILL &amp; P.O-KANAIMEHULI, P.S-JAMBONI, DIST-JHARGRAM ,PIN-721503  JAMBONI</t>
  </si>
  <si>
    <t>I-WB-BINP-ENB-9029</t>
  </si>
  <si>
    <t>BINP-9029</t>
  </si>
  <si>
    <t xml:space="preserve">VILL-SALCHATURI, PO-JASHPUR, PS-LALGHAR, DIST- JHARGRAM, PIN- 721504  BINPUR</t>
  </si>
  <si>
    <t>I-WB-JGMM-ENB-9036</t>
  </si>
  <si>
    <t>JGMM-9036</t>
  </si>
  <si>
    <t xml:space="preserve">DIPAK DAS &amp; BELARANI DAS,VILL-JAYANAGAR, PO-DAHIJURI,PS-JHARGRAM,DIST-JHARGRAM,PIN-721504, PH NO 9732611019</t>
  </si>
  <si>
    <t>I-WB-JBON-ENB-9022</t>
  </si>
  <si>
    <t>JBON-9022</t>
  </si>
  <si>
    <t xml:space="preserve">Biren Das,Vill-Bahirgram,Po- Kanimohuli, PS- Jamboni,Dist-Jhargram,Pin-721503, Ph No 8348193487</t>
  </si>
  <si>
    <t>I-WB-JBON-ENB-9035</t>
  </si>
  <si>
    <t>JBON-9035</t>
  </si>
  <si>
    <t xml:space="preserve">Parimal Mahata ,9943488997 , Vill+PO-Benasuli,PS-Jamboni,Pin-721505,Dist-Jhargram</t>
  </si>
  <si>
    <t>I-WB-JBON-ENB-9023</t>
  </si>
  <si>
    <t xml:space="preserve">CHOTA GHUNG</t>
  </si>
  <si>
    <t xml:space="preserve">Fakir Mahata, Vill Chhota Ghung,P.O-Kismat Jambani, P.S - Jambani, PIN - 721503, Ph No - 8159967125</t>
  </si>
  <si>
    <t>I-WB-BINP-ENB-9036</t>
  </si>
  <si>
    <t>BINP-9036</t>
  </si>
  <si>
    <t xml:space="preserve">Balaram Das-9800286645-Vill-Kendagari,Po-Ranarani,Ps-Binpur,Pin-721504,Dist-Jhargram</t>
  </si>
  <si>
    <t>I-WB-BINP-ENB-9035</t>
  </si>
  <si>
    <t>BINP-9035</t>
  </si>
  <si>
    <t xml:space="preserve">Rabindranath nayak-9800765065-Vill-chandrapur-po-belatikri-ps-lalgrah-pin-721516</t>
  </si>
  <si>
    <t>I-WB-BINP-ENB-9030</t>
  </si>
  <si>
    <t>BINP-9030</t>
  </si>
  <si>
    <t xml:space="preserve">SUJATA DANDAPATH//PH:-9932006684//VILL.+P.O.:ANDHARIYA P.S.:BINPUR DIST.:JHARGRAM PIN:721504</t>
  </si>
  <si>
    <t>I-WB-JBON-ENB-9031</t>
  </si>
  <si>
    <t>JBON-9031</t>
  </si>
  <si>
    <t xml:space="preserve">Pravati Mahato,Vill.: Tengia, P.O.: Pukuriya, P.S.: Jamboni Dist.: Jhargram, Pin: 721514, M: 9733674042/9734386929</t>
  </si>
  <si>
    <t>I-WB-JGMM-ENB-0023</t>
  </si>
  <si>
    <t>SEBAYATAN</t>
  </si>
  <si>
    <t xml:space="preserve">KANCHAN MAHATA  AND  RAM MAHATA,VILL-KECHANDA,P.O-SEBAYATAN,P.S-JHARGRAM,RADHANAGAR 1 NO G.P,DIST-WEST MIDNAPORE</t>
  </si>
  <si>
    <t>I-WB-BINP-ENB-9022</t>
  </si>
  <si>
    <t>BINP-9022</t>
  </si>
  <si>
    <t xml:space="preserve">VILL.:PAPATPUR P.O.:NEPURA P.S.:LALGARH DIST.:JHARGRAM PIN:721121</t>
  </si>
  <si>
    <t>I-WB-JBON-ENB-6001</t>
  </si>
  <si>
    <t>WBRRXXXX005B</t>
  </si>
  <si>
    <t xml:space="preserve"> DAG NO 444 698 JL NO 112 KHATIAN NO 604 AND 627 JL NO 112 MOUZA GIDNI </t>
  </si>
  <si>
    <t>I-WB-BINP-ENB-6000</t>
  </si>
  <si>
    <t>BINPUR</t>
  </si>
  <si>
    <t xml:space="preserve">PLOT OF RAJ KUMAR PAL PLOT NO 612 L R KHATIAN NO 123 1 175 2 168 2 199 2 35 2 398 2 349 1 66 1 158 1 and 424 1 J L NO 426 MOUZA and PS BINPUR DISTRICT WEST MIDNAPORE PIN 721502</t>
  </si>
  <si>
    <t>I-WB-BINO-ENB-9034</t>
  </si>
  <si>
    <t>BINO-9034</t>
  </si>
  <si>
    <t xml:space="preserve">ASIT PRATIHAR, VILL-SIRISHBONI, PO-HARDA, PS-BINPUR, DIST- JHARGRAM, PIN-721504, PH No 9083494314</t>
  </si>
  <si>
    <t>I-WB-BINP-ENB-9031</t>
  </si>
  <si>
    <t>BINP-9031</t>
  </si>
  <si>
    <t xml:space="preserve">VILL-MAGURA, PO-BINPUR, PS-BINPUR, PIN-721504, DIST-JHARGRAM   BINPUR</t>
  </si>
  <si>
    <t>I-WB-BINP-ENB-9023</t>
  </si>
  <si>
    <t>BINP-9023</t>
  </si>
  <si>
    <t xml:space="preserve">Kabita Dandapat, Vill - Barasuli, P.S - Binpur, P.O- Amlatora, PIN - 721504 Mob No- 9564661368</t>
  </si>
  <si>
    <t>I-WB-JGMM-ENB-9020</t>
  </si>
  <si>
    <t>JGMM-9020</t>
  </si>
  <si>
    <t xml:space="preserve">Jayanta Pal//Ph-9547699781//Vill:Radhanagar//Sevayatan//Po+PS: Jhargram Dist: West Midnapore</t>
  </si>
  <si>
    <t>I-WB-DKHN-ENB-0001</t>
  </si>
  <si>
    <t>DKHN-0001</t>
  </si>
  <si>
    <t xml:space="preserve">ANJAN KUMAR PANI, VILL-NUNIA, PO-GIDHNI,PS-JAMBONI, DIST- JHARGRAM, PIN-721505, Ph No 9609244744</t>
  </si>
  <si>
    <t>I-WB-JGMM-ENB-9055</t>
  </si>
  <si>
    <t>JGMM-9055</t>
  </si>
  <si>
    <t xml:space="preserve">NALINI KANTA MAHATA, VILL-JABNIKATA, PO- SEVAYATAN, PS-JHARGRAM, DIST-JHARGRAM,PIN-721514, PH No-9775536795/9083617218.</t>
  </si>
  <si>
    <t>I-WB-JGMM-ENB-9018</t>
  </si>
  <si>
    <t>JGMM-9018</t>
  </si>
  <si>
    <t xml:space="preserve">SK. Babar Ali//9775253413//s/o: Late SK. Asbar Ali Village: Betkundri Post Office: DahijuriPolice Station: Jhargram District: West Midnapore PIN:721504</t>
  </si>
  <si>
    <t>I-WB-BINP-ENB-9014</t>
  </si>
  <si>
    <t>BAITA</t>
  </si>
  <si>
    <t xml:space="preserve">Monoranjan Giri,Vill-chandabila,P.O-Joshpur,P.S-Lalgarh,pin-721504,PH-8240322146</t>
  </si>
  <si>
    <t>I-WB-BINP-ENB-9025</t>
  </si>
  <si>
    <t>BINP-9025</t>
  </si>
  <si>
    <t xml:space="preserve">BERANDRANATH MAHALI,VILL-GOPALPUR,PO-MURABONI,PS-LALGARH,DIST-JHARGRAM,PIN-721504,PH NO-9932258835</t>
  </si>
  <si>
    <t>I-WB-JBON-ENB-9030</t>
  </si>
  <si>
    <t>JBON-9030</t>
  </si>
  <si>
    <t xml:space="preserve">TUSHAR KANTI MAHATA, VILL- BALIBANDH, PO- DAICHAKHARIA, PS- JAMBONI, DIST JHARGRAM, PIN-721503, PH No 8001091771</t>
  </si>
  <si>
    <t>I-WB-JBON-ENB-9027</t>
  </si>
  <si>
    <t>JBON-9027</t>
  </si>
  <si>
    <t xml:space="preserve">KHOKAN MAHATA, VILL- DHOBAKHURIYA, PO: ERGODA, PS- BINPUR, DIST- JHARGRAM, PIN 721505, PH No 9933526552</t>
  </si>
  <si>
    <t>I-WB-BINP-ENB-9034</t>
  </si>
  <si>
    <t>BINP-9034</t>
  </si>
  <si>
    <t xml:space="preserve">ANUP KUMAR PAUL//PH.:9932632308// VILL.:SHIRSHI P.O,:DAHIJURI DIST.:JHARGRAM PIN:721504</t>
  </si>
  <si>
    <t>I-WB-JBON-ENB-9004</t>
  </si>
  <si>
    <t>ALAMPUR</t>
  </si>
  <si>
    <t xml:space="preserve">KANCHAN KARAN, PHONE- 9836457980, VILL-ALAMPUR, P.O-GIDNY, P.S- JAMBONI, PIN-721505 DIST - PASCHIM MEDINIPUR.</t>
  </si>
  <si>
    <t>I-WB-JBON-ENB-9005</t>
  </si>
  <si>
    <t>SHARDHARA</t>
  </si>
  <si>
    <t xml:space="preserve">DHANANJAY JANA,,8768357709,,SARDHORA,DHEBRA GP, PO:KHATKURA, PS: JAMBONI, PASCHIM MEDNIPUR</t>
  </si>
  <si>
    <t>I-WB-BINO-ENB-9031</t>
  </si>
  <si>
    <t>BINO-9031</t>
  </si>
  <si>
    <t xml:space="preserve">MANTU PRATIHAR, VILL-MAHULBONI, PO-AMARAKORA, PS-BINPUR, DIST-JHARGRAM, PIN-721507, PH No 9733513203</t>
  </si>
  <si>
    <t>I-WB-NYGM-ENB-9016</t>
  </si>
  <si>
    <t>NYGM-9016</t>
  </si>
  <si>
    <t xml:space="preserve">Samir Kumar dhal, Vill - Gadrasol,P.O -Tulibar,P.S - Jambani,PIN-721503, Ph-9732878330</t>
  </si>
  <si>
    <t>I-WB-JBON-ENB-9016</t>
  </si>
  <si>
    <t>JBON-9016</t>
  </si>
  <si>
    <t xml:space="preserve">Saroj Kumar Dhal, Vill +P.O -Chilkigarh, P.S -Jamboni, Dist - West Medinipur, PIN - 721503,9732878330</t>
  </si>
  <si>
    <t>I-WB-BINP-ENB-9005</t>
  </si>
  <si>
    <t xml:space="preserve">Guiram Das,Vill &amp; P.O-Dahijuri,P.S-Binpur,Dist - West Midnapore - 721504</t>
  </si>
  <si>
    <t>I-WB-JBON-ENB-9013</t>
  </si>
  <si>
    <t>JBON-9013</t>
  </si>
  <si>
    <t xml:space="preserve">Sushil Kumar Das,Vill-Shigram,P.O-Kismat Jamboni,P.S-Jamboni,Dist-West Medinipur,PIN-721503</t>
  </si>
  <si>
    <t>I-WB-SRAL-ENB-B001</t>
  </si>
  <si>
    <t xml:space="preserve">DUMURIA SRIBHON</t>
  </si>
  <si>
    <t xml:space="preserve">Vill: Dumuria Sirisboni P.O.: Dumuria Sirisboni PS.: Sankrail Dist.: West MidnapurPIN:721135</t>
  </si>
  <si>
    <t>I-WB-SRAL-ENB-9024</t>
  </si>
  <si>
    <t>SRAL-9024</t>
  </si>
  <si>
    <t xml:space="preserve">Kalipada Manna,Vill+PO-Andhari,PS-Sankraill,Pin-721143,Dist-Jhargram,Cont-8617424495</t>
  </si>
  <si>
    <t>emersion</t>
  </si>
  <si>
    <t>I-WB-SRAL-ENB-9023</t>
  </si>
  <si>
    <t>SRAL-9023</t>
  </si>
  <si>
    <t xml:space="preserve">VILL.-MURAKATI,P.S.- SANKRAIL, P.O.-NARDA JHARGRAM,  DIST.- JHARGRAM, PIN-721135,  SANKRAIL</t>
  </si>
  <si>
    <t xml:space="preserve">Oil theft happen so technisian ask for removing DG completely</t>
  </si>
  <si>
    <t>I-WB-SRAL-ENB-9016</t>
  </si>
  <si>
    <t>SRAL-9016</t>
  </si>
  <si>
    <t xml:space="preserve">LAXMI KANTA DAS, VILL- KALIKANALA, PO- MOHIM NISCHINTA, PS- SANKRIL, DIST-JHARGRAM, PIN-721135, PH No-9733808696</t>
  </si>
  <si>
    <t xml:space="preserve">all RM backpanel slot is faulty due to lightening</t>
  </si>
  <si>
    <t xml:space="preserve">3 RM sometimes not work</t>
  </si>
  <si>
    <t xml:space="preserve">SMPS change need</t>
  </si>
  <si>
    <t>I-WB-GBLO-ENB-9019</t>
  </si>
  <si>
    <t>GBLO-9019</t>
  </si>
  <si>
    <t xml:space="preserve">VILL-BAGHUASOLE, P.O-BAGHUASOLE, PS-BELIABERAH ,DIST-JHARGRAM ,PIN-721517  BELABERYA</t>
  </si>
  <si>
    <t xml:space="preserve">2 RM not that good</t>
  </si>
  <si>
    <t>GCU</t>
  </si>
  <si>
    <t>I-WB-SRAL-ENB-9012</t>
  </si>
  <si>
    <t>CHHOLAKHALI</t>
  </si>
  <si>
    <t xml:space="preserve">SISIR KUMAR MAHATA, VILL-CHHOLAKHALI,PO-KISMAT DHANGHARI, PS-SANKRIL,DIST-JHARGRAM,PIN- 721513,PH No-9775265798</t>
  </si>
  <si>
    <t>I-WB-SRAL-ENB-9018</t>
  </si>
  <si>
    <t>CHIRAKUTI</t>
  </si>
  <si>
    <t xml:space="preserve">TRIBHUBAN DAS, VILL-CHIRAKUTI, PO-KESHIAPATA,PS-SANKRIAL, DIST-JHARGRAM,PIN-721135, Ph No- 8001710491</t>
  </si>
  <si>
    <t xml:space="preserve">DG caging, site BM change </t>
  </si>
  <si>
    <t>I-WB-SRAL-ENB-9013</t>
  </si>
  <si>
    <t>SRAL-9013</t>
  </si>
  <si>
    <t xml:space="preserve">SUNIRMAL DAS, VILL- TIYAKATI, PO-PATHRA, PS-SANKRIL,DIST-JHARGRAM, PIN-721135, PH No 7063630834</t>
  </si>
  <si>
    <t xml:space="preserve">Controller faulty</t>
  </si>
  <si>
    <t>I-WB-SRAL-ENB-9021</t>
  </si>
  <si>
    <t>SRAL-9021</t>
  </si>
  <si>
    <t xml:space="preserve">BISNUPADA PARIA, VILL-PECHABINDHA, PO-KESIYAPATA, PS-SANKRAIL, DIST-JHARGRAM, PIN-721135, PH No- 8348686718</t>
  </si>
  <si>
    <t>I-WB-JGMM-ENB-9028</t>
  </si>
  <si>
    <t>RADHAGOBINDAPUR</t>
  </si>
  <si>
    <t xml:space="preserve">KANAILAL KHANRA//PH-9679930880//Vill.:Radhagobindapur P.O.:Jorananda P.S.: Jhargram Dist.: Jhargram PIN:721517</t>
  </si>
  <si>
    <t>I-WB-SRAL-ENB-9011</t>
  </si>
  <si>
    <t xml:space="preserve">Iswar Khirari//Ph:-9635207657//Vill: Kadamdiha P.O:Nerdah P.S:SankrailDist: Jhargram PIN:721143</t>
  </si>
  <si>
    <t xml:space="preserve">pushpack faulty</t>
  </si>
  <si>
    <t>I-WB-JGMM-ENB-9025</t>
  </si>
  <si>
    <t>AMDAPAL</t>
  </si>
  <si>
    <t xml:space="preserve">Baidyanath Parihari,Vill+ Po- Amdapal, PS- Balabaria, Dist- Paschim Medinipur, Pin721517, Ph No-8927185457</t>
  </si>
  <si>
    <t xml:space="preserve">public issue from other village for network issue</t>
  </si>
  <si>
    <t>I-WB-NYGM-ENB-9051</t>
  </si>
  <si>
    <t>NYGM-9051</t>
  </si>
  <si>
    <t xml:space="preserve">Harekrishna Sahoo-7718756015-Vill+PO-Andhari,Ps-Sankrail,Pin-721143</t>
  </si>
  <si>
    <t xml:space="preserve">site BM, public issue</t>
  </si>
  <si>
    <t>I-WB-NAIK-ENB-6000</t>
  </si>
  <si>
    <t xml:space="preserve">JANGAL KURACHI</t>
  </si>
  <si>
    <t xml:space="preserve">MOUZA: BALIGARIA PO:  KULTIKARI PS: SANKRAIL DIST JHARGRAM PIN 721135  NAYAGRAM</t>
  </si>
  <si>
    <t xml:space="preserve">non DG site and only DG chasy is available their</t>
  </si>
  <si>
    <t xml:space="preserve">night time access issue, if DG will be given it's good if not then also good no issue</t>
  </si>
  <si>
    <t>I-WB-SRAL-ENB-6000</t>
  </si>
  <si>
    <t xml:space="preserve">DAG NO 619 JL NO 59 KHATAIN NO 889 MOUZA RAGRA VILL and PO RAGRA DIST WEST MIDNAPORE PS SAHKRAIL DIST WEST MIDNAPORE PIN 721517</t>
  </si>
  <si>
    <t>I-WB-NYGM-ENB-9028</t>
  </si>
  <si>
    <t>NYGM-9028</t>
  </si>
  <si>
    <t xml:space="preserve">Subodh Hansda//Ph- 9733570398// Vill - NEHAR, P.O - LAUDAHA,P.S - SANKRIL,PIN - 721135</t>
  </si>
  <si>
    <t>I-WB-GBLO-ENB-9022</t>
  </si>
  <si>
    <t>GBLO-9022</t>
  </si>
  <si>
    <t xml:space="preserve">VILL-NAKRASOL,P.O-KUPRAKHUPI,P.S-SANKARIL,DIST-JHARGRAM,PIN-721516  BELABERYA</t>
  </si>
  <si>
    <t xml:space="preserve">1 solar plat is broken, Land owner planted tree infront of the solar and not giving us permission to cut the tree and public issue</t>
  </si>
  <si>
    <t>I-WB-GBLO-ENB-9020</t>
  </si>
  <si>
    <t>GBLO-9020</t>
  </si>
  <si>
    <t xml:space="preserve">SAMIR SING, VILL-ASHANBONI, PO-BALIAPAL, PS- BALIABERAH, DIST-JHARGRAM,PIN-721517, PH No- 9547272930</t>
  </si>
  <si>
    <t>I-WB-SRAL-ENB-9017</t>
  </si>
  <si>
    <t>BARAPAKURIA</t>
  </si>
  <si>
    <t xml:space="preserve">NABADIP  MAHATA, VILL- BARASPUKURIA, PO- DUMURIA SIRSIBONI, PS- SANKRAIL,DIST- JHARGRAM, PIN-721135,PH No- 9933592852</t>
  </si>
  <si>
    <t>I-WB-GBLO-ENB-9013</t>
  </si>
  <si>
    <t>RAMCHANDRAPUR</t>
  </si>
  <si>
    <t xml:space="preserve">GOPAL DHANPATH,Vill-Ramchandra Pur,Po-Barkand Ramchandrapur,PS-Baliabaria,Dist-Jhargram,Pin-721513,Ph No-9641823146</t>
  </si>
  <si>
    <t>I-WB-SRAL-ENB-9020</t>
  </si>
  <si>
    <t xml:space="preserve">ASWAINI MAHATA, VILL+PO- PATHRA, PS-SANKRIL, DISt-JHARGRAM,PIN-721135, PH No 9593744541</t>
  </si>
  <si>
    <t>I-WB-GBLO-ENB-9002</t>
  </si>
  <si>
    <t xml:space="preserve">Achinta Kumar Mahata//8371852602//Vill:Deuli( Nischinta), PO:-KharbandiPS: Beliabera Dist: West MidnapurPIN 721513</t>
  </si>
  <si>
    <t xml:space="preserve">GCU, DGB need</t>
  </si>
  <si>
    <t>I-WB-JGMM-ENB-9049</t>
  </si>
  <si>
    <t>JGMM-9049</t>
  </si>
  <si>
    <t xml:space="preserve">AMARENDRA MAHATA, VILL- BANSHDA, PO- KHARBANDI, PS- BELIA BERAH, DIST- JHARGRAM, PIN-721513, PH No- 9609125588</t>
  </si>
  <si>
    <t>I-WB-SRAL-ENB-9019</t>
  </si>
  <si>
    <t>SRAL-9019</t>
  </si>
  <si>
    <t xml:space="preserve">DIPAK KUMAR DAS, VILL-TULSIBONI, PO-KULTIKRI, PS-SANKRIL, DIST-JHARGRAM, PIN-721135, Ph No- 9932898464</t>
  </si>
  <si>
    <t>I-WB-SRAL-ENB-9014</t>
  </si>
  <si>
    <t>SRAL-9014</t>
  </si>
  <si>
    <t xml:space="preserve">RABINDRANATH MAHATA &amp; DEBEN MAHATA//PH. NO:-9475274705//VILL: BANKRA P.O.:BANKRA CHAWK P.S.:SANKRAIL DIST.:JHARGRAM PIN:721135</t>
  </si>
  <si>
    <t xml:space="preserve">weak BM due to high discharge for solar site</t>
  </si>
  <si>
    <t xml:space="preserve">ODC lock</t>
  </si>
  <si>
    <t>I-WB-JGMM-ESC-0069</t>
  </si>
  <si>
    <t>I-WB-NYGM-ESC-0015</t>
  </si>
  <si>
    <t>I-WB-GBLO-ESC-0005</t>
  </si>
  <si>
    <t>I-WB-JBON-ESC-0003</t>
  </si>
  <si>
    <t>I-WB-BINP-ESC-0002</t>
  </si>
  <si>
    <t>I-WB-JGMM-ESC-0010</t>
  </si>
  <si>
    <t>I-WB-NYGM-ESC-0014</t>
  </si>
  <si>
    <t>I-WB-NYGM-ESC-0018</t>
  </si>
  <si>
    <t>I-WB-BINP-ESC-0001</t>
  </si>
  <si>
    <t>I-WB-NYGM-ESC-0020</t>
  </si>
  <si>
    <t>I-WB-BINO-ESC-0008</t>
  </si>
  <si>
    <t>I-WB-BINP-ESC-0003</t>
  </si>
  <si>
    <t>I-WB-SRAL-ESC-0005</t>
  </si>
  <si>
    <t>I-WB-JGMM-ESC-0008</t>
  </si>
  <si>
    <t>I-WB-SRAL-ESC-0001</t>
  </si>
  <si>
    <t>I-WB-BINO-ESC-0001</t>
  </si>
  <si>
    <t>I-WB-JBON-ESC-0001</t>
  </si>
  <si>
    <t>I-WB-JGMM-ESC-0071</t>
  </si>
  <si>
    <t>I-WB-GBLO-ESC-0007</t>
  </si>
  <si>
    <t>I-WB-BINO-ESC-0009</t>
  </si>
  <si>
    <t>I-WB-SRAL-ESC-0007</t>
  </si>
  <si>
    <t>I-WB-NYGM-ESC-0017</t>
  </si>
  <si>
    <t>I-WB-JBON-ESC-0006</t>
  </si>
  <si>
    <t>I-WB-BINO-ESC-0003</t>
  </si>
  <si>
    <t>I-WB-BINP-ESC-0016</t>
  </si>
  <si>
    <t>I-WB-SHID-ESC-0002</t>
  </si>
  <si>
    <t>I-WB-JGMM-ESC-0002</t>
  </si>
  <si>
    <t>I-WB-JGMM-ESC-0075</t>
  </si>
  <si>
    <t>I-WB-GBLP-ESC-0009</t>
  </si>
  <si>
    <t>I-WB-GBLO-ESC-0008</t>
  </si>
  <si>
    <t>I-WB-SRAL-ESC-0008</t>
  </si>
  <si>
    <t>I-WB-JBON-ESC-0008</t>
  </si>
  <si>
    <t>I-WB-GBLO-ESC-0003</t>
  </si>
  <si>
    <t>I-WB-NYGM-ESC-0010</t>
  </si>
  <si>
    <t>I-WB-BINP-ESC-0018</t>
  </si>
  <si>
    <t>I-WB-BINO-ESC-0011</t>
  </si>
  <si>
    <t>I-WB-BINP-ESC-0017</t>
  </si>
  <si>
    <t>I-WB-JGMM-ESC-0074</t>
  </si>
  <si>
    <t>I-WB-GBLO-ESC-0009</t>
  </si>
  <si>
    <t>I-WB-BGWA-ESC-0001</t>
  </si>
  <si>
    <t>Kanthi</t>
  </si>
  <si>
    <t xml:space="preserve">Amalesh Mandal</t>
  </si>
  <si>
    <t>I-WB-NAXV-ENB-9002</t>
  </si>
  <si>
    <t>NAXV-9002</t>
  </si>
  <si>
    <t xml:space="preserve">Dillip Pradhan ,At-Banjaberia,P.O-Srikrishnapur ,P.S-Bhupatinagar,PIN-721659,Mob -9734023981 / 7479080251</t>
  </si>
  <si>
    <t xml:space="preserve">SMPS MCB faulty, ODC door lock dmaged, water logged, dry vegetation</t>
  </si>
  <si>
    <t>I-WB-BGWO-ENB-9025</t>
  </si>
  <si>
    <t>BGWO-9025</t>
  </si>
  <si>
    <t xml:space="preserve">VILL-DWARIKACHAK,PO-BAHADURPUR,PS-BHAGWANPUR,DIST-EAST MEDINIPUR,PIN-721626  BHUPATI NAGAR</t>
  </si>
  <si>
    <t xml:space="preserve">budhya under</t>
  </si>
  <si>
    <t>I-WB-PTSO-ENB-G001</t>
  </si>
  <si>
    <t>KHARAIMORE</t>
  </si>
  <si>
    <t xml:space="preserve">Mr.GADADHAR SAHOO, S/O:LATE YUDHISTIR SAHOO, VILL &amp; MOUZA:KOTEBARH, PS: PATHASPUR,POST: KARAHIGHAR, PIN:721429,DIST:EAST MIDNAPUR, PH.NO:9733844543,03220-240574</t>
  </si>
  <si>
    <t xml:space="preserve">Anupam Panchadhyai</t>
  </si>
  <si>
    <t>I-WB-PTSO-ENB-G002</t>
  </si>
  <si>
    <t>KHAR</t>
  </si>
  <si>
    <t xml:space="preserve">Shri Ravi Shankar Hati, S/O- Ravinder Nath Hati, Vill+PO- Khar, PS- Patashpur,Dist- East Midnapur, Ph No. 9333867166</t>
  </si>
  <si>
    <t xml:space="preserve">main 4 pole MCB faulty</t>
  </si>
  <si>
    <t>I-WB-PTSA-ENB-B002</t>
  </si>
  <si>
    <t>NAIPUR</t>
  </si>
  <si>
    <t xml:space="preserve">VILL+P.O.- NAIPUR, P.S.- PATASPUR,Dist-Purba Medinipur PIN- 721439,</t>
  </si>
  <si>
    <t xml:space="preserve">1 RM not give backup</t>
  </si>
  <si>
    <t xml:space="preserve">RM need, battery faulty</t>
  </si>
  <si>
    <t>I-WB-EGRO-ENB-B001</t>
  </si>
  <si>
    <t>ALANGIRI</t>
  </si>
  <si>
    <t xml:space="preserve">Vill-Alangiri,P.O-Baita,P.S-Egra,Dist-East Midnapur,Pin-721420</t>
  </si>
  <si>
    <t xml:space="preserve">1 RM hang always</t>
  </si>
  <si>
    <t>I-WB-PTSA-ESC-0006</t>
  </si>
  <si>
    <t>I-WB-PTSO-ESC-0002</t>
  </si>
  <si>
    <t>I-WB-PTSO-ESC-0003</t>
  </si>
  <si>
    <t>I-WB-PTSO-ESC-0021</t>
  </si>
  <si>
    <t>I-WB-EGRA-ESC-0001</t>
  </si>
  <si>
    <t>I-WB-EGRA-ESC-0002</t>
  </si>
  <si>
    <t>I-WB-EGRA-ESC-0003</t>
  </si>
  <si>
    <t>I-WB-EGRA-ESC-0004</t>
  </si>
  <si>
    <t>I-WB-EGRO-ESC-0011</t>
  </si>
  <si>
    <t>I-WB-EGRO-ESC-0013</t>
  </si>
  <si>
    <t>I-WB-EGRO-ESC-0014</t>
  </si>
  <si>
    <t>I-WB-PTSA-ESC-0002</t>
  </si>
  <si>
    <t>I-WB-PTSA-ESC-0004</t>
  </si>
  <si>
    <t>I-WB-PTSA-ESC-0606</t>
  </si>
  <si>
    <t>I-WB-PTSO-ESC-0019</t>
  </si>
  <si>
    <t>I-WB-PTSO-ESC-0020</t>
  </si>
  <si>
    <t>I-WB-PTSO-ESC-0024</t>
  </si>
  <si>
    <t>I-WB-EGRO-ESC-0003</t>
  </si>
  <si>
    <t>I-WB-EGRO-ESC-0005</t>
  </si>
  <si>
    <t>I-WB-EGRO-ESC-0007</t>
  </si>
  <si>
    <t>I-WB-EGRO-ESC-0015</t>
  </si>
  <si>
    <t>I-WB-EGRO-ESC-0016</t>
  </si>
  <si>
    <t>I-WB-DNTO-ENB-V002</t>
  </si>
  <si>
    <t>KOURDA</t>
  </si>
  <si>
    <t xml:space="preserve">Kourda, Jhalda</t>
  </si>
  <si>
    <t>I-WB-PTSA-ENB-A002</t>
  </si>
  <si>
    <t xml:space="preserve">SAURI 1 ( BELDA)</t>
  </si>
  <si>
    <t xml:space="preserve">Bimal &amp; Amal Jana, Mouza- Belda,JL No- 64,LR Khatian No- 605/1 &amp; 463/1,LR Dag No-1749,Vill- Belda,PO-Alamchak(Belda),PS-Patashpur,Dist-Purba Medinipur, Pin-721439.</t>
  </si>
  <si>
    <t>I-WB-PTSA-ENB-I003</t>
  </si>
  <si>
    <t>AMARPUR</t>
  </si>
  <si>
    <t xml:space="preserve">Bhanu Charan kar,Kanai Chanran Kar,Nitai Charan Kar,Gourhari Kar,Dag no-1009,Kh-962,Jl-15,Mouza+Vill+P.O- Amarpur,P.s- ptaspur,721439, Conatct no- 9735729572</t>
  </si>
  <si>
    <t>I-WB-PTSA-ENB-I004</t>
  </si>
  <si>
    <t>I-WB-PTSA-ENB-I005</t>
  </si>
  <si>
    <t>AMERSI</t>
  </si>
  <si>
    <t xml:space="preserve">GOLAK RANJAN MANNA SON OF LATE BANKIM CHANDRA MANNA RESIDING AT VILLAGE-AMARSHI KOSBA, P.O. AMARSHI KOSBA P.S. PATASPUR PIN NO-721454 DISTRICT:- MIDNAPUR WEST BENGAL,</t>
  </si>
  <si>
    <t>I-WB-PTSO-ENB-I001</t>
  </si>
  <si>
    <t>GANGARAMPUR</t>
  </si>
  <si>
    <t xml:space="preserve">vill. Gangasagar,po. Mustasapur,ps pathaspur, distt east midnapur,pin 721443</t>
  </si>
  <si>
    <t>I-WB-EGRA-ENB-I001</t>
  </si>
  <si>
    <t>EGRA-3</t>
  </si>
  <si>
    <t xml:space="preserve">HARADAYAL MADULI, VILL: DOLUNOA PO+PS: EGRA, PIN: 721429</t>
  </si>
  <si>
    <t>I-WB-EGRA-ENB-S001</t>
  </si>
  <si>
    <t>EGRA</t>
  </si>
  <si>
    <t xml:space="preserve">VILL-AKLABAG, P.O+P.S-EGRA, UNDER EGRA MUNICIPALITY,PIN-721429</t>
  </si>
  <si>
    <t>I-WB-EGRO-ENB-I001</t>
  </si>
  <si>
    <t>Erenda</t>
  </si>
  <si>
    <t xml:space="preserve">JL NO. 55 / Khatian No. 1173 / Dag No. 1598 / Mouza-Erenda /PS &amp; PO-Egra / Dt. E Midnapore / West Bengal null</t>
  </si>
  <si>
    <t>I-WB-EGRO-ENB-V001</t>
  </si>
  <si>
    <t xml:space="preserve">KHA KOURDA</t>
  </si>
  <si>
    <t xml:space="preserve">VILL-KURDA, PO- BARBATIA, PS-EGRA, PURBA MIDNIPUR, PIN- 721443.</t>
  </si>
  <si>
    <t>I-WB-EGRO-ENB-V002</t>
  </si>
  <si>
    <t xml:space="preserve">PULIN KRISHNA JANA,VILL:-JAGANNATHPUR,P.O+P.S:-EGRA,WARD NO.:-11,PIN-721429</t>
  </si>
  <si>
    <t>I-WB-PTSA-ENB-I002</t>
  </si>
  <si>
    <t>ARGARA</t>
  </si>
  <si>
    <t xml:space="preserve">Vill-Argara,P.O-Argara,P.S.-Pataspur,District-East Medinipur-721439</t>
  </si>
  <si>
    <t>I-WB-PTSO-ENB-A001</t>
  </si>
  <si>
    <t>Kekai</t>
  </si>
  <si>
    <t xml:space="preserve">Vill+P.O-Kakui,PS-Patashpur,Junepukhur Bus stand,East Medinipur</t>
  </si>
  <si>
    <t>I-WB-PTSO-ENB-V001</t>
  </si>
  <si>
    <t>POTASPUR</t>
  </si>
  <si>
    <t xml:space="preserve">Vill+P.O-Patashpur,P.S-Patashpur,Dist-Purba Medinipur</t>
  </si>
  <si>
    <t>I-WB-EGRO-ENB-A001</t>
  </si>
  <si>
    <t xml:space="preserve">Khamari Bazar</t>
  </si>
  <si>
    <t xml:space="preserve">Vill-Khalina PO-Bartan, PS-Egra, pin-721429 Dist-Purba Medinipur</t>
  </si>
  <si>
    <t>I-WB-EGRO-ENB-I003</t>
  </si>
  <si>
    <t>KASBAGOLA</t>
  </si>
  <si>
    <t xml:space="preserve">BROJO BIHARI DAS, VILL+P.O.- KASBAGOLA, P.S. EGRA, DIST- MIDNAPORE, PIN- 721447, WEST BENGAL.</t>
  </si>
  <si>
    <t>I-WB-EGRA-ENB-9005</t>
  </si>
  <si>
    <t>EGRA-9005</t>
  </si>
  <si>
    <t xml:space="preserve">Ranjan Nayek ,Mob-9679027174 ,Ward No-2 ,Dalaloula ,PO-Egra ,Purba Medinipur ,WB ,PIN-721429</t>
  </si>
  <si>
    <t xml:space="preserve">voltage drop issue</t>
  </si>
  <si>
    <t xml:space="preserve">WCBMS faulty (no battery visibility)</t>
  </si>
  <si>
    <t>rtt</t>
  </si>
  <si>
    <t>I-WB-EGRO-ENB-9025</t>
  </si>
  <si>
    <t>EGRO-9025</t>
  </si>
  <si>
    <t xml:space="preserve">PARESH SAMANTA(9635958299),VILL-RAMCHANDRAPUR,PO-KOINTHORE,PS-PATASHPUR,DIST-EAST MIDNAPUR,PIN-721429</t>
  </si>
  <si>
    <t xml:space="preserve">CD change</t>
  </si>
  <si>
    <t>I-WB-EGRO-ENB-9022</t>
  </si>
  <si>
    <t>EGRO-9022</t>
  </si>
  <si>
    <t xml:space="preserve">Anirudha Panda, vill-Purunda, po-Negua, PS-Egra, Dist-East Midnapur, pin-721448,m-9800914504</t>
  </si>
  <si>
    <t>I-WB-EGRO-ENB-9023</t>
  </si>
  <si>
    <t>BHATSALIA</t>
  </si>
  <si>
    <t xml:space="preserve">Sasanka Sekhar &amp; Others, Vill= bhatsalia, Po-Dubda,Ps- Egra, Dist -East Midnapur, Pin-721448, M-9002964843</t>
  </si>
  <si>
    <t>I-WB-EGRO-ENB-9021</t>
  </si>
  <si>
    <t>EGRO-9021</t>
  </si>
  <si>
    <t xml:space="preserve">Kedar Chandra Sahoo,At-/Po-Panchrol,Ps-Egra,Dist-East Medinipur,WB,PIN-721447 ,Mob-9932492876 /9732762078</t>
  </si>
  <si>
    <t xml:space="preserve">fuel sensor</t>
  </si>
  <si>
    <t>I-WB-EGRA-ENB-6000</t>
  </si>
  <si>
    <t xml:space="preserve">MR. KEISHNA BILAS BHOWMIK, IRRIGATION SUBDIVISION, WARD NO.-6, P.S.+P.O. -EGRA, S.D. EGRA, MOUZA- KAS</t>
  </si>
  <si>
    <t xml:space="preserve">Battary need to change</t>
  </si>
  <si>
    <t>sudhir</t>
  </si>
  <si>
    <t xml:space="preserve">li-ion battery needed</t>
  </si>
  <si>
    <t>I-WB-EGRA-ENB-6001</t>
  </si>
  <si>
    <t>KASBA</t>
  </si>
  <si>
    <t xml:space="preserve"> DAG NO 2214 2210 HAL 4004 4005 KHATIAN NO 1068 JL NO 23 MOUZA EJRA VILL KASBA EGRA PO EGRA DIST EAST MIDNAPORE PIN 721429 </t>
  </si>
  <si>
    <t>I-WB-PTSA-ENB-6000</t>
  </si>
  <si>
    <t xml:space="preserve">AMARSHI KASBA</t>
  </si>
  <si>
    <t xml:space="preserve">DAG NO- 371, 372/869, J.L.NO-134, KHATIAN NO-1056, MOUZA-AMARSHA KASBA, DIST- EAST MIDNAPORE, PIN-721454</t>
  </si>
  <si>
    <t xml:space="preserve">2 RM is disconnected</t>
  </si>
  <si>
    <t xml:space="preserve">shelter leakage problem</t>
  </si>
  <si>
    <t>I-WB-PTSA-ENB-6001</t>
  </si>
  <si>
    <t xml:space="preserve">GOKUL PUR</t>
  </si>
  <si>
    <t xml:space="preserve">PLOT NO- 2856/6167, J.L.NO- 26, KHATIAN NO- 100  AND AMP; 1199, MOUZA  AND AMP; VILL  AND AMP; PO- GOKULPUR ,PS- PATASPUR, DIST- EAST MIDNAPORE,PIN- 721439</t>
  </si>
  <si>
    <t xml:space="preserve">battery needed</t>
  </si>
  <si>
    <t>I-WB-PTSA-ENB-6003</t>
  </si>
  <si>
    <t>PATASPUR</t>
  </si>
  <si>
    <t xml:space="preserve">DAG NO. 895, 896, JL NO. 049, MOUZA - KASBA PATASPOR, PO AND VILL-KASBA, PO- POTASPUR, DIST- EAST MIDNAPORE, PIN-721439</t>
  </si>
  <si>
    <t>I-WB-EGRO-ENB-6000</t>
  </si>
  <si>
    <t>JERTHAN</t>
  </si>
  <si>
    <t xml:space="preserve">DAG NO. 2695, 2695/4365, 2696, JL NO. 45, KHATIAN NO. 2282, MOUZA AND VILL AND PO- JERTHAN, PS- EGRA, DIST- EAST MIDNAPORE, PIN-721420</t>
  </si>
  <si>
    <t xml:space="preserve">voltage drop</t>
  </si>
  <si>
    <t xml:space="preserve">RM needed, SMPS voltage flactuation issue</t>
  </si>
  <si>
    <t>I-WB-RAMR-ENB-G001</t>
  </si>
  <si>
    <t>ALANKARPUR</t>
  </si>
  <si>
    <t xml:space="preserve">VILL+P.O-ALANKARPUR,PS-DIGHA,DIST-EAST MIDNAPORE,PIN-721441</t>
  </si>
  <si>
    <t xml:space="preserve">ARUP KUMAR SHEE</t>
  </si>
  <si>
    <t xml:space="preserve">SMPS controller isnt showing 1 battery</t>
  </si>
  <si>
    <t xml:space="preserve">25 kva</t>
  </si>
  <si>
    <t>utopia</t>
  </si>
  <si>
    <t xml:space="preserve">105 C</t>
  </si>
  <si>
    <t xml:space="preserve">DG is not working</t>
  </si>
  <si>
    <t>I-WB-RAMR-ENB-G002</t>
  </si>
  <si>
    <t>RAMNAGAR</t>
  </si>
  <si>
    <t xml:space="preserve">RABINDRANATH JANA VILL- GHIRITAPURI, PO+PS- RAMNAGAR, DIST- PURBA MIDNIPUR,PIN- 721441</t>
  </si>
  <si>
    <t xml:space="preserve">cable theft so 1 BM is not connected</t>
  </si>
  <si>
    <t xml:space="preserve">DG NA</t>
  </si>
  <si>
    <t>I-WB-RAMO-ESC-0007</t>
  </si>
  <si>
    <t>I-WB-RAMO-ESC-0008</t>
  </si>
  <si>
    <t>I-WB-RAMO-ESC-0009</t>
  </si>
  <si>
    <t>I-WB-RAMO-ESC-0010</t>
  </si>
  <si>
    <t>I-WB-RAMO-ESC-0011</t>
  </si>
  <si>
    <t>I-WB-RAMR-ESC-0001</t>
  </si>
  <si>
    <t>I-WB-RAMR-ESC-0002</t>
  </si>
  <si>
    <t>I-WB-RAMR-ESC-0009</t>
  </si>
  <si>
    <t>I-WB-RAMR-ESC-0012</t>
  </si>
  <si>
    <t>I-WB-RAMR-ESC-0013</t>
  </si>
  <si>
    <t>I-WB-RAMR-ESC-0014</t>
  </si>
  <si>
    <t>I-WB-RAMR-ESC-0016</t>
  </si>
  <si>
    <t>I-WB-RAMR-ESC-0017</t>
  </si>
  <si>
    <t>I-WB-DGHH-ENB-V001</t>
  </si>
  <si>
    <t xml:space="preserve">OLD DIGHA</t>
  </si>
  <si>
    <t xml:space="preserve">VILL:-KHADAL GOBRA,P.O+P.S:-DIGHA, Dist: East Midnapur, PIN-721428</t>
  </si>
  <si>
    <t>I-WB-RAMO-ENB-I004</t>
  </si>
  <si>
    <t>DEULIBANGLA</t>
  </si>
  <si>
    <t xml:space="preserve">DIDU BHUSAN BARAI, VILL+P.O.- DEULIBANGLO, P.S.- RAMNAGAR, PIN- 721423,</t>
  </si>
  <si>
    <t>I-WB-RAMO-ENB-V001</t>
  </si>
  <si>
    <t>DEPAL-2</t>
  </si>
  <si>
    <t xml:space="preserve">Kanailal Patro NEAR CPM OFFICE, VILL RAMNAGAR COLLEGE MOD, PO DEPAL, PS RAMNAGAR, DIST EAST MIDNAPUR721401</t>
  </si>
  <si>
    <t>I-WB-RAMO-ENB-V004</t>
  </si>
  <si>
    <t>KANTHI</t>
  </si>
  <si>
    <t xml:space="preserve">DAKSHIN BASULIPATH,P.S.+P.O.- RAMNAGAR,DIST.-EAST MIDNAPUR,PIN- 721441  BARA BANKUYA</t>
  </si>
  <si>
    <t>I-WB-RAMR-ENB-A001</t>
  </si>
  <si>
    <t>SATI</t>
  </si>
  <si>
    <t xml:space="preserve">VILL+ P.O- DAMODARPUR, P.S- RAMNAGAR, DIST-EAST MEDINIPUR, PIN- 721446</t>
  </si>
  <si>
    <t>I-WB-RAMR-ENB-A002</t>
  </si>
  <si>
    <t>Digha6</t>
  </si>
  <si>
    <t xml:space="preserve">Nirmal Pal,Mini Holiday Home Sector,New Digha, Pin-721428</t>
  </si>
  <si>
    <t>I-WB-RAMR-ENB-A003</t>
  </si>
  <si>
    <t>NONAARI</t>
  </si>
  <si>
    <t xml:space="preserve">Taimur Khan, Vill &amp; PO - Asasthapur, PS - Ramnagar, Dist - East Midnapur, Pin - 721446, #9732777070</t>
  </si>
  <si>
    <t>I-WB-RAMR-ENB-I004</t>
  </si>
  <si>
    <t>ERNGRAMNGR021</t>
  </si>
  <si>
    <t xml:space="preserve">vill- naria, po- balisai, ps- ramnagar, dist- midnipur, pin- 721423</t>
  </si>
  <si>
    <t>I-WB-RAMR-ENB-I005</t>
  </si>
  <si>
    <t>DIGHA-4</t>
  </si>
  <si>
    <t xml:space="preserve">Mr. Pinaki Ranjan, Vill. Padima, P.o. Saripur, P.s. Disgha, Distt. Midnapur(E), Ph-9339678801</t>
  </si>
  <si>
    <t>I-WB-RAMR-ENB-I006</t>
  </si>
  <si>
    <t>SANTRA</t>
  </si>
  <si>
    <t xml:space="preserve">PARITOSH MISHRA, VILL-SANTRA, P.O-JASTA GHARI, P.S-RAMNAGAR, DIST- MIDNAPORE, PIN-721446,</t>
  </si>
  <si>
    <t>I-WB-RAMR-ENB-I007</t>
  </si>
  <si>
    <t>MEDNIPUR(DIGHA)</t>
  </si>
  <si>
    <t xml:space="preserve">Subol Chandra Bera,Dag no-546,Kh-797,979,Jl-66,Mouza+Vill- Medinipore,P.O- Payamedinipore,P.s- ramnagar,721428 Contact No- 9732996374 na</t>
  </si>
  <si>
    <t>I-WB-RAMR-ENB-I008</t>
  </si>
  <si>
    <t xml:space="preserve">ISHWAR CHANDRA DAS,S/O-LATE MRITUNJAY DAS,VILL-HALDIA,POST-HALDIA PATNA,P.S.-RAMNAGAR,DIST-EAST MEDINIPUR,PHONE-9851152122,Pin-721441</t>
  </si>
  <si>
    <t>I-WB-RAMR-ENB-I009</t>
  </si>
  <si>
    <t xml:space="preserve">THIKRA MORE</t>
  </si>
  <si>
    <t xml:space="preserve">VILL- THIKRA,P.O+P.S- RAMNAGAR,DIST-EAST MIDNAPUR,PIN-721441  RAMNAGAR</t>
  </si>
  <si>
    <t>I-WB-RAMR-ENB-V001</t>
  </si>
  <si>
    <t>DIGHA_3</t>
  </si>
  <si>
    <t xml:space="preserve">Vill. - Gobinda Basan, P.o. - Digha, Dist. - Midnapur(E), Pin. - 721441</t>
  </si>
  <si>
    <t>I-WB-RAMR-ENB-W001</t>
  </si>
  <si>
    <t xml:space="preserve">VILL+P.O-CHANDANPUR, PS-RAMNAGAR, DIST-PURBA MEDINIPUR, PIN-721446</t>
  </si>
  <si>
    <t>I-WB-EGRT-ENB-9017</t>
  </si>
  <si>
    <t>DEPAL</t>
  </si>
  <si>
    <t xml:space="preserve">VILL-DEPAL SASHANBAR ,PO-DEPAL ,PS-RAMNAGAR ,DIST-PURBA MEDINIPUR,PIN-721453  MADHABPUR</t>
  </si>
  <si>
    <t xml:space="preserve">EB Service cable </t>
  </si>
  <si>
    <t>I-WB-RAMO-ENB-9005</t>
  </si>
  <si>
    <t>BALISAI</t>
  </si>
  <si>
    <t xml:space="preserve">BASANTI PATI, VILL- NARANDIA, PO- BALISAI,PS- RAMNAGAR, DIST- PURBA MEDINIPUR, PIN- 721421, CONT- 9800195678</t>
  </si>
  <si>
    <t xml:space="preserve">controller is not showing DG data</t>
  </si>
  <si>
    <t>I-WB-RAMO-ENB-9019</t>
  </si>
  <si>
    <t>RAMO-9019</t>
  </si>
  <si>
    <t xml:space="preserve">VILL-TAJPUR DAKSHINBAR, P.O GOPALCHAK,P.S RAMNAGAR,DIST-EAST-MEDNIPUR,PIN 721423  BARA BANKUYA</t>
  </si>
  <si>
    <t xml:space="preserve">service cable, soil filling water logged</t>
  </si>
  <si>
    <t>I-WB-RAMO-ENB-9021</t>
  </si>
  <si>
    <t>RAMO-9021</t>
  </si>
  <si>
    <t xml:space="preserve">Name:Himanshu Das, S/O-Let Gadadhar Das,Vill+P.O-Sabitrapur,PIN-721453,Mob. No-9732890370</t>
  </si>
  <si>
    <t xml:space="preserve">GCU controller may showing misleading data</t>
  </si>
  <si>
    <t>I-WB-RAMO-ENB-9022</t>
  </si>
  <si>
    <t>RAMO-9022</t>
  </si>
  <si>
    <t xml:space="preserve">Suman Kalyan Giri,At+P.o-Mandar,P.S-Ramnagar,Dist-East Midnapore, WB, PIN-721441,Mpb:7872863533</t>
  </si>
  <si>
    <t xml:space="preserve">earthing pit faulty</t>
  </si>
  <si>
    <t>I-WB-RAMO-ENB-9026</t>
  </si>
  <si>
    <t>RAMO-9026</t>
  </si>
  <si>
    <t xml:space="preserve">Modanmohan Bera,At Kandarpapur,Po Chaulkhola,Ps Ramnagar,Dist East Medinipur,PIN 721445,Mob 9932924288/8617498234</t>
  </si>
  <si>
    <t xml:space="preserve">DG fuel tank is filled with water</t>
  </si>
  <si>
    <t>I-WB-RAMO-ENB-9027</t>
  </si>
  <si>
    <t>RAMO-9027</t>
  </si>
  <si>
    <t xml:space="preserve">VILL-PURBO KARANJI,P.O-KARANJI,P.S-RAMNAGAR, DIST-EAST MIDNAPORE, PIN-721423  BARA BANKUYA</t>
  </si>
  <si>
    <t>I-WB-RAMO-ENB-9028</t>
  </si>
  <si>
    <t>RAMO-9028</t>
  </si>
  <si>
    <t xml:space="preserve">VILL-BAR RANKUYA, PO-BALISAI, PS-RAMNAGAR, DIST-EAST MEDINIPUR, PIN-721453  BARA BANKUYA</t>
  </si>
  <si>
    <t>I-WB-RAMO-ENB-9029</t>
  </si>
  <si>
    <t>RAMO-9029</t>
  </si>
  <si>
    <t xml:space="preserve">VILL -BADALPUR,PO-SOUTH BADAL,PS-RAMNAGAR,DIST-EAST MEDINIPUR,PIN-721423  BARA BANKUYA</t>
  </si>
  <si>
    <t xml:space="preserve">1 RM is tranfered to shakib mahummad</t>
  </si>
  <si>
    <t xml:space="preserve">CPH problem</t>
  </si>
  <si>
    <t>I-WB-RAMO-ENB-9030</t>
  </si>
  <si>
    <t xml:space="preserve">political issue and non existed</t>
  </si>
  <si>
    <t>I-WB-RAMO-ENB-9031</t>
  </si>
  <si>
    <t>RAMO-9031</t>
  </si>
  <si>
    <t xml:space="preserve">Keshab Chandra Mula At. Uttar Gopalpur,Po Gopalchak,Ps Ramnagar,Dist East Midnapur,Pin 721423,Mob 6295131642</t>
  </si>
  <si>
    <t xml:space="preserve">1 RM needed</t>
  </si>
  <si>
    <t>I-WB-RAMO-ENB-9034</t>
  </si>
  <si>
    <t xml:space="preserve">BHERI BARANGA</t>
  </si>
  <si>
    <t xml:space="preserve">Banabihari Panja-8001988589 / 9733065093-Bheri Baranga, Po.-Uttar Gobindapur, Ps-Ramnagar, Dist-East Midnapur, Pin-721453</t>
  </si>
  <si>
    <t>I-WB-RAMO-ENB-9036</t>
  </si>
  <si>
    <t>BARANKUA</t>
  </si>
  <si>
    <t xml:space="preserve">Atul Das-9734895728-Bararankua, Po- Balisai, Ps- Ramnagar, Dist-East Medinipir, WB-721423</t>
  </si>
  <si>
    <t>I-WB-RAMR-ENB-9005</t>
  </si>
  <si>
    <t>BIRAMPUR</t>
  </si>
  <si>
    <t xml:space="preserve">AJAY KUMAR DAS-8642015509,VILL-BIRRAMPUR,P.O-GOBRA,P.S-RAMNAGAR,DIST-EAST MIDNAPORE-721441</t>
  </si>
  <si>
    <t xml:space="preserve">old BM</t>
  </si>
  <si>
    <t xml:space="preserve">DG AMF panel door broken</t>
  </si>
  <si>
    <t>I-WB-RAMR-ENB-9006</t>
  </si>
  <si>
    <t xml:space="preserve">NEW DIGHA</t>
  </si>
  <si>
    <t xml:space="preserve">GANABATI BAN-9474448962,VILL-CHAMPABONI,P.O-NEW DIGHA,P.S-DIGHA,DIST-EAST MIDNAPORE-721463</t>
  </si>
  <si>
    <t xml:space="preserve">repared BM</t>
  </si>
  <si>
    <t xml:space="preserve">DG tank water filled, mains service cable faulty(only 1 phase is received), DG rooftop rust, earthing pit dusted</t>
  </si>
  <si>
    <t>I-WB-RAMR-ENB-9018</t>
  </si>
  <si>
    <t>KASAFALTALA</t>
  </si>
  <si>
    <t xml:space="preserve">Ramkrishna Giri / Jaykrishna Giri ,At-Kasafaltala, Po-Uttargobindapur,Ps-Ramnagar ,Dist-Purba Midnapur, WB,PIN-721453 ,Mob-9780743408 /9735203259</t>
  </si>
  <si>
    <t xml:space="preserve">BM weak</t>
  </si>
  <si>
    <t>I-WB-RAMR-ENB-9024</t>
  </si>
  <si>
    <t>RAMR-9024</t>
  </si>
  <si>
    <t xml:space="preserve">TENGRAMARI,P.O BODHRA,P.S EGRA,DIST-EAST MEDINIPUR,PIN-721423  RAMNAGAR</t>
  </si>
  <si>
    <t xml:space="preserve">DG canopy damaged, rooftop damaged DG</t>
  </si>
  <si>
    <t>I-WB-RAMR-ENB-9026</t>
  </si>
  <si>
    <t xml:space="preserve">Pradip Kumar Pati,At Basantapur,P.O Bishnupur,P.S Ramanagar,Dist East Medinipur,WB, Pin 721446, Mob: 9732727185</t>
  </si>
  <si>
    <t>I-WB-RAMR-ENB-9029</t>
  </si>
  <si>
    <t>KHOLABERIA</t>
  </si>
  <si>
    <t xml:space="preserve">Arati Mohapatra ,At/Po-Kholaberia ,Ps-Ramnagar ,Dist-East Midnapore, WB, PIN-721446 ,Mob-9609336138 (Anshu Mahapatra)</t>
  </si>
  <si>
    <t xml:space="preserve">5G site but still 100 amp MCB not installed</t>
  </si>
  <si>
    <t>I-WB-RAMR-ENB-9030</t>
  </si>
  <si>
    <t>RAMR-9030</t>
  </si>
  <si>
    <t xml:space="preserve">Haradhan Ghosal,Plot No-72/416 ,N2 Sector,New digha Township ,Dist-Purba Midnapore,WB ,PIN-721463 ,Mob-9051498940</t>
  </si>
  <si>
    <t xml:space="preserve">RM backpanel missing</t>
  </si>
  <si>
    <t xml:space="preserve">BM backup is zero</t>
  </si>
  <si>
    <t>I-WB-RAMR-ENB-9031</t>
  </si>
  <si>
    <t>RAMR-9031</t>
  </si>
  <si>
    <t xml:space="preserve">Bandana Maity ,Plot No-32 ,N2 Sector,New digha Township ,Dist-Purba Midnapore,WB ,PIN-721463 ,Mob-9231478021</t>
  </si>
  <si>
    <t xml:space="preserve">DG tank is faulty</t>
  </si>
  <si>
    <t>I-WB-RAMR-ENB-9032</t>
  </si>
  <si>
    <t>MIRJAPUR</t>
  </si>
  <si>
    <t xml:space="preserve">Subal Chandra  Sahoo ,At-Mirjapur,Po-Saripur ,Ps-Digha ,Dist-East Midnapore, WB, PIN-721428 ,Mob-9733872485 (Nitya Sahoo)</t>
  </si>
  <si>
    <t xml:space="preserve">backpanel faulty</t>
  </si>
  <si>
    <t xml:space="preserve">low voltage issue</t>
  </si>
  <si>
    <t>I-WB-RAMR-ENB-9033</t>
  </si>
  <si>
    <t>Bilamria</t>
  </si>
  <si>
    <t xml:space="preserve">Bata Krishna Pal-7908777941 / 9800558126-Bilamria Po-Paya Medinipur, Ps-Digha Costal Dist-East Midnapur, Pin-721428</t>
  </si>
  <si>
    <t xml:space="preserve">1 RM is weak</t>
  </si>
  <si>
    <t>I-WB-RAMR-ENB-9034</t>
  </si>
  <si>
    <t>RAMR-9034</t>
  </si>
  <si>
    <t xml:space="preserve">VILL+AT-HAROPUR, PO-ALANKARPUR, PS-DIGHA MOHONA COSTAL, DIST-EAST MEDINIPUR, WB PIN- 721441  RAMNAGAR</t>
  </si>
  <si>
    <t>I-WB-RAMR-ENB-9036</t>
  </si>
  <si>
    <t>RAMR-9036</t>
  </si>
  <si>
    <t xml:space="preserve">TAJPUR,PO BODHRA,PS COASTAL MONDARMONI, DIST EAST MEDINIPUR,PIN-721423  RAMNAGAR</t>
  </si>
  <si>
    <t xml:space="preserve">meter room rewearing for adjusting box's with wall needed, no earthing , class B SPD faulty, DG canopy and rooftop damaged</t>
  </si>
  <si>
    <t>I-WB-RAMR-ENB-9037</t>
  </si>
  <si>
    <t>RAMR-9037</t>
  </si>
  <si>
    <t xml:space="preserve">Rajanikanta Sahoo, At-Mangalpur,PO-Gobra,P.S-Ramnagar,Dist-East Medinipir, WB ,PIN-721441 ,Mob-9933136475</t>
  </si>
  <si>
    <t>I-WB-RAMR-ENB-9038</t>
  </si>
  <si>
    <t>RAMR-9038</t>
  </si>
  <si>
    <t xml:space="preserve">Rahitaswa Maity ,At/Po- Gobra,Ps- Ramnagar, Dist-East Medinipir, WB- 721441,Mob- 7551012004</t>
  </si>
  <si>
    <t>I-WB-RAMR-ENB-9039</t>
  </si>
  <si>
    <t>RAMR-9039</t>
  </si>
  <si>
    <t xml:space="preserve">VILL-MUKUNDPUR,PO-SAGARESWAR,PS-RAMNAGAR ,DIST-EAST MEDINIPUR,PIN-721446  RAMNAGAR</t>
  </si>
  <si>
    <t>I-WB-RAMR-ENB-9045</t>
  </si>
  <si>
    <t>Hirapur</t>
  </si>
  <si>
    <t xml:space="preserve">Prakiti Ranjan Dey-9679794655-At.+Po- Hirapur, Ps- Ramnagar, Dist- East Midnapur, Pin- 721441</t>
  </si>
  <si>
    <t xml:space="preserve">1 RM have load issue</t>
  </si>
  <si>
    <t>I-WB-RAMR-ENB-9046</t>
  </si>
  <si>
    <t>RAMR-9046</t>
  </si>
  <si>
    <t xml:space="preserve">Durbadal Jana At.+Po- Sadikpur, Ps- Ramnagar, Dist- East Midnapur, Pin- 721446 Mob- 9831625037</t>
  </si>
  <si>
    <t xml:space="preserve">DG canopy top damaged</t>
  </si>
  <si>
    <t>I-WB-RAMR-ENB-9052</t>
  </si>
  <si>
    <t>LACHHIMPUR</t>
  </si>
  <si>
    <t xml:space="preserve">Ashok Maity-8768890776-Lachhimpur, Po-Bodhra, Ps- Coastal Mondarmoni, Dist-East Medinipir, WB-721423</t>
  </si>
  <si>
    <t>I-WB-RAMR-ENB-9053</t>
  </si>
  <si>
    <t xml:space="preserve">Rabin chandra Mandal-9735401574-New Digha ,Plot no-B12,P.s-Digha,Dist-purba medinipur, pin-721428</t>
  </si>
  <si>
    <t xml:space="preserve">BTS battery cable not available (now it is connected with DG sensing cable)</t>
  </si>
  <si>
    <t>I-WB-RAMO-ENB-9038</t>
  </si>
  <si>
    <t xml:space="preserve">road acess issue</t>
  </si>
  <si>
    <t>I-WB-BEAG-ESC-0001</t>
  </si>
  <si>
    <t>I-WB-BGWO-ESC-0007</t>
  </si>
  <si>
    <t>I-WB-BGWO-ESC-0008</t>
  </si>
  <si>
    <t>I-WB-BGWO-ESC-0010</t>
  </si>
  <si>
    <t>I-WB-BGWO-ESC-0011</t>
  </si>
  <si>
    <t>I-WB-BGWO-ESC-0012</t>
  </si>
  <si>
    <t>I-WB-BGWO-ESC-0013</t>
  </si>
  <si>
    <t>I-WB-BGWO-ESC-0014</t>
  </si>
  <si>
    <t>I-WB-BGWO-ESC-0017</t>
  </si>
  <si>
    <t>I-WB-HRIA-ESC-0001</t>
  </si>
  <si>
    <t>I-WB-KCTA-ESC-0002</t>
  </si>
  <si>
    <t>I-WB-KJRI-ESC-0002</t>
  </si>
  <si>
    <t>I-WB-KJRI-ESC-0004</t>
  </si>
  <si>
    <t>I-WB-KJRI-ESC-0005</t>
  </si>
  <si>
    <t>I-WB-KNTT-ESC-0011</t>
  </si>
  <si>
    <t>I-WB-KNTT-ESC-0014</t>
  </si>
  <si>
    <t>I-WB-KNTT-ESC-0016</t>
  </si>
  <si>
    <t>I-WB-BGWO-ESC-0005</t>
  </si>
  <si>
    <t>I-WB-PTSA-ESC-0605</t>
  </si>
  <si>
    <t>I-WB-BGWO-ENB-A002</t>
  </si>
  <si>
    <t>I-WB-BGWO-ENB-A003</t>
  </si>
  <si>
    <t>I-WB-BGWO-ENB-G001</t>
  </si>
  <si>
    <t>JUKHIA</t>
  </si>
  <si>
    <t xml:space="preserve">Vill + P.O- Jukhia,P.S- Bhupatinagar,Dist- Purba Medinipur</t>
  </si>
  <si>
    <t>I-WB-BGWO-ENB-G002</t>
  </si>
  <si>
    <t>I-WB-BGWO-ENB-I001</t>
  </si>
  <si>
    <t>BHUPATINAGAR-2</t>
  </si>
  <si>
    <t xml:space="preserve">TIMIR BARAN MAITYRESIDING AT VILLAGE- KASHBA, P.O.- BAYENDA,P.S BHUPATINAGAR ,PIN NO-721425 DISTRICT:- MIDNAPUR</t>
  </si>
  <si>
    <t>I-WB-BGWO-ENB-I005</t>
  </si>
  <si>
    <t>BAHADURPUR(EM)</t>
  </si>
  <si>
    <t xml:space="preserve">Bijoy Sasmal/ Dilip Sasmal/Dipak SasmalDinesh Sasmal,Dag no:-2166,Kh-66,899,1228,430,460,MouzaBhupati Nagar, vill+P.O- Bhadurpur,P.s- Bhupati Nagar,721626, Contact no:-9732810516</t>
  </si>
  <si>
    <t>I-WB-BGWO-ENB-I006</t>
  </si>
  <si>
    <t>BAGHADARI</t>
  </si>
  <si>
    <t xml:space="preserve">Shephali sahoo,Dag no:-153/1455,153/1458,Kh-537,Mouza+Vill+P.O- baghadari,P.s- Bhupati Nagar,721425, Contact no:-9434940935</t>
  </si>
  <si>
    <t>I-WB-BGWO-ENB-I009</t>
  </si>
  <si>
    <t>BHUPATHINAGAR</t>
  </si>
  <si>
    <t xml:space="preserve">MR.PARTHA PRATIM GIRI,MR.PARTHA SUNDAR GIRI, AT:- BHUPATINAGAR,.PS.BHAGANPUR,DIST.MIDNAPUR. 721425</t>
  </si>
  <si>
    <t>I-WB-KJRI-ENB-A002</t>
  </si>
  <si>
    <t xml:space="preserve">PRONAB SINGHA  , VILL - KHARAR, PO- MOHATI , PS- KHEJURI, DIST- EAST MIDNAPORE, PIN NO- 721430,  MO- 9732755286  ( UNDEAR -HERIA 1 NO  -G.P).</t>
  </si>
  <si>
    <t>I-WB-KJRI-ENB-V002</t>
  </si>
  <si>
    <t xml:space="preserve">E WB 174 2 DAKSHIN LAKSHI</t>
  </si>
  <si>
    <t xml:space="preserve">Vill-Dakshin Lakshi,  PO-Lakshi, PS-Khejuri, Dist- East Mednipur, Pin-721430, JL No-135, Plot No-10469, Khatian Nos-1182 &amp; 3596 Mouza-Lakshi</t>
  </si>
  <si>
    <t>I-WB-BGWA-ENB-I001</t>
  </si>
  <si>
    <t>UDHAMPUR</t>
  </si>
  <si>
    <t xml:space="preserve">Pranab Kumar Maity, Dag No.865, Kh-93, JL-112, Mouza/Vill:Purbamasuria, Po:Totanala, PS:Bhagabanpur, Dist:East Medinipur-721458</t>
  </si>
  <si>
    <t>I-WB-BGWO-ENB-I007</t>
  </si>
  <si>
    <t xml:space="preserve">PATHAR BERYA</t>
  </si>
  <si>
    <t xml:space="preserve">Bibhuti Giri, Dag No.80, Kh-75, JL-279, Mouza:Chakvekutia, Vill:Patharberiya, PoUdabadal, PS:Bhupatinagar, Dist:East Medinipur-721425</t>
  </si>
  <si>
    <t xml:space="preserve">already done</t>
  </si>
  <si>
    <t>I-WB-BEAG-ENB-9001</t>
  </si>
  <si>
    <t>BEAG-9001</t>
  </si>
  <si>
    <t xml:space="preserve">PUSHPANJALI MANDA-8926335013-KALIACHOWK, KHEJURU, MIDNAPORE</t>
  </si>
  <si>
    <t xml:space="preserve">low battery backup, RM needed</t>
  </si>
  <si>
    <t>I-WB-BGWA-AG1-9019</t>
  </si>
  <si>
    <t>I-WB-BGWA-ENB-9018</t>
  </si>
  <si>
    <t>CHAWDUMIA</t>
  </si>
  <si>
    <t xml:space="preserve">VILL-CHAWDUMIA,P.O-KACHHAGARGH, P.S-BHAGWANPUR,DIST-EAST MEDINIPUR, PIN-721626  BHAGAWANPUR</t>
  </si>
  <si>
    <t xml:space="preserve">water logged site, low BM backup</t>
  </si>
  <si>
    <t>I-WB-BGWA-ENB-9028</t>
  </si>
  <si>
    <t>Abasberia</t>
  </si>
  <si>
    <t xml:space="preserve">Chandan Kumar Ghorai,Vill-Abasberia,PO- Naba Tajpur,P.S- Bhupatinagar, Dist- East Medinipur,Pin-721626,Mob-7001465904/8016309892/8001030995</t>
  </si>
  <si>
    <t xml:space="preserve">DG automation fail, manual, low BM backup</t>
  </si>
  <si>
    <t>I-WB-BGWA-ENB-9039</t>
  </si>
  <si>
    <t>BGWA-9039</t>
  </si>
  <si>
    <t xml:space="preserve">Soumitra Ghorai &amp; Others At.- Bhucharabarh, Po- Charabarh, Ps- Bhagwanpur, Dist- East Midnapur, Pin- 721626, Mob- 9609471022</t>
  </si>
  <si>
    <t>I-WB-BGWO-ENB-9001</t>
  </si>
  <si>
    <t>MAKLASE</t>
  </si>
  <si>
    <t xml:space="preserve">ANUP GIRI-9734021233,VILL-MAKDASHI,P.O-GARHBARI,P.S-BHUPATINAGAR,DIST-EAST MIDNAPORE-721430</t>
  </si>
  <si>
    <t>I-WB-BGWO-ENB-9014</t>
  </si>
  <si>
    <t>LALBAZAR</t>
  </si>
  <si>
    <t xml:space="preserve">Debashis Si &amp; Joshna Rani Si ,At/Po- Madhapur , PS- Bhupatinagar ,Dist-East Medinipur, West Bengal, PIN-721626 , Mob-8016039102</t>
  </si>
  <si>
    <t xml:space="preserve">DG battery weak</t>
  </si>
  <si>
    <t>I-WB-BGWO-ENB-9017</t>
  </si>
  <si>
    <t>BGWO-9017</t>
  </si>
  <si>
    <t xml:space="preserve">Anil Kumar Giri, At-Uttarchak,Po-Sukrullapur,Ps-Bhoopatinagar,Dist-East Midnapore, WB,PIN-721626,Mob-8768123788</t>
  </si>
  <si>
    <t>I-WB-BGWO-ENB-9019</t>
  </si>
  <si>
    <t>BGWO-9019</t>
  </si>
  <si>
    <t xml:space="preserve">VILL+P.O-URURI,PS-BHUPATINAGAR,DIST-EAST MEDINIPUR,PIN-721458  BHUPATI NAGAR</t>
  </si>
  <si>
    <t>I-WB-BGWO-ENB-9023</t>
  </si>
  <si>
    <t>BHUPATINAGAR</t>
  </si>
  <si>
    <t xml:space="preserve">Sandhya Dhal ,At/Po/Ps Bhupatinagar ,Dist East Medinipur, WB 721425 ,Mob 9733564739</t>
  </si>
  <si>
    <t>I-WB-BGWO-ENB-9027</t>
  </si>
  <si>
    <t>BGWO-9027</t>
  </si>
  <si>
    <t xml:space="preserve">VILL- DI SIMULIA, PO- KAYENGERIA,P.S- BHUPATINAGAR, DIST -EAST MEDINIPUR,PIN-721444  BHUPATI NAGAR</t>
  </si>
  <si>
    <t>I-WB-BGWO-ENB-9028</t>
  </si>
  <si>
    <t>BGWO-9028</t>
  </si>
  <si>
    <t xml:space="preserve">VILL- DAKSHIN MAHISHDA, PO- DIGHADARI, PS- BHUPATINAGAR, DIST- EAST MIDNAPUR, PIN- 721444  BHUPATI NAGAR</t>
  </si>
  <si>
    <t>I-WB-KJRI-ENB-9009</t>
  </si>
  <si>
    <t>TIKASHI</t>
  </si>
  <si>
    <t xml:space="preserve">DAKSHIN BELTALA,PO-UTTAR KADAMDAR,PS-KHEJURI,DIST-EAST MEDINIPUR,PIN-721430  KHEJURI</t>
  </si>
  <si>
    <t>I-WB-HRIA-ILA-6000</t>
  </si>
  <si>
    <t>I-WB-KAEP-ENB-9003</t>
  </si>
  <si>
    <t>KANAIDIGHI</t>
  </si>
  <si>
    <t xml:space="preserve">JAHARLAL SAHOO-9733546030-Vill+P.o-Kanaidighi, P.s-marishda,Dist-Purba Medinipur,pin-721444</t>
  </si>
  <si>
    <t>I-WB-KCTA-ENB-9002</t>
  </si>
  <si>
    <t>KCTA-9002</t>
  </si>
  <si>
    <t xml:space="preserve">VILL-GODBARI,P.S-BHUPATINAGAR,DIST-PURBA MEDINIPUR,PIN-721624</t>
  </si>
  <si>
    <t>I-WB-KCTA-ENB-9003</t>
  </si>
  <si>
    <t>GARBARI</t>
  </si>
  <si>
    <t xml:space="preserve">Madhusudan Bera ,At/Po-Garbari,Ps-Bhupatinagar,Dist-East Medinipur,WB,PIN-721626 ,Mob-7872214349</t>
  </si>
  <si>
    <t>I-WB-KCTA-ENB-9004</t>
  </si>
  <si>
    <t>KCTA-9004</t>
  </si>
  <si>
    <t xml:space="preserve">Rabindra nath Barui-9733847343-At.-Dakshin Purbachak Po.-Nazir Bazar, Ps-Bhupatinagar, Dist-East Midnapur,Pin-721655</t>
  </si>
  <si>
    <t>I-WB-KJRI-ENB-9001</t>
  </si>
  <si>
    <t xml:space="preserve">KHEJURI KRISHNAGAR</t>
  </si>
  <si>
    <t xml:space="preserve">NALINI KANTA DAS-9733977321,MOUZA-KRISHNANAGAR,KH-504,JL-123,DAG NO-2889,VILL &amp; P.O-KRISHNAGAR,DIST-EAST MIDNAPORE-721430</t>
  </si>
  <si>
    <t>I-WB-KJRI-ENB-9011</t>
  </si>
  <si>
    <t>BAJBAJIA</t>
  </si>
  <si>
    <t xml:space="preserve">VILL-BAJBAJIA ,PO -DAKSHIN KALAMDAN ,PS -KHEJURI ,DIST -EAST MEDINIPUR ,PIN-721430  KHEJURI</t>
  </si>
  <si>
    <t>I-WB-KNTT-ENB-9002</t>
  </si>
  <si>
    <t>BHAITGARH</t>
  </si>
  <si>
    <t xml:space="preserve">BISHNUPADA MAITY-9932599810,DAG NO-531,KH-523,MOUZA-BHAITGAR,P.O-KANAIDIGHI,P.S-MARISHDA,DIST-EAST MIDNAPORE-721444</t>
  </si>
  <si>
    <t>I-WB-KNTT-ENB-9005</t>
  </si>
  <si>
    <t xml:space="preserve">DEBASISH BHUIYAN-9933000770,VILL-NORTH KANAIDIGHI,P.O-D.KALAMDAM,P.S-MAHISDA,DIST-EAST MIDNAPORE-721430</t>
  </si>
  <si>
    <t>I-WB-KNTT-ENB-9015</t>
  </si>
  <si>
    <t>KNTT-9015</t>
  </si>
  <si>
    <t xml:space="preserve">Madan Mohan Pahari,At-Banyajihi ,Po-Gangadhar Chak,PS-Marishda ,Dist-East Medinipur,West Bengal,PIN-721444 ,Mob-9732277887</t>
  </si>
  <si>
    <t>I-WB-KNTT-ENB-9035</t>
  </si>
  <si>
    <t>KNTT-9035</t>
  </si>
  <si>
    <t xml:space="preserve">VILL-BRAHAMANCHAK ,P.O-NACHINDA ,P.S-MARISHDA, DIST-EAST MIDNAPUR,PIN-721444  MARISHDA</t>
  </si>
  <si>
    <t>I-WB-BGWO-ENB-9031</t>
  </si>
  <si>
    <t>I-WB-KNTT-ENB-9042</t>
  </si>
  <si>
    <t>I-WB-BGWO-ENB-9032</t>
  </si>
  <si>
    <t>I-WB-BGWO-ENB-9030</t>
  </si>
  <si>
    <t xml:space="preserve">Srimanta Sahoo-9647709090-AT+Po- Thakurnagar Ps- Khejuri Dist- East Medinipir, WB-721430</t>
  </si>
  <si>
    <t>I-WB-BGWO-ENB-9021</t>
  </si>
  <si>
    <t>UDBADAL</t>
  </si>
  <si>
    <t xml:space="preserve">Smiritipada Bera ,At/Po-Udbadal ,Ps-Bhupati Nagar, Dist-East Medinipur,WB, Pin-721425, Mob-7699177277</t>
  </si>
  <si>
    <t>I-WB-BGWO-ENB-9022</t>
  </si>
  <si>
    <t>BGWO-9022</t>
  </si>
  <si>
    <t xml:space="preserve">Bireswar Tripathy,Vil- Basudebberia,Post-Basuli Bazar,Ps-Bhoopatinagar,Dist-East Medinipur,WB ,PIN-721425 ,Mob-7076707940</t>
  </si>
  <si>
    <t>I-WB-PTSA-ENB-9021</t>
  </si>
  <si>
    <t>PTSA-9021</t>
  </si>
  <si>
    <t xml:space="preserve">Sumit Santra &amp; Amit Santra,At-Bargopal ,Po-Alukaranbar ,Ps-Bhupatinagar ,Dist-East Medinipir, WB ,PIN-721454,Mob-9647348581</t>
  </si>
  <si>
    <t>I-WB-BGWA-ENB-9017</t>
  </si>
  <si>
    <t>BGWA-9017</t>
  </si>
  <si>
    <t xml:space="preserve">VILL+P.O-KISMAT BAJKUL,P.S-BHAGWANPUR ,DIST-EAST MEDINIPUR, PIN-721626 BHAGAWANPUR</t>
  </si>
  <si>
    <t>I-WB-BGWA-ENB-9047</t>
  </si>
  <si>
    <t>I-WB-KNTT-ENB-6000</t>
  </si>
  <si>
    <t>NACHINDA</t>
  </si>
  <si>
    <t xml:space="preserve">PLOT SH KHOKON JANA,S/O LATE SANTOSH JANA,JL NO 411,PLOT NO 467 AND 469,KHATA 785,WARD NO 71,KANAIDIGHI,PO NACHINDA,PS MARIJDA,EAST MIDNAPUR,PIN 721444</t>
  </si>
  <si>
    <t>I-WB-PTSA-ENB-6002</t>
  </si>
  <si>
    <t xml:space="preserve">PAL PARA</t>
  </si>
  <si>
    <t xml:space="preserve">DAG NO-137, KHATIAN NO-1422/1, J.L. NO-195 MOUZA- PALPARA, VILL AND PO- PALPARA, DIST-WEAT MIDNAPORE, PIN-721458</t>
  </si>
  <si>
    <t>I-WB-BGWA-ENB-B001</t>
  </si>
  <si>
    <t xml:space="preserve">BEHAR JURIA</t>
  </si>
  <si>
    <t xml:space="preserve">VILL+P.O.- BHAGWANPUR, DIST- PURBA MEDINIPUR,PIN-721601  BHAGAWANPUR</t>
  </si>
  <si>
    <t xml:space="preserve">5G will install 2 more rectifier needed</t>
  </si>
  <si>
    <t>I-WB-BGWA-ESC-0006</t>
  </si>
  <si>
    <t>I-WB-BGWA-ESC-0008</t>
  </si>
  <si>
    <t>I-WB-BGWA-ESC-0014</t>
  </si>
  <si>
    <t>I-WB-BGWA-ESC-0013</t>
  </si>
  <si>
    <t>I-WB-BGWA-ESC-0021</t>
  </si>
  <si>
    <t>I-WB-BGWA-ENB-A001</t>
  </si>
  <si>
    <t>BARURBHERI</t>
  </si>
  <si>
    <t xml:space="preserve">BIJON BEHARI DAS , VILL - BARURVERI,  PO- GOPINATHPUR, PS- BHAGWANPUR, DIST- EAST MIDNAPUR, PIN NO- 721633.MO-9609431341 ( KAKRA- G.P).</t>
  </si>
  <si>
    <t>I-WB-BGWA-ENB-A002</t>
  </si>
  <si>
    <t>UTTARBAR</t>
  </si>
  <si>
    <t xml:space="preserve">Vill- Uttarbar, P.O- Chabukia, P.S- Bhagabanpur , Dist-Midnapur East</t>
  </si>
  <si>
    <t>I-WB-BGWA-ENB-G001</t>
  </si>
  <si>
    <t>BHIMESWARI</t>
  </si>
  <si>
    <t xml:space="preserve">Baikuntha Bihari Maity, S/o- Late Sarada Maity, Vill- Bhimeswari, Mouza- Rampur, PS- Bhagabanpur, Dist- east Midnapore,Pin-721458</t>
  </si>
  <si>
    <t>I-WB-BGWA-ENB-I002</t>
  </si>
  <si>
    <t>AKTARPUR</t>
  </si>
  <si>
    <t xml:space="preserve">SUPRABHAT SAHOO, JL-41, DAG NO- 74/255, MOUZA+ VILL- JAMALPUR, P.O- EKTAPUR, P.S- BHAGAWANPUR, 721633, MOB- 9732986093</t>
  </si>
  <si>
    <t>I-WB-BGWA-ENB-I003</t>
  </si>
  <si>
    <t>BIBHISHANPUR-2</t>
  </si>
  <si>
    <t xml:space="preserve">ASHES KUMAR MAITY, VILL+P.O.- BIBHISANPUR, P.S.- BHAGWANPUR, DIST- MIDNAPORE, PIN-721458</t>
  </si>
  <si>
    <t>I-WB-BGWA-ENB-I005</t>
  </si>
  <si>
    <t>I-WB-BGWA-ENB-I006</t>
  </si>
  <si>
    <t>KAKRA-2</t>
  </si>
  <si>
    <t xml:space="preserve">Meghanad Jana, Dag No.6198,6199, Kh-2931,923, JL-96,MouzaDakshin Kakra, Viill/Po:Kakra, PS:Bhagabanpur, Dist:East Medinipur-721659</t>
  </si>
  <si>
    <t>I-WB-BGWA-ENB-I007</t>
  </si>
  <si>
    <t xml:space="preserve">BANKI BHERI</t>
  </si>
  <si>
    <t xml:space="preserve">Sukumar Mishra, Dag No.258, Kh-301, JL-66, Vill/Po/Mouza:Bankiberi, PS.Bhagabanpur, Dist : East Medinipur-721458</t>
  </si>
  <si>
    <t>I-WB-BGWA-ENB-9015</t>
  </si>
  <si>
    <t>BGWA-9015</t>
  </si>
  <si>
    <t xml:space="preserve">Sashanka Jana ,At/Po-Gurgram , PS- Bhagwanpur, Dist- East Medinipur, West Bengal , PIN-721633 ,Mob-9609493004</t>
  </si>
  <si>
    <t xml:space="preserve">3 RM </t>
  </si>
  <si>
    <t>I-WB-BGWA-ENB-9021</t>
  </si>
  <si>
    <t>BGWA-9021</t>
  </si>
  <si>
    <t xml:space="preserve">Pabitra Manna,AT-GarhBehera,Po-Gargram ,Ps-Bhagwanpur,Dist-East Medinipur,WB,PIN-721633 ,Mob-9547458686</t>
  </si>
  <si>
    <t xml:space="preserve">3 RM, 3 battery</t>
  </si>
  <si>
    <t>I-WB-BGWA-ENB-9022</t>
  </si>
  <si>
    <t>BGWA-9022</t>
  </si>
  <si>
    <t xml:space="preserve">Chandan Kr Das &amp; Others ,At-Sribachipur ,Po-Elashpur ,PS-Bhagwanpur,Dist-East Medinipur,WB ,PIN-721601,Mob-9933302568</t>
  </si>
  <si>
    <t xml:space="preserve">RM </t>
  </si>
  <si>
    <t>I-WB-BGWA-ENB-9026</t>
  </si>
  <si>
    <t>Gopinathpur</t>
  </si>
  <si>
    <t xml:space="preserve">Atanu Maiti-9732781779 / 8001221642-At/Po-Gopinathpur, Ps-Bhagwanpur, Dist-East Midnapur,Pin-721633</t>
  </si>
  <si>
    <t xml:space="preserve">RM, fuel sensor</t>
  </si>
  <si>
    <t>I-WB-BGWA-ENB-9029</t>
  </si>
  <si>
    <t>BGWA-9029</t>
  </si>
  <si>
    <t xml:space="preserve">Ayub Khan,Vill- Nijbasudevpur, PO+P.S- Bhagwanpur, Dist- East Medinipur,Pin- 721601, Mob- 8942990984</t>
  </si>
  <si>
    <t xml:space="preserve">3 RM, 3 battery </t>
  </si>
  <si>
    <t>I-WB-BGWA-ENB-9031</t>
  </si>
  <si>
    <t>BGWA-9031</t>
  </si>
  <si>
    <t xml:space="preserve">VILL-KHAJURARI,PO+PS-BHAGWANPUR,DIST-EAST MIDNAPUR,PIN-721601  BHAGAWANPUR</t>
  </si>
  <si>
    <t xml:space="preserve">roof top damaged, fuel tank cleaning</t>
  </si>
  <si>
    <t>I-WB-BGWA-ENB-9033</t>
  </si>
  <si>
    <t>BGWA-9033</t>
  </si>
  <si>
    <t xml:space="preserve">TAPAS BERA(7817999036),VILL PASCHIMBAR,PO PASCHIMBAR,PS BHUPATINAGAR,DIST EAST MIDNAPUR,PIN 721144</t>
  </si>
  <si>
    <t xml:space="preserve">2 battery</t>
  </si>
  <si>
    <t>I-WB-BGWA-ENB-9034</t>
  </si>
  <si>
    <t>BGWA-9034</t>
  </si>
  <si>
    <t xml:space="preserve">Tapan Das-9734551921-At.+Po-Totanwala, Ps-Bhagwanpur Dist-East Midnapur, Pin-721458</t>
  </si>
  <si>
    <t xml:space="preserve">DG service need</t>
  </si>
  <si>
    <t>I-WB-BGWA-ENB-9035</t>
  </si>
  <si>
    <t xml:space="preserve">PASCHIM GHOSHPUR</t>
  </si>
  <si>
    <t xml:space="preserve">Prabodh Kumar Jana At.- Paschim Ghoshpur, Po.- Naba Anantapur Ps- Bhagwanpur, Dist-East Midnapur, Pin-721601, Mob- 8001864193/8348052654</t>
  </si>
  <si>
    <t xml:space="preserve">MCB faulty, water logged</t>
  </si>
  <si>
    <t>I-WB-BGWA-ENB-9038</t>
  </si>
  <si>
    <t>BGWA-9038</t>
  </si>
  <si>
    <t xml:space="preserve">Tapash &amp; Tapan Maity At.- Dwarikapur, Po- Totalwala, Ps- Bhagwanpur, Dist- East Midnapur, Pin- 721458, Mob- 8617529343</t>
  </si>
  <si>
    <t xml:space="preserve">2 RM </t>
  </si>
  <si>
    <t>I-WB-BGWA-ENB-9046</t>
  </si>
  <si>
    <t>Bishnupur</t>
  </si>
  <si>
    <t xml:space="preserve">Maifuj Mallick At.- Bishnupur Po+Ps- Bhagwanpur, Dist- East Midnapur, Pin- 721601 Mob- 9732970216</t>
  </si>
  <si>
    <t>I-WB-MAVQ-ENB-9001</t>
  </si>
  <si>
    <t>MAVQ-9001</t>
  </si>
  <si>
    <t xml:space="preserve">Tapan Kumar Das, At+P.o- Mohammad pur,P.S- Bhagwanpur,Dist-Purba Medinipur,Pin-721601, Mob- 8972348686</t>
  </si>
  <si>
    <t>I-WB-BGWA-ENB-6001</t>
  </si>
  <si>
    <t>BIBHISANPUR</t>
  </si>
  <si>
    <t xml:space="preserve">DAG NO 2236 J L NO 109 KHATIAN NO 1744 MOUZA and VILL DWARIKAPUR PO TOTANALA DIST EAST MIDNAPORE PIN 721458</t>
  </si>
  <si>
    <t>I-WB-BGWA-ENB-6002</t>
  </si>
  <si>
    <t>MAHAMMADPUR</t>
  </si>
  <si>
    <t xml:space="preserve">DAG NO-325,325/428, J.L.NO- 14,KHATIAN NO-80, MOUZA-DURBBACHAKRI, VILL AND AMP;PO-MAHAMADPUR,DIST-EAST MIDNAPORE, PIN-721601</t>
  </si>
  <si>
    <t xml:space="preserve">no GCU</t>
  </si>
  <si>
    <t>I-WB-PTSA-ENB-B001</t>
  </si>
  <si>
    <t>GOPALPUR__BS</t>
  </si>
  <si>
    <t xml:space="preserve">Vill-Gopalpur,P.O-Hatgopalpur,P.S-Patashpur,Dist-Purba Medinipur,Pin-721454</t>
  </si>
  <si>
    <t xml:space="preserve">KOUSIK NANDA GOSWAMI</t>
  </si>
  <si>
    <t>I-WB-PTSO-ENB-B001</t>
  </si>
  <si>
    <t>ICHABARI</t>
  </si>
  <si>
    <t xml:space="preserve">BSNL Exchange,Vill+P.O- Ichabari,Dist-Purba Medinipur,Pin-721444</t>
  </si>
  <si>
    <t>I-WB-PTSO-ENB-B002</t>
  </si>
  <si>
    <t xml:space="preserve">Panchat Garh</t>
  </si>
  <si>
    <t xml:space="preserve">BSNL Exchange, Vill+P.O-Panchet Garh,Dist- Purba Medinipur, Pin- 721438</t>
  </si>
  <si>
    <t>I-WB-PTSO-ENB-B003</t>
  </si>
  <si>
    <t>PRATAPDIGHI</t>
  </si>
  <si>
    <t xml:space="preserve">BSNL Exchange, Vill+P.O- Pratapdighi, Dist-Purba Medinipur,Pin-721440</t>
  </si>
  <si>
    <t>I-WB-BGWO-ESC-0001</t>
  </si>
  <si>
    <t>I-WB-PTSA-ESC-0602</t>
  </si>
  <si>
    <t>I-WB-PTSA-ESC-0009</t>
  </si>
  <si>
    <t>I-WB-BGWO-ESC-0002</t>
  </si>
  <si>
    <t>I-WB-BGWO-ESC-0004</t>
  </si>
  <si>
    <t>I-WB-BGWO-ESC-0020</t>
  </si>
  <si>
    <t>I-WB-EGRT-ESC-0001</t>
  </si>
  <si>
    <t>I-WB-EGRT-ESC-0008</t>
  </si>
  <si>
    <t>I-WB-EGRT-ESC-0021</t>
  </si>
  <si>
    <t>I-WB-PTSA-ESC-0010</t>
  </si>
  <si>
    <t>I-WB-PTSA-ESC-0011</t>
  </si>
  <si>
    <t>I-WB-PTSA-ESC-0012</t>
  </si>
  <si>
    <t>I-WB-PTSA-ESC-0013</t>
  </si>
  <si>
    <t>I-WB-PTSA-ESC-0015</t>
  </si>
  <si>
    <t>I-WB-PTSA-ESC-0603</t>
  </si>
  <si>
    <t>I-WB-PTSA-ESC-0604</t>
  </si>
  <si>
    <t>I-WB-PTSO-ESC-0006</t>
  </si>
  <si>
    <t>I-WB-PTSO-ESC-0007</t>
  </si>
  <si>
    <t>I-WB-PTSO-ESC-0008</t>
  </si>
  <si>
    <t>I-WB-PTSO-ESC-0009</t>
  </si>
  <si>
    <t>I-WB-PTSO-ESC-0022</t>
  </si>
  <si>
    <t>I-WB-PTSO-ESC-0023</t>
  </si>
  <si>
    <t>I-WB-BGWO-ENB-A001</t>
  </si>
  <si>
    <t>CHOWTAMATI</t>
  </si>
  <si>
    <t xml:space="preserve">Vill- Ratnajore, P.O- Dighaderi,P.S - Bhopati, Dist.- Midnapur (East)Pin-721444</t>
  </si>
  <si>
    <t>I-WB-BGWO-ENB-I002</t>
  </si>
  <si>
    <t>KOTMUKHA</t>
  </si>
  <si>
    <t xml:space="preserve">Srishtidhar Manna, Dag No-1544, Kh No-987, Jl No-203, Mouza/Vill-Kotmukha, P.O-Alukarnbar, P.S-Bhupatinagar, Dist-East Medinipur, Pin-721454</t>
  </si>
  <si>
    <t>I-WB-BGWO-ENB-I003</t>
  </si>
  <si>
    <t>UTTARBAROJ</t>
  </si>
  <si>
    <t xml:space="preserve">Sushama Bag,Jl-:-341,Dag no:-571,Jl-341,Mouza+Vill-Uttarbaroj, P.o-Kayanagr,P.s- Bhupati Nagar,721444, Contact no:-9733794454 null</t>
  </si>
  <si>
    <t>I-WB-BGWO-ENB-I004</t>
  </si>
  <si>
    <t>NAYABASAH</t>
  </si>
  <si>
    <t xml:space="preserve">MUKTI PADA SAHOO, VILL- UTTAR BAMUNIA, P.O- DIGHA DARI, P.S- BHUPATI NAGAR, DIST- EAST MEDINIPUR, PIN-721444, Mob- 8372916430</t>
  </si>
  <si>
    <t>I-WB-BGWO-ENB-I008</t>
  </si>
  <si>
    <t>PAUSI</t>
  </si>
  <si>
    <t xml:space="preserve">Paresh Manna,Dag No-1193, Kh No-1060, J.L No-327, Mouza/Vill/P.O-Panushi, P.S-Bhupati Nagar, Dist-East Medinipur, Pin-721444</t>
  </si>
  <si>
    <t>I-WB-EGRT-ENB-I003</t>
  </si>
  <si>
    <t>Astichawk</t>
  </si>
  <si>
    <t>AstichakSurendraJogendraVidyapithJ.Vidyalaya,P.s-Egra,P.O-Atichak</t>
  </si>
  <si>
    <t>I-WB-KNTT-ENB-I002</t>
  </si>
  <si>
    <t xml:space="preserve">Mr.Sheikh Sohedi Ali, Village Dumurberia, P.O.Dhangara,Police Station. Marichda, Distt.- Purba Midnapore, Ph. No.-9232530351</t>
  </si>
  <si>
    <t>I-WB-KNTT-ENB-I003</t>
  </si>
  <si>
    <t xml:space="preserve">BAMUNIA JANGAL</t>
  </si>
  <si>
    <t xml:space="preserve">Vill-Shulibar,P.O-Dhanaghara,P.S-Marishda,Dist-Purba Medinipur</t>
  </si>
  <si>
    <t>I-WB-PTSA-ENB-A001</t>
  </si>
  <si>
    <t xml:space="preserve">Chak Sagar</t>
  </si>
  <si>
    <t xml:space="preserve">S/o Bijay Kashop Bhunia, Vill - chak sagar, PO - Amarsi, PS - Patshpur, Dist - East Midnapur, Pin - 721454</t>
  </si>
  <si>
    <t>I-WB-PTSA-ENB-A003</t>
  </si>
  <si>
    <t xml:space="preserve">VILL - PURBA GOPALPUR,P.O - AAT GOPALPUR,P.S - PATASHPUR,DIST - EAST MIDNAPUR,PIN - 721454  PATASHPUR</t>
  </si>
  <si>
    <t>I-WB-PTSA-ENB-A004</t>
  </si>
  <si>
    <t xml:space="preserve">VILL - CHISTIPUR, PO - MANGLAMORO, PS - PATASHPUR, DIST - EAST MIDNAPUR, PIN - 721434  PATASHPUR</t>
  </si>
  <si>
    <t>I-WB-PTSA-ENB-I001</t>
  </si>
  <si>
    <t>MAISHALI</t>
  </si>
  <si>
    <t xml:space="preserve">Vill-Mashali,P.O-Katranka P.S- Pataspur, Dist- Purba Medinipur</t>
  </si>
  <si>
    <t>I-WB-PTSA-ENB-W001</t>
  </si>
  <si>
    <t>MANGLAMARO</t>
  </si>
  <si>
    <t xml:space="preserve">Vill + P.O- Manglamaro,PS- Patashpur, Dist- Purba Medinipur</t>
  </si>
  <si>
    <t>I-WB-PTSA-ENB-W002</t>
  </si>
  <si>
    <t xml:space="preserve">VILL-AMGACHHA,P.O- DHAKRA BANKA,P.S-PATASPUR,DIST- PURBA MIDNIPUR,PIN-721434  PATASHPUR</t>
  </si>
  <si>
    <t>I-WB-PTSO-ENB-A002</t>
  </si>
  <si>
    <t>PATASHPUR</t>
  </si>
  <si>
    <t xml:space="preserve">MOHAN LAL BARMAN, VILL-SOUTH KHANDA, P.O- PRATAPDIGHI, P.S- PATASHPUR, DIST- EAST MEDINIPUR, PIN- 721440, MOB-9732637524</t>
  </si>
  <si>
    <t>I-WB-PTSO-ENB-A003</t>
  </si>
  <si>
    <t xml:space="preserve">S/O Late-Samacharan Das, At/PO-Lalua, Pottaspur, East Medinapur, Pin-721456</t>
  </si>
  <si>
    <t>I-WB-PTSO-ENB-I002</t>
  </si>
  <si>
    <t xml:space="preserve">SUKHA KHOLA</t>
  </si>
  <si>
    <t xml:space="preserve">Site Address:Narayan Bera,Dag no-169,Kh-271,Jl-105,Mouza+Vill+P.O- sukhkhola,P.s- Pataspur,721456 Contact no.- 9635378640</t>
  </si>
  <si>
    <t>I-WB-PTSO-ENB-I003</t>
  </si>
  <si>
    <t xml:space="preserve">Chak Bhabani</t>
  </si>
  <si>
    <t xml:space="preserve">Ashok Byard and anup Ku.Bayed,Dag no-861,Kh-1466,Jl-254,Mouza-+Vill+P.O- Chakbhabani,P.s- Pratappur,721440 Contact no.- 9932188651 NA</t>
  </si>
  <si>
    <t>I-WB-PTSO-ENB-I004</t>
  </si>
  <si>
    <t>ARGOAL</t>
  </si>
  <si>
    <t xml:space="preserve">BIMAN MAHAPATRA, VILL-MAGRAJ, P.O-ARGOAL, P.S-PATASPUR, DIST- EAST MIDNAPORE, PIN-721456</t>
  </si>
  <si>
    <t>I-WB-PTSO-ENB-I005</t>
  </si>
  <si>
    <t xml:space="preserve">MANGAL CHAK</t>
  </si>
  <si>
    <t xml:space="preserve">Sushil das adhikary,Dag no:-522, Kh-23,Jl-222,Mouza+Vill- Mangalchak,Itaberia,P.s- Pataspur,721456.,Contact no:-9733993235</t>
  </si>
  <si>
    <t>I-WB-PTSO-ENB-I007</t>
  </si>
  <si>
    <t>I-WB-PTSO-ENB-S001</t>
  </si>
  <si>
    <t>Balyagobindapur</t>
  </si>
  <si>
    <t xml:space="preserve">Vill-Balyagobindapur,P.S-Pataspur,Dist-Purba Medinipur</t>
  </si>
  <si>
    <t>I-WB-KNTT-ENB-V002</t>
  </si>
  <si>
    <t xml:space="preserve">E WB 290 2 KUMIRDA BAZAR</t>
  </si>
  <si>
    <t xml:space="preserve">Vill.+P.o. - Kumirda Bazar, P.s - Marishda, Dist. - Midnapur(E),Pin. - 721449721449</t>
  </si>
  <si>
    <t>I-WB-BGWO-ENB-9013</t>
  </si>
  <si>
    <t>KOUSHALYA</t>
  </si>
  <si>
    <t xml:space="preserve">KAUSHALYA,PO-ANALBERIA,PS-MARISHDA,DIST-EAST MEDINIPUR,PIN-721444  BHUPATI NAGAR</t>
  </si>
  <si>
    <t>I-WB-EGRA-AG1-4400</t>
  </si>
  <si>
    <t>I-WB-EGRT-ENB-9025</t>
  </si>
  <si>
    <t>EGRT-9025</t>
  </si>
  <si>
    <t xml:space="preserve">Pankaj Kumar Khanra At. Narajpur,Po Susunia,Ps Egra,Dist East Midnapur,Pin 721429, Mob 7726844814</t>
  </si>
  <si>
    <t>I-WB-PTSA-ENB-9008</t>
  </si>
  <si>
    <t>PTSA-9008</t>
  </si>
  <si>
    <t xml:space="preserve">PO-PANCHURIA, PS-PATASPUR, DIST-EAST MIDNAPORE, DIST- 721434  PATASHPUR</t>
  </si>
  <si>
    <t>I-WB-PTSA-ENB-9022</t>
  </si>
  <si>
    <t>CHANDPUR</t>
  </si>
  <si>
    <t xml:space="preserve">Babulal Mahapatra &amp; Nalinikunta Mahapatra, AT-Chandpur,P.O-Chandpur,Ps-Patashpur ,Dist-East Midnapore, WB ,Pin-721439 ,Mob-9800251426</t>
  </si>
  <si>
    <t>I-WB-PTSA-ENB-9023</t>
  </si>
  <si>
    <t>PTSA-9023</t>
  </si>
  <si>
    <t xml:space="preserve">Subimal Panda ,AT-tarat ,Po-Mokrampur ,Ps-Patashpur,Dist-East Medinipur,WB -721439,Mob-9679408183</t>
  </si>
  <si>
    <t>I-WB-PTSA-ENB-9026</t>
  </si>
  <si>
    <t xml:space="preserve">DAKSHIN GOPALPUR</t>
  </si>
  <si>
    <t xml:space="preserve">Saktipada Das  Vill- Dakhin Gopalpur, Po-Hat Gopalpur,ps- Pataspur,Dist -East Midnapur, Pin-721454,M-9732871281</t>
  </si>
  <si>
    <t>I-WB-PTSA-ENB-9027</t>
  </si>
  <si>
    <t>TAPARPARA</t>
  </si>
  <si>
    <t xml:space="preserve">Santanu Nanda ,At-Taparpara ,Po-Patashpur,PS-Patashpur,Dist-East Medinipur,WB, Pin-721439,Mob-9735638901/9775127495</t>
  </si>
  <si>
    <t>I-WB-PTSA-ENB-9028</t>
  </si>
  <si>
    <t>PTSA-9028</t>
  </si>
  <si>
    <t xml:space="preserve">SAHEB BERA(8768812236),VILL BANKIVARY,PO PANCHURIYA,PS PATASPUR DIST EAST MIDNAPUR,PIN 721454</t>
  </si>
  <si>
    <t>I-WB-PTSA-ENB-9030</t>
  </si>
  <si>
    <t>PTSA-9030</t>
  </si>
  <si>
    <t xml:space="preserve">VILL -KOPTIPUR,P.O- RAUTARABARI,P.S- SABANG,DIST- EAST MEDNIPUR,PIN- 721467  PATASHPUR</t>
  </si>
  <si>
    <t>I-WB-PTSA-ENB-9032</t>
  </si>
  <si>
    <t>Kharan</t>
  </si>
  <si>
    <t xml:space="preserve">KHARAN PO.-BULAKIPUR PS-PATASPUR DIST-EAST MIDNAPUR PIN-721439</t>
  </si>
  <si>
    <t>I-WB-PTSA-ENB-9034</t>
  </si>
  <si>
    <t xml:space="preserve">Narayan Bera-8768552935/8348848529-Narayan Bera AT- Biswanathpur, Po- North Biswanathpur, Ps- Patashpur, Dist-East Medinipir, WB-721439, Mob- 8768552935/8348848529</t>
  </si>
  <si>
    <t>I-WB-PTSO-ENB-9014</t>
  </si>
  <si>
    <t>PAHARPUR</t>
  </si>
  <si>
    <t xml:space="preserve">DEBASIS BARMAN &amp; SOUMEN BARMAN-9932069021-DAKSHIN CHOWMUKH, PRIZKHAN BAR,EGRA,MIDNAPORE - 721232</t>
  </si>
  <si>
    <t>I-WB-PTSO-ENB-9018</t>
  </si>
  <si>
    <t>SRIRAMPUR</t>
  </si>
  <si>
    <t xml:space="preserve">Subal Chandra Jana, Vill+po- Srirampur, Po-Patashpur,Dist -East Midnapur, Pin-721440, M-9932648079,7872626946</t>
  </si>
  <si>
    <t>I-WB-PTSO-ENB-9022</t>
  </si>
  <si>
    <t>PTSO-9022</t>
  </si>
  <si>
    <t xml:space="preserve">Arati Das &amp; Biswajit Das ,At-Kunjapara ,Po-Itaberia,PS-Bhupatinagar ,Dist-East Medinipur, WB ,PIN-721425, Mob-8001493028</t>
  </si>
  <si>
    <t>I-WB-PTSO-ENB-9024</t>
  </si>
  <si>
    <t>PTSO-9024</t>
  </si>
  <si>
    <t xml:space="preserve">Jagannath Das,Vill-Chakmahammad,Po-Chandanpur,PS-Patashpur,Dist-East Medinipur,PIN-721438 ,Mob-9475430100</t>
  </si>
  <si>
    <t>I-WB-PTSO-ENB-9027</t>
  </si>
  <si>
    <t>PTSO-9027</t>
  </si>
  <si>
    <t xml:space="preserve">VILL-MANPUR ,P.O- MUSTAFAPUR,P.S- PATASHPUR,DIST- EAST MIDNAPUR,PIN- 721439 POTASHPUR - II</t>
  </si>
  <si>
    <t>I-WB-PTSO-ENB-9028</t>
  </si>
  <si>
    <t>FAJILPUR</t>
  </si>
  <si>
    <t xml:space="preserve">Nishikanta Pramanick-9775087270-Fajilpur, Po.-Madanmohanpur, Ps-Pataspur, Dist-East Midnapur, Pin-721454</t>
  </si>
  <si>
    <t>I-WB-PTSO-ENB-9029</t>
  </si>
  <si>
    <t>Samajpur</t>
  </si>
  <si>
    <t xml:space="preserve">Vaskar Kumar Bera At.-Samajpur,Po-Brajaballavpur,Ps-Patashpur,Dist- East Midnapur,Pin-721456, Mob-9609056776</t>
  </si>
  <si>
    <t>I-WB-PTSO-ENB-9030</t>
  </si>
  <si>
    <t xml:space="preserve">Ramkrishna Maiti-9733555204-Chotoudaypur Po- Argoyal, Ps- Patashpur Dist- East Medinipir, WB-721456</t>
  </si>
  <si>
    <t>I-WB-PTSA-ENB-9036</t>
  </si>
  <si>
    <t>TALADIHA</t>
  </si>
  <si>
    <t>I-WB-PTSO-ENB-9031</t>
  </si>
  <si>
    <t>I-WB-PTSO-ENB-9032</t>
  </si>
  <si>
    <t>I-WB-BGWO-ENB-6000</t>
  </si>
  <si>
    <t>ITABERIA</t>
  </si>
  <si>
    <t xml:space="preserve">DAG NO. SABEK 1597, HAL - 2837, JL NO. 198, KHATIAN NO. 264, MOUZA AND AMP;VILL AND AMP;PO-ITABERIA, P.S- BHUPATINAGAR,DIST-EAST MIDNAPORE, PIN-721456</t>
  </si>
  <si>
    <t>I-WB-EGRO-ENB-B002</t>
  </si>
  <si>
    <t xml:space="preserve">MIRZAPUR BS</t>
  </si>
  <si>
    <t xml:space="preserve">Vill+P.O- Mirzapur, Dist- Purba Medinipur</t>
  </si>
  <si>
    <t xml:space="preserve">SAJAL PANDIT</t>
  </si>
  <si>
    <t>I-WB-RAMO-ENB-B001</t>
  </si>
  <si>
    <t>MAITANA</t>
  </si>
  <si>
    <t xml:space="preserve">Vill-Moitana,P.O-Batpala,P,S-Ramnagar,Dist-Purba Medinipur,Pin-721433</t>
  </si>
  <si>
    <t>I-WB-EGRO-ESC-0008</t>
  </si>
  <si>
    <t>I-WB-EGRO-ESC-0010</t>
  </si>
  <si>
    <t>I-WB-EGRO-ESC-0012</t>
  </si>
  <si>
    <t>I-WB-EGRT-ESC-0015</t>
  </si>
  <si>
    <t>I-WB-EGRT-ENB-W001</t>
  </si>
  <si>
    <t xml:space="preserve">PRANAB SAKHA SINHA-9609327063-KULTIKRI  ,PS-EGRA ,DIST-PURBA MEDINIPUR ,WEST BENGAL, PIN-721448</t>
  </si>
  <si>
    <t>I-WB-RAMR-ENB-I001</t>
  </si>
  <si>
    <t>JALDHA</t>
  </si>
  <si>
    <t xml:space="preserve">Mangobinda Jana,Kh-521,Mouza+Vill- Jhalda,P.O- Bodhara,P.s- ramnagar,721423, contact no:-9734467485 null</t>
  </si>
  <si>
    <t>I-WB-RAMR-ENB-I003</t>
  </si>
  <si>
    <t xml:space="preserve">PURBA MUKUNDAPUR</t>
  </si>
  <si>
    <t xml:space="preserve">Site Address:RAMCHANDRA KAR,S/O JITENDRA KAR,VILL:PURBA MUKUNDAPUR,PO:JAIBERIA,PS:DIGHA,Dist-Midnapur(E),PIN:721441</t>
  </si>
  <si>
    <t>I-WB-EGRO-ENB-I002</t>
  </si>
  <si>
    <t>SHIBPUR</t>
  </si>
  <si>
    <t xml:space="preserve">Mr.shri hari charan jena, vill+po. Shibpur, ps. Egra distt. East midnipur, pin 721448 ph 03220201407,9434064574</t>
  </si>
  <si>
    <t>I-WB-EGRO-ENB-I004</t>
  </si>
  <si>
    <t xml:space="preserve">CHOR PALIA</t>
  </si>
  <si>
    <t xml:space="preserve">Vill+P.O-Chor Palia,P.S-Egra,Dist-Purba Medinipur</t>
  </si>
  <si>
    <t>I-WB-EGRO-ENB-I005</t>
  </si>
  <si>
    <t>DHUSUDHA(USO)</t>
  </si>
  <si>
    <t xml:space="preserve">Nemai Jana,Dag No.365,Kh-200, Jl-59, Mouza/Vill : Dhusrda, Po  Kalyanpur, PS : Egra, Dist :East Medinipur- 721447</t>
  </si>
  <si>
    <t>I-WB-EGRO-ENB-I006</t>
  </si>
  <si>
    <t>ARJUNI</t>
  </si>
  <si>
    <t xml:space="preserve">Asutosh patra,Dag no-268,Kh-11,Jl-110,Mouza- arjuni, Vill+P.O- Geriya,P.S- egra,721448. Contact no- 9609204070</t>
  </si>
  <si>
    <t>I-WB-EGRO-ENB-I007</t>
  </si>
  <si>
    <t xml:space="preserve">Vill-MAHARIPUR, P.O-JUMKI,P.S-EGRA,Dist- Purba Medinipur PIN-721448</t>
  </si>
  <si>
    <t>I-WB-EGRO-ENB-W001</t>
  </si>
  <si>
    <t xml:space="preserve">Vill+P.O- Telami Bazar, PS:Egra,Dist-Purba Medinipur, Pin-721447</t>
  </si>
  <si>
    <t>I-WB-EGRO-ENB-W002</t>
  </si>
  <si>
    <t xml:space="preserve">VILL+P.O-BOLKUSHDA,EGRA,East Medinipur PIN-721446</t>
  </si>
  <si>
    <t>I-WB-EGRO-ENB-W003</t>
  </si>
  <si>
    <t>I-WB-CONT-ENB-9016</t>
  </si>
  <si>
    <t>CONT-9016</t>
  </si>
  <si>
    <t xml:space="preserve">UTTAR KALYANPUR,PO-DAKSHIN KALAYANPUR,PS-RAMNAGAR,DIST-EAST MEDINIPUR,PIN-721455  CONTAI</t>
  </si>
  <si>
    <t>I-WB-EGRO-ENB-9011</t>
  </si>
  <si>
    <t>CHIRULIA</t>
  </si>
  <si>
    <t xml:space="preserve">Subrata Manna ,At/Po Chirulia ,PS Egra ,Dist Purba Medinipur ,WB 721448 ,Mob 8116415090.</t>
  </si>
  <si>
    <t>I-WB-EGRO-ENB-9018</t>
  </si>
  <si>
    <t>EGRO-9018</t>
  </si>
  <si>
    <t xml:space="preserve">CHATLAP.S-EGRADIST-EAST MEDINIPURPIN-721451</t>
  </si>
  <si>
    <t>I-WB-EGRO-ENB-9028</t>
  </si>
  <si>
    <t>Sahara</t>
  </si>
  <si>
    <t xml:space="preserve">Ajay Guchchait-9679162785 / 6294189055-Sahara, Ps-Egra, Dist-East Midnapur, Pin-721446</t>
  </si>
  <si>
    <t>I-WB-EGRT-ENB-9008</t>
  </si>
  <si>
    <t>EGRT-9008</t>
  </si>
  <si>
    <t xml:space="preserve">Purnendu Chakraborty ,At/Po- Manikbosan ,PS- Ramnagar, Dist-East Medinipur ,West Bengal, PIN-721453 ,Mob-9732755428</t>
  </si>
  <si>
    <t>I-WB-EGRT-ENB-9027</t>
  </si>
  <si>
    <t>THAKARI</t>
  </si>
  <si>
    <t xml:space="preserve">Tapas Mallik-7047366927-Thakari Po.-Khurutia,Ps-Egra,Dist-East Midnapur,Pin-721448</t>
  </si>
  <si>
    <t>I-WB-PAYV-ENB-9001</t>
  </si>
  <si>
    <t>PAYV-9001</t>
  </si>
  <si>
    <t xml:space="preserve">Nilkantha Samanta At.- Paschim Kalapunja, Po.- Sisusadan, Ps- Ramnagar, Dist- East Midnapur, Pin- 721433, Mob- 9635175350/9153208965</t>
  </si>
  <si>
    <t>I-WB-RAMO-ENB-9012</t>
  </si>
  <si>
    <t>RAMO-9012</t>
  </si>
  <si>
    <t xml:space="preserve">Manoj Krishna Manna, Serpur, PO-Dakshin Badal Pur, Ramnagar, PIN -721423                  Cont-9933127205</t>
  </si>
  <si>
    <t>I-WB-RAMO-ENB-9018</t>
  </si>
  <si>
    <t>RAMO-9018</t>
  </si>
  <si>
    <t xml:space="preserve">Achinta Kumar Sahoo,At-Sonamui,Po-Bhunbigibarh,P.S-Ramnagar,Dist-East Medinipur,Pin-721423 ,Mob-9933997465</t>
  </si>
  <si>
    <t>I-WB-EGRO-ENB-9030</t>
  </si>
  <si>
    <t>TELAMI</t>
  </si>
  <si>
    <t>I-WB-RAMR-ENB-6001</t>
  </si>
  <si>
    <t xml:space="preserve">DIGHA HOSPITAL</t>
  </si>
  <si>
    <t xml:space="preserve">PLOT OF DIGHA SATE GENERAL HOSPITAL, SUB DIV - CONTAI, PO + PS - DIGHA, DIST - PURBA MEDINIPUR</t>
  </si>
  <si>
    <t>I-WB-RAMR-ENB-6002</t>
  </si>
  <si>
    <t>SANKARPUR</t>
  </si>
  <si>
    <t xml:space="preserve">SHRI ATUL CHANDRA NAYAK,S/O LATE KALICHARAN NAYAK,VILL -SANKARPUR, PO : BODHRA,DIST - EAST MIDNAPUR,PIN - 721423,PLOT NO-161,KHATIAN NO - 04,J.L NO -224,MOUZA-SANKARPUR.PH NO - 9434205845</t>
  </si>
  <si>
    <t>I-WB-RAMR-ENB-6003</t>
  </si>
  <si>
    <t>DEULIHAT</t>
  </si>
  <si>
    <t xml:space="preserve">DAG NO. 313, 314, 315, 316, JL NO. 49, KHATIAN NO. 210, 100, 159, MOUZA - DEULT, PO- SAGARASWAR, DIST- EAST MIDNAPORE, PIN - 721446</t>
  </si>
  <si>
    <t>I-WB-RAMR-ENB-6004</t>
  </si>
  <si>
    <t xml:space="preserve">PLOT OF SMT MOSHADA MOHAPATRA, W/O LATE GAJANANA MAHAPATRA, VILL SAYIDPUR, DAG NO -118118/247 PO AND PS- RAMNAGAR. DIST MIDNAPUR, PIN 721441</t>
  </si>
  <si>
    <t>I-WB-EGRT-ENB-6002</t>
  </si>
  <si>
    <t>PANIPARUL</t>
  </si>
  <si>
    <t xml:space="preserve">DAG NO. SABEK - 2628, HAL DAG NO. 3147, KHATIAN NO. 3100, JL NO. 203, MOUZA AND VILL AND PO- PANIPARUL , PS- EGRA, DIST- EAST MIDNAPORE, PIN- 721448</t>
  </si>
  <si>
    <t>I-WB-RAMR-ENB-6000</t>
  </si>
  <si>
    <t>BADHIA</t>
  </si>
  <si>
    <t xml:space="preserve">DAG NO- 1, KHATIAN NO- 93/2, J.L.NO-14, MOUZA-MIABAG, MIRGODA MRITYUNJOY BANIPITH, PO- MIRGODA, PS- RAMNAGAR, DIST- EAST MIDNAPORE,PIN-721446</t>
  </si>
  <si>
    <t>I-WB-KJRO-ENB-G001</t>
  </si>
  <si>
    <t>KHEJURI</t>
  </si>
  <si>
    <t xml:space="preserve">SUKESH PAIK, VILL+PO+PS- KHEJURI, DIST- EAST MIDINAPUR, PH9734472672, 9732689156</t>
  </si>
  <si>
    <t xml:space="preserve">SANTANU KARAN (RCOM)</t>
  </si>
  <si>
    <t>I-WB-KJRI-ENB-B001</t>
  </si>
  <si>
    <t xml:space="preserve">BIRBANDAR BAZAR</t>
  </si>
  <si>
    <t xml:space="preserve">Vill+P.O-Birbanda Bazar,P.S-Khejuri,Dist-Purba Medinipur,Pin-721432</t>
  </si>
  <si>
    <t xml:space="preserve">1 RM sometimes not work</t>
  </si>
  <si>
    <t>I-WB-KJRO-ENB-B001</t>
  </si>
  <si>
    <t xml:space="preserve">not his site</t>
  </si>
  <si>
    <t>I-WB-KJRI-ESC-0003</t>
  </si>
  <si>
    <t>I-WB-KJRI-ESC-0010</t>
  </si>
  <si>
    <t>I-WB-KJRI-ESC-0011</t>
  </si>
  <si>
    <t>I-WB-KJRI-ESC-0012</t>
  </si>
  <si>
    <t>I-WB-KJRI-ESC-0013</t>
  </si>
  <si>
    <t>I-WB-KJRI-ESC-0019</t>
  </si>
  <si>
    <t>I-WB-KJRI-ESC-0014</t>
  </si>
  <si>
    <t>I-WB-KJRI-ESC-0017</t>
  </si>
  <si>
    <t>I-WB-KJRI-ESC-0016</t>
  </si>
  <si>
    <t>I-WB-KJRO-ESC-0003</t>
  </si>
  <si>
    <t>I-WB-KJRO-ESC-0005</t>
  </si>
  <si>
    <t>I-WB-KJRO-ESC-0006</t>
  </si>
  <si>
    <t>I-WB-KJRO-ESC-0007</t>
  </si>
  <si>
    <t>I-WB-PTSO-ENB-I006</t>
  </si>
  <si>
    <t>KALAGACHIYA-02</t>
  </si>
  <si>
    <t xml:space="preserve">Vill&amp;Po: Kamarda Bazaar,Ps:Khejuri,Distt.E.Mednipur-721432</t>
  </si>
  <si>
    <t>I-WB-KJRI-ENB-A001</t>
  </si>
  <si>
    <t>Jahanabad</t>
  </si>
  <si>
    <t xml:space="preserve">VILL - JAHANABAD, PO - Kamardah, P.S- KHEJURI, DIS.- EAST MEDINIPUR, PIN CODE- 721430</t>
  </si>
  <si>
    <t>I-WB-KJRI-ENB-I001</t>
  </si>
  <si>
    <t xml:space="preserve">PURWA CHARA</t>
  </si>
  <si>
    <t xml:space="preserve">Debabrata Shaw, Dag No.3615, Kh-1184/1,JL-138, Mouza/Po: Tikashi, Ps:Khejuri, Dist:East Medinipur-721430 null</t>
  </si>
  <si>
    <t>I-WB-KJRI-ENB-I002</t>
  </si>
  <si>
    <t>KULTA2</t>
  </si>
  <si>
    <t xml:space="preserve">Nandan Mandal N Chandan Mondal, Dag No-5032, Kh No-338/1, 501, Jl No-10, Mouza-Chingurdania, Vill-Bansgora, P.O-Bansgora Bazar, P.S-Khejuri,Dist-East Medinipur, Pin-721430</t>
  </si>
  <si>
    <t>I-WB-KJRI-ENB-I003</t>
  </si>
  <si>
    <t>MALDHA</t>
  </si>
  <si>
    <t xml:space="preserve">Nandita Maity/Partha Pratim Maity/ Pijush Maity,Dag no:-1303,Kh-570,Mouza+Vill-Maldaha,P.O- Baratala,P.s- Khejuri,721431, Contact no:-9609039059</t>
  </si>
  <si>
    <t>I-WB-KJRI-ENB-V001</t>
  </si>
  <si>
    <t xml:space="preserve">Kamarda Bazar</t>
  </si>
  <si>
    <t xml:space="preserve">Mr. Sitanath Sen(9733826332)Khatian No- 984/2, Plot No- 8529,J.L No.-16,Mouza -Kamarda, Within  Kamarda gram Panchayet   , Situated at- Vill.-Kamarda  P.O-  Kamarda Bazar P.S- Khejuri ,Dist- Midnapur (E), West Bengal Pin-721432721432 null</t>
  </si>
  <si>
    <t>I-WB-KJRO-ENB-I001</t>
  </si>
  <si>
    <t>PANCHURYA</t>
  </si>
  <si>
    <t xml:space="preserve">Debashis Das, Samudbad Das, Vill - Oasilchak, P.O. - Lashmanchak, P.S- Khejuri, Dist - East Midnapur, Pin - 721431, Phone No - 9735448595, 9733850128, 9932373931 NA null</t>
  </si>
  <si>
    <t>I-WB-KJRO-ENB-I002</t>
  </si>
  <si>
    <t>DEKHALI-2</t>
  </si>
  <si>
    <t xml:space="preserve">Surajit Mondal, Dag No.2341, Kh-673/1, JL-34, Mouza/Vill:Mundamari, PO:Chuddachuli, PS:Khjuri, Dist:East Medinipur-721432 null</t>
  </si>
  <si>
    <t>I-WB-KJRO-ENB-I003</t>
  </si>
  <si>
    <t>RAMCHAK</t>
  </si>
  <si>
    <t xml:space="preserve">Vill+P.O- Ramchak, Khejuri, Purba Medinipur</t>
  </si>
  <si>
    <t>I-WB-KJRO-ENB-I004</t>
  </si>
  <si>
    <t>SAHEBNAGAR</t>
  </si>
  <si>
    <t xml:space="preserve">Mantu Bar,Dag no:-211,Kh-264,Mouza+Vill- Saheb Nagar, P.O- satkhanda,P.s- Khejuri,721431, Contact no:-9733993235</t>
  </si>
  <si>
    <t>I-WB-KJRO-ENB-I005</t>
  </si>
  <si>
    <t>DEKHALI</t>
  </si>
  <si>
    <t xml:space="preserve">Mrityunjay Bera, Vill &amp; P.O.- Dekhali, P.S - Khejuri, Dist -E. Midnapur, Pin - 721430, Phone No - 0322-0201075</t>
  </si>
  <si>
    <t>I-WB-KJRO-ENB-I006</t>
  </si>
  <si>
    <t xml:space="preserve">PADARBHERI </t>
  </si>
  <si>
    <t>I-WB-KJRO-ENB-I007</t>
  </si>
  <si>
    <t>BIDHYAPITH-03</t>
  </si>
  <si>
    <t>I-WB-KJRI-ENB-9014</t>
  </si>
  <si>
    <t>KJRI-9014</t>
  </si>
  <si>
    <t xml:space="preserve">VILL- KAMDEBNAGAR, PO- KALAGECHIA, PS- KHEJURI, DIST- EAST MIDNAPUR, PIN- 721432  KHEJURI</t>
  </si>
  <si>
    <t xml:space="preserve">5 RM backpanel faulty</t>
  </si>
  <si>
    <t xml:space="preserve">DG canopy faulty, DG fuel tank is water filled</t>
  </si>
  <si>
    <t>I-WB-KJRI-ENB-9017</t>
  </si>
  <si>
    <t>KJRI-9017</t>
  </si>
  <si>
    <t xml:space="preserve">Tapan Kumar Panda-9732752836-At.-Alichak, Po-Ajaya,Ps-Khejuri, Dist-East Midnapur,Pin-721430</t>
  </si>
  <si>
    <t xml:space="preserve">(2+2=4 BM)</t>
  </si>
  <si>
    <t>I-WB-KJRO-ENB-9015</t>
  </si>
  <si>
    <t>PANKHAI</t>
  </si>
  <si>
    <t xml:space="preserve">Dillip Mandal,At/Po-Pankhai,Ps-Khejuri,Dist-East Medinapor,WB,PIN-721431,Mob-9635427239</t>
  </si>
  <si>
    <t xml:space="preserve">DG canopy faulty, public issue for DG silencer, water logged site</t>
  </si>
  <si>
    <t>I-WB-KJRO-ENB-9017</t>
  </si>
  <si>
    <t>PHULBARI</t>
  </si>
  <si>
    <t xml:space="preserve">Bablu Sahoo ,At-Phulbari,Po-Janka ,Ps-Khejuri ,Dist-East Midnapore, WB, PIN-721431 ,Mob-9733882726/9932417367</t>
  </si>
  <si>
    <t>I-WB-KJRO-ENB-9023</t>
  </si>
  <si>
    <t>KJRO-9023</t>
  </si>
  <si>
    <t xml:space="preserve">AT.+PO.-DEKHALI PS-KHEJURI DIST-EAST MIDNAPURPIN-721430</t>
  </si>
  <si>
    <t>I-WB-KJRO-ENB-9027</t>
  </si>
  <si>
    <t>KJRO-9027</t>
  </si>
  <si>
    <t xml:space="preserve">Swadesh Mondal 7076003874 / 8945958135 </t>
  </si>
  <si>
    <t>I-WB-KJRO-ENB-9028</t>
  </si>
  <si>
    <t>GARANG</t>
  </si>
  <si>
    <t xml:space="preserve">Birendranath Pradhan-9593251047/8081655580-Garang, Po.-Medakhali, Ps-Khejuri, Dist-East Midnapur, Pin-721431</t>
  </si>
  <si>
    <t>I-WB-KJRO-ENB-9029</t>
  </si>
  <si>
    <t>KJRO-9029</t>
  </si>
  <si>
    <t xml:space="preserve">Amar Kumar Midya At.+Po.-Lakshan Chak,Ps-Talpati Costal,Dist-East Midnapur,Pin-721431,Mob-7047366308</t>
  </si>
  <si>
    <t>I-WB-KJRO-ENB-9031</t>
  </si>
  <si>
    <t>KJRO-9031</t>
  </si>
  <si>
    <t xml:space="preserve">Tapas Kumar Acharya At.- Sundarpur, Po.- Silliberia, Ps- Talpati Ghat Costal, Dist-East Midnapur, Pin- 721431, Mob- 9733057752/9732255842</t>
  </si>
  <si>
    <t>I-WB-KJRO-ENB-9032</t>
  </si>
  <si>
    <t>SHILLABERIA</t>
  </si>
  <si>
    <t xml:space="preserve">Bimalesh Das Chowdhury At/Po-Shillaberia, Ps-Khejuri, Dist-East Midnapur,Pin-721431, Mob-9733657851 /9932277110</t>
  </si>
  <si>
    <t>I-WB-KJRO-ENB-9033</t>
  </si>
  <si>
    <t>KJRO-9033</t>
  </si>
  <si>
    <t xml:space="preserve">Gopal Chandra Mondal &amp; Others  At.-Purba Bhangamari, Po+Ps-Khejuri, Dist-East Midnapur,Pin-721431,Mob- 8370817911/8001104310</t>
  </si>
  <si>
    <t>I-WB-RAMR-ENB-9023</t>
  </si>
  <si>
    <t>RAMR-9023</t>
  </si>
  <si>
    <t xml:space="preserve">Subrata Pahari ,At/Po-Janka ,PS- Khejuri ,Dist-East Medinipur ,West Bengal,Pin-721431 ,Mob-9732556655</t>
  </si>
  <si>
    <t>I-WB-KJRO-ENB-9034</t>
  </si>
  <si>
    <t>I-WB-BGWA-ENB-6003</t>
  </si>
  <si>
    <t>I-WB-KJRO-ENB-6000</t>
  </si>
  <si>
    <t xml:space="preserve">LAND OF SHRI ABANTI KUMAR DAS ,SHRI ASHIS DAS,S/O ABANTI KUMAR DAS, VILL - MANAHARCHOK,PO - JANKA,PS - KHAJURI,DIST - PURBA MIDNAPUR,PIN - 721431,PLOT NO - 118,JL NO - 61,KHATION NO - 13/1,MOUZA - MANOHARCHOK,</t>
  </si>
  <si>
    <t>I-WB-RAMO-ENB-B002</t>
  </si>
  <si>
    <t>rania</t>
  </si>
  <si>
    <t xml:space="preserve">Vill- Rania, P.O- kalindi, Dist- Purba Medinipur, Pin-721455</t>
  </si>
  <si>
    <t xml:space="preserve">Sk Sakil   Mahammad</t>
  </si>
  <si>
    <t xml:space="preserve">ODC rooftop damage, night access need</t>
  </si>
  <si>
    <t>I-WB-RAMO-ESC-0002</t>
  </si>
  <si>
    <t>I-WB-CONT-ESC-0043</t>
  </si>
  <si>
    <t>I-WB-CONT-ESC-0044</t>
  </si>
  <si>
    <t>I-WB-RAMO-ESC-0003</t>
  </si>
  <si>
    <t>I-WB-RAMO-ESC-0006</t>
  </si>
  <si>
    <t>I-WB-CONT-ENB-A001</t>
  </si>
  <si>
    <t xml:space="preserve">Pusti Bekari</t>
  </si>
  <si>
    <t xml:space="preserve">Radha Pada Panda, Vill Jaganathpur PO Contai PS Contai Dist: E. Midnapur - 03220-288868 721430</t>
  </si>
  <si>
    <t>I-WB-CONT-ENB-G001</t>
  </si>
  <si>
    <t>I-WB-CONT-ENB-I001</t>
  </si>
  <si>
    <t>NAYAPUT</t>
  </si>
  <si>
    <t xml:space="preserve">Vill + P.O- Nayaput, Contai, Dist: Purba Medinipur Pin:721401</t>
  </si>
  <si>
    <t>I-WB-CONT-ENB-I002</t>
  </si>
  <si>
    <t>KANTHI-1</t>
  </si>
  <si>
    <t xml:space="preserve">Dag No  182 1568 Khatiyan No  526 3 Mouza Kumarpur Jl No  367 Vill  Kumarpur PO Contai Dist  E  Midnapore Pin  721401</t>
  </si>
  <si>
    <t>I-WB-CONT-ENB-I003</t>
  </si>
  <si>
    <t>SABAJPUT</t>
  </si>
  <si>
    <t xml:space="preserve">Debabrata Manna, Subrata Manna, Vill &amp; P.O. - Sabajput, P.S- Contai, Dist - East Midnapur, Pin - 721401, Pin - 9733958036, 9474975531</t>
  </si>
  <si>
    <t>I-WB-CONT-ENB-I004</t>
  </si>
  <si>
    <t>BALBHADRAPUR</t>
  </si>
  <si>
    <t xml:space="preserve">Pramilabala Mal,Dag No-200,Khatian No-164/1,Mouja-Balbhadrapur,Vill-Balbhadrapur,P.O-Pailochimpur,P.S-Contai,Dist-East Medinipur,Pin-721401</t>
  </si>
  <si>
    <t>I-WB-CONT-ENB-I005</t>
  </si>
  <si>
    <t>DESHDATTABAR</t>
  </si>
  <si>
    <t xml:space="preserve">Mr Amrit kumar bhuina,vill haripur ,po deshdattabar,ps contai,pin 721450,ph 9932517433</t>
  </si>
  <si>
    <t>I-WB-KNTI-ENB-V001</t>
  </si>
  <si>
    <t>CONTAI_003</t>
  </si>
  <si>
    <t xml:space="preserve">KHATIAN NO -1125 ,PLOT NO -62 &amp; 69, J.L NO -478, MOUZA - KHAGRABONI,     UNDERNO.5 CHALTI GRAM PANCHAYET,VILL.-KHAGRABONI,P.O-DARUA, P.S-CONTAI,DIST-MIDNAPUR (E),WB-721401.721401</t>
  </si>
  <si>
    <t>I-WB-KNTO-ENB-I004</t>
  </si>
  <si>
    <t>I-WB-RAMO-ENB-I003</t>
  </si>
  <si>
    <t xml:space="preserve">KATPUL BAZAR</t>
  </si>
  <si>
    <t xml:space="preserve">Allarakhi Bibi, Vill &amp; P.O - Mandarpur, P.S - Ramnagar, Dist - E. Midnapur, Pin - 721433, Phone No - 9734836515, 9732942720 NA</t>
  </si>
  <si>
    <t>I-WB-RAMO-ENB-V002</t>
  </si>
  <si>
    <t>ISLAMPUR_9</t>
  </si>
  <si>
    <t xml:space="preserve">Vill&amp;Post-Kalindi.Ps-Ramnagar.  Dist-Midnapur(East).Pin-721461</t>
  </si>
  <si>
    <t>I-WB-RAMO-ENB-V003</t>
  </si>
  <si>
    <t>MANDARMONI</t>
  </si>
  <si>
    <t xml:space="preserve">MANDARMONI VILL-SILAMPURPS: RAMNAGAR  , DIGHA , DIST-PURBA MEDINIPUR   PIN-721455</t>
  </si>
  <si>
    <t>I-WB-CONT-ENB-0017</t>
  </si>
  <si>
    <t>CONT-0017</t>
  </si>
  <si>
    <t xml:space="preserve">Birendranath Bag/Arati Bag ,At/po-ManoharChowk ,Ps-Contai ,Dist- East Medinipur ,WB-721401 ,Mob-9563573630</t>
  </si>
  <si>
    <t xml:space="preserve">1 Faulty non Communicating RM</t>
  </si>
  <si>
    <t>I-WB-CONT-ENB-9002</t>
  </si>
  <si>
    <t>DAUKI</t>
  </si>
  <si>
    <t xml:space="preserve">VILL &amp; P.O - DAKSHIN DAUKI,P.S - JUNPUT CONTAI,DIST - EAST MIDNAPORE - 721450  CONTAI</t>
  </si>
  <si>
    <t xml:space="preserve">controller backpanel brunt and not working even after changing the backpanel </t>
  </si>
  <si>
    <t xml:space="preserve">ODC damaged, SMPS change need, kit cat fuez faulty</t>
  </si>
  <si>
    <t>I-WB-CONT-ENB-9010</t>
  </si>
  <si>
    <t>CONT-9010</t>
  </si>
  <si>
    <t xml:space="preserve">Akhil Ranjan Payra ,At-Nimdasbar ,Po-Pichaboni ,Ps-Contai ,Dist-East Medinipur, West Bengal ,PIN-721455 ,Mob-7047025860 / 9932846331</t>
  </si>
  <si>
    <t xml:space="preserve">panasonic </t>
  </si>
  <si>
    <t>I-WB-CONT-ENB-9014</t>
  </si>
  <si>
    <t>CONT-9014</t>
  </si>
  <si>
    <t xml:space="preserve">Sashank Maity ,Vill- Krishnaharidwar ,PO-DautPur, PS- Contai , Dist -East Medinipur, West Bengal, PIN-721401 ,Mob-9732636914</t>
  </si>
  <si>
    <t xml:space="preserve">1 RM running</t>
  </si>
  <si>
    <t>I-WB-CONT-ENB-9020</t>
  </si>
  <si>
    <t>CONT-9020</t>
  </si>
  <si>
    <t xml:space="preserve">VILL+PO-DAKSHIN DAUKI,PS- JUNPUT COASTAL,DIST-EAST MEDINIPIR,PIN-721450</t>
  </si>
  <si>
    <t xml:space="preserve">public issue for network</t>
  </si>
  <si>
    <t>I-WB-CONT-ENB-9027</t>
  </si>
  <si>
    <t>DAUDPUR</t>
  </si>
  <si>
    <t xml:space="preserve">Abani Kumar Maity ,At/Po-Daudpur ,PS-Contai,Dist-East Medinipur,WB ,PIN-721401,Mob-9475600089</t>
  </si>
  <si>
    <t xml:space="preserve">RM need, DG overload issue</t>
  </si>
  <si>
    <t>I-WB-CONT-ENB-9029</t>
  </si>
  <si>
    <t>Purusottampur</t>
  </si>
  <si>
    <t xml:space="preserve">VILL-PURUSOTTAMPUR,PO.-NAYAPUT,PS-CONTAI,DIST-EAST MIDNAPUR, PIN-721401  CONTAI</t>
  </si>
  <si>
    <t xml:space="preserve">local public issue , RM need</t>
  </si>
  <si>
    <t>I-WB-CONT-ENB-9033</t>
  </si>
  <si>
    <t>Baksispur</t>
  </si>
  <si>
    <t xml:space="preserve">VILL+PO- BAKSISPUR, PS- CONTAI, DIST- EAST MIDNAPUR, PIN- 721401  CONTAI</t>
  </si>
  <si>
    <t>I-WB-CONT-ENB-9035</t>
  </si>
  <si>
    <t>Sarishaberia</t>
  </si>
  <si>
    <t xml:space="preserve">Sitanshu Sahoo-9434139073 / 9933961035-Sarishaberia, Po- Mahishagot, Ps- Contai, Dist-East Medinipir, WB-721401</t>
  </si>
  <si>
    <t>I-WB-CONT-ENB-9036</t>
  </si>
  <si>
    <t>Jalalkhanbarh</t>
  </si>
  <si>
    <t xml:space="preserve">Muktipada Payra At.- Jalalkhanbarh Po+Ps- Contai, Dist- East Midnapur, Pin- 721401 Mob- 9614734513</t>
  </si>
  <si>
    <t>I-WB-KNTO-ENB-9001</t>
  </si>
  <si>
    <t>ALLADARPUR</t>
  </si>
  <si>
    <t xml:space="preserve">SARBANI PANIGARH-9547483666,VILL-ALADARPUT,P.O-DAKSHIN DAUKI,P.S-CONTAI,DIST-EAST MIDNAPORE</t>
  </si>
  <si>
    <t>I-WB-KNTO-ENB-9020</t>
  </si>
  <si>
    <t>KNTO-9020</t>
  </si>
  <si>
    <t xml:space="preserve">Bablu Roy,At-Uttar Kadua,P.o-Jhawa,P.S-Junput Costal,Dist-Purba Medinipur,Pin-721450, Mob-9732553560</t>
  </si>
  <si>
    <t>I-WB-KNTO-ENB-9021</t>
  </si>
  <si>
    <t>KNTO-9021</t>
  </si>
  <si>
    <t xml:space="preserve">Bikas Chandra Jana ,At-Tethaipada,Po-Barabantoliya, Ps- Contai,Dist-East Medinipur ,WB-721450 ,Mob-8967105851</t>
  </si>
  <si>
    <t>I-WB-KNTO-ENB-9022</t>
  </si>
  <si>
    <t>KNTO-9022</t>
  </si>
  <si>
    <t xml:space="preserve">Srimanta Giri,At-Biramput,P.o-Junput,P.S-Junput Costal,Dist-Purba Medinipur,Pin-721450, Mob-9932376275</t>
  </si>
  <si>
    <t>I-WB-KNTO-ENB-9023</t>
  </si>
  <si>
    <t>KNTO-9023</t>
  </si>
  <si>
    <t xml:space="preserve">Subas Sit ,At-Sarsa ,Po-Dauki ,Ps-Junuput Coasta ,Dist-East Medinipur,WB ,PIN-721450,Mob-9002279825</t>
  </si>
  <si>
    <t>I-WB-KNTO-ENB-9038</t>
  </si>
  <si>
    <t>KNTO-9038</t>
  </si>
  <si>
    <t xml:space="preserve">VILL- PACHIM PURUSOTTAMPUR, P.O- BASANTIA, P.S- CONTAI, DIST- EAST MEDINIPUR, PIN- 721442  DHOLMARI</t>
  </si>
  <si>
    <t>I-WB-KNTO-ENB-9040</t>
  </si>
  <si>
    <t>SATIKESHWAR</t>
  </si>
  <si>
    <t xml:space="preserve">Amlanendu Chakraborty-8670011622-Satikeshwar, Po- Ajodhyapur, Ps- Contai, Dist-East Medinipir, WB-721401</t>
  </si>
  <si>
    <t>I-WB-RAMO-ENB-9006</t>
  </si>
  <si>
    <t>MandarMani</t>
  </si>
  <si>
    <t xml:space="preserve">VILL+PODADAN PARTHA BAR,PS-COASTAL MONDARMANI,DIST-PURBA MEDINIPUR,PIN-721445  BARA BANKUYA</t>
  </si>
  <si>
    <t>I-WB-RAMO-ENB-9023</t>
  </si>
  <si>
    <t>RAMO-9023</t>
  </si>
  <si>
    <t xml:space="preserve">SK. Kamaluddin , At Sonamoi,Po Dadanpatrabar,Ps Mondarmoni Coastal,Dist East Medinipur,WB 721455,Mob 9800817542</t>
  </si>
  <si>
    <t>I-WB-RAMO-ENB-9024</t>
  </si>
  <si>
    <t xml:space="preserve">DERA (KALINDI)</t>
  </si>
  <si>
    <t xml:space="preserve">SK Sarwar Rahman ,At-Dera,Po-Kalindi,Ps-Mondarmoni Coastal,Dist-East Medinipur,WB-721455,Mob-9064643263</t>
  </si>
  <si>
    <t>I-WB-RAMO-ENB-9035</t>
  </si>
  <si>
    <t xml:space="preserve">Debdulal Das Mahapatra-9733405573-Mandarmoni Po- Silampur, Ps- Mandarmoni Costal, Dist- East Midnapur, Pin- 721455</t>
  </si>
  <si>
    <t>I-WB-RAMO-ENB-9037</t>
  </si>
  <si>
    <t xml:space="preserve">RAMCHANDRA NAGAR</t>
  </si>
  <si>
    <t xml:space="preserve">Dolgobinda Maity AT- Ramchandra Nagar, Po- Kalindi, Ps- Mandarmoni Costal, Dist-East Medinipir, WB-721455, Mob- 9732543106</t>
  </si>
  <si>
    <t>I-WB-KNTI-ENB-6000</t>
  </si>
  <si>
    <t>CONTAI</t>
  </si>
  <si>
    <t xml:space="preserve">DAG NO. 275, KHATIAN NO. 124/1, JL NO. 373, WARD NO. 2, VILL - SHERPUR (ETOYARIBARH), PO + PS - CONTAI, DIST - EAST MIDNAPORE, PIN - 721401</t>
  </si>
  <si>
    <t>I-WB-KNTI-ENB-6001</t>
  </si>
  <si>
    <t xml:space="preserve">NEW BUSTAND</t>
  </si>
  <si>
    <t xml:space="preserve">VILL AND MOUZA - DHANDHIGI, WARD NO-13, PS - CONTAI, PLOT NO. SABEK - 77, HAL - 16, KHATIAN NO. 331, DIST - EAST MIDNAPORE, PIN - 721401</t>
  </si>
  <si>
    <t>I-WB-KNTI-ENB-6002</t>
  </si>
  <si>
    <t xml:space="preserve">RAMJIBANPUR CONTAI</t>
  </si>
  <si>
    <t xml:space="preserve"> MR B CHOKORBORTY IRRIGATION BANGLOW NEAR CONTAI POLICE STATION P O CONTAI DIST EAST MIDNAPUR PIN 721401 </t>
  </si>
  <si>
    <t>I-WB-RAMO-ENB-6000</t>
  </si>
  <si>
    <t>CONTAI-1-4B</t>
  </si>
  <si>
    <t xml:space="preserve">DAG NO 831 KHATIAN NO 758 MOUZA+VILL- DAKSHIN SITALA JL NO 261 PO- CHULKHATA PS- RAMNAGAR DIST- EAST MIDNAPUR PIN- 721455</t>
  </si>
  <si>
    <t>I-WB-CONT-ENB-G003</t>
  </si>
  <si>
    <t>SARASWATITALA</t>
  </si>
  <si>
    <t xml:space="preserve">ASISH PATRA, BADSHAH COMPLEX, KANTHI,Dist-Purba Medinipur Pin-721401</t>
  </si>
  <si>
    <t xml:space="preserve">SOURAV MAITY</t>
  </si>
  <si>
    <t>I-WB-KNTO-ENB-G001</t>
  </si>
  <si>
    <t>RASHULPUR</t>
  </si>
  <si>
    <t xml:space="preserve">ABANTI PRADHAN, PO+VILL-BENCHAK, PS - CONTAI,Dist-Purba Medinipur</t>
  </si>
  <si>
    <t>I-WB-KNTO-ENB-B001</t>
  </si>
  <si>
    <t>CHANBERA</t>
  </si>
  <si>
    <t xml:space="preserve">Vill-Chanberia,P.O-Ghoraghata,P.S-Conai,Dist-Purba Medinipur,Pin-721427</t>
  </si>
  <si>
    <t>I-WB-KNTT-ENB-B001</t>
  </si>
  <si>
    <t>BAHIRI</t>
  </si>
  <si>
    <t xml:space="preserve">Vill-Bahiri, P.O- Marishda, P.S- Contai, Dist- Purba Medinipur,Pin-721449</t>
  </si>
  <si>
    <t>I-WB-KNTO-ESC-0007</t>
  </si>
  <si>
    <t>I-WB-KNTT-ESC-0012</t>
  </si>
  <si>
    <t>I-WB-KNTT-ESC-0013</t>
  </si>
  <si>
    <t>I-WB-KNTT-ESC-0015</t>
  </si>
  <si>
    <t>I-WB-CONT-ESC-0004</t>
  </si>
  <si>
    <t>I-WB-KNTO-ESC-0002</t>
  </si>
  <si>
    <t>I-WB-KNTO-ESC-0008</t>
  </si>
  <si>
    <t>I-WB-KNTO-ESC-0009</t>
  </si>
  <si>
    <t>I-WB-KNTO-ESC-0010</t>
  </si>
  <si>
    <t>I-WB-KNTO-ESC-0012</t>
  </si>
  <si>
    <t>I-WB-CONT-FSA-0108</t>
  </si>
  <si>
    <t>I-WB-CONT-ENB-V003</t>
  </si>
  <si>
    <t xml:space="preserve">,  S/O- Samendu Dinda, Sakin - Athilagari, Post Office  - Contai, Police Station - Contai, District - East Medinipore, Pin-721401 ph: 721401</t>
  </si>
  <si>
    <t>I-WB-KNTO-ENB-A001</t>
  </si>
  <si>
    <t>I-WB-KNTO-ENB-I001</t>
  </si>
  <si>
    <t>I-WB-KNTO-ENB-I002</t>
  </si>
  <si>
    <t xml:space="preserve">Uttar Amtala</t>
  </si>
  <si>
    <t xml:space="preserve">Saroj Kumar Mondal,Dag no:-377,Kh-931,Mouza+Vill+P.O- Uttardihi Mukundapur,P.s- Contai,721402,Contact no:-9932264859</t>
  </si>
  <si>
    <t>I-WB-KNTO-ENB-I003</t>
  </si>
  <si>
    <t>IN-1237486</t>
  </si>
  <si>
    <t xml:space="preserve">SK. SABED ALI, VILL-KAJLA, P.O- SARADA, P.S-CONTAI, EAST MEDINIPUR, 721427, Mob- 9733612812</t>
  </si>
  <si>
    <t>I-WB-KNTO-ENB-I005</t>
  </si>
  <si>
    <t xml:space="preserve">CONTAI-6 (SARIPUR TILANGABAD)</t>
  </si>
  <si>
    <t xml:space="preserve">BYOMKESH MAITY, VILL-UTTAR DARUA, P.O+P.S-CONTAI, DIST- MIDNAPORE, PIN-721401, PH- 03220-253044, 0343-2563970</t>
  </si>
  <si>
    <t>I-WB-KNTO-ENB-I006</t>
  </si>
  <si>
    <t>MUKUNDOPUR</t>
  </si>
  <si>
    <t xml:space="preserve">SK. DELABAR,VILLAGE-CHOWDHURI BAR, P.O.-BASANTI , P.S CONTAI ,PIN NO-721442, DISTRICT:- PURBA MIDNAPUR WEST BENGAL,</t>
  </si>
  <si>
    <t>I-WB-KNTO-ENB-I007</t>
  </si>
  <si>
    <t xml:space="preserve">PURBA GOPINATHPUR</t>
  </si>
  <si>
    <t xml:space="preserve">Shaahanka Shekhar Bera, Vill - Purba Gopinathpur, P.O. - Dariapur, P.S - Contai, Dist - E. Midnapur, Pin - 721442, Phone No - 9733564653, 9732502326 NA</t>
  </si>
  <si>
    <t>I-WB-KNTO-ENB-I008</t>
  </si>
  <si>
    <t>MUKUNDPUR-02</t>
  </si>
  <si>
    <t xml:space="preserve">Vill. Baijapur, P.o. Daholmari, P.s. Kantai, Distt. Midnapur(E), Pin-721401</t>
  </si>
  <si>
    <t>I-WB-KNTT-ENB-A001</t>
  </si>
  <si>
    <t>Uttar_Pithulia</t>
  </si>
  <si>
    <t xml:space="preserve">Amrit Jana, Vill - Rani Chak, PO Dhanalibar, PS Marisda, Midnapore (E )-</t>
  </si>
  <si>
    <t>I-WB-KNTT-ENB-A002</t>
  </si>
  <si>
    <t>Dhaurya_Bar</t>
  </si>
  <si>
    <t xml:space="preserve">Anjan Jana, Vill Ballabpur, PO Kolarda Nimak bar, PS Marisda, Midnapore (E )-</t>
  </si>
  <si>
    <t>I-WB-KNTT-ENB-I005</t>
  </si>
  <si>
    <t xml:space="preserve">Navin Pal, Dag No.30, Kh-449, JL-385, Mouza/Vill:Parulia, Po:Jamunasankarpur, PS:Contai, Dist:East Medinipur-721427</t>
  </si>
  <si>
    <t>I-WB-KNTT-ENB-V001</t>
  </si>
  <si>
    <t>Nilpur</t>
  </si>
  <si>
    <t xml:space="preserve">BADAL KUMAR PAL.VILL-NILPUR.PS-BAJACHALI.PS-MARISHDA.PIN-721449.PH-9332646905. DIST- W. MIDNAPUR721449</t>
  </si>
  <si>
    <t>I-WB-CONT-AG1-0008</t>
  </si>
  <si>
    <t>I-WB-CONT-ENB-0001</t>
  </si>
  <si>
    <t>ATHILAGARI</t>
  </si>
  <si>
    <t xml:space="preserve">ASHOK KUMAR MONDAL-8926003140,VILL-ATKHELAGARI,P.O &amp; P.S-CONTAI,WARD NO-10,DIST-EAST MIDNAPORE-721401</t>
  </si>
  <si>
    <t>I-WB-CONT-ENB-0002</t>
  </si>
  <si>
    <t xml:space="preserve">OLD REGISTRY OFFICE</t>
  </si>
  <si>
    <t xml:space="preserve">SANDHYA MONDAL-9564533332,VILL-ATHELAGORI,OLD REGISTRY OFFICE,P.O &amp; P.S-CONTAI,DIST-EAST MIDNAPORE-721401</t>
  </si>
  <si>
    <t>I-WB-CONT-ENB-0006</t>
  </si>
  <si>
    <t>DHAMDILI</t>
  </si>
  <si>
    <t xml:space="preserve">GOPAL KRISHNA DAS-9434415137,VILL-DHANDIGHI,P.O &amp; P.S-CONTAI,DIST-EAST MIDNAPORE-721401</t>
  </si>
  <si>
    <t>I-WB-CONT-ENB-0007</t>
  </si>
  <si>
    <t xml:space="preserve">EAST KUMARPUR</t>
  </si>
  <si>
    <t xml:space="preserve">SMT KRISHNA DAS-9933946013,VILL-EAST KUMARPUR,P.O &amp; P.S-CONTAI,WARD NO-11,DIST-EAST MIDNAPORE-721401</t>
  </si>
  <si>
    <t>I-WB-CONT-ENB-0008</t>
  </si>
  <si>
    <t xml:space="preserve">SOUTH MANOHAR CHOWK</t>
  </si>
  <si>
    <t xml:space="preserve">SUDIPTA MAITY-9733705999,VILL-SOUTH MANOHAR CHALK,P.O &amp; P.S-CONTAI,DIST-EAST MIDNAPORE</t>
  </si>
  <si>
    <t>I-WB-CONT-ENB-9026</t>
  </si>
  <si>
    <t>CONT-9026</t>
  </si>
  <si>
    <t xml:space="preserve">Dillip Kumar Payra,At Purba Chandanpur,Po/Ps Contai,Dist East Medinipur,pin 721401 ,Mob 8641974034 / 7001393746</t>
  </si>
  <si>
    <t>I-WB-KNTO-ENB-0001</t>
  </si>
  <si>
    <t>FULBONI</t>
  </si>
  <si>
    <t xml:space="preserve">MR.JOBED UDDIN, VILL-FULBONI,PO-BASANTIA,PS-CONTAI,DIST-PURBA MEDINIPUR,PIN-721442,CONT-9800337725</t>
  </si>
  <si>
    <t>I-WB-KNTO-ENB-9003</t>
  </si>
  <si>
    <t>KNTO-9003</t>
  </si>
  <si>
    <t xml:space="preserve">HARIPRIYA DAS-9800064028-NAMALDIHA ,PS- CONTAI ,DIST-EAST MEDINIPUR ,WEST BENGAL ,PIN-721427</t>
  </si>
  <si>
    <t>I-WB-KNTO-ENB-9006</t>
  </si>
  <si>
    <t>KNTO-9006</t>
  </si>
  <si>
    <t xml:space="preserve">Lt Bhabataran Panda &amp; Sons ,At Gopal Chak, Po Uttarharas Chak,Ps Junpur Coastal ,Dist East Medinipur, West Bengal ,PIN 721442 ,Mob 9775000309 (Tapan)</t>
  </si>
  <si>
    <t>I-WB-KNTO-ENB-9018</t>
  </si>
  <si>
    <t>SAFIABAD</t>
  </si>
  <si>
    <t xml:space="preserve">Tapan Ojha ,At/Po-Dholmuri ,Ps- Contai ,Dist-East Medinipur,West Bengal,PIN-721442 ,Mob-9593473554</t>
  </si>
  <si>
    <t>I-WB-KNTO-ENB-9025</t>
  </si>
  <si>
    <t>AJYODHAPUR</t>
  </si>
  <si>
    <t xml:space="preserve">Bimalendu Jana,At-Durmut,Po-Ajodhyapur,East Midnapore, WB-721401 ,Mon-9609489355 (Somnath)</t>
  </si>
  <si>
    <t>I-WB-KNTO-ENB-9026</t>
  </si>
  <si>
    <t>KNTO-9026</t>
  </si>
  <si>
    <t xml:space="preserve">VILL-KAJIBASA, PO-BAIKUNTHAPUR, PS- JUCONTAI,DIST-EAST MEDINIPUR ,WB-721442  DHOLMARI</t>
  </si>
  <si>
    <t>I-WB-KNTO-ENB-9027</t>
  </si>
  <si>
    <t>KNTO-9027</t>
  </si>
  <si>
    <t xml:space="preserve">VILL-BANKIPUT, PS- CONTAI,DIST-EAST MEDINIPUR ,WB-721442</t>
  </si>
  <si>
    <t>I-WB-KNTO-ENB-9031</t>
  </si>
  <si>
    <t>KNTO-9031</t>
  </si>
  <si>
    <t xml:space="preserve">VILL -BARCHANDIVETI,PO-AMTALIA,PS-CONTAI,DIST-EAST MIDNAPR,PIN-721427  DHOLMARI</t>
  </si>
  <si>
    <t>I-WB-KNTO-ENB-9032</t>
  </si>
  <si>
    <t>BAHARCHANBERIA</t>
  </si>
  <si>
    <t xml:space="preserve">VILL-BAHARCHANBERIA,PO-GHORAGHATA,PS-CONTAI,DIST-EAST MIDNAPUR,PIN-721427  DHOLMARI</t>
  </si>
  <si>
    <t>I-WB-KNTO-ENB-9033</t>
  </si>
  <si>
    <t>Mundapara</t>
  </si>
  <si>
    <t xml:space="preserve">PARAMESWAR DAS-9647201557-PARAMESWAR DAS AT.-MUNDAPARA,PO.-NAMALDIHA,PS-CONTAI,DIST-EAST MIDNAPUR,PIN-721427,MOB-9647201557</t>
  </si>
  <si>
    <t>I-WB-KNTO-ENB-9036</t>
  </si>
  <si>
    <t>KNTO-9036</t>
  </si>
  <si>
    <t xml:space="preserve">VILL-GOPINATHPUR,PO-BASANTIA,PS-CONTAI,DIST-EAST MEDINIPUR,PIN-721442  DHOLMARI</t>
  </si>
  <si>
    <t>I-WB-KNTO-ENB-9039</t>
  </si>
  <si>
    <t>KNTO-9039</t>
  </si>
  <si>
    <t xml:space="preserve">Sanjib Sahoo At.- Fulbari, Po- Ghoraghata, Ps- Contai, Dist- East Midnapur, Pin- 721427, Mob- 9775488506</t>
  </si>
  <si>
    <t>I-WB-KNTO-ENB-9041</t>
  </si>
  <si>
    <t>DARIAPUR</t>
  </si>
  <si>
    <t xml:space="preserve">Bipul Kumar Manna-9647223735-Bipul Kumar Manna AT+Po- Dariapur, Ps- Junput Costal, Dist-East Medinipir, WB-721442, Mob- 9647223735</t>
  </si>
  <si>
    <t>I-WB-KNTT-ENB-0001</t>
  </si>
  <si>
    <t>BILASHPUR</t>
  </si>
  <si>
    <t xml:space="preserve">MR.RAJKUMAR DALAI,VILL- BILASHPUR,PO-BAHITRAKUNTA,PS- MARISHDA,GP-7NO.KUSHUMPUR,DIST- PURBA MEDINIPUR. PIN- 721401, CONT-9735294455</t>
  </si>
  <si>
    <t>I-WB-KNTT-ENB-0002</t>
  </si>
  <si>
    <t>BETALIA</t>
  </si>
  <si>
    <t xml:space="preserve">UJJAL PANDA,VILL-BETALIYA,P.O-DURMUTH,P.S-MARISHDA,DIST-PURBA MEDINIPUR,PIN-721401,MOB.-9474599850</t>
  </si>
  <si>
    <t>I-WB-KNTT-ENB-9006</t>
  </si>
  <si>
    <t>DOISAI</t>
  </si>
  <si>
    <t xml:space="preserve">MR. KRISHNA KANTA MAITY,VILL+P.O-DAISAI, P.S-MARISHDA, DIST-EAST MEDINIPUR,MOB.-9874932905</t>
  </si>
  <si>
    <t>I-WB-KNTT-ENB-9018</t>
  </si>
  <si>
    <t>TELIPUKHUR</t>
  </si>
  <si>
    <t xml:space="preserve">VILL+PO+PS- MARISHDA ,DIST- EAST MIDNAPORE, PIN- 721449  MARISHDA</t>
  </si>
  <si>
    <t>I-WB-KNTT-ENB-9039</t>
  </si>
  <si>
    <t xml:space="preserve">Sukdev Jana-8250342898-At.- Sapai, Po.- Karalda Ps- Marishda, Dist-East Midnapur, Pin-721449</t>
  </si>
  <si>
    <t>I-WB-KNTO-ENB-9042</t>
  </si>
  <si>
    <t>I-WB-KNTT-ENB-6001</t>
  </si>
  <si>
    <t>MARISHDA</t>
  </si>
  <si>
    <t xml:space="preserve"> PLOT NO HAL 875 SABEK 762 KHATIAN NO 1189 J L NO 393 VILL AND PO MARISHDA PS MARISHDA DIST EAST MIDNAPORE PIN 721449 </t>
  </si>
  <si>
    <t>I-WB-EGRO-ENB-G001</t>
  </si>
  <si>
    <t>Kudi</t>
  </si>
  <si>
    <t xml:space="preserve">Mr.SWAPAN KUMAR DAS, VILL &amp; MOUZA&amp;PO:RASAN, POS:EGRA, DIST:EAST MIDNAPUR, PIN:721429,PH.NO:9732799670,9734375392</t>
  </si>
  <si>
    <t xml:space="preserve">Subimal  Mandal</t>
  </si>
  <si>
    <t>I-WB-EGRT-ENB-B001</t>
  </si>
  <si>
    <t>BATHUARY</t>
  </si>
  <si>
    <t xml:space="preserve">Vill+P.O- Bathuari,P.s-Egra,Dist-Purba Medinipur</t>
  </si>
  <si>
    <t>I-WB-EGRT-ENB-B002</t>
  </si>
  <si>
    <t>BETA</t>
  </si>
  <si>
    <t xml:space="preserve">Vill+P.O-Beta, P.S-Egra,Dist- Purba Medinipur. Pin-721448</t>
  </si>
  <si>
    <t>I-WB-EGRO-ESC-0001</t>
  </si>
  <si>
    <t>I-WB-CONT-ESC-0011</t>
  </si>
  <si>
    <t>I-WB-CONT-ESC-0040</t>
  </si>
  <si>
    <t>I-WB-CONT-ESC-0042</t>
  </si>
  <si>
    <t>I-WB-CONT-ESC-0047</t>
  </si>
  <si>
    <t>I-WB-CONT-ESC-0051</t>
  </si>
  <si>
    <t>I-WB-CONT-ESC-0052</t>
  </si>
  <si>
    <t>I-WB-CONT-ESC-0055</t>
  </si>
  <si>
    <t>I-WB-EGRT-ESC-0002</t>
  </si>
  <si>
    <t>I-WB-EGRT-ESC-0006</t>
  </si>
  <si>
    <t>I-WB-EGRT-ESC-0016</t>
  </si>
  <si>
    <t>I-WB-EGRT-ESC-0017</t>
  </si>
  <si>
    <t>I-WB-EGRT-ESC-0018</t>
  </si>
  <si>
    <t>I-WB-EGRT-ESC-0019</t>
  </si>
  <si>
    <t>I-WB-KNTT-ESC-0009</t>
  </si>
  <si>
    <t>I-WB-CONT-ENB-G002</t>
  </si>
  <si>
    <t>I-WB-CONT-ENB-S001</t>
  </si>
  <si>
    <t xml:space="preserve">MAJNA 3</t>
  </si>
  <si>
    <t xml:space="preserve">Vill-Dakhin Gopalpur,P.o-Majna,Near Sitalpur Railway stn.PIN-721401. null</t>
  </si>
  <si>
    <t>I-WB-EGRT-ENB-A002</t>
  </si>
  <si>
    <t>BADALPURM2</t>
  </si>
  <si>
    <t xml:space="preserve">S/O-SITA NATH MAITI , VILL - CHANDANPUR,  PO- UTTAR BADALPUR, PS- CONTAI, DIST- EAST MIDNAPORE, PIN NO- 721452</t>
  </si>
  <si>
    <t>I-WB-BBRI-ENB-I001</t>
  </si>
  <si>
    <t>BORAI</t>
  </si>
  <si>
    <t xml:space="preserve">VILL+P.O+ P.S- MOHANPUR,BORAI BAZAR, PIN-721457 ,DIST-MIDNAPORE(W)</t>
  </si>
  <si>
    <t>I-WB-CONT-ENB-V002</t>
  </si>
  <si>
    <t>BALIGHAI</t>
  </si>
  <si>
    <t xml:space="preserve">Khatian No -377/1, Plot No - 352, J.L No - 176,Mouza -Mallickpur,within Manjushree No 4 Gram Panchayet,Situated at Vill.- Mallickpur, P.O- Balighai P.S -Egra, Distt - Midnapore (E), Pin - 721422.721422</t>
  </si>
  <si>
    <t>I-WB-EGRA-ENB-W001</t>
  </si>
  <si>
    <t xml:space="preserve">VILL- ADLABAD, P.O+P.S- EGRA, DIST- EAST MIDNAPORE, PIN- 721429  EGRA</t>
  </si>
  <si>
    <t>I-WB-EGRT-ENB-A001</t>
  </si>
  <si>
    <t>KEUTGERYA</t>
  </si>
  <si>
    <t xml:space="preserve">Kanailal Sahoo, Vill- Sarisha, PO- Kautgeria, PS- Egra, District- Midnapur, PIN- 721422</t>
  </si>
  <si>
    <t>I-WB-EGRT-ENB-I002</t>
  </si>
  <si>
    <t>GIBANANDAPUR</t>
  </si>
  <si>
    <t xml:space="preserve">Kanai Lal Ojha,Dag no:-198/199, Kh-293,Jl-255,Mouza- Gibanandapur, Vill- Gibananda,P.O- Balajeria,P.s- egra,721422</t>
  </si>
  <si>
    <t>I-WB-EGRT-ENB-I004</t>
  </si>
  <si>
    <t>ASTICHAWK-03</t>
  </si>
  <si>
    <t xml:space="preserve">Sukumar Giri, JL-240, Dag No.239, Kh-248, Vill : Vill : kumvadhapur, Mouza/Po : Hait Banchia, Ps : Egra,-721422 , Dist : East Medinipur</t>
  </si>
  <si>
    <t>I-WB-EGRT-ENB-I005</t>
  </si>
  <si>
    <t>KHAGDA</t>
  </si>
  <si>
    <t xml:space="preserve">Mr.madhusubhan dass vill.+po.khagda,ps egra,distt east midnapur pin 721452,ph 9936488183(sumit pahari)</t>
  </si>
  <si>
    <t>I-WB-EGRT-ENB-I007</t>
  </si>
  <si>
    <t>UDDHABPUR</t>
  </si>
  <si>
    <t xml:space="preserve">Abanti Kumar Patra,Dag no:-920,921,Kh-98,Jl-22,Mouza- Uddhabpur, P.O- T.G. Khabar,P.s- Egra,721422, Conatct no:-9647114287</t>
  </si>
  <si>
    <t>I-WB-EGRT-ENB-I008</t>
  </si>
  <si>
    <t>ABATI</t>
  </si>
  <si>
    <t xml:space="preserve">MR.NILKAMAL DAS, VPO- ABTI, PS- EGRA, DIST- WEST MIDNAPUR,</t>
  </si>
  <si>
    <t>I-WB-EGRT-ENB-V001</t>
  </si>
  <si>
    <t>BALIGHAI-2</t>
  </si>
  <si>
    <t xml:space="preserve">PURNA MONDAL, VILL+P.O-KHEJURDA, P.S-EGRA, PIN-721422,</t>
  </si>
  <si>
    <t>I-WB-KNTT-ENB-A003</t>
  </si>
  <si>
    <t>I-WB-KNTT-ENB-I001</t>
  </si>
  <si>
    <t>I-WB-KNTT-ENB-I004</t>
  </si>
  <si>
    <t>NSATSATMILE1</t>
  </si>
  <si>
    <t>PradipKumarJanaMouza-SouthCharaiKhiya,JLNo-124,KhatianNo-276/1,DagNo-143,Vill-SouthCharaiKhiya,PO-Satmile,PS-Contai,Dist-EastMidnaporePH-9932608451</t>
  </si>
  <si>
    <t>I-WB-KNTT-ENB-I006</t>
  </si>
  <si>
    <t xml:space="preserve">VILL- SIJUA, P.O- BHAJA CHAWLI, P.S- MARISDA, DIST- EAST MIDNAPUR, PIN- 721452  MARISHDA</t>
  </si>
  <si>
    <t>I-WB-CONT-ENB-0004</t>
  </si>
  <si>
    <t>DHARMADASBAR</t>
  </si>
  <si>
    <t xml:space="preserve">CHANDAN KUMAR DAS-9732419921,DHARMADASBAR, P.O.-+P..S-CONTAI, WARD NO-20, DIST-PURBA MEDINIPUR, PIN-721401</t>
  </si>
  <si>
    <t>I-WB-CONT-ENB-0005</t>
  </si>
  <si>
    <t>KGP-BYPASS</t>
  </si>
  <si>
    <t xml:space="preserve">NILIMA MAHAPATRA &amp; UTTAM MAHAPATRA-9932224992,VILL-PADMAPUKURIYA,P.O &amp; P.S-CONTAI,WARD NO-18,DIST-EAST MIDNAPORE-721401</t>
  </si>
  <si>
    <t>I-WB-CONT-ENB-0016</t>
  </si>
  <si>
    <t>CONT-0016</t>
  </si>
  <si>
    <t xml:space="preserve">Anup Maity ,At-KishoreNagar ,Near Kharagpur Bypass ,Contai,East Medinipur,West Bengal ,Pin-721401 ,Mob-8348865264</t>
  </si>
  <si>
    <t>I-WB-CONT-ENB-0018</t>
  </si>
  <si>
    <t>JALALKHANBAR</t>
  </si>
  <si>
    <t xml:space="preserve">Sanjay ,At-Jalalkhanbar ,Po-Contai,PS-Contai,Dist-East Medinipur,WB, Pin-721401,Mob-7076410090</t>
  </si>
  <si>
    <t>I-WB-CONT-ENB-9018</t>
  </si>
  <si>
    <t>CONT-9018</t>
  </si>
  <si>
    <t xml:space="preserve">GADADHAR KAR-9635442646-GADADHAR KAR(SANDIP KAR),AT-TETULMURI,PO-NAMAL ,PS-CONTAI, DIST-EAST MEDINIPUR, WB-721401 ,MOB-9635442646</t>
  </si>
  <si>
    <t>I-WB-KNTT-ENB-9024</t>
  </si>
  <si>
    <t>Sasania</t>
  </si>
  <si>
    <t xml:space="preserve">VILL-SASANIA,PO.-RAIPUR PASCHIMBAR,PS-CONTAI,DIST-EAST MIDNAPUR,PIN-721401  MARISHDA</t>
  </si>
  <si>
    <t>I-WB-CONT-ENB-0003</t>
  </si>
  <si>
    <t xml:space="preserve">JALALKHAN BAR</t>
  </si>
  <si>
    <t xml:space="preserve">ABHISHEK DASADHIKARI-9832236569,JALAL KHAMBAR,P.O &amp; P.S-CONTAI,WARD NO-18,DIST-EAST MIDNAPORE-721401</t>
  </si>
  <si>
    <t>I-WB-CONT-ENB-0012</t>
  </si>
  <si>
    <t>TENGUNIA</t>
  </si>
  <si>
    <t xml:space="preserve">MR.PARIMAL DAS,VILL-TENGUNIA,PO-TENGUNIA,PS-CONTAI,DIST-EAST MIDNAPORE,PIN-721401,CONT-9932676696</t>
  </si>
  <si>
    <t>I-WB-CONT-ENB-0013</t>
  </si>
  <si>
    <t xml:space="preserve">SARIA KESHAR</t>
  </si>
  <si>
    <t xml:space="preserve">MR.ANUKUL PRADHAN,VILL+PO- RAIPUR PASCHIM BAR,PS- CONTAI,DIST- PURBA MEDINIPUR,PIN-721401,CONT-9932260612</t>
  </si>
  <si>
    <t>I-WB-CONT-ENB-9007</t>
  </si>
  <si>
    <t>CONT-9007</t>
  </si>
  <si>
    <t xml:space="preserve">Nirmal Kr. Maity,Vill-Routara,P.O-Dhangaon,Dist-Purba Medinipur</t>
  </si>
  <si>
    <t>I-WB-CONT-ENB-9019</t>
  </si>
  <si>
    <t>CONT-9019</t>
  </si>
  <si>
    <t xml:space="preserve">Tapan Supakar, Vill Sujalpur,P.O Khalishabhanga, P.S Contai,Dist Purba Medinipur, Pin 721433,Mob 9547320136</t>
  </si>
  <si>
    <t>I-WB-CONT-ENB-9021</t>
  </si>
  <si>
    <t>CONT-9021</t>
  </si>
  <si>
    <t xml:space="preserve">VILL+PO-HAIPUR,P.S-CONTAI,DIST-PURBA MEDINIPUR,PIN-721433  CONTAI</t>
  </si>
  <si>
    <t>I-WB-CONT-ENB-9028</t>
  </si>
  <si>
    <t>Surundia</t>
  </si>
  <si>
    <t xml:space="preserve">Dilip kumar Jana-9735686520-Dilip kumar Jana At.-Surundia, Po.-Kantai, Ps-Contai, Dist-East Midnapur,Pin-721401,Mob-9735686520</t>
  </si>
  <si>
    <t>I-WB-CONT-ENB-9034</t>
  </si>
  <si>
    <t>CONT-9034</t>
  </si>
  <si>
    <t xml:space="preserve">Nirmal Senapati At.- Ranibasan, Po- Manja, Ps- Contai, Dist- East Midnapur, Pin- 721433, Mob- 7501374948/9002597726</t>
  </si>
  <si>
    <t>I-WB-EGRO-AG1-6000</t>
  </si>
  <si>
    <t>I-WB-EGRO-ENB-9020</t>
  </si>
  <si>
    <t>EGRO-9020</t>
  </si>
  <si>
    <t xml:space="preserve">VILL/PO-BARANCHARI, PS- EGRA, DIST-EAST MIDNAPORE ,PIN-721429  EGRA - I</t>
  </si>
  <si>
    <t>I-WB-EGRT-ENB-9020</t>
  </si>
  <si>
    <t>I-WB-EGRT-ENB-9021</t>
  </si>
  <si>
    <t>Gangadharbarh</t>
  </si>
  <si>
    <t xml:space="preserve">VILL- GANGADHARBARH,PO- PRIJKHANBARH, PS- EGRA, DIST- EAST MIDNAPUR, PIN- 721422  MADHABPUR</t>
  </si>
  <si>
    <t>I-WB-EGRT-ENB-9022</t>
  </si>
  <si>
    <t>EGRT-9022</t>
  </si>
  <si>
    <t xml:space="preserve">VILL+ PO- UTTAR TAJPUR,PS EGRA,DIST- EAST MIDNAPUR,PIN-721422  MADHABPUR</t>
  </si>
  <si>
    <t>I-WB-EGRT-ENB-9026</t>
  </si>
  <si>
    <t>KRISHNAPUR</t>
  </si>
  <si>
    <t xml:space="preserve">Late Nagendranath Maity At. Krishnapur, Po. Balighai,Ps Egra,Dist East Midnapur,Pin 721422</t>
  </si>
  <si>
    <t>I-WB-KNTT-ENB-9028</t>
  </si>
  <si>
    <t xml:space="preserve">Gopalpur 4th Part</t>
  </si>
  <si>
    <t xml:space="preserve">RAJKUMAR MAL-7584983595-AT.-GOPALPUR, PO.-BANAMALICHATTA, PS-MARISHDA, DIST-EAST MIDNAPUR,PIN-721449</t>
  </si>
  <si>
    <t>I-WB-KNTT-ENB-9036</t>
  </si>
  <si>
    <t>KNTI-9036</t>
  </si>
  <si>
    <t xml:space="preserve">Munmun Dinda-7364024898 / 9679383602-Amratalia Po.-Kajli,Ps-Marishda,Dist-East Midnapur,Pin-721422</t>
  </si>
  <si>
    <t>I-WB-KNTT-ENB-9038</t>
  </si>
  <si>
    <t xml:space="preserve">UTTAR TEDUBI</t>
  </si>
  <si>
    <t xml:space="preserve">Jagannath Nayak-6296926301-Uttar Tedubi, Po- Dhandalibar, Ps- Contai, Dist-East Medinipir, WB-721452</t>
  </si>
  <si>
    <t>I-WB-KNTT-ENB-9040</t>
  </si>
  <si>
    <t>I-WB-CTRR-ENB-6000</t>
  </si>
  <si>
    <t>CHHATRI</t>
  </si>
  <si>
    <t xml:space="preserve">DAG NO- 2680, KHATIAN NO- ( HAL) 691, VILL  AND AMP; PO  AND AMP; MOUZA- CHHATRI, DIST- EAST MIDNAPORE, PIN- 721429</t>
  </si>
  <si>
    <t>I-WB-EGRT-ENB-6001</t>
  </si>
  <si>
    <t>DUBDA</t>
  </si>
  <si>
    <t xml:space="preserve">DAG NO- 8047, HAL- 1758/1, J.L NO- 191, KHATIAN NO- 6061, VILL AND PO AND MOUZA- DUBDA, PS- EGRA, DIST- EAST MIDNAPORE, PIN- 721448</t>
  </si>
  <si>
    <t>I-WB-TAPU-ENB-6000</t>
  </si>
  <si>
    <t>MALLIKPUR</t>
  </si>
  <si>
    <t xml:space="preserve">DAG NO-469, 467, J.L.NO- 250, KHATIAN NO-3207, 3808, 3209, 3210, 3211, 3212, 3213, MOUZA,VILL AND PO- TAJPUR,PS-EGRA, DIST-EAST MIDNAPORE,PIN-721422</t>
  </si>
  <si>
    <t>I-WB-EGRT-ENB-6000</t>
  </si>
  <si>
    <t xml:space="preserve">BASUDEB PUR</t>
  </si>
  <si>
    <t xml:space="preserve">DAG NO. 5264, KHATIAN NO. 1317, 1755, 1777, 1913, JL NO. 259, MOUZA - BASUDEBPUR, VILL AND PO- BASUDEVPUR, DIST- EAST MIDNAPORE,PIN- 721452</t>
  </si>
  <si>
    <t>I-WB-EGRT-ENB-6003</t>
  </si>
  <si>
    <t xml:space="preserve">SAAT MILE</t>
  </si>
  <si>
    <t xml:space="preserve">MOUZA - UTTAR DULATPUR; JL NO. 256; KHATIAN NO. 206; HAL KHATIAN NO. 990; DAG NO. 2373 &amp;AMP; 2373/2617; PS - EGRA; DIST - EAST MIDNAPORE; PIN - 721452</t>
  </si>
  <si>
    <t>I-WB-BGWA-ESC-0003</t>
  </si>
  <si>
    <t>I-WB-BGWA-ESC-0011</t>
  </si>
  <si>
    <t>I-WB-BGWA-ESC-0016</t>
  </si>
  <si>
    <t>I-WB-BGWA-ESC-0020</t>
  </si>
  <si>
    <t>I-WB-KCTA-ESC-0001</t>
  </si>
  <si>
    <t>I-WB-BGWA-ESC-0007</t>
  </si>
  <si>
    <t>I-WB-BGWA-ENB-I004</t>
  </si>
  <si>
    <t>ASHUTIA</t>
  </si>
  <si>
    <t xml:space="preserve">Santosh Kumar Manna/Sandip Kumar Manna,Dag no:-787,Kh-513,Jl-169,Mouza+Vill- Nila,P.O- sukrampur,P.s- bhagabanpur,721626., Contact no:- Vill- Nila,P.O- sukrampur,P.s- bhagabanpur,721626., Contact no:-</t>
  </si>
  <si>
    <t>Mobile</t>
  </si>
  <si>
    <t xml:space="preserve">"Pijush Kanti Mallick, Vill - Arkhana, PO - Sahapur, PS - Daspur, Dist - West Midnapur, Pin - 721641, #7501600691</t>
  </si>
  <si>
    <t>"</t>
  </si>
  <si>
    <t xml:space="preserve">"SALBANI, MEDINIPUR, WEST BENGAL, 721147</t>
  </si>
  <si>
    <t xml:space="preserve">SALBANI SALBANI INDIA"</t>
  </si>
  <si>
    <t xml:space="preserve">Ranu Majhi, W/O-Late  Durga charan Majhi, Vill-Kalgang Narampur,PS- Gurguripal, Dist-Paschim Medinipur,Pin-721101, Ph-6294544458</t>
  </si>
  <si>
    <t xml:space="preserve">sl no</t>
  </si>
  <si>
    <t>Technician</t>
  </si>
  <si>
    <t>Total</t>
  </si>
  <si>
    <t>done</t>
  </si>
  <si>
    <t>remaining</t>
  </si>
  <si>
    <t xml:space="preserve">not possible</t>
  </si>
  <si>
    <t xml:space="preserve">phone number</t>
  </si>
  <si>
    <t>remark</t>
  </si>
  <si>
    <t xml:space="preserve">total data</t>
  </si>
  <si>
    <t xml:space="preserve">total not possible</t>
  </si>
  <si>
    <t>percentage</t>
  </si>
  <si>
    <t>remain</t>
  </si>
  <si>
    <t xml:space="preserve">Ranjit Sen</t>
  </si>
  <si>
    <t xml:space="preserve">all done</t>
  </si>
  <si>
    <t xml:space="preserve">Khokon Patra</t>
  </si>
  <si>
    <t xml:space="preserve">will have to call now </t>
  </si>
  <si>
    <t xml:space="preserve">Noton Manna</t>
  </si>
  <si>
    <t xml:space="preserve">afternoon to night</t>
  </si>
  <si>
    <t xml:space="preserve">Dibendu Bikas Maity</t>
  </si>
  <si>
    <t xml:space="preserve">all done + 1 budhya</t>
  </si>
  <si>
    <t xml:space="preserve">all done + he didn't give me any EB load time</t>
  </si>
  <si>
    <t xml:space="preserve">2 indus site + 2 data will be taken from ramesh</t>
  </si>
  <si>
    <t xml:space="preserve">all done 8 were indus site</t>
  </si>
  <si>
    <t xml:space="preserve">all done need to rectify some data</t>
  </si>
  <si>
    <t xml:space="preserve">will call me after 6</t>
  </si>
  <si>
    <t xml:space="preserve">all done except atc and viom and indus sites </t>
  </si>
  <si>
    <t xml:space="preserve">will have to call later at 8 to 10 </t>
  </si>
  <si>
    <t xml:space="preserve">all site done</t>
  </si>
  <si>
    <t xml:space="preserve">must be today 10 pm</t>
  </si>
  <si>
    <t xml:space="preserve">new so need to talk with amit sir</t>
  </si>
  <si>
    <t xml:space="preserve">operation haye6e so not able to tell now</t>
  </si>
  <si>
    <t xml:space="preserve">will call later </t>
  </si>
  <si>
    <t xml:space="preserve">already gave data to aranya da and was refusing</t>
  </si>
  <si>
    <t xml:space="preserve">will call after 3:35 </t>
  </si>
  <si>
    <t xml:space="preserve">bhaskar mahato</t>
  </si>
  <si>
    <t xml:space="preserve">Replaced to MIHIR KUMAR BARIK and didn't receive my call</t>
  </si>
  <si>
    <t xml:space="preserve">RAJU JANA </t>
  </si>
  <si>
    <t xml:space="preserve">all done except one site DG data</t>
  </si>
  <si>
    <t xml:space="preserve">tommorow after 9 am nytime</t>
  </si>
  <si>
    <t xml:space="preserve">tommorow afer 2:00 or 2:30</t>
  </si>
  <si>
    <t xml:space="preserve">SL NO.</t>
  </si>
  <si>
    <t>SAP-ID</t>
  </si>
  <si>
    <t xml:space="preserve">JC NAME</t>
  </si>
  <si>
    <t xml:space="preserve">SP Engineer</t>
  </si>
  <si>
    <t xml:space="preserve">SUBHANKAR MAITY</t>
  </si>
  <si>
    <t xml:space="preserve">AMIT  KAR</t>
  </si>
  <si>
    <t xml:space="preserve">Site Type</t>
  </si>
  <si>
    <t xml:space="preserve">Technician Mapping</t>
  </si>
  <si>
    <t>P1</t>
  </si>
  <si>
    <t>RP1</t>
  </si>
  <si>
    <t>IPCOLO</t>
  </si>
  <si>
    <t>ESC</t>
  </si>
  <si>
    <t>OSC</t>
  </si>
  <si>
    <t>AG1</t>
  </si>
  <si>
    <t>ILA</t>
  </si>
  <si>
    <t>OLT</t>
  </si>
  <si>
    <t>I-WB-PSKU-ENB-S001</t>
  </si>
  <si>
    <t>I-WB-UYNY-ENB-W001</t>
  </si>
  <si>
    <t xml:space="preserve">Sr No</t>
  </si>
  <si>
    <t>JC</t>
  </si>
  <si>
    <t xml:space="preserve">Site 
Type</t>
  </si>
  <si>
    <t xml:space="preserve">Energy
 Status</t>
  </si>
  <si>
    <t xml:space="preserve">New Technician</t>
  </si>
  <si>
    <t xml:space="preserve">Mobile No</t>
  </si>
  <si>
    <t xml:space="preserve">Old Tech Name</t>
  </si>
  <si>
    <t xml:space="preserve">Tech no</t>
  </si>
  <si>
    <t>Load</t>
  </si>
  <si>
    <t>EB</t>
  </si>
  <si>
    <t xml:space="preserve">Automation status </t>
  </si>
  <si>
    <t xml:space="preserve">No. of RM required</t>
  </si>
  <si>
    <t>Battery</t>
  </si>
  <si>
    <t xml:space="preserve">Battery make</t>
  </si>
  <si>
    <t xml:space="preserve">  Battery required/Avilable</t>
  </si>
  <si>
    <t xml:space="preserve">DG capacity</t>
  </si>
  <si>
    <t xml:space="preserve">Fault Details</t>
  </si>
  <si>
    <t>DGB/DGC</t>
  </si>
  <si>
    <t>FMS</t>
  </si>
  <si>
    <t xml:space="preserve">Reachable/ Visisble</t>
  </si>
  <si>
    <t xml:space="preserve">Support required</t>
  </si>
  <si>
    <t>Status</t>
  </si>
  <si>
    <t xml:space="preserve"> RABINDRANAGAR Road</t>
  </si>
  <si>
    <t xml:space="preserve">EB With DG</t>
  </si>
  <si>
    <t>MOHAMMADPUR</t>
  </si>
  <si>
    <t>Gholai</t>
  </si>
  <si>
    <t>CHAULIA</t>
  </si>
  <si>
    <t>Yes</t>
  </si>
  <si>
    <t>Exicom(100Ah)</t>
  </si>
  <si>
    <t>ADASIMLA</t>
  </si>
  <si>
    <t xml:space="preserve">Debra Bazer</t>
  </si>
  <si>
    <t>Delta</t>
  </si>
  <si>
    <t>Exicom(100AH)</t>
  </si>
  <si>
    <t xml:space="preserve">Delta 2 RM available</t>
  </si>
  <si>
    <t>BALICHAL</t>
  </si>
  <si>
    <t>Vision(100ah)</t>
  </si>
  <si>
    <t>Mahindra</t>
  </si>
  <si>
    <t xml:space="preserve">10 KVA</t>
  </si>
  <si>
    <t xml:space="preserve">Panel wiring harnes burn, 7000IBE</t>
  </si>
  <si>
    <t xml:space="preserve">DG battery faulty</t>
  </si>
  <si>
    <t>BARAGARH</t>
  </si>
  <si>
    <t xml:space="preserve">Normal controller, Pushpak, RM backpanel 2ps</t>
  </si>
  <si>
    <t>Exicom(75AH)</t>
  </si>
  <si>
    <t xml:space="preserve">Single RM available</t>
  </si>
  <si>
    <t>RADHAMOHANPUR</t>
  </si>
  <si>
    <t xml:space="preserve">Only EB</t>
  </si>
  <si>
    <t>BISHNUPUR</t>
  </si>
  <si>
    <t>MARATALA</t>
  </si>
  <si>
    <t>Shyamsudandarpur</t>
  </si>
  <si>
    <t>PASANG</t>
  </si>
  <si>
    <t>Coslight(100Ah)</t>
  </si>
  <si>
    <t>Chaksahapur</t>
  </si>
  <si>
    <t>Panasonic(56ah)</t>
  </si>
  <si>
    <t>KISHOREPUR</t>
  </si>
  <si>
    <t>Baikunthapur</t>
  </si>
  <si>
    <t>RATRAPUR</t>
  </si>
  <si>
    <t>Exicom(100ah)</t>
  </si>
  <si>
    <t>Rampurchak</t>
  </si>
  <si>
    <t>Raghunathpur</t>
  </si>
  <si>
    <t>Gayeshpur</t>
  </si>
  <si>
    <t>ARJJUNI</t>
  </si>
  <si>
    <t>PARULDIHI</t>
  </si>
  <si>
    <t>DOBADARI</t>
  </si>
  <si>
    <t xml:space="preserve">Only DG</t>
  </si>
  <si>
    <t>BIKRAMPUR</t>
  </si>
  <si>
    <t>BHAGIRATHPUR</t>
  </si>
  <si>
    <t>CHAKKANU</t>
  </si>
  <si>
    <t xml:space="preserve">CHAK LAHANA</t>
  </si>
  <si>
    <t>DEBRA,</t>
  </si>
  <si>
    <t>BRAHAMANSASAN</t>
  </si>
  <si>
    <t>Eicher</t>
  </si>
  <si>
    <t xml:space="preserve">Procom GCU faulty</t>
  </si>
  <si>
    <t>CHAKLALPUR</t>
  </si>
  <si>
    <t>GURUGANJ</t>
  </si>
  <si>
    <t>Vision(100AH)</t>
  </si>
  <si>
    <t>Jotankur</t>
  </si>
  <si>
    <t>BARUNIA</t>
  </si>
  <si>
    <t>Jhagia</t>
  </si>
  <si>
    <t>Nowapara</t>
  </si>
  <si>
    <t>Sathrukhi</t>
  </si>
  <si>
    <t>Khasbazar</t>
  </si>
  <si>
    <t xml:space="preserve"> Jotsuja</t>
  </si>
  <si>
    <t>Darra</t>
  </si>
  <si>
    <t>KORONDA_BS</t>
  </si>
  <si>
    <t>Shanrpu</t>
  </si>
  <si>
    <t>Murasthi</t>
  </si>
  <si>
    <t>Kedarchanditur</t>
  </si>
  <si>
    <t>Baguyan</t>
  </si>
  <si>
    <t>Chakkuma</t>
  </si>
  <si>
    <t>Dhamtore</t>
  </si>
  <si>
    <t>Dunya</t>
  </si>
  <si>
    <t>Debara</t>
  </si>
  <si>
    <t xml:space="preserve"> DATAN(SARAIBAJAR)</t>
  </si>
  <si>
    <t>Vision(100Ah)</t>
  </si>
  <si>
    <t>Perfact</t>
  </si>
  <si>
    <t>30KVA</t>
  </si>
  <si>
    <t xml:space="preserve">7000i GCU faulty</t>
  </si>
  <si>
    <t xml:space="preserve">Normal delta controller, pushpak, Blvd faulty </t>
  </si>
  <si>
    <t>VNT</t>
  </si>
  <si>
    <t xml:space="preserve">RM backpanel faulty</t>
  </si>
  <si>
    <t>Menkapur</t>
  </si>
  <si>
    <t>Exicom</t>
  </si>
  <si>
    <t xml:space="preserve">Exicom DF 20 KW RM backpanel faulty</t>
  </si>
  <si>
    <t xml:space="preserve">10 kVA</t>
  </si>
  <si>
    <t xml:space="preserve">Sedmac 2111 GCU faulty, Start relay, stop relay, battery charger faulty</t>
  </si>
  <si>
    <t xml:space="preserve">Battery under warrenty, Docket required</t>
  </si>
  <si>
    <t>orisal</t>
  </si>
  <si>
    <t>Uchudiha</t>
  </si>
  <si>
    <t>Hasimpur</t>
  </si>
  <si>
    <t>MOGALMARI</t>
  </si>
  <si>
    <t xml:space="preserve">Uttar arbona</t>
  </si>
  <si>
    <t xml:space="preserve">CD faulty</t>
  </si>
  <si>
    <t>Salikota</t>
  </si>
  <si>
    <t>PANCHROL</t>
  </si>
  <si>
    <t>EKTARPUR</t>
  </si>
  <si>
    <t>MADHUBAICHA</t>
  </si>
  <si>
    <t>Makhmalpur</t>
  </si>
  <si>
    <t>Sabrading</t>
  </si>
  <si>
    <t>Dhalbar_West</t>
  </si>
  <si>
    <t>Aligosa</t>
  </si>
  <si>
    <t xml:space="preserve">Chak Ismailpur_West</t>
  </si>
  <si>
    <t>Bhugaranji</t>
  </si>
  <si>
    <t>Dantan</t>
  </si>
  <si>
    <t>BHAWANIPUR</t>
  </si>
  <si>
    <t xml:space="preserve">Ghurni 2 no wordBindupara</t>
  </si>
  <si>
    <t>Sarang</t>
  </si>
  <si>
    <t>JYOTIBAR</t>
  </si>
  <si>
    <t>BANDRAUTA</t>
  </si>
  <si>
    <t>TALDA</t>
  </si>
  <si>
    <t>10KVA</t>
  </si>
  <si>
    <t xml:space="preserve">procom GCU faulty, AVR card faulty, Exhaust fan faulty</t>
  </si>
  <si>
    <t>MULIDA</t>
  </si>
  <si>
    <t>Rela</t>
  </si>
  <si>
    <t>Jolgoda</t>
  </si>
  <si>
    <t xml:space="preserve">PURUNDA HIGH SCHOOL</t>
  </si>
  <si>
    <t xml:space="preserve">Sedmac 2111 GCU faulty</t>
  </si>
  <si>
    <t>Purulda</t>
  </si>
  <si>
    <t xml:space="preserve">Exicom(1 SF)</t>
  </si>
  <si>
    <t xml:space="preserve">Betarui West</t>
  </si>
  <si>
    <t>KHANDURIPO</t>
  </si>
  <si>
    <t>1T-GTL</t>
  </si>
  <si>
    <t>Babla</t>
  </si>
  <si>
    <t>Amdanga</t>
  </si>
  <si>
    <t>JALCHAK</t>
  </si>
  <si>
    <t>Chekkhanjari</t>
  </si>
  <si>
    <t xml:space="preserve"> Madan Mohan</t>
  </si>
  <si>
    <t xml:space="preserve"> RAMCHANDRAPUR</t>
  </si>
  <si>
    <t xml:space="preserve">BHASKAR MAHATA</t>
  </si>
  <si>
    <t>SITIBATITAKI</t>
  </si>
  <si>
    <t xml:space="preserve">EB contactor not hold in automation</t>
  </si>
  <si>
    <t xml:space="preserve">OEM support required</t>
  </si>
  <si>
    <t xml:space="preserve">BISWADIP DAS</t>
  </si>
  <si>
    <t xml:space="preserve">DG start fault alarm </t>
  </si>
  <si>
    <t xml:space="preserve">BARO KARANJI</t>
  </si>
  <si>
    <t>SULTANPUR</t>
  </si>
  <si>
    <t xml:space="preserve">10 Kva</t>
  </si>
  <si>
    <t xml:space="preserve">DG common fault issue</t>
  </si>
  <si>
    <t>BHANDARIA</t>
  </si>
  <si>
    <t>Kaliara</t>
  </si>
  <si>
    <t>Kanchantala</t>
  </si>
  <si>
    <t>Madpur</t>
  </si>
  <si>
    <t>Janardanpur</t>
  </si>
  <si>
    <t>Chakganesh</t>
  </si>
  <si>
    <t>10kva</t>
  </si>
  <si>
    <t xml:space="preserve">DG overload</t>
  </si>
  <si>
    <t>Sirshi</t>
  </si>
  <si>
    <t>DUBGOAL</t>
  </si>
  <si>
    <t>SHYAMALPUR</t>
  </si>
  <si>
    <t>ARASHINI</t>
  </si>
  <si>
    <t>Talshibramchak</t>
  </si>
  <si>
    <t xml:space="preserve">SAIYED HOSSAIN CHAK</t>
  </si>
  <si>
    <t xml:space="preserve"> KALUR CHANK</t>
  </si>
  <si>
    <t>Warda</t>
  </si>
  <si>
    <t>Motherchak</t>
  </si>
  <si>
    <t>Paparara</t>
  </si>
  <si>
    <t>Kuldhia</t>
  </si>
  <si>
    <t>Basudebpur</t>
  </si>
  <si>
    <t>Kamalakabin</t>
  </si>
  <si>
    <t>AG2</t>
  </si>
  <si>
    <t>NIRANJANBAR</t>
  </si>
  <si>
    <t xml:space="preserve">Himangsu Mahato</t>
  </si>
  <si>
    <t xml:space="preserve">PANCHBERIA RAHMAN NAGAR</t>
  </si>
  <si>
    <t xml:space="preserve">PEER BABA TOWER,LIC MORE</t>
  </si>
  <si>
    <t xml:space="preserve">BARA AYNA,WARD NO-31</t>
  </si>
  <si>
    <t xml:space="preserve">Mahindra </t>
  </si>
  <si>
    <t>MIRPUR,BULBULCHOTI</t>
  </si>
  <si>
    <t xml:space="preserve">JHAPETAPUR NEAR NCC OFFICE</t>
  </si>
  <si>
    <t xml:space="preserve">DG With Solar</t>
  </si>
  <si>
    <t>Vidyasagarpur</t>
  </si>
  <si>
    <t>Inda</t>
  </si>
  <si>
    <t>Saradapalli</t>
  </si>
  <si>
    <t>Talbagicha</t>
  </si>
  <si>
    <t xml:space="preserve">ELASI RAYANDIHI,BENAPUR</t>
  </si>
  <si>
    <t xml:space="preserve">BIDYASAGAR PALLY</t>
  </si>
  <si>
    <t>KHARIGERIA,RAMNAGAR</t>
  </si>
  <si>
    <t>BARKOLA,KHARAGPUR_MCN</t>
  </si>
  <si>
    <t>AJABGARH</t>
  </si>
  <si>
    <t xml:space="preserve">NEAR RAILWAY LINE CHURCH,NIMPURA</t>
  </si>
  <si>
    <t>Jafala,Inda</t>
  </si>
  <si>
    <t xml:space="preserve">KADUA(Internal Site of Bengal Energy)</t>
  </si>
  <si>
    <t xml:space="preserve">Achinta Kr Mondal</t>
  </si>
  <si>
    <t xml:space="preserve">Talbagicha(Poria Para)</t>
  </si>
  <si>
    <t xml:space="preserve">BANKATI(Internal Site of Bengal Energy)</t>
  </si>
  <si>
    <t xml:space="preserve">Amba purba</t>
  </si>
  <si>
    <t>HARIATARA</t>
  </si>
  <si>
    <t xml:space="preserve">SOMNATH GHORAI</t>
  </si>
  <si>
    <t>Dimoli</t>
  </si>
  <si>
    <t>KHEMASSULI</t>
  </si>
  <si>
    <t>Satkui</t>
  </si>
  <si>
    <t xml:space="preserve">Porapara, Salua</t>
  </si>
  <si>
    <t xml:space="preserve">PARAN NAGAR,BENAPORE</t>
  </si>
  <si>
    <t>PALJHARI</t>
  </si>
  <si>
    <t>GOMNASOLE</t>
  </si>
  <si>
    <t xml:space="preserve">Amba,Kharagpur Local</t>
  </si>
  <si>
    <t xml:space="preserve"> Leluakhola</t>
  </si>
  <si>
    <t xml:space="preserve">Chak sonadhar, NH-6,Gokulpur</t>
  </si>
  <si>
    <t xml:space="preserve">Sahachak,Reshmi </t>
  </si>
  <si>
    <t xml:space="preserve">Nrayanpur, Pratappur</t>
  </si>
  <si>
    <t>jinsar,matkatpur</t>
  </si>
  <si>
    <t>Puratanbazer</t>
  </si>
  <si>
    <t xml:space="preserve">Subhaspally, Near Arabinda Club</t>
  </si>
  <si>
    <t xml:space="preserve">BOGDA, NEAR KHARAGPUR RAILWAY STATION</t>
  </si>
  <si>
    <t xml:space="preserve">HIZLI,HIZLI TELEPHONE EXCHANGE</t>
  </si>
  <si>
    <t>KHELAR,Satkui</t>
  </si>
  <si>
    <t xml:space="preserve">TELECOM QUATER FACTORY, RAKHA JUNGLE</t>
  </si>
  <si>
    <t xml:space="preserve">SUKANTAPALLY,MALANCHA ROAD</t>
  </si>
  <si>
    <t>AMARBATI,NIMPURA</t>
  </si>
  <si>
    <t>Chotaaima,Kharidabazer</t>
  </si>
  <si>
    <t>Nilkuthipara</t>
  </si>
  <si>
    <t xml:space="preserve">GHAGRA, HIJLI-2</t>
  </si>
  <si>
    <t>KOUSALLA</t>
  </si>
  <si>
    <t xml:space="preserve">KALAIKUNDA CHAKRABONI</t>
  </si>
  <si>
    <t>UTTARBALI</t>
  </si>
  <si>
    <t>GHOLGERIA</t>
  </si>
  <si>
    <t>KANTHRA,SALUA-2</t>
  </si>
  <si>
    <t>Kausula</t>
  </si>
  <si>
    <t xml:space="preserve">DINESHNAGAR, MALANCHA,</t>
  </si>
  <si>
    <t xml:space="preserve">KHARAGPUR Station</t>
  </si>
  <si>
    <t xml:space="preserve">KHARAGPUR DRM OFFICE</t>
  </si>
  <si>
    <t>JHAPETAPUR</t>
  </si>
  <si>
    <t>MAYAPUR</t>
  </si>
  <si>
    <t xml:space="preserve"> PREMBAZAR KHARAGPUR TOWN</t>
  </si>
  <si>
    <t xml:space="preserve"> SHALIKHA</t>
  </si>
  <si>
    <t xml:space="preserve">KHARAGPUR RLY. SETTLEMENT (CT)_
CHOTA TANGRA ROAD,TALJURI</t>
  </si>
  <si>
    <t xml:space="preserve">KHARIDA GATE</t>
  </si>
  <si>
    <t xml:space="preserve">KHARAGPUR MUNISIPALITY</t>
  </si>
  <si>
    <t xml:space="preserve">OLD KHARIDA POST OFFICE BLDG</t>
  </si>
  <si>
    <t xml:space="preserve">Deewan Maro,NIMPUR</t>
  </si>
  <si>
    <t>RAJPURA</t>
  </si>
  <si>
    <t xml:space="preserve">Mahespur, Near TATA Metallics</t>
  </si>
  <si>
    <t xml:space="preserve">Uttar Simla Primary School</t>
  </si>
  <si>
    <t xml:space="preserve">Talbagicha Bazer</t>
  </si>
  <si>
    <t xml:space="preserve">Officer&amp;aposs mess (Near Children Park)Kalaikunda</t>
  </si>
  <si>
    <t xml:space="preserve">Behind Airmen mess (Near LAO office)Kalaikunda</t>
  </si>
  <si>
    <t xml:space="preserve">SV shopping complex, Front side, Kalaikunda</t>
  </si>
  <si>
    <t xml:space="preserve">Mandir tala road,Bajaj Mobiles</t>
  </si>
  <si>
    <t>FSA</t>
  </si>
  <si>
    <t>Saradapally</t>
  </si>
  <si>
    <t xml:space="preserve">Kharagpur MCN,Vidyasagarpur</t>
  </si>
  <si>
    <t>SINGPUR</t>
  </si>
  <si>
    <t>ANDULIA</t>
  </si>
  <si>
    <t>Lakshya</t>
  </si>
  <si>
    <t>BARADA</t>
  </si>
  <si>
    <t>sabang</t>
  </si>
  <si>
    <t>JHAPAPAARA</t>
  </si>
  <si>
    <t xml:space="preserve"> BURAL</t>
  </si>
  <si>
    <t xml:space="preserve">Balpai Primary School</t>
  </si>
  <si>
    <t>JULKAPUR</t>
  </si>
  <si>
    <t>Laro</t>
  </si>
  <si>
    <t xml:space="preserve">Normal controller backpanel</t>
  </si>
  <si>
    <t>CHAKGUPINATH</t>
  </si>
  <si>
    <t>Dandara</t>
  </si>
  <si>
    <t>Taldiha</t>
  </si>
  <si>
    <t xml:space="preserve"> LUTUNIA</t>
  </si>
  <si>
    <t xml:space="preserve"> Kalashbar</t>
  </si>
  <si>
    <t>Gora</t>
  </si>
  <si>
    <t>BURAI</t>
  </si>
  <si>
    <t>Khagrageruya</t>
  </si>
  <si>
    <t xml:space="preserve">DAKSHIN NIMKI MOHAR</t>
  </si>
  <si>
    <t xml:space="preserve">Basanta Pur</t>
  </si>
  <si>
    <t xml:space="preserve">30 KVA</t>
  </si>
  <si>
    <t xml:space="preserve">7000I GCU faulty</t>
  </si>
  <si>
    <t xml:space="preserve">7000I GCU required</t>
  </si>
  <si>
    <t>Dudhebude</t>
  </si>
  <si>
    <t>Kiarchand</t>
  </si>
  <si>
    <t>KusumPur</t>
  </si>
  <si>
    <t>CHAKLA</t>
  </si>
  <si>
    <t xml:space="preserve">Exicom 15KW RM back panel faulty </t>
  </si>
  <si>
    <t>Panasonic(56Ah)</t>
  </si>
  <si>
    <t xml:space="preserve">Selzer relay faulty</t>
  </si>
  <si>
    <t xml:space="preserve">Kanpur Baglata</t>
  </si>
  <si>
    <t>DADRA</t>
  </si>
  <si>
    <t xml:space="preserve">Procom GCU faulty, Start relay, Glass fuse faulty</t>
  </si>
  <si>
    <t>HARIPURA</t>
  </si>
  <si>
    <t>Kalamatia</t>
  </si>
  <si>
    <t xml:space="preserve">Fuel sensor faulty</t>
  </si>
  <si>
    <t>Arar</t>
  </si>
  <si>
    <t>JOYKRISHNAPUR</t>
  </si>
  <si>
    <t>DHOLBELUN</t>
  </si>
  <si>
    <t>Purulia</t>
  </si>
  <si>
    <t>BHALKISOLE</t>
  </si>
  <si>
    <t>LANGAMARA</t>
  </si>
  <si>
    <t>Rautarapur</t>
  </si>
  <si>
    <t>Kaundrapari</t>
  </si>
  <si>
    <t>Benukuria</t>
  </si>
  <si>
    <t>Mohar</t>
  </si>
  <si>
    <t xml:space="preserve">Commissioning pending</t>
  </si>
  <si>
    <t>Samsara</t>
  </si>
  <si>
    <t>GOMUNDA</t>
  </si>
  <si>
    <t xml:space="preserve">Sedmac 2111 GCU faulty, Canopy damage, Water mixed with fuel</t>
  </si>
  <si>
    <t>Keotkhalisha</t>
  </si>
  <si>
    <t>Digda</t>
  </si>
  <si>
    <t xml:space="preserve">Delta TS controller faulty</t>
  </si>
  <si>
    <t>VillJorisai</t>
  </si>
  <si>
    <t>Chhatobeli</t>
  </si>
  <si>
    <t>Gotsanda</t>
  </si>
  <si>
    <t xml:space="preserve">DG airlock issue</t>
  </si>
  <si>
    <t>Siyalsai</t>
  </si>
  <si>
    <t>Rajnagar,Mohanpur-3</t>
  </si>
  <si>
    <t>ATLA,JANKAPUR</t>
  </si>
  <si>
    <t>NBEGBEGUNIA</t>
  </si>
  <si>
    <t>Tanua</t>
  </si>
  <si>
    <t>NAYGAON-ILA</t>
  </si>
  <si>
    <t>BAHURUPA,NARAYANGARH</t>
  </si>
  <si>
    <t>KHAKUDHA,BELDA</t>
  </si>
  <si>
    <t>MAKRAMPUR</t>
  </si>
  <si>
    <t>KAMIACHAWK,BHAKRABADA</t>
  </si>
  <si>
    <t>DAUKA,TENTULMURI</t>
  </si>
  <si>
    <t>BIRPUR,GOBRA</t>
  </si>
  <si>
    <t>Dashagram</t>
  </si>
  <si>
    <t>KUNARPUR</t>
  </si>
  <si>
    <t xml:space="preserve">KARANJI CHAK ASDA</t>
  </si>
  <si>
    <t>Renua</t>
  </si>
  <si>
    <t>MARKUNDA</t>
  </si>
  <si>
    <t>KANKURGERIYA</t>
  </si>
  <si>
    <t xml:space="preserve">EB With DG and Solar</t>
  </si>
  <si>
    <t>Kasba</t>
  </si>
  <si>
    <t>DEULBAR</t>
  </si>
  <si>
    <t>Pachasbetia</t>
  </si>
  <si>
    <t>saljora</t>
  </si>
  <si>
    <t xml:space="preserve">Uttar Dhanasr</t>
  </si>
  <si>
    <t>CHATLA</t>
  </si>
  <si>
    <t>BELTI</t>
  </si>
  <si>
    <t>Nahaspurpo</t>
  </si>
  <si>
    <t>Parijatpur</t>
  </si>
  <si>
    <t>GURIBATI</t>
  </si>
  <si>
    <t>Asti</t>
  </si>
  <si>
    <t>KUTKI</t>
  </si>
  <si>
    <t>Kanthalia</t>
  </si>
  <si>
    <t>Goita</t>
  </si>
  <si>
    <t>Sangonua</t>
  </si>
  <si>
    <t>GOHIRA</t>
  </si>
  <si>
    <t>BARAKOLANKAIPIN</t>
  </si>
  <si>
    <t>GOMUA</t>
  </si>
  <si>
    <t>Narma</t>
  </si>
  <si>
    <t>Bengda</t>
  </si>
  <si>
    <t>Tagaria</t>
  </si>
  <si>
    <t xml:space="preserve">PATLI PATNA</t>
  </si>
  <si>
    <t>Khalina</t>
  </si>
  <si>
    <t>Chirkunial</t>
  </si>
  <si>
    <t>Readypur</t>
  </si>
  <si>
    <t>Raipur</t>
  </si>
  <si>
    <t>Keshiachak</t>
  </si>
  <si>
    <t>Shashinda</t>
  </si>
  <si>
    <t>Rasulpur</t>
  </si>
  <si>
    <t>Belar</t>
  </si>
  <si>
    <t>Jonkha</t>
  </si>
  <si>
    <t>Jnhat</t>
  </si>
  <si>
    <t>Exicom(1F)</t>
  </si>
  <si>
    <t xml:space="preserve">Exicom solar MPPT required, currently zero available</t>
  </si>
  <si>
    <t>DANGALSA</t>
  </si>
  <si>
    <t xml:space="preserve">10 kAV</t>
  </si>
  <si>
    <t xml:space="preserve">AVR Card faulty</t>
  </si>
  <si>
    <t xml:space="preserve">AVR card required</t>
  </si>
  <si>
    <t>CHOTOKHELNA</t>
  </si>
  <si>
    <t>Makarda</t>
  </si>
  <si>
    <t>Panchgeria</t>
  </si>
  <si>
    <t>Chandipur</t>
  </si>
  <si>
    <t>Exicom(75Ah)</t>
  </si>
  <si>
    <t>Radhaban</t>
  </si>
  <si>
    <t xml:space="preserve">20 KVA</t>
  </si>
  <si>
    <t>Mundamari</t>
  </si>
  <si>
    <t>Pinduri</t>
  </si>
  <si>
    <t>Keleara</t>
  </si>
  <si>
    <t>DUJIPUR</t>
  </si>
  <si>
    <t xml:space="preserve">Govardhanpur,Dangal Bazar</t>
  </si>
  <si>
    <t>Basudeopur</t>
  </si>
  <si>
    <t>Aknageria</t>
  </si>
  <si>
    <t>Sutchhara</t>
  </si>
  <si>
    <t>Katapurkur</t>
  </si>
  <si>
    <t xml:space="preserve">JHAPATAPUR SOUTH SIDE</t>
  </si>
  <si>
    <t xml:space="preserve">NEAR GOLE BAZAR RD</t>
  </si>
  <si>
    <t xml:space="preserve">Near Railway Main Hospital</t>
  </si>
  <si>
    <t xml:space="preserve">Kalyan Mandap,Inda</t>
  </si>
  <si>
    <t xml:space="preserve">Near Giri Maidan Station</t>
  </si>
  <si>
    <t xml:space="preserve">Nimpura Post office,Nimpura</t>
  </si>
  <si>
    <t xml:space="preserve">Kharagpur (M)</t>
  </si>
  <si>
    <t xml:space="preserve">Dasha Gram</t>
  </si>
  <si>
    <t>KUCHLI</t>
  </si>
  <si>
    <t>Parulia</t>
  </si>
  <si>
    <t>NYGH-0007</t>
  </si>
  <si>
    <t>Kulbani</t>
  </si>
  <si>
    <t>AMULPUR</t>
  </si>
  <si>
    <t xml:space="preserve">Budh Mangali</t>
  </si>
  <si>
    <t>KULASINI</t>
  </si>
  <si>
    <t>DEBR-0024</t>
  </si>
  <si>
    <t>Maligram</t>
  </si>
  <si>
    <t xml:space="preserve">Paschim Chak</t>
  </si>
  <si>
    <t>Dangra</t>
  </si>
  <si>
    <t>KHRK-0015</t>
  </si>
  <si>
    <t>Sabang</t>
  </si>
  <si>
    <t xml:space="preserve">BAR MAHAMMADPUR</t>
  </si>
  <si>
    <t>Bhua</t>
  </si>
  <si>
    <t>Debhog</t>
  </si>
  <si>
    <t>BURRA</t>
  </si>
  <si>
    <t>NYGH-0019</t>
  </si>
  <si>
    <t>Bhabanipur</t>
  </si>
  <si>
    <t xml:space="preserve">BIMBAL TITIA</t>
  </si>
  <si>
    <t>PAIKBAR</t>
  </si>
  <si>
    <t>DNTO-0002</t>
  </si>
  <si>
    <t>NYGH-0015</t>
  </si>
  <si>
    <t>MANGALPUR</t>
  </si>
  <si>
    <t>DURGAPUR</t>
  </si>
  <si>
    <t xml:space="preserve">AGABAR CHAK</t>
  </si>
  <si>
    <t>Jorura</t>
  </si>
  <si>
    <t>DEBR-0019</t>
  </si>
  <si>
    <t>Sabra</t>
  </si>
  <si>
    <t xml:space="preserve">Shyamsundarpur urf Saimana</t>
  </si>
  <si>
    <t xml:space="preserve">Deuli (CT)</t>
  </si>
  <si>
    <t xml:space="preserve">Balichak (CT)</t>
  </si>
  <si>
    <t>KOTPADA</t>
  </si>
  <si>
    <t>DNTO-0006</t>
  </si>
  <si>
    <t>BIKPURA</t>
  </si>
  <si>
    <t>Turkakashba</t>
  </si>
  <si>
    <t>PING-0008</t>
  </si>
  <si>
    <t>Kashbaasanda</t>
  </si>
  <si>
    <t>Sujatpur</t>
  </si>
  <si>
    <t>Keshiari</t>
  </si>
  <si>
    <t>Golgram</t>
  </si>
  <si>
    <t>Nibhaipuipatna</t>
  </si>
  <si>
    <t>Sankoa</t>
  </si>
  <si>
    <t>Sindurda</t>
  </si>
  <si>
    <t>Saharda</t>
  </si>
  <si>
    <t xml:space="preserve">Mankar Magura</t>
  </si>
  <si>
    <t xml:space="preserve">Hari Charan</t>
  </si>
  <si>
    <t>Barada</t>
  </si>
  <si>
    <t xml:space="preserve">DEWANMARA AYMA</t>
  </si>
  <si>
    <t>Jamuna</t>
  </si>
  <si>
    <t xml:space="preserve">Talberya Ghunghuri Patna</t>
  </si>
  <si>
    <t>Aharmunda</t>
  </si>
  <si>
    <t>Goalara</t>
  </si>
  <si>
    <t>KASHIDA</t>
  </si>
  <si>
    <t>Karhia</t>
  </si>
  <si>
    <t>Sautia</t>
  </si>
  <si>
    <t>KHAGRA</t>
  </si>
  <si>
    <t xml:space="preserve">Kalaikunda (CT)</t>
  </si>
  <si>
    <t>Japhala</t>
  </si>
  <si>
    <t xml:space="preserve">Uttar Eral</t>
  </si>
  <si>
    <t>GOLEBAZAR</t>
  </si>
  <si>
    <t>REMU</t>
  </si>
  <si>
    <t>BEGAMPUR</t>
  </si>
  <si>
    <t xml:space="preserve">NEW SAP ID</t>
  </si>
  <si>
    <t xml:space="preserve">Technician Name (10.03.26)</t>
  </si>
  <si>
    <t>-</t>
  </si>
  <si>
    <t>GOTKOLA</t>
  </si>
  <si>
    <t>KHAMARBAR</t>
  </si>
  <si>
    <t xml:space="preserve">Santinagar Coloni</t>
  </si>
  <si>
    <t>RASUNPUR</t>
  </si>
  <si>
    <t>NADARIA</t>
  </si>
  <si>
    <t>SHOLAGERE</t>
  </si>
  <si>
    <t>RENGTIA</t>
  </si>
  <si>
    <t>PALJAGUL</t>
  </si>
  <si>
    <t>DIHIPALSA</t>
  </si>
  <si>
    <t>MALKURI</t>
  </si>
  <si>
    <t>Mathuri</t>
  </si>
  <si>
    <t>Uparsol</t>
  </si>
  <si>
    <t>KUSUMDAHARI</t>
  </si>
  <si>
    <t>Amlasuli</t>
  </si>
  <si>
    <t>Banshda</t>
  </si>
  <si>
    <t>DINGAL</t>
  </si>
  <si>
    <t>KULDAHA</t>
  </si>
  <si>
    <t>Jagardanga</t>
  </si>
  <si>
    <t>Keshpur</t>
  </si>
  <si>
    <t xml:space="preserve">Durgar Bankati</t>
  </si>
  <si>
    <t>Murakata</t>
  </si>
  <si>
    <t>Ichharia</t>
  </si>
  <si>
    <t>Narsingpur</t>
  </si>
  <si>
    <t>Singpur</t>
  </si>
  <si>
    <t>Anandapur</t>
  </si>
  <si>
    <t>Jagannathpur</t>
  </si>
  <si>
    <t xml:space="preserve">Lakshman Chak</t>
  </si>
  <si>
    <t>Chhitka</t>
  </si>
  <si>
    <t xml:space="preserve">Kshirpai (M)</t>
  </si>
  <si>
    <t>Hetesol</t>
  </si>
  <si>
    <t xml:space="preserve">Ranga Dighi</t>
  </si>
  <si>
    <t>Hatihalka</t>
  </si>
  <si>
    <t xml:space="preserve">Guiya Daha</t>
  </si>
  <si>
    <t xml:space="preserve">Kapta Bankati</t>
  </si>
  <si>
    <t xml:space="preserve">Medinipur (M)</t>
  </si>
  <si>
    <t>Jatra</t>
  </si>
  <si>
    <t>Gamaria</t>
  </si>
  <si>
    <t>Rejna</t>
  </si>
  <si>
    <t>Narasinghapur</t>
  </si>
  <si>
    <t>Ramchandrapur</t>
  </si>
  <si>
    <t>Paramanandapur</t>
  </si>
  <si>
    <t>Patajharia</t>
  </si>
  <si>
    <t>Bandhi</t>
  </si>
  <si>
    <t>Sarbera</t>
  </si>
  <si>
    <t xml:space="preserve">Bali Pata</t>
  </si>
  <si>
    <t>Markha</t>
  </si>
  <si>
    <t xml:space="preserve">Amlagora (CT)</t>
  </si>
  <si>
    <t>Ramnagar</t>
  </si>
  <si>
    <t>Sitapur</t>
  </si>
  <si>
    <t xml:space="preserve">Kubir Chak</t>
  </si>
  <si>
    <t>Chanipat</t>
  </si>
  <si>
    <t>Gurli</t>
  </si>
  <si>
    <t>Thakurhati</t>
  </si>
  <si>
    <t>Elni</t>
  </si>
  <si>
    <t xml:space="preserve">Naba Kola (CT)</t>
  </si>
  <si>
    <t>Bagchhari</t>
  </si>
  <si>
    <t>Krishnapur</t>
  </si>
  <si>
    <t>Kadamdiha</t>
  </si>
  <si>
    <t xml:space="preserve">Chhota Tara</t>
  </si>
  <si>
    <t xml:space="preserve">Sadhak Chak</t>
  </si>
  <si>
    <t>Kamararang</t>
  </si>
  <si>
    <t>Kaijuri</t>
  </si>
  <si>
    <t xml:space="preserve">Sarisha Khola</t>
  </si>
  <si>
    <t>Naranchak</t>
  </si>
  <si>
    <t>DARIGERAI</t>
  </si>
  <si>
    <t>SOYAI</t>
  </si>
  <si>
    <t>PRASADPUR</t>
  </si>
  <si>
    <t xml:space="preserve">SITE NAME</t>
  </si>
  <si>
    <t xml:space="preserve">Energy Status</t>
  </si>
  <si>
    <t xml:space="preserve">Own Site</t>
  </si>
  <si>
    <t xml:space="preserve">Technician PPRJ</t>
  </si>
  <si>
    <t xml:space="preserve">TECHNICIAN Mobile Number</t>
  </si>
  <si>
    <t xml:space="preserve">Attribute SMPS</t>
  </si>
  <si>
    <t xml:space="preserve">Attribute DG</t>
  </si>
  <si>
    <t xml:space="preserve">Attribute BB</t>
  </si>
  <si>
    <t>ASANBONI</t>
  </si>
  <si>
    <t>EB_with_DG</t>
  </si>
  <si>
    <t xml:space="preserve">IP Colo+Hub</t>
  </si>
  <si>
    <t>No</t>
  </si>
  <si>
    <t>PPRJ00026807</t>
  </si>
  <si>
    <t xml:space="preserve">IP Colo</t>
  </si>
  <si>
    <t>CHORCHITA</t>
  </si>
  <si>
    <t>MAHMAHAPAL1</t>
  </si>
  <si>
    <t>PPRJ00064922</t>
  </si>
  <si>
    <t>AMDASOL-2</t>
  </si>
  <si>
    <t>PATINA</t>
  </si>
  <si>
    <t>NAYABASAN</t>
  </si>
  <si>
    <t xml:space="preserve">IP Colo+AirFiber+Hub</t>
  </si>
  <si>
    <t xml:space="preserve">PPRJ Not Available</t>
  </si>
  <si>
    <t xml:space="preserve">SINDURGAUR (JHARGRAM)</t>
  </si>
  <si>
    <t xml:space="preserve">IP Colo+AirFiber</t>
  </si>
  <si>
    <t>PPRJ00105614</t>
  </si>
  <si>
    <t>PPRJ00112193</t>
  </si>
  <si>
    <t xml:space="preserve">BARA SUKHJODA</t>
  </si>
  <si>
    <t>CHAKADOBA</t>
  </si>
  <si>
    <t>PPRJ00023542</t>
  </si>
  <si>
    <t>KAMLAPUR</t>
  </si>
  <si>
    <t xml:space="preserve">IP Colo+Enterprise</t>
  </si>
  <si>
    <t xml:space="preserve">BARA JHARIA</t>
  </si>
  <si>
    <t>PPRJ00017948</t>
  </si>
  <si>
    <t>BIRKAR</t>
  </si>
  <si>
    <t>KATAPAHARI</t>
  </si>
  <si>
    <t xml:space="preserve">IP Colo+Enterprise+Hub</t>
  </si>
  <si>
    <t>ANDGARIA</t>
  </si>
  <si>
    <t>PPRJ00032132</t>
  </si>
  <si>
    <t>KANKO</t>
  </si>
  <si>
    <t>BENASULI</t>
  </si>
  <si>
    <t>DARIA</t>
  </si>
  <si>
    <t>PPRJ00158636</t>
  </si>
  <si>
    <t>SANKRAIL</t>
  </si>
  <si>
    <t>HARAPARIA</t>
  </si>
  <si>
    <t>FULSUNDRI</t>
  </si>
  <si>
    <t>SABALMARA</t>
  </si>
  <si>
    <t>JHARGRAM-3-4B</t>
  </si>
  <si>
    <t>BANDHGORA</t>
  </si>
  <si>
    <t>P1+Hub</t>
  </si>
  <si>
    <t>BALIA</t>
  </si>
  <si>
    <t>TOPSIYA</t>
  </si>
  <si>
    <t>P1+ENTERPRISE+Hub+MDS</t>
  </si>
  <si>
    <t>SONARIMARA</t>
  </si>
  <si>
    <t>KAMALASOLE</t>
  </si>
  <si>
    <t>RAIBONI</t>
  </si>
  <si>
    <t>EB_ONLY</t>
  </si>
  <si>
    <t>SAWRGOCHHIRA</t>
  </si>
  <si>
    <t>DG_with_EB_and_Solar</t>
  </si>
  <si>
    <t>MAHULBONI</t>
  </si>
  <si>
    <t>Shyamsundarpur</t>
  </si>
  <si>
    <t>GOPIBALLAVPUR</t>
  </si>
  <si>
    <t xml:space="preserve">REHARA GHUTU</t>
  </si>
  <si>
    <t xml:space="preserve">Vison 100 AH 2 battery faulty out of 3, Backup 30 mins</t>
  </si>
  <si>
    <t xml:space="preserve">Pushpak faulty</t>
  </si>
  <si>
    <t>100ah*3</t>
  </si>
  <si>
    <t xml:space="preserve">Single delta RM</t>
  </si>
  <si>
    <t xml:space="preserve">KUSH PARA RASUA</t>
  </si>
  <si>
    <t xml:space="preserve">DGB not available</t>
  </si>
  <si>
    <t xml:space="preserve">MANIKPARA STATION</t>
  </si>
  <si>
    <t>TARAPUR</t>
  </si>
  <si>
    <t>P1+ENTERPRISE+Hub</t>
  </si>
  <si>
    <t xml:space="preserve">Vison 100 AH 2 battery faulty out of 5, Backup 90 mins</t>
  </si>
  <si>
    <t>SUGNIBASA</t>
  </si>
  <si>
    <t>JAYGERIA</t>
  </si>
  <si>
    <t>1T-GTL+ENTERPRISE</t>
  </si>
  <si>
    <t>P1+ENTERPRISE</t>
  </si>
  <si>
    <t>KASHIA</t>
  </si>
  <si>
    <t>KADAMKANAN</t>
  </si>
  <si>
    <t xml:space="preserve">OLT+AIr Fiber+Hub</t>
  </si>
  <si>
    <t>OLT+ENTERPRISE+AirFiber+Hub</t>
  </si>
  <si>
    <t>P1+AirFiber</t>
  </si>
  <si>
    <t xml:space="preserve">BOLORAM DIHI</t>
  </si>
  <si>
    <t xml:space="preserve">JAIL KHANA MORE</t>
  </si>
  <si>
    <t>NEDABAHARA</t>
  </si>
  <si>
    <t>P1+AirFiber+Enterprise+Hub</t>
  </si>
  <si>
    <t>P1+AirFiber+Hub</t>
  </si>
  <si>
    <t>RP1+AirFiber</t>
  </si>
  <si>
    <t>SAKHISHOLE</t>
  </si>
  <si>
    <t>PPRJ00059814</t>
  </si>
  <si>
    <t>ILA+Hub</t>
  </si>
  <si>
    <t>PATHRACHAKRI</t>
  </si>
  <si>
    <t>ODOLCHUA</t>
  </si>
  <si>
    <t>CHURIMARA</t>
  </si>
  <si>
    <t>KANKRAJHORE</t>
  </si>
  <si>
    <t>JAMBONI</t>
  </si>
  <si>
    <t>GOHALBERA</t>
  </si>
  <si>
    <t>CHOLAGARA</t>
  </si>
  <si>
    <t>SUSNIJUBI</t>
  </si>
  <si>
    <t xml:space="preserve">KUCHLA PAHARI</t>
  </si>
  <si>
    <t>BARARA</t>
  </si>
  <si>
    <t>PARULIA</t>
  </si>
  <si>
    <t>RP1+MDS</t>
  </si>
  <si>
    <t>AG1+Hub</t>
  </si>
  <si>
    <t xml:space="preserve">KHARIKA MATHANI</t>
  </si>
  <si>
    <t>BHALUKTARA</t>
  </si>
  <si>
    <t>LALGAR</t>
  </si>
  <si>
    <t xml:space="preserve">LODHA SULI</t>
  </si>
  <si>
    <t>AG1+MDS+Hub</t>
  </si>
  <si>
    <t>JITUSOLE</t>
  </si>
  <si>
    <t>GOJASIMUL</t>
  </si>
  <si>
    <t xml:space="preserve">New Vertiv SMPS installed reachablity pending</t>
  </si>
  <si>
    <t xml:space="preserve">Coslight 100ah 1 battery faulty out of 2, Backup 20 mins</t>
  </si>
  <si>
    <t>DALKATI</t>
  </si>
  <si>
    <t>KALSIBHANGA</t>
  </si>
  <si>
    <t>KAMARBANDHI</t>
  </si>
  <si>
    <t>SUKNAKHALI</t>
  </si>
  <si>
    <t>BARIA</t>
  </si>
  <si>
    <t xml:space="preserve">New Exicom SMPS installed reachablity pending</t>
  </si>
  <si>
    <t>PARIHATI</t>
  </si>
  <si>
    <t>TULSHIBONI</t>
  </si>
  <si>
    <t>SALCHATURI</t>
  </si>
  <si>
    <t>JAYNAGAR</t>
  </si>
  <si>
    <t>PAPATPUR</t>
  </si>
  <si>
    <t>GIDHNI</t>
  </si>
  <si>
    <t>MAGURA</t>
  </si>
  <si>
    <t>BARASULI</t>
  </si>
  <si>
    <t>P1+ENTERPRISE+MDS</t>
  </si>
  <si>
    <t>JABNIKATA</t>
  </si>
  <si>
    <t xml:space="preserve">DUMURIA SIRISIBONI</t>
  </si>
  <si>
    <t>ANDHARI</t>
  </si>
  <si>
    <t>RGUN-9026</t>
  </si>
  <si>
    <t>BAGHUASOLE</t>
  </si>
  <si>
    <t>RAGRA</t>
  </si>
  <si>
    <t>LAUDAHA</t>
  </si>
  <si>
    <t>BANKRA</t>
  </si>
  <si>
    <t>SONAMUI</t>
  </si>
  <si>
    <t>JHARIA</t>
  </si>
  <si>
    <t>MAHAPAL</t>
  </si>
  <si>
    <t>Chandabila</t>
  </si>
  <si>
    <t>Kurkutsol</t>
  </si>
  <si>
    <t xml:space="preserve">Chhota Ektal</t>
  </si>
  <si>
    <t>ANGRAGERYA</t>
  </si>
  <si>
    <t xml:space="preserve">Kharika Mathani</t>
  </si>
  <si>
    <t>Binpur</t>
  </si>
  <si>
    <t xml:space="preserve">Gohal Diha</t>
  </si>
  <si>
    <t>BINO008</t>
  </si>
  <si>
    <t>Kui</t>
  </si>
  <si>
    <t>Satpukharia</t>
  </si>
  <si>
    <t>Ragra</t>
  </si>
  <si>
    <t>Belia</t>
  </si>
  <si>
    <t>BANKSOL</t>
  </si>
  <si>
    <t xml:space="preserve">Shona Konia</t>
  </si>
  <si>
    <t>Shanrpura</t>
  </si>
  <si>
    <t>Laudaha</t>
  </si>
  <si>
    <t>Swargachhira</t>
  </si>
  <si>
    <t>Ergoda</t>
  </si>
  <si>
    <t>Guri</t>
  </si>
  <si>
    <t xml:space="preserve">Shilda (CT)</t>
  </si>
  <si>
    <t xml:space="preserve">Jhargram (M)</t>
  </si>
  <si>
    <t>Patashimul</t>
  </si>
  <si>
    <t xml:space="preserve">Asaneswar (Asan Bani)</t>
  </si>
  <si>
    <t>Bajari</t>
  </si>
  <si>
    <t>Mandar</t>
  </si>
  <si>
    <t>Murakati</t>
  </si>
  <si>
    <t>KUSHMAR</t>
  </si>
  <si>
    <t xml:space="preserve">BARA KATI</t>
  </si>
  <si>
    <t>Kiamachha</t>
  </si>
  <si>
    <t>Sankrail</t>
  </si>
  <si>
    <t>Sinhapur</t>
  </si>
  <si>
    <t>EKDAL</t>
  </si>
  <si>
    <t xml:space="preserve">SL No</t>
  </si>
  <si>
    <t xml:space="preserve">Sap ID</t>
  </si>
  <si>
    <t>TECHNICIAN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</si>
</sst>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0000"/>
  </numFmts>
  <fonts count="21">
    <font>
      <sz val="11.000000"/>
      <color theme="1"/>
      <name val="Calibri"/>
      <scheme val="minor"/>
    </font>
    <font>
      <sz val="8.000000"/>
      <color theme="1"/>
      <name val="Calibri"/>
      <scheme val="minor"/>
    </font>
    <font>
      <sz val="8.000000"/>
      <name val="Calibri"/>
      <scheme val="minor"/>
    </font>
    <font>
      <sz val="9.000000"/>
      <name val="Calibri"/>
      <scheme val="minor"/>
    </font>
    <font>
      <sz val="9.000000"/>
      <name val="Inherit"/>
    </font>
    <font>
      <sz val="9.000000"/>
      <color theme="1"/>
      <name val="Calibri"/>
      <scheme val="minor"/>
    </font>
    <font>
      <sz val="9.000000"/>
      <name val="Aptos"/>
    </font>
    <font>
      <sz val="10.000000"/>
      <color theme="1"/>
      <name val="Calibri"/>
      <scheme val="minor"/>
    </font>
    <font>
      <sz val="10.000000"/>
      <name val="Calibri"/>
      <scheme val="minor"/>
    </font>
    <font>
      <b/>
      <sz val="10.000000"/>
      <color theme="1"/>
      <name val="Calibri"/>
      <scheme val="minor"/>
    </font>
    <font>
      <sz val="8.000000"/>
      <name val="Calibri"/>
    </font>
    <font>
      <sz val="11.000000"/>
      <color rgb="FFC00000"/>
      <name val="Calibri"/>
      <scheme val="minor"/>
    </font>
    <font>
      <sz val="11.000000"/>
      <color rgb="FF7030A0"/>
      <name val="Calibri"/>
      <scheme val="minor"/>
    </font>
    <font>
      <b/>
      <i/>
      <sz val="11.000000"/>
      <color theme="1"/>
      <name val="Calibri"/>
      <scheme val="minor"/>
    </font>
    <font>
      <b/>
      <i/>
      <sz val="11.000000"/>
      <color indexed="2"/>
      <name val="Calibri"/>
      <scheme val="minor"/>
    </font>
    <font>
      <b/>
      <sz val="11.000000"/>
      <color theme="1"/>
      <name val="Calibri"/>
      <scheme val="minor"/>
    </font>
    <font>
      <sz val="12.000000"/>
      <color theme="1"/>
      <name val="Calibri"/>
      <scheme val="minor"/>
    </font>
    <font>
      <b/>
      <sz val="10.000000"/>
      <name val="Calibri"/>
      <scheme val="minor"/>
    </font>
    <font>
      <b/>
      <sz val="9.000000"/>
      <color theme="1"/>
      <name val="Calibri"/>
      <scheme val="minor"/>
    </font>
    <font>
      <b/>
      <sz val="11.000000"/>
      <name val="Calibri"/>
      <scheme val="minor"/>
    </font>
    <font>
      <b/>
      <i/>
      <sz val="9.000000"/>
      <color theme="1"/>
      <name val="Calibri Light"/>
      <scheme val="major"/>
    </font>
  </fonts>
  <fills count="37">
    <fill>
      <patternFill patternType="none"/>
    </fill>
    <fill>
      <patternFill patternType="gray125"/>
    </fill>
    <fill>
      <patternFill patternType="solid">
        <fgColor theme="4" tint="0.59999389629810485"/>
      </patternFill>
    </fill>
    <fill>
      <patternFill patternType="solid">
        <fgColor rgb="FF00B0F0"/>
      </patternFill>
    </fill>
    <fill>
      <patternFill patternType="solid">
        <fgColor theme="5" tint="0.59999389629810485"/>
      </patternFill>
    </fill>
    <fill>
      <patternFill patternType="solid">
        <fgColor indexed="5"/>
      </patternFill>
    </fill>
    <fill>
      <patternFill patternType="solid">
        <fgColor theme="7" tint="0.39997558519241921"/>
      </patternFill>
    </fill>
    <fill>
      <patternFill patternType="solid">
        <fgColor theme="4" tint="0.39997558519241921"/>
      </patternFill>
    </fill>
    <fill>
      <patternFill patternType="solid">
        <fgColor theme="0"/>
      </patternFill>
    </fill>
    <fill>
      <patternFill patternType="solid">
        <fgColor rgb="FFFFC000"/>
      </patternFill>
    </fill>
    <fill>
      <patternFill patternType="solid">
        <fgColor indexed="65"/>
      </patternFill>
    </fill>
    <fill>
      <patternFill patternType="solid">
        <fgColor theme="5" tint="0.39997558519241921"/>
      </patternFill>
    </fill>
    <fill>
      <patternFill patternType="solid">
        <fgColor indexed="5"/>
        <bgColor indexed="5"/>
      </patternFill>
    </fill>
    <fill>
      <patternFill patternType="solid">
        <fgColor theme="9" tint="0.79998168889431442"/>
        <bgColor theme="9" tint="0.79998168889431442"/>
      </patternFill>
    </fill>
    <fill>
      <patternFill patternType="solid">
        <fgColor theme="5" tint="0.39997558519241921"/>
        <bgColor theme="5" tint="0.39997558519241921"/>
      </patternFill>
    </fill>
    <fill>
      <patternFill patternType="solid">
        <fgColor theme="1" tint="0.249977111117893"/>
        <bgColor theme="1" tint="0.249977111117893"/>
      </patternFill>
    </fill>
    <fill>
      <patternFill patternType="solid">
        <fgColor theme="9" tint="0"/>
        <bgColor theme="9" tint="0"/>
      </patternFill>
    </fill>
    <fill>
      <patternFill patternType="solid">
        <fgColor theme="7" tint="-0.249977111117893"/>
        <bgColor theme="7" tint="-0.249977111117893"/>
      </patternFill>
    </fill>
    <fill>
      <patternFill patternType="solid">
        <fgColor rgb="FF0070C0"/>
        <bgColor rgb="FF0070C0"/>
      </patternFill>
    </fill>
    <fill>
      <patternFill patternType="solid">
        <fgColor theme="3" tint="0.39997558519241921"/>
        <bgColor theme="3" tint="0.39997558519241921"/>
      </patternFill>
    </fill>
    <fill>
      <patternFill patternType="solid">
        <fgColor theme="8" tint="-0.499984740745262"/>
        <bgColor theme="8" tint="-0.499984740745262"/>
      </patternFill>
    </fill>
    <fill>
      <patternFill patternType="solid">
        <fgColor rgb="FFC00000"/>
        <bgColor rgb="FFC00000"/>
      </patternFill>
    </fill>
    <fill>
      <patternFill patternType="solid">
        <fgColor theme="4" tint="0.59999389629810485"/>
        <bgColor theme="4" tint="0.59999389629810485"/>
      </patternFill>
    </fill>
    <fill>
      <patternFill patternType="solid">
        <fgColor theme="5" tint="-0.249977111117893"/>
        <bgColor theme="5" tint="-0.249977111117893"/>
      </patternFill>
    </fill>
    <fill>
      <patternFill patternType="solid">
        <fgColor theme="9" tint="-0.249977111117893"/>
        <bgColor theme="9" tint="-0.249977111117893"/>
      </patternFill>
    </fill>
    <fill>
      <patternFill patternType="solid">
        <fgColor theme="4" tint="0.79998168889431442"/>
        <bgColor theme="4" tint="0.79998168889431442"/>
      </patternFill>
    </fill>
    <fill>
      <patternFill patternType="solid">
        <fgColor theme="0" tint="0"/>
        <bgColor theme="0" tint="0"/>
      </patternFill>
    </fill>
    <fill>
      <patternFill patternType="solid">
        <fgColor theme="0" tint="-0.14999847407452621"/>
      </patternFill>
    </fill>
    <fill>
      <patternFill patternType="solid">
        <fgColor rgb="FF92D050"/>
      </patternFill>
    </fill>
    <fill>
      <patternFill patternType="solid">
        <fgColor indexed="2"/>
      </patternFill>
    </fill>
    <fill>
      <patternFill patternType="solid">
        <fgColor rgb="FF00B050"/>
      </patternFill>
    </fill>
    <fill>
      <patternFill patternType="solid">
        <fgColor theme="6" tint="0.39997558519241921"/>
      </patternFill>
    </fill>
    <fill>
      <patternFill patternType="solid">
        <fgColor theme="5" tint="-0.249977111117893"/>
      </patternFill>
    </fill>
    <fill>
      <patternFill patternType="solid">
        <fgColor theme="3" tint="0.39997558519241921"/>
      </patternFill>
    </fill>
    <fill>
      <patternFill patternType="solid">
        <fgColor theme="9"/>
      </patternFill>
    </fill>
    <fill>
      <patternFill patternType="solid">
        <fgColor indexed="43"/>
      </patternFill>
    </fill>
    <fill>
      <patternFill patternType="solid">
        <fgColor theme="5" tint="0.79998168889431442"/>
      </patternFill>
    </fill>
  </fills>
  <borders count="15">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thin">
        <color auto="1"/>
      </top>
      <bottom style="thin">
        <color auto="1"/>
      </bottom>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thin">
        <color theme="1"/>
      </right>
      <top style="none"/>
      <bottom style="none"/>
      <diagonal style="none"/>
    </border>
    <border>
      <left style="thin">
        <color theme="1"/>
      </left>
      <right style="thin">
        <color theme="1"/>
      </right>
      <top style="none"/>
      <bottom style="thin">
        <color theme="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indexed="2"/>
      </left>
      <right style="thin">
        <color indexed="2"/>
      </right>
      <top style="thin">
        <color indexed="2"/>
      </top>
      <bottom style="thin">
        <color indexed="2"/>
      </bottom>
      <diagonal style="none"/>
    </border>
    <border>
      <left style="thin">
        <color indexed="2"/>
      </left>
      <right style="thin">
        <color indexed="2"/>
      </right>
      <top style="none"/>
      <bottom style="thin">
        <color indexed="2"/>
      </bottom>
      <diagonal style="none"/>
    </border>
  </borders>
  <cellStyleXfs count="1">
    <xf fontId="0" fillId="0" borderId="0" numFmtId="0" applyNumberFormat="1" applyFont="1" applyFill="1" applyBorder="1"/>
  </cellStyleXfs>
  <cellXfs count="140">
    <xf fontId="0" fillId="0" borderId="0" numFmtId="0" xfId="0"/>
    <xf fontId="1" fillId="2" borderId="1" numFmtId="0" xfId="0" applyFont="1" applyFill="1" applyBorder="1" applyAlignment="1">
      <alignment horizontal="center" vertical="center"/>
    </xf>
    <xf fontId="2" fillId="2" borderId="1" numFmtId="0" xfId="0" applyFont="1" applyFill="1" applyBorder="1" applyAlignment="1">
      <alignment horizontal="center" vertical="center"/>
    </xf>
    <xf fontId="2" fillId="2" borderId="2" numFmtId="0" xfId="0" applyFont="1" applyFill="1" applyBorder="1" applyAlignment="1">
      <alignment horizontal="center" vertical="center"/>
    </xf>
    <xf fontId="1" fillId="2" borderId="1" numFmtId="0" xfId="0" applyFont="1" applyFill="1" applyBorder="1" applyAlignment="1">
      <alignment horizontal="center" vertical="center" wrapText="1"/>
    </xf>
    <xf fontId="1" fillId="2" borderId="2" numFmtId="0" xfId="0" applyFont="1" applyFill="1" applyBorder="1" applyAlignment="1">
      <alignment horizontal="center" vertical="center" wrapText="1"/>
    </xf>
    <xf fontId="1" fillId="2" borderId="2" numFmtId="0" xfId="0" applyFont="1" applyFill="1" applyBorder="1" applyAlignment="1">
      <alignment horizontal="center" vertical="center"/>
    </xf>
    <xf fontId="1" fillId="3" borderId="1" numFmtId="0" xfId="0" applyFont="1" applyFill="1" applyBorder="1" applyAlignment="1">
      <alignment horizontal="center" vertical="center"/>
    </xf>
    <xf fontId="1" fillId="4" borderId="1" numFmtId="0" xfId="0" applyFont="1" applyFill="1" applyBorder="1" applyAlignment="1">
      <alignment horizontal="center" vertical="center"/>
    </xf>
    <xf fontId="1" fillId="5" borderId="1" numFmtId="0" xfId="0" applyFont="1" applyFill="1" applyBorder="1" applyAlignment="1">
      <alignment horizontal="center" vertical="center"/>
    </xf>
    <xf fontId="1" fillId="6" borderId="1" numFmtId="0" xfId="0" applyFont="1" applyFill="1" applyBorder="1" applyAlignment="1">
      <alignment horizontal="center" vertical="center" wrapText="1"/>
    </xf>
    <xf fontId="1" fillId="7" borderId="1" numFmtId="0" xfId="0" applyFont="1" applyFill="1" applyBorder="1" applyAlignment="1">
      <alignment horizontal="center" vertical="center"/>
    </xf>
    <xf fontId="0" fillId="3" borderId="1" numFmtId="0" xfId="0" applyFill="1" applyBorder="1" applyAlignment="1">
      <alignment horizontal="center" vertical="center"/>
    </xf>
    <xf fontId="2" fillId="2" borderId="3" numFmtId="0" xfId="0" applyFont="1" applyFill="1" applyBorder="1" applyAlignment="1">
      <alignment horizontal="center" vertical="center"/>
    </xf>
    <xf fontId="1" fillId="2" borderId="3" numFmtId="0" xfId="0" applyFont="1" applyFill="1" applyBorder="1" applyAlignment="1">
      <alignment horizontal="center" vertical="center" wrapText="1"/>
    </xf>
    <xf fontId="1" fillId="2" borderId="3" numFmtId="0" xfId="0" applyFont="1" applyFill="1" applyBorder="1" applyAlignment="1">
      <alignment horizontal="center" vertical="center"/>
    </xf>
    <xf fontId="1" fillId="6" borderId="1" numFmtId="0" xfId="0" applyFont="1" applyFill="1" applyBorder="1" applyAlignment="1">
      <alignment horizontal="center" vertical="center"/>
    </xf>
    <xf fontId="0" fillId="0" borderId="1" numFmtId="0" xfId="0" applyBorder="1" applyAlignment="1">
      <alignment horizontal="center" vertical="center"/>
    </xf>
    <xf fontId="3" fillId="8" borderId="1" numFmtId="0" xfId="0" applyFont="1" applyFill="1" applyBorder="1" applyAlignment="1">
      <alignment horizontal="center" vertical="center"/>
    </xf>
    <xf fontId="4" fillId="8" borderId="1" numFmtId="0" xfId="0" applyFont="1" applyFill="1" applyBorder="1" applyAlignment="1">
      <alignment horizontal="center" vertical="center"/>
    </xf>
    <xf fontId="5" fillId="8" borderId="1" numFmtId="0" xfId="0" applyFont="1" applyFill="1" applyBorder="1" applyAlignment="1">
      <alignment horizontal="center" vertical="center"/>
    </xf>
    <xf fontId="6" fillId="8" borderId="1" numFmtId="0" xfId="0" applyFont="1" applyFill="1" applyBorder="1" applyAlignment="1">
      <alignment horizontal="center" vertical="center"/>
    </xf>
    <xf fontId="0" fillId="0" borderId="1" numFmtId="0" xfId="0" applyBorder="1" applyAlignment="1">
      <alignment horizontal="left" vertical="center"/>
    </xf>
    <xf fontId="0" fillId="0" borderId="1" numFmtId="0" xfId="0" applyBorder="1" applyAlignment="1">
      <alignment vertical="center"/>
    </xf>
    <xf fontId="4" fillId="8" borderId="1" numFmtId="0" xfId="0" applyFont="1" applyFill="1" applyBorder="1" applyAlignment="1">
      <alignment horizontal="center" vertical="center" wrapText="1"/>
    </xf>
    <xf fontId="7" fillId="8" borderId="1" numFmtId="0" xfId="0" applyFont="1" applyFill="1" applyBorder="1" applyAlignment="1">
      <alignment horizontal="center" vertical="center"/>
    </xf>
    <xf fontId="0" fillId="0" borderId="2" numFmtId="0" xfId="0" applyBorder="1" applyAlignment="1">
      <alignment horizontal="center" vertical="center"/>
    </xf>
    <xf fontId="0" fillId="0" borderId="4" numFmtId="0" xfId="0" applyBorder="1" applyAlignment="1">
      <alignment horizontal="center" vertical="center"/>
    </xf>
    <xf fontId="0" fillId="0" borderId="5" numFmtId="0" xfId="0" applyBorder="1"/>
    <xf fontId="0" fillId="0" borderId="3" numFmtId="0" xfId="0" applyBorder="1" applyAlignment="1">
      <alignment horizontal="center" vertical="center"/>
    </xf>
    <xf fontId="8" fillId="8" borderId="1" numFmtId="0" xfId="0" applyFont="1" applyFill="1" applyBorder="1" applyAlignment="1">
      <alignment horizontal="center" vertical="center"/>
    </xf>
    <xf fontId="7" fillId="5" borderId="1" numFmtId="0" xfId="0" applyFont="1" applyFill="1" applyBorder="1" applyAlignment="1">
      <alignment horizontal="center" vertical="center"/>
    </xf>
    <xf fontId="7" fillId="9" borderId="1" numFmtId="0" xfId="0" applyFont="1" applyFill="1" applyBorder="1" applyAlignment="1">
      <alignment horizontal="center" vertical="center"/>
    </xf>
    <xf fontId="0" fillId="8" borderId="1" numFmtId="0" xfId="0" applyFill="1" applyBorder="1" applyAlignment="1">
      <alignment horizontal="center" vertical="center"/>
    </xf>
    <xf fontId="1" fillId="8" borderId="1" numFmtId="0" xfId="0" applyFont="1" applyFill="1" applyBorder="1" applyAlignment="1">
      <alignment horizontal="center" vertical="center"/>
    </xf>
    <xf fontId="1" fillId="10" borderId="1" numFmtId="0" xfId="0" applyFont="1" applyFill="1" applyBorder="1" applyAlignment="1">
      <alignment horizontal="center" vertical="center"/>
    </xf>
    <xf fontId="9" fillId="0" borderId="1" numFmtId="0" xfId="0" applyFont="1" applyBorder="1" applyAlignment="1">
      <alignment horizontal="center" vertical="center"/>
    </xf>
    <xf fontId="0" fillId="0" borderId="1" numFmtId="0" xfId="0" applyBorder="1" applyAlignment="1">
      <alignment horizontal="left" vertical="top"/>
    </xf>
    <xf fontId="2" fillId="10" borderId="1" numFmtId="0" xfId="0" applyFont="1" applyFill="1" applyBorder="1" applyAlignment="1">
      <alignment horizontal="center" vertical="center"/>
    </xf>
    <xf fontId="0" fillId="0" borderId="5" numFmtId="0" xfId="0" applyBorder="1" applyAlignment="1">
      <alignment horizontal="center"/>
    </xf>
    <xf fontId="0" fillId="0" borderId="5" numFmtId="0" xfId="0" applyBorder="1" applyAlignment="1">
      <alignment horizontal="center" vertical="center"/>
    </xf>
    <xf fontId="2" fillId="0" borderId="1" numFmtId="0" xfId="0" applyFont="1" applyBorder="1" applyAlignment="1">
      <alignment horizontal="center" vertical="center"/>
    </xf>
    <xf fontId="1" fillId="0" borderId="1" numFmtId="0" xfId="0" applyFont="1" applyBorder="1" applyAlignment="1">
      <alignment horizontal="center" vertical="center"/>
    </xf>
    <xf fontId="7" fillId="0" borderId="1" numFmtId="0" xfId="0" applyFont="1" applyBorder="1" applyAlignment="1">
      <alignment horizontal="center" vertical="center"/>
    </xf>
    <xf fontId="7" fillId="8" borderId="1" numFmtId="15" xfId="0" applyNumberFormat="1" applyFont="1" applyFill="1" applyBorder="1" applyAlignment="1">
      <alignment horizontal="center" vertical="center"/>
    </xf>
    <xf fontId="1" fillId="11" borderId="1" numFmtId="0" xfId="0" applyFont="1" applyFill="1" applyBorder="1" applyAlignment="1">
      <alignment horizontal="center" vertical="center"/>
    </xf>
    <xf fontId="10" fillId="0" borderId="1" numFmtId="0" xfId="0" applyFont="1" applyBorder="1" applyAlignment="1">
      <alignment horizontal="center" vertical="center"/>
    </xf>
    <xf fontId="0" fillId="0" borderId="0" numFmtId="0" xfId="0" applyAlignment="1">
      <alignment horizontal="left"/>
    </xf>
    <xf fontId="0" fillId="0" borderId="0" numFmtId="0" xfId="0"/>
    <xf fontId="0" fillId="12" borderId="0" numFmtId="0" xfId="0" applyFill="1" applyAlignment="1">
      <alignment horizontal="left"/>
    </xf>
    <xf fontId="0" fillId="12" borderId="0" numFmtId="0" xfId="0" applyFill="1"/>
    <xf fontId="0" fillId="12" borderId="0" numFmtId="0" xfId="0" applyFill="1"/>
    <xf fontId="0" fillId="13" borderId="5" numFmtId="0" xfId="0" applyFill="1" applyBorder="1" applyAlignment="1">
      <alignment horizontal="center"/>
    </xf>
    <xf fontId="0" fillId="14" borderId="5" numFmtId="0" xfId="0" applyFill="1" applyBorder="1"/>
    <xf fontId="11" fillId="15" borderId="5" numFmtId="0" xfId="0" applyFont="1" applyFill="1" applyBorder="1" applyAlignment="1">
      <alignment horizontal="center"/>
    </xf>
    <xf fontId="0" fillId="16" borderId="5" numFmtId="0" xfId="0" applyFill="1" applyBorder="1"/>
    <xf fontId="12" fillId="17" borderId="5" numFmtId="0" xfId="0" applyFont="1" applyFill="1" applyBorder="1"/>
    <xf fontId="0" fillId="18" borderId="5" numFmtId="0" xfId="0" applyFill="1" applyBorder="1" applyAlignment="1">
      <alignment horizontal="center"/>
    </xf>
    <xf fontId="0" fillId="19" borderId="5" numFmtId="0" xfId="0" applyFill="1" applyBorder="1"/>
    <xf fontId="0" fillId="20" borderId="5" numFmtId="0" xfId="0" applyFill="1" applyBorder="1" applyAlignment="1">
      <alignment horizontal="center"/>
    </xf>
    <xf fontId="0" fillId="21" borderId="5" numFmtId="0" xfId="0" applyFill="1" applyBorder="1"/>
    <xf fontId="0" fillId="18" borderId="5" numFmtId="0" xfId="0" applyFill="1" applyBorder="1"/>
    <xf fontId="0" fillId="14" borderId="5" numFmtId="0" xfId="0" applyFill="1" applyBorder="1" applyAlignment="1">
      <alignment horizontal="center"/>
    </xf>
    <xf fontId="0" fillId="22" borderId="5" numFmtId="0" xfId="0" applyFill="1" applyBorder="1"/>
    <xf fontId="0" fillId="23" borderId="5" numFmtId="0" xfId="0" applyFill="1" applyBorder="1"/>
    <xf fontId="0" fillId="24" borderId="5" numFmtId="0" xfId="0" applyFill="1" applyBorder="1"/>
    <xf fontId="9" fillId="0" borderId="5" numFmtId="0" xfId="0" applyFont="1" applyBorder="1" applyAlignment="1">
      <alignment horizontal="center" vertical="center"/>
    </xf>
    <xf fontId="0" fillId="0" borderId="5" numFmtId="0" xfId="0" applyBorder="1" applyAlignment="1">
      <alignment horizontal="left" vertical="center"/>
    </xf>
    <xf fontId="0" fillId="0" borderId="0" numFmtId="0" xfId="0" applyAlignment="1">
      <alignment horizontal="left" vertical="center"/>
    </xf>
    <xf fontId="13" fillId="25" borderId="5" numFmtId="0" xfId="0" applyFont="1" applyFill="1" applyBorder="1" applyAlignment="1">
      <alignment horizontal="center" vertical="center"/>
    </xf>
    <xf fontId="14" fillId="25" borderId="5" numFmtId="0" xfId="0" applyFont="1" applyFill="1" applyBorder="1" applyAlignment="1">
      <alignment horizontal="center" vertical="center"/>
    </xf>
    <xf fontId="0" fillId="24" borderId="5" numFmtId="0" xfId="0" applyFill="1" applyBorder="1" applyAlignment="1">
      <alignment horizontal="left" vertical="center"/>
    </xf>
    <xf fontId="15" fillId="0" borderId="5" numFmtId="0" xfId="0" applyFont="1" applyBorder="1" applyAlignment="1">
      <alignment horizontal="center" vertical="center"/>
    </xf>
    <xf fontId="15" fillId="0" borderId="5" numFmtId="0" xfId="0" applyFont="1" applyBorder="1" applyAlignment="1">
      <alignment horizontal="center"/>
    </xf>
    <xf fontId="0" fillId="0" borderId="0" numFmtId="0" xfId="0" applyAlignment="1">
      <alignment horizontal="center" vertical="center"/>
    </xf>
    <xf fontId="0" fillId="12" borderId="5" numFmtId="0" xfId="0" applyFill="1" applyBorder="1"/>
    <xf fontId="0" fillId="26" borderId="5" numFmtId="0" xfId="0" applyFill="1" applyBorder="1"/>
    <xf fontId="0" fillId="24" borderId="6" numFmtId="0" xfId="0" applyFill="1" applyBorder="1"/>
    <xf fontId="0" fillId="0" borderId="7" numFmtId="0" xfId="0" applyBorder="1"/>
    <xf fontId="16" fillId="24" borderId="1" numFmtId="0" xfId="0" applyFont="1" applyFill="1" applyBorder="1" applyAlignment="1">
      <alignment horizontal="left" vertical="center"/>
    </xf>
    <xf fontId="0" fillId="0" borderId="8" numFmtId="0" xfId="0" applyBorder="1" applyAlignment="1">
      <alignment horizontal="center"/>
    </xf>
    <xf fontId="7" fillId="24" borderId="1" numFmtId="0" xfId="0" applyFont="1" applyFill="1" applyBorder="1" applyAlignment="1">
      <alignment horizontal="left" vertical="center"/>
    </xf>
    <xf fontId="0" fillId="12" borderId="1" numFmtId="0" xfId="0" applyFill="1" applyBorder="1" applyAlignment="1">
      <alignment horizontal="left" vertical="center"/>
    </xf>
    <xf fontId="0" fillId="0" borderId="9" numFmtId="0" xfId="0" applyBorder="1"/>
    <xf fontId="0" fillId="8" borderId="1" numFmtId="0" xfId="0" applyFill="1" applyBorder="1" applyAlignment="1">
      <alignment horizontal="left" vertical="center"/>
    </xf>
    <xf fontId="0" fillId="0" borderId="10" numFmtId="0" xfId="0" applyBorder="1"/>
    <xf fontId="0" fillId="0" borderId="0" numFmtId="0" xfId="0" applyAlignment="1">
      <alignment horizontal="center"/>
    </xf>
    <xf fontId="1" fillId="3" borderId="4" numFmtId="0" xfId="0" applyFont="1" applyFill="1" applyBorder="1" applyAlignment="1">
      <alignment horizontal="center" vertical="center"/>
    </xf>
    <xf fontId="1" fillId="3" borderId="11" numFmtId="0" xfId="0" applyFont="1" applyFill="1" applyBorder="1" applyAlignment="1">
      <alignment horizontal="center" vertical="center"/>
    </xf>
    <xf fontId="1" fillId="3" borderId="12" numFmtId="0" xfId="0" applyFont="1" applyFill="1" applyBorder="1" applyAlignment="1">
      <alignment horizontal="center" vertical="center"/>
    </xf>
    <xf fontId="1" fillId="4" borderId="4" numFmtId="0" xfId="0" applyFont="1" applyFill="1" applyBorder="1" applyAlignment="1">
      <alignment horizontal="center" vertical="center"/>
    </xf>
    <xf fontId="1" fillId="4" borderId="11" numFmtId="0" xfId="0" applyFont="1" applyFill="1" applyBorder="1" applyAlignment="1">
      <alignment horizontal="center" vertical="center"/>
    </xf>
    <xf fontId="1" fillId="4" borderId="12" numFmtId="0" xfId="0" applyFont="1" applyFill="1" applyBorder="1" applyAlignment="1">
      <alignment horizontal="center" vertical="center"/>
    </xf>
    <xf fontId="1" fillId="5" borderId="4" numFmtId="0" xfId="0" applyFont="1" applyFill="1" applyBorder="1" applyAlignment="1">
      <alignment horizontal="center" vertical="center"/>
    </xf>
    <xf fontId="1" fillId="5" borderId="11" numFmtId="0" xfId="0" applyFont="1" applyFill="1" applyBorder="1" applyAlignment="1">
      <alignment horizontal="center" vertical="center"/>
    </xf>
    <xf fontId="1" fillId="5" borderId="12" numFmtId="0" xfId="0" applyFont="1" applyFill="1" applyBorder="1" applyAlignment="1">
      <alignment horizontal="center" vertical="center"/>
    </xf>
    <xf fontId="1" fillId="6" borderId="4" numFmtId="0" xfId="0" applyFont="1" applyFill="1" applyBorder="1" applyAlignment="1">
      <alignment horizontal="center" vertical="center" wrapText="1"/>
    </xf>
    <xf fontId="1" fillId="6" borderId="11" numFmtId="0" xfId="0" applyFont="1" applyFill="1" applyBorder="1" applyAlignment="1">
      <alignment horizontal="center" vertical="center" wrapText="1"/>
    </xf>
    <xf fontId="1" fillId="6" borderId="12" numFmtId="0" xfId="0" applyFont="1" applyFill="1" applyBorder="1" applyAlignment="1">
      <alignment horizontal="center" vertical="center" wrapText="1"/>
    </xf>
    <xf fontId="1" fillId="7" borderId="2" numFmtId="0" xfId="0" applyFont="1" applyFill="1" applyBorder="1" applyAlignment="1">
      <alignment horizontal="center" vertical="center"/>
    </xf>
    <xf fontId="0" fillId="3" borderId="2" numFmtId="0" xfId="0" applyFill="1" applyBorder="1" applyAlignment="1">
      <alignment horizontal="center" vertical="center"/>
    </xf>
    <xf fontId="5" fillId="0" borderId="0" numFmtId="0" xfId="0" applyFont="1"/>
    <xf fontId="5" fillId="8" borderId="1" numFmtId="0" xfId="0" applyFont="1" applyFill="1" applyBorder="1"/>
    <xf fontId="9" fillId="27" borderId="1" numFmtId="0" xfId="0" applyFont="1" applyFill="1" applyBorder="1" applyAlignment="1">
      <alignment horizontal="center" vertical="center"/>
    </xf>
    <xf fontId="9" fillId="28" borderId="1" numFmtId="0" xfId="0" applyFont="1" applyFill="1" applyBorder="1" applyAlignment="1">
      <alignment horizontal="center" vertical="center" wrapText="1"/>
    </xf>
    <xf fontId="9" fillId="8" borderId="1" numFmtId="0" xfId="0" applyFont="1" applyFill="1" applyBorder="1" applyAlignment="1">
      <alignment horizontal="center" vertical="center"/>
    </xf>
    <xf fontId="17" fillId="8" borderId="1" numFmtId="0" xfId="0" applyFont="1" applyFill="1" applyBorder="1" applyAlignment="1">
      <alignment horizontal="center" vertical="center"/>
    </xf>
    <xf fontId="9" fillId="28" borderId="1" numFmtId="0" xfId="0" applyFont="1" applyFill="1" applyBorder="1" applyAlignment="1">
      <alignment horizontal="center" vertical="center"/>
    </xf>
    <xf fontId="9" fillId="5" borderId="1" numFmtId="0" xfId="0" applyFont="1" applyFill="1" applyBorder="1" applyAlignment="1">
      <alignment horizontal="center" vertical="center"/>
    </xf>
    <xf fontId="9" fillId="29" borderId="1" numFmtId="0" xfId="0" applyFont="1" applyFill="1" applyBorder="1" applyAlignment="1">
      <alignment horizontal="center" vertical="center"/>
    </xf>
    <xf fontId="9" fillId="30" borderId="1" numFmtId="0" xfId="0" applyFont="1" applyFill="1" applyBorder="1" applyAlignment="1">
      <alignment horizontal="center" vertical="center"/>
    </xf>
    <xf fontId="9" fillId="9" borderId="1" numFmtId="0" xfId="0" applyFont="1" applyFill="1" applyBorder="1" applyAlignment="1">
      <alignment horizontal="center" vertical="center"/>
    </xf>
    <xf fontId="9" fillId="5" borderId="1" numFmtId="0" xfId="0" applyFont="1" applyFill="1" applyBorder="1" applyAlignment="1">
      <alignment horizontal="center" vertical="center" wrapText="1"/>
    </xf>
    <xf fontId="1" fillId="7" borderId="1" numFmtId="0" xfId="0" applyFont="1" applyFill="1" applyBorder="1" applyAlignment="1">
      <alignment horizontal="center" vertical="center" wrapText="1"/>
    </xf>
    <xf fontId="1" fillId="28" borderId="1" numFmtId="0" xfId="0" applyFont="1" applyFill="1" applyBorder="1" applyAlignment="1">
      <alignment horizontal="center" vertical="center" wrapText="1"/>
    </xf>
    <xf fontId="1" fillId="5" borderId="1" numFmtId="0" xfId="0" applyFont="1" applyFill="1" applyBorder="1" applyAlignment="1">
      <alignment horizontal="center" vertical="center" wrapText="1"/>
    </xf>
    <xf fontId="1" fillId="11" borderId="1" numFmtId="0" xfId="0" applyFont="1" applyFill="1" applyBorder="1" applyAlignment="1">
      <alignment horizontal="center" vertical="center" wrapText="1"/>
    </xf>
    <xf fontId="1" fillId="31" borderId="1" numFmtId="0" xfId="0" applyFont="1" applyFill="1" applyBorder="1" applyAlignment="1">
      <alignment horizontal="center" vertical="center" wrapText="1"/>
    </xf>
    <xf fontId="1" fillId="32" borderId="1" numFmtId="0" xfId="0" applyFont="1" applyFill="1" applyBorder="1" applyAlignment="1">
      <alignment horizontal="center" vertical="center" wrapText="1"/>
    </xf>
    <xf fontId="1" fillId="29" borderId="1" numFmtId="0" xfId="0" applyFont="1" applyFill="1" applyBorder="1" applyAlignment="1">
      <alignment horizontal="center" vertical="center" wrapText="1"/>
    </xf>
    <xf fontId="1" fillId="33" borderId="1" numFmtId="0" xfId="0" applyFont="1" applyFill="1" applyBorder="1" applyAlignment="1">
      <alignment horizontal="center" vertical="center" wrapText="1"/>
    </xf>
    <xf fontId="1" fillId="34" borderId="1" numFmtId="0" xfId="0" applyFont="1" applyFill="1" applyBorder="1" applyAlignment="1">
      <alignment horizontal="center" vertical="center" wrapText="1"/>
    </xf>
    <xf fontId="1" fillId="8" borderId="1" numFmtId="0" xfId="0" applyFont="1" applyFill="1" applyBorder="1" applyAlignment="1">
      <alignment horizontal="center" vertical="center" wrapText="1"/>
    </xf>
    <xf fontId="2" fillId="0" borderId="1" numFmtId="164" xfId="0" applyNumberFormat="1" applyFont="1" applyBorder="1" applyAlignment="1">
      <alignment horizontal="center" vertical="center"/>
    </xf>
    <xf fontId="2" fillId="0" borderId="1" numFmtId="15" xfId="0" applyNumberFormat="1" applyFont="1" applyBorder="1" applyAlignment="1">
      <alignment horizontal="center" vertical="center"/>
    </xf>
    <xf fontId="18" fillId="35" borderId="1" numFmtId="0" xfId="0" applyFont="1" applyFill="1" applyBorder="1" applyAlignment="1">
      <alignment horizontal="center" vertical="center" wrapText="1"/>
    </xf>
    <xf fontId="18" fillId="11" borderId="1" numFmtId="0" xfId="0" applyFont="1" applyFill="1" applyBorder="1" applyAlignment="1">
      <alignment horizontal="center" vertical="center" wrapText="1"/>
    </xf>
    <xf fontId="1" fillId="0" borderId="13" numFmtId="0" xfId="0" applyFont="1" applyBorder="1" applyAlignment="1">
      <alignment horizontal="center" vertical="center"/>
    </xf>
    <xf fontId="1" fillId="0" borderId="14" numFmtId="0" xfId="0" applyFont="1" applyBorder="1" applyAlignment="1">
      <alignment horizontal="center" vertical="center"/>
    </xf>
    <xf fontId="0" fillId="0" borderId="1" numFmtId="0" xfId="0" applyBorder="1"/>
    <xf fontId="9" fillId="36" borderId="1" numFmtId="0" xfId="0" applyFont="1" applyFill="1" applyBorder="1" applyAlignment="1">
      <alignment horizontal="center" vertical="center" wrapText="1"/>
    </xf>
    <xf fontId="9" fillId="11" borderId="1" numFmtId="0" xfId="0" applyFont="1" applyFill="1" applyBorder="1" applyAlignment="1">
      <alignment horizontal="center" vertical="center" wrapText="1"/>
    </xf>
    <xf fontId="9" fillId="29" borderId="1" numFmtId="0" xfId="0" applyFont="1" applyFill="1" applyBorder="1" applyAlignment="1">
      <alignment horizontal="center" vertical="center" wrapText="1"/>
    </xf>
    <xf fontId="9" fillId="6" borderId="1" numFmtId="0" xfId="0" applyFont="1" applyFill="1" applyBorder="1" applyAlignment="1">
      <alignment horizontal="center" vertical="center" wrapText="1"/>
    </xf>
    <xf fontId="9" fillId="4" borderId="1" numFmtId="0" xfId="0" applyFont="1" applyFill="1" applyBorder="1" applyAlignment="1">
      <alignment horizontal="center" vertical="center" wrapText="1"/>
    </xf>
    <xf fontId="15" fillId="0" borderId="1" numFmtId="0" xfId="0" applyFont="1" applyBorder="1" applyAlignment="1">
      <alignment horizontal="center" vertical="center"/>
    </xf>
    <xf fontId="9" fillId="8" borderId="1" numFmtId="15" xfId="0" applyNumberFormat="1" applyFont="1" applyFill="1" applyBorder="1" applyAlignment="1">
      <alignment horizontal="center" vertical="center"/>
    </xf>
    <xf fontId="15" fillId="8" borderId="1" numFmtId="0" xfId="0" applyFont="1" applyFill="1" applyBorder="1" applyAlignment="1">
      <alignment horizontal="center" vertical="center"/>
    </xf>
    <xf fontId="19" fillId="0" borderId="1" numFmtId="0" xfId="0" applyFont="1" applyBorder="1" applyAlignment="1">
      <alignment horizontal="center" vertical="center"/>
    </xf>
    <xf fontId="20" fillId="4" borderId="1" numFmt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zoomScale="100" workbookViewId="0">
      <selection activeCell="B17" activeCellId="0" sqref="B17"/>
    </sheetView>
  </sheetViews>
  <sheetFormatPr defaultRowHeight="14.25"/>
  <cols>
    <col bestFit="1" customWidth="1" min="1" max="1" width="5"/>
    <col bestFit="1" customWidth="1" min="2" max="2" width="9.21875"/>
    <col bestFit="1" customWidth="1" min="3" max="3" width="19.44140625"/>
    <col bestFit="1" customWidth="1" min="4" max="4" width="9.28125"/>
    <col customWidth="1" hidden="1" min="5" max="5" width="14.33203125"/>
    <col customWidth="1" hidden="1" min="6" max="6" width="16.44140625"/>
    <col customWidth="1" hidden="1" min="7" max="8" width="10"/>
    <col customWidth="1" hidden="1" min="9" max="9" width="7.5546875"/>
    <col customWidth="1" hidden="1" min="10" max="10" width="0"/>
    <col customWidth="1" hidden="1" min="11" max="11" width="11.88671875"/>
    <col customWidth="1" hidden="1" min="12" max="12" width="10.90234375"/>
    <col bestFit="1" customWidth="1" min="13" max="13" width="19.77734375"/>
    <col bestFit="1" customWidth="1" min="14" max="14" width="12.88671875"/>
    <col customWidth="1" min="15" max="16" width="12.88671875"/>
    <col bestFit="1" customWidth="1" min="17" max="17" width="7.77734375"/>
    <col bestFit="1" customWidth="1" min="18" max="18" width="8.21875"/>
    <col bestFit="1" customWidth="1" min="19" max="19" width="8.109375"/>
    <col customWidth="1" min="20" max="20" width="6.8515625"/>
    <col customWidth="1" min="21" max="21" width="9.8515625"/>
    <col bestFit="1" customWidth="1" min="22" max="22" width="6.88671875"/>
    <col customWidth="1" min="23" max="23" width="10.140625"/>
    <col bestFit="1" customWidth="1" min="24" max="24" width="11.77734375"/>
    <col bestFit="1" customWidth="1" min="25" max="25" width="10.77734375"/>
    <col bestFit="1" customWidth="1" min="26" max="26" width="8.33203125"/>
    <col customWidth="1" min="27" max="27" width="8.00390625"/>
    <col bestFit="1" customWidth="1" min="28" max="28" width="6.88671875"/>
    <col bestFit="1" customWidth="1" min="29" max="29" width="11.77734375"/>
    <col bestFit="1" customWidth="1" min="30" max="30" width="11.109375"/>
    <col bestFit="1" customWidth="1" min="31" max="31" width="10.77734375"/>
    <col customWidth="1" min="32" max="32" width="12.00390625"/>
    <col customWidth="1" min="33" max="33" width="8.57421875"/>
    <col bestFit="1" customWidth="1" min="34" max="34" width="6.6640625"/>
    <col bestFit="1" customWidth="1" min="35" max="35" width="7"/>
    <col bestFit="1" customWidth="1" min="36" max="36" width="7.5546875"/>
    <col bestFit="1" customWidth="1" min="37" max="37" width="16.109375"/>
    <col customWidth="1" min="38" max="38" width="16.109375"/>
    <col bestFit="1" customWidth="1" min="39" max="39" width="11.88671875"/>
    <col bestFit="1" customWidth="1" min="40" max="40" width="5.6640625"/>
    <col bestFit="1" customWidth="1" min="41" max="41" width="5.21875"/>
    <col bestFit="1" customWidth="1" min="42" max="42" width="7.88671875"/>
    <col bestFit="1" customWidth="1" min="43" max="43" width="8.33203125"/>
    <col bestFit="1" customWidth="1" min="44" max="44" width="11.33203125"/>
    <col bestFit="1" customWidth="1" min="45" max="45" width="12.21875"/>
    <col customWidth="1" min="46" max="46" width="24.140625"/>
    <col bestFit="1" customWidth="1" min="47" max="47" width="18.5546875"/>
  </cols>
  <sheetData>
    <row r="1">
      <c r="A1" s="1" t="s">
        <v>0</v>
      </c>
      <c r="B1" s="1" t="s">
        <v>1</v>
      </c>
      <c r="C1" s="1" t="s">
        <v>2</v>
      </c>
      <c r="D1" s="1" t="s">
        <v>3</v>
      </c>
      <c r="E1" s="2" t="s">
        <v>4</v>
      </c>
      <c r="F1" s="3" t="s">
        <v>5</v>
      </c>
      <c r="G1" s="2" t="s">
        <v>6</v>
      </c>
      <c r="H1" s="2" t="s">
        <v>7</v>
      </c>
      <c r="I1" s="4" t="s">
        <v>8</v>
      </c>
      <c r="J1" s="4" t="s">
        <v>9</v>
      </c>
      <c r="K1" s="4" t="s">
        <v>10</v>
      </c>
      <c r="L1" s="1" t="s">
        <v>11</v>
      </c>
      <c r="M1" s="1" t="s">
        <v>12</v>
      </c>
      <c r="N1" s="1" t="s">
        <v>13</v>
      </c>
      <c r="O1" s="5" t="s">
        <v>14</v>
      </c>
      <c r="P1" s="6" t="s">
        <v>15</v>
      </c>
      <c r="Q1" s="7" t="s">
        <v>16</v>
      </c>
      <c r="R1" s="7"/>
      <c r="S1" s="7"/>
      <c r="T1" s="7"/>
      <c r="U1" s="8" t="s">
        <v>17</v>
      </c>
      <c r="V1" s="8"/>
      <c r="W1" s="8"/>
      <c r="X1" s="8"/>
      <c r="Y1" s="8"/>
      <c r="Z1" s="8"/>
      <c r="AA1" s="9" t="s">
        <v>18</v>
      </c>
      <c r="AB1" s="9"/>
      <c r="AC1" s="9"/>
      <c r="AD1" s="9"/>
      <c r="AE1" s="9"/>
      <c r="AF1" s="9"/>
      <c r="AG1" s="10" t="s">
        <v>19</v>
      </c>
      <c r="AH1" s="10"/>
      <c r="AI1" s="10"/>
      <c r="AJ1" s="10"/>
      <c r="AK1" s="10"/>
      <c r="AL1" s="10"/>
      <c r="AM1" s="10"/>
      <c r="AN1" s="10"/>
      <c r="AO1" s="10"/>
      <c r="AP1" s="8" t="s">
        <v>20</v>
      </c>
      <c r="AQ1" s="8"/>
      <c r="AR1" s="8"/>
      <c r="AS1" s="8"/>
      <c r="AT1" s="11" t="s">
        <v>21</v>
      </c>
      <c r="AU1" s="12" t="s">
        <v>22</v>
      </c>
    </row>
    <row r="2" ht="20.399999999999999" hidden="1" customHeight="1">
      <c r="A2" s="1"/>
      <c r="B2" s="1"/>
      <c r="C2" s="1"/>
      <c r="D2" s="1"/>
      <c r="E2" s="2"/>
      <c r="F2" s="13"/>
      <c r="G2" s="2"/>
      <c r="H2" s="2"/>
      <c r="I2" s="4"/>
      <c r="J2" s="4"/>
      <c r="K2" s="4"/>
      <c r="L2" s="1"/>
      <c r="M2" s="1"/>
      <c r="N2" s="1"/>
      <c r="O2" s="14"/>
      <c r="P2" s="15"/>
      <c r="Q2" s="7" t="s">
        <v>23</v>
      </c>
      <c r="R2" s="7" t="s">
        <v>24</v>
      </c>
      <c r="S2" s="7" t="s">
        <v>25</v>
      </c>
      <c r="T2" s="7" t="s">
        <v>26</v>
      </c>
      <c r="U2" s="8" t="s">
        <v>27</v>
      </c>
      <c r="V2" s="8" t="s">
        <v>28</v>
      </c>
      <c r="W2" s="8" t="s">
        <v>29</v>
      </c>
      <c r="X2" s="8" t="s">
        <v>30</v>
      </c>
      <c r="Y2" s="8" t="s">
        <v>31</v>
      </c>
      <c r="Z2" s="8" t="s">
        <v>32</v>
      </c>
      <c r="AA2" s="9" t="s">
        <v>33</v>
      </c>
      <c r="AB2" s="9" t="s">
        <v>34</v>
      </c>
      <c r="AC2" s="9" t="s">
        <v>35</v>
      </c>
      <c r="AD2" s="9" t="s">
        <v>36</v>
      </c>
      <c r="AE2" s="9" t="s">
        <v>37</v>
      </c>
      <c r="AF2" s="9" t="s">
        <v>38</v>
      </c>
      <c r="AG2" s="16" t="s">
        <v>39</v>
      </c>
      <c r="AH2" s="16" t="s">
        <v>40</v>
      </c>
      <c r="AI2" s="16" t="s">
        <v>41</v>
      </c>
      <c r="AJ2" s="16" t="s">
        <v>42</v>
      </c>
      <c r="AK2" s="16" t="s">
        <v>43</v>
      </c>
      <c r="AL2" s="16" t="s">
        <v>44</v>
      </c>
      <c r="AM2" s="16" t="s">
        <v>45</v>
      </c>
      <c r="AN2" s="16" t="s">
        <v>46</v>
      </c>
      <c r="AO2" s="16" t="s">
        <v>47</v>
      </c>
      <c r="AP2" s="8" t="s">
        <v>48</v>
      </c>
      <c r="AQ2" s="8" t="s">
        <v>49</v>
      </c>
      <c r="AR2" s="8" t="s">
        <v>50</v>
      </c>
      <c r="AS2" s="8" t="s">
        <v>51</v>
      </c>
      <c r="AT2" s="11"/>
      <c r="AU2" s="12"/>
    </row>
    <row r="3" hidden="1">
      <c r="A3" s="17">
        <v>1</v>
      </c>
      <c r="B3" s="17" t="s">
        <v>52</v>
      </c>
      <c r="C3" s="18" t="s">
        <v>53</v>
      </c>
      <c r="D3" s="19" t="s">
        <v>54</v>
      </c>
      <c r="E3" s="17"/>
      <c r="F3" s="17"/>
      <c r="G3" s="17"/>
      <c r="H3" s="17"/>
      <c r="I3" s="17"/>
      <c r="J3" s="17"/>
      <c r="K3" s="17"/>
      <c r="L3" s="17"/>
      <c r="M3" s="20"/>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row>
    <row r="4" hidden="1">
      <c r="A4" s="17">
        <v>2</v>
      </c>
      <c r="B4" s="17" t="s">
        <v>52</v>
      </c>
      <c r="C4" s="19" t="s">
        <v>55</v>
      </c>
      <c r="D4" s="19" t="s">
        <v>54</v>
      </c>
      <c r="E4" s="17"/>
      <c r="F4" s="17"/>
      <c r="G4" s="17"/>
      <c r="H4" s="17"/>
      <c r="I4" s="17"/>
      <c r="J4" s="17"/>
      <c r="K4" s="17"/>
      <c r="L4" s="17"/>
      <c r="M4" s="20"/>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row>
    <row r="5" hidden="1">
      <c r="A5" s="17">
        <v>3</v>
      </c>
      <c r="B5" s="17" t="s">
        <v>52</v>
      </c>
      <c r="C5" s="21" t="s">
        <v>56</v>
      </c>
      <c r="D5" s="19" t="s">
        <v>54</v>
      </c>
      <c r="E5" s="17"/>
      <c r="F5" s="17"/>
      <c r="G5" s="17"/>
      <c r="H5" s="17"/>
      <c r="I5" s="17"/>
      <c r="J5" s="17"/>
      <c r="K5" s="17"/>
      <c r="L5" s="17"/>
      <c r="M5" s="20"/>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row>
    <row r="6" hidden="1">
      <c r="A6" s="17">
        <v>4</v>
      </c>
      <c r="B6" s="17" t="s">
        <v>52</v>
      </c>
      <c r="C6" s="21" t="s">
        <v>57</v>
      </c>
      <c r="D6" s="19" t="s">
        <v>54</v>
      </c>
      <c r="E6" s="17"/>
      <c r="F6" s="17"/>
      <c r="G6" s="17"/>
      <c r="H6" s="17"/>
      <c r="I6" s="17"/>
      <c r="J6" s="17"/>
      <c r="K6" s="17"/>
      <c r="L6" s="17"/>
      <c r="M6" s="20"/>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row>
    <row r="7" hidden="1">
      <c r="A7" s="17">
        <v>5</v>
      </c>
      <c r="B7" s="17" t="s">
        <v>52</v>
      </c>
      <c r="C7" s="19" t="s">
        <v>58</v>
      </c>
      <c r="D7" s="19" t="s">
        <v>54</v>
      </c>
      <c r="E7" s="17"/>
      <c r="F7" s="17"/>
      <c r="G7" s="17"/>
      <c r="H7" s="17"/>
      <c r="I7" s="17"/>
      <c r="J7" s="17"/>
      <c r="K7" s="17"/>
      <c r="L7" s="17"/>
      <c r="M7" s="19" t="s">
        <v>59</v>
      </c>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row>
    <row r="8" hidden="1">
      <c r="A8" s="17">
        <v>6</v>
      </c>
      <c r="B8" s="17" t="s">
        <v>52</v>
      </c>
      <c r="C8" s="18" t="s">
        <v>60</v>
      </c>
      <c r="D8" s="19" t="s">
        <v>54</v>
      </c>
      <c r="E8" s="17"/>
      <c r="F8" s="17"/>
      <c r="G8" s="17"/>
      <c r="H8" s="17"/>
      <c r="I8" s="17"/>
      <c r="J8" s="17"/>
      <c r="K8" s="17"/>
      <c r="L8" s="17"/>
      <c r="M8" s="20"/>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row>
    <row r="9" hidden="1">
      <c r="A9" s="17">
        <v>7</v>
      </c>
      <c r="B9" s="17" t="s">
        <v>52</v>
      </c>
      <c r="C9" s="21" t="s">
        <v>61</v>
      </c>
      <c r="D9" s="19" t="s">
        <v>54</v>
      </c>
      <c r="E9" s="17"/>
      <c r="F9" s="17"/>
      <c r="G9" s="17"/>
      <c r="H9" s="17"/>
      <c r="I9" s="17"/>
      <c r="J9" s="17"/>
      <c r="K9" s="17"/>
      <c r="L9" s="17"/>
      <c r="M9" s="20"/>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row>
    <row r="10" hidden="1">
      <c r="A10" s="17">
        <v>8</v>
      </c>
      <c r="B10" s="17" t="s">
        <v>52</v>
      </c>
      <c r="C10" s="19" t="s">
        <v>62</v>
      </c>
      <c r="D10" s="19" t="s">
        <v>54</v>
      </c>
      <c r="E10" s="17"/>
      <c r="F10" s="17"/>
      <c r="G10" s="17"/>
      <c r="H10" s="17"/>
      <c r="I10" s="17"/>
      <c r="J10" s="17"/>
      <c r="K10" s="17"/>
      <c r="L10" s="17"/>
      <c r="M10" s="20"/>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row>
    <row r="11" hidden="1">
      <c r="A11" s="17">
        <v>9</v>
      </c>
      <c r="B11" s="17" t="s">
        <v>52</v>
      </c>
      <c r="C11" s="21" t="s">
        <v>63</v>
      </c>
      <c r="D11" s="19" t="s">
        <v>54</v>
      </c>
      <c r="E11" s="17"/>
      <c r="F11" s="17"/>
      <c r="G11" s="17"/>
      <c r="H11" s="17"/>
      <c r="I11" s="17"/>
      <c r="J11" s="17"/>
      <c r="K11" s="17"/>
      <c r="L11" s="17"/>
      <c r="M11" s="20"/>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row>
    <row r="12" hidden="1">
      <c r="A12" s="17">
        <v>10</v>
      </c>
      <c r="B12" s="17" t="s">
        <v>52</v>
      </c>
      <c r="C12" s="21" t="s">
        <v>64</v>
      </c>
      <c r="D12" s="19" t="s">
        <v>54</v>
      </c>
      <c r="E12" s="17"/>
      <c r="F12" s="17"/>
      <c r="G12" s="17"/>
      <c r="H12" s="17"/>
      <c r="I12" s="17"/>
      <c r="J12" s="17"/>
      <c r="K12" s="17"/>
      <c r="L12" s="17"/>
      <c r="M12" s="20"/>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row>
    <row r="13" hidden="1">
      <c r="A13" s="17">
        <v>11</v>
      </c>
      <c r="B13" s="17" t="s">
        <v>52</v>
      </c>
      <c r="C13" s="21" t="s">
        <v>65</v>
      </c>
      <c r="D13" s="19" t="s">
        <v>54</v>
      </c>
      <c r="E13" s="17"/>
      <c r="F13" s="17"/>
      <c r="G13" s="17"/>
      <c r="H13" s="17"/>
      <c r="I13" s="17"/>
      <c r="J13" s="17"/>
      <c r="K13" s="17"/>
      <c r="L13" s="17"/>
      <c r="M13" s="20"/>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row>
    <row r="14" hidden="1">
      <c r="A14" s="17">
        <v>12</v>
      </c>
      <c r="B14" s="17" t="s">
        <v>52</v>
      </c>
      <c r="C14" s="18" t="s">
        <v>66</v>
      </c>
      <c r="D14" s="19" t="s">
        <v>54</v>
      </c>
      <c r="E14" s="17"/>
      <c r="F14" s="17"/>
      <c r="G14" s="17"/>
      <c r="H14" s="17"/>
      <c r="I14" s="17"/>
      <c r="J14" s="17"/>
      <c r="K14" s="17"/>
      <c r="L14" s="17"/>
      <c r="M14" s="20"/>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row>
    <row r="15" hidden="1">
      <c r="A15" s="17">
        <v>13</v>
      </c>
      <c r="B15" s="17" t="s">
        <v>52</v>
      </c>
      <c r="C15" s="19" t="s">
        <v>67</v>
      </c>
      <c r="D15" s="19" t="s">
        <v>54</v>
      </c>
      <c r="E15" s="17"/>
      <c r="F15" s="17"/>
      <c r="G15" s="17"/>
      <c r="H15" s="17"/>
      <c r="I15" s="17"/>
      <c r="J15" s="17"/>
      <c r="K15" s="17"/>
      <c r="L15" s="17"/>
      <c r="M15" s="20"/>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row>
    <row r="16" hidden="1">
      <c r="A16" s="17">
        <v>14</v>
      </c>
      <c r="B16" s="17" t="s">
        <v>52</v>
      </c>
      <c r="C16" s="18" t="s">
        <v>68</v>
      </c>
      <c r="D16" s="19" t="s">
        <v>54</v>
      </c>
      <c r="E16" s="17"/>
      <c r="F16" s="17"/>
      <c r="G16" s="17"/>
      <c r="H16" s="17"/>
      <c r="I16" s="17"/>
      <c r="J16" s="17"/>
      <c r="K16" s="17"/>
      <c r="L16" s="17"/>
      <c r="M16" s="20"/>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row>
    <row r="17" hidden="1">
      <c r="A17" s="17">
        <v>15</v>
      </c>
      <c r="B17" s="17" t="s">
        <v>52</v>
      </c>
      <c r="C17" s="19" t="s">
        <v>69</v>
      </c>
      <c r="D17" s="19" t="s">
        <v>54</v>
      </c>
      <c r="E17" s="17" t="s">
        <v>70</v>
      </c>
      <c r="F17" s="17" t="s">
        <v>71</v>
      </c>
      <c r="G17" s="17">
        <v>22.089841</v>
      </c>
      <c r="H17" s="17">
        <v>87.889908000000005</v>
      </c>
      <c r="I17" s="17"/>
      <c r="J17" s="17"/>
      <c r="K17" s="17"/>
      <c r="L17" s="17"/>
      <c r="M17" s="19" t="s">
        <v>72</v>
      </c>
      <c r="N17" s="17">
        <v>6289037005</v>
      </c>
      <c r="O17" s="17">
        <v>21</v>
      </c>
      <c r="P17" s="17">
        <v>100</v>
      </c>
      <c r="Q17" s="17" t="s">
        <v>73</v>
      </c>
      <c r="R17" s="17" t="s">
        <v>74</v>
      </c>
      <c r="S17" s="17" t="s">
        <v>75</v>
      </c>
      <c r="T17" s="17"/>
      <c r="U17" s="17" t="s">
        <v>76</v>
      </c>
      <c r="V17" s="17" t="s">
        <v>77</v>
      </c>
      <c r="W17" s="17" t="s">
        <v>78</v>
      </c>
      <c r="X17" s="17">
        <v>5</v>
      </c>
      <c r="Y17" s="17">
        <v>2</v>
      </c>
      <c r="Z17" s="17"/>
      <c r="AA17" s="17" t="s">
        <v>73</v>
      </c>
      <c r="AB17" s="17" t="s">
        <v>79</v>
      </c>
      <c r="AC17" s="17">
        <v>2</v>
      </c>
      <c r="AD17" s="17">
        <v>0</v>
      </c>
      <c r="AE17" s="17">
        <v>0</v>
      </c>
      <c r="AF17" s="17" t="s">
        <v>80</v>
      </c>
      <c r="AG17" s="17" t="s">
        <v>81</v>
      </c>
      <c r="AH17" s="17" t="s">
        <v>82</v>
      </c>
      <c r="AI17" s="17" t="s">
        <v>83</v>
      </c>
      <c r="AJ17" s="17">
        <v>2111</v>
      </c>
      <c r="AK17" s="17" t="s">
        <v>75</v>
      </c>
      <c r="AL17" s="17" t="s">
        <v>75</v>
      </c>
      <c r="AM17" s="17" t="s">
        <v>75</v>
      </c>
      <c r="AN17" s="17" t="s">
        <v>84</v>
      </c>
      <c r="AO17" s="17" t="s">
        <v>75</v>
      </c>
      <c r="AP17" s="17"/>
      <c r="AQ17" s="17"/>
      <c r="AR17" s="17"/>
      <c r="AS17" s="17"/>
      <c r="AT17" s="17" t="s">
        <v>85</v>
      </c>
      <c r="AU17" s="17" t="s">
        <v>86</v>
      </c>
    </row>
    <row r="18" hidden="1">
      <c r="A18" s="17">
        <v>16</v>
      </c>
      <c r="B18" s="17" t="s">
        <v>52</v>
      </c>
      <c r="C18" s="19" t="s">
        <v>69</v>
      </c>
      <c r="D18" s="19" t="s">
        <v>54</v>
      </c>
      <c r="E18" s="17" t="s">
        <v>70</v>
      </c>
      <c r="F18" s="17" t="s">
        <v>71</v>
      </c>
      <c r="G18" s="17">
        <v>22.089841</v>
      </c>
      <c r="H18" s="17">
        <v>87.889908000000005</v>
      </c>
      <c r="I18" s="17"/>
      <c r="J18" s="17"/>
      <c r="K18" s="17"/>
      <c r="L18" s="17"/>
      <c r="M18" s="19" t="s">
        <v>72</v>
      </c>
      <c r="N18" s="17">
        <v>6289037005</v>
      </c>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row>
    <row r="19" hidden="1">
      <c r="A19" s="17">
        <v>17</v>
      </c>
      <c r="B19" s="17" t="s">
        <v>52</v>
      </c>
      <c r="C19" s="18" t="s">
        <v>87</v>
      </c>
      <c r="D19" s="19" t="s">
        <v>54</v>
      </c>
      <c r="E19" s="17"/>
      <c r="F19" s="17"/>
      <c r="G19" s="17"/>
      <c r="H19" s="17"/>
      <c r="I19" s="17"/>
      <c r="J19" s="17"/>
      <c r="K19" s="17"/>
      <c r="L19" s="17"/>
      <c r="M19" s="20"/>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row>
    <row r="20" hidden="1">
      <c r="A20" s="17">
        <v>18</v>
      </c>
      <c r="B20" s="17" t="s">
        <v>52</v>
      </c>
      <c r="C20" s="18" t="s">
        <v>88</v>
      </c>
      <c r="D20" s="19" t="s">
        <v>54</v>
      </c>
      <c r="E20" s="17"/>
      <c r="F20" s="17"/>
      <c r="G20" s="17"/>
      <c r="H20" s="17"/>
      <c r="I20" s="17"/>
      <c r="J20" s="17"/>
      <c r="K20" s="17"/>
      <c r="L20" s="17"/>
      <c r="M20" s="20"/>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row>
    <row r="21" hidden="1">
      <c r="A21" s="17">
        <v>19</v>
      </c>
      <c r="B21" s="17" t="s">
        <v>52</v>
      </c>
      <c r="C21" s="21" t="s">
        <v>89</v>
      </c>
      <c r="D21" s="19" t="s">
        <v>54</v>
      </c>
      <c r="E21" s="17"/>
      <c r="F21" s="17"/>
      <c r="G21" s="17"/>
      <c r="H21" s="17"/>
      <c r="I21" s="17"/>
      <c r="J21" s="17"/>
      <c r="K21" s="17"/>
      <c r="L21" s="17"/>
      <c r="M21" s="20"/>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row>
    <row r="22" hidden="1">
      <c r="A22" s="17">
        <v>20</v>
      </c>
      <c r="B22" s="17" t="s">
        <v>52</v>
      </c>
      <c r="C22" s="18" t="s">
        <v>90</v>
      </c>
      <c r="D22" s="19" t="s">
        <v>54</v>
      </c>
      <c r="E22" s="17"/>
      <c r="F22" s="17"/>
      <c r="G22" s="17"/>
      <c r="H22" s="17"/>
      <c r="I22" s="17"/>
      <c r="J22" s="17"/>
      <c r="K22" s="17"/>
      <c r="L22" s="17"/>
      <c r="M22" s="20"/>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row>
    <row r="23" hidden="1">
      <c r="A23" s="17">
        <v>21</v>
      </c>
      <c r="B23" s="17" t="s">
        <v>52</v>
      </c>
      <c r="C23" s="19" t="s">
        <v>91</v>
      </c>
      <c r="D23" s="19" t="s">
        <v>54</v>
      </c>
      <c r="E23" s="17"/>
      <c r="F23" s="17"/>
      <c r="G23" s="17"/>
      <c r="H23" s="17"/>
      <c r="I23" s="17"/>
      <c r="J23" s="17"/>
      <c r="K23" s="17"/>
      <c r="L23" s="17"/>
      <c r="M23" s="20"/>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row>
    <row r="24" hidden="1">
      <c r="A24" s="17">
        <v>22</v>
      </c>
      <c r="B24" s="17" t="s">
        <v>52</v>
      </c>
      <c r="C24" s="18" t="s">
        <v>92</v>
      </c>
      <c r="D24" s="19" t="s">
        <v>54</v>
      </c>
      <c r="E24" s="17"/>
      <c r="F24" s="17"/>
      <c r="G24" s="17"/>
      <c r="H24" s="17"/>
      <c r="I24" s="17"/>
      <c r="J24" s="17"/>
      <c r="K24" s="17"/>
      <c r="L24" s="17"/>
      <c r="M24" s="20"/>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row>
    <row r="25" hidden="1">
      <c r="A25" s="17">
        <v>23</v>
      </c>
      <c r="B25" s="17" t="s">
        <v>52</v>
      </c>
      <c r="C25" s="21" t="s">
        <v>93</v>
      </c>
      <c r="D25" s="19" t="s">
        <v>54</v>
      </c>
      <c r="E25" s="17"/>
      <c r="F25" s="17"/>
      <c r="G25" s="17"/>
      <c r="H25" s="17"/>
      <c r="I25" s="17"/>
      <c r="J25" s="17"/>
      <c r="K25" s="17"/>
      <c r="L25" s="17"/>
      <c r="M25" s="20"/>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row>
    <row r="26" hidden="1">
      <c r="A26" s="17">
        <v>24</v>
      </c>
      <c r="B26" s="17" t="s">
        <v>52</v>
      </c>
      <c r="C26" s="18" t="s">
        <v>94</v>
      </c>
      <c r="D26" s="19" t="s">
        <v>54</v>
      </c>
      <c r="E26" s="17"/>
      <c r="F26" s="17"/>
      <c r="G26" s="17"/>
      <c r="H26" s="17"/>
      <c r="I26" s="17"/>
      <c r="J26" s="17"/>
      <c r="K26" s="17"/>
      <c r="L26" s="17"/>
      <c r="M26" s="20"/>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row>
    <row r="27" hidden="1">
      <c r="A27" s="17">
        <v>25</v>
      </c>
      <c r="B27" s="17" t="s">
        <v>52</v>
      </c>
      <c r="C27" s="21" t="s">
        <v>95</v>
      </c>
      <c r="D27" s="19" t="s">
        <v>54</v>
      </c>
      <c r="E27" s="17"/>
      <c r="F27" s="17"/>
      <c r="G27" s="17"/>
      <c r="H27" s="17"/>
      <c r="I27" s="17"/>
      <c r="J27" s="17"/>
      <c r="K27" s="17"/>
      <c r="L27" s="17"/>
      <c r="M27" s="20"/>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row>
    <row r="28" hidden="1">
      <c r="A28" s="17">
        <v>26</v>
      </c>
      <c r="B28" s="17" t="s">
        <v>52</v>
      </c>
      <c r="C28" s="18" t="s">
        <v>96</v>
      </c>
      <c r="D28" s="19" t="s">
        <v>54</v>
      </c>
      <c r="E28" s="17"/>
      <c r="F28" s="17"/>
      <c r="G28" s="17"/>
      <c r="H28" s="17"/>
      <c r="I28" s="17"/>
      <c r="J28" s="17"/>
      <c r="K28" s="17"/>
      <c r="L28" s="17"/>
      <c r="M28" s="20"/>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row>
    <row r="29" hidden="1">
      <c r="A29" s="17">
        <v>27</v>
      </c>
      <c r="B29" s="17" t="s">
        <v>52</v>
      </c>
      <c r="C29" s="19" t="s">
        <v>97</v>
      </c>
      <c r="D29" s="19" t="s">
        <v>54</v>
      </c>
      <c r="E29" s="17"/>
      <c r="F29" s="17"/>
      <c r="G29" s="17"/>
      <c r="H29" s="17"/>
      <c r="I29" s="17"/>
      <c r="J29" s="17"/>
      <c r="K29" s="17"/>
      <c r="L29" s="17"/>
      <c r="M29" s="20"/>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row>
    <row r="30" hidden="1">
      <c r="A30" s="17">
        <v>28</v>
      </c>
      <c r="B30" s="17" t="s">
        <v>52</v>
      </c>
      <c r="C30" s="18" t="s">
        <v>98</v>
      </c>
      <c r="D30" s="19" t="s">
        <v>54</v>
      </c>
      <c r="E30" s="17"/>
      <c r="F30" s="17"/>
      <c r="G30" s="17"/>
      <c r="H30" s="17"/>
      <c r="I30" s="17"/>
      <c r="J30" s="17"/>
      <c r="K30" s="17"/>
      <c r="L30" s="17"/>
      <c r="M30" s="20"/>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row>
    <row r="31" hidden="1">
      <c r="A31" s="17">
        <v>29</v>
      </c>
      <c r="B31" s="17" t="s">
        <v>52</v>
      </c>
      <c r="C31" s="18" t="s">
        <v>99</v>
      </c>
      <c r="D31" s="19" t="s">
        <v>54</v>
      </c>
      <c r="E31" s="17"/>
      <c r="F31" s="17"/>
      <c r="G31" s="17"/>
      <c r="H31" s="17"/>
      <c r="I31" s="17"/>
      <c r="J31" s="17"/>
      <c r="K31" s="17"/>
      <c r="L31" s="17"/>
      <c r="M31" s="20"/>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row>
    <row r="32" hidden="1">
      <c r="A32" s="17">
        <v>30</v>
      </c>
      <c r="B32" s="17" t="s">
        <v>52</v>
      </c>
      <c r="C32" s="19" t="s">
        <v>100</v>
      </c>
      <c r="D32" s="19" t="s">
        <v>54</v>
      </c>
      <c r="E32" s="17" t="s">
        <v>101</v>
      </c>
      <c r="F32" s="17" t="s">
        <v>102</v>
      </c>
      <c r="G32" s="17">
        <v>21.982602</v>
      </c>
      <c r="H32" s="17">
        <v>87.889521999999999</v>
      </c>
      <c r="I32" s="17"/>
      <c r="J32" s="17"/>
      <c r="K32" s="17"/>
      <c r="L32" s="17"/>
      <c r="M32" s="19" t="s">
        <v>103</v>
      </c>
      <c r="N32" s="17">
        <v>7003286846</v>
      </c>
      <c r="O32" s="17">
        <v>20</v>
      </c>
      <c r="P32" s="17">
        <v>120</v>
      </c>
      <c r="Q32" s="17" t="s">
        <v>73</v>
      </c>
      <c r="R32" s="17" t="s">
        <v>104</v>
      </c>
      <c r="S32" s="17" t="s">
        <v>75</v>
      </c>
      <c r="T32" s="17"/>
      <c r="U32" s="17" t="s">
        <v>105</v>
      </c>
      <c r="V32" s="17" t="s">
        <v>77</v>
      </c>
      <c r="W32" s="17" t="s">
        <v>106</v>
      </c>
      <c r="X32" s="17">
        <v>3</v>
      </c>
      <c r="Y32" s="17">
        <v>0</v>
      </c>
      <c r="Z32" s="17"/>
      <c r="AA32" s="17" t="s">
        <v>73</v>
      </c>
      <c r="AB32" s="17" t="s">
        <v>79</v>
      </c>
      <c r="AC32" s="17">
        <v>1</v>
      </c>
      <c r="AD32" s="17">
        <v>0</v>
      </c>
      <c r="AE32" s="17">
        <v>0</v>
      </c>
      <c r="AF32" s="17"/>
      <c r="AG32" s="17" t="s">
        <v>81</v>
      </c>
      <c r="AH32" s="17" t="s">
        <v>82</v>
      </c>
      <c r="AI32" s="17" t="s">
        <v>107</v>
      </c>
      <c r="AJ32" s="17"/>
      <c r="AK32" s="17" t="s">
        <v>75</v>
      </c>
      <c r="AL32" s="17" t="s">
        <v>75</v>
      </c>
      <c r="AM32" s="17" t="s">
        <v>108</v>
      </c>
      <c r="AN32" s="17" t="s">
        <v>84</v>
      </c>
      <c r="AO32" s="17" t="s">
        <v>109</v>
      </c>
      <c r="AP32" s="17"/>
      <c r="AQ32" s="17"/>
      <c r="AR32" s="17"/>
      <c r="AS32" s="17"/>
      <c r="AT32" s="17" t="s">
        <v>110</v>
      </c>
      <c r="AU32" s="17" t="s">
        <v>111</v>
      </c>
    </row>
    <row r="33" hidden="1">
      <c r="A33" s="17">
        <v>31</v>
      </c>
      <c r="B33" s="17" t="s">
        <v>52</v>
      </c>
      <c r="C33" s="19" t="s">
        <v>112</v>
      </c>
      <c r="D33" s="19" t="s">
        <v>54</v>
      </c>
      <c r="E33" s="17" t="s">
        <v>54</v>
      </c>
      <c r="F33" s="17" t="s">
        <v>113</v>
      </c>
      <c r="G33" s="17">
        <v>21.983514</v>
      </c>
      <c r="H33" s="17">
        <v>87.913253999999995</v>
      </c>
      <c r="I33" s="17"/>
      <c r="J33" s="17"/>
      <c r="K33" s="17"/>
      <c r="L33" s="17"/>
      <c r="M33" s="19" t="s">
        <v>103</v>
      </c>
      <c r="N33" s="17">
        <v>7003286846</v>
      </c>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row>
    <row r="34" hidden="1">
      <c r="A34" s="17">
        <v>32</v>
      </c>
      <c r="B34" s="17" t="s">
        <v>52</v>
      </c>
      <c r="C34" s="19" t="s">
        <v>114</v>
      </c>
      <c r="D34" s="19" t="s">
        <v>54</v>
      </c>
      <c r="E34" s="17" t="s">
        <v>115</v>
      </c>
      <c r="F34" s="17" t="s">
        <v>116</v>
      </c>
      <c r="G34" s="17">
        <v>22.055371000000001</v>
      </c>
      <c r="H34" s="17">
        <v>87.948637000000005</v>
      </c>
      <c r="I34" s="17"/>
      <c r="J34" s="17"/>
      <c r="K34" s="17"/>
      <c r="L34" s="17"/>
      <c r="M34" s="19" t="s">
        <v>117</v>
      </c>
      <c r="N34" s="17"/>
      <c r="O34" s="17" t="s">
        <v>118</v>
      </c>
      <c r="P34" s="17"/>
      <c r="Q34" s="17"/>
      <c r="R34" s="17"/>
      <c r="S34" s="22"/>
      <c r="T34" s="23"/>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row>
    <row r="35" hidden="1">
      <c r="A35" s="17">
        <v>33</v>
      </c>
      <c r="B35" s="17" t="s">
        <v>52</v>
      </c>
      <c r="C35" s="19" t="s">
        <v>119</v>
      </c>
      <c r="D35" s="19" t="s">
        <v>54</v>
      </c>
      <c r="E35" s="17" t="s">
        <v>120</v>
      </c>
      <c r="F35" s="17" t="s">
        <v>121</v>
      </c>
      <c r="G35" s="17">
        <v>22.222746999999998</v>
      </c>
      <c r="H35" s="17">
        <v>87.842417999999995</v>
      </c>
      <c r="I35" s="17"/>
      <c r="J35" s="17"/>
      <c r="K35" s="17"/>
      <c r="L35" s="17"/>
      <c r="M35" s="19" t="s">
        <v>122</v>
      </c>
      <c r="N35" s="17">
        <v>8420984799</v>
      </c>
      <c r="O35" s="17">
        <v>20</v>
      </c>
      <c r="P35" s="17">
        <v>100</v>
      </c>
      <c r="Q35" s="17" t="s">
        <v>73</v>
      </c>
      <c r="R35" s="17" t="s">
        <v>74</v>
      </c>
      <c r="S35" s="17" t="s">
        <v>75</v>
      </c>
      <c r="T35" s="17"/>
      <c r="U35" s="17" t="s">
        <v>105</v>
      </c>
      <c r="V35" s="17" t="s">
        <v>77</v>
      </c>
      <c r="W35" s="17" t="s">
        <v>123</v>
      </c>
      <c r="X35" s="17">
        <v>6</v>
      </c>
      <c r="Y35" s="17">
        <v>3</v>
      </c>
      <c r="Z35" s="17"/>
      <c r="AA35" s="17" t="s">
        <v>73</v>
      </c>
      <c r="AB35" s="17" t="s">
        <v>79</v>
      </c>
      <c r="AC35" s="17">
        <v>3</v>
      </c>
      <c r="AD35" s="17">
        <v>0</v>
      </c>
      <c r="AE35" s="17">
        <v>0</v>
      </c>
      <c r="AF35" s="17"/>
      <c r="AG35" s="17" t="s">
        <v>124</v>
      </c>
      <c r="AH35" s="17" t="s">
        <v>82</v>
      </c>
      <c r="AI35" s="17" t="s">
        <v>83</v>
      </c>
      <c r="AJ35" s="17">
        <v>2111</v>
      </c>
      <c r="AK35" s="17" t="s">
        <v>75</v>
      </c>
      <c r="AL35" s="17" t="s">
        <v>75</v>
      </c>
      <c r="AM35" s="17" t="s">
        <v>75</v>
      </c>
      <c r="AN35" s="17" t="s">
        <v>125</v>
      </c>
      <c r="AO35" s="17" t="s">
        <v>75</v>
      </c>
      <c r="AP35" s="17"/>
      <c r="AQ35" s="17"/>
      <c r="AR35" s="17"/>
      <c r="AS35" s="17"/>
      <c r="AT35" s="17" t="s">
        <v>126</v>
      </c>
      <c r="AU35" s="17" t="s">
        <v>127</v>
      </c>
    </row>
    <row r="36" hidden="1">
      <c r="A36" s="17">
        <v>34</v>
      </c>
      <c r="B36" s="17" t="s">
        <v>52</v>
      </c>
      <c r="C36" s="19" t="s">
        <v>128</v>
      </c>
      <c r="D36" s="19" t="s">
        <v>54</v>
      </c>
      <c r="E36" s="17" t="s">
        <v>129</v>
      </c>
      <c r="F36" s="17" t="s">
        <v>130</v>
      </c>
      <c r="G36" s="17">
        <v>21.972470000000001</v>
      </c>
      <c r="H36" s="17">
        <v>87.871110999999999</v>
      </c>
      <c r="I36" s="17"/>
      <c r="J36" s="17"/>
      <c r="K36" s="17"/>
      <c r="L36" s="17"/>
      <c r="M36" s="19" t="s">
        <v>131</v>
      </c>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row>
    <row r="37" hidden="1">
      <c r="A37" s="17">
        <v>35</v>
      </c>
      <c r="B37" s="17" t="s">
        <v>52</v>
      </c>
      <c r="C37" s="20" t="s">
        <v>132</v>
      </c>
      <c r="D37" s="19" t="s">
        <v>54</v>
      </c>
      <c r="E37" s="17"/>
      <c r="F37" s="17"/>
      <c r="G37" s="17"/>
      <c r="H37" s="17"/>
      <c r="I37" s="17"/>
      <c r="J37" s="17"/>
      <c r="K37" s="17"/>
      <c r="L37" s="17"/>
      <c r="M37" s="20"/>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row>
    <row r="38" hidden="1">
      <c r="A38" s="17">
        <v>36</v>
      </c>
      <c r="B38" s="17" t="s">
        <v>52</v>
      </c>
      <c r="C38" s="19" t="s">
        <v>133</v>
      </c>
      <c r="D38" s="19" t="s">
        <v>54</v>
      </c>
      <c r="E38" s="17" t="s">
        <v>134</v>
      </c>
      <c r="F38" s="17" t="s">
        <v>135</v>
      </c>
      <c r="G38" s="17">
        <v>22.071283999999999</v>
      </c>
      <c r="H38" s="17">
        <v>87.847558000000006</v>
      </c>
      <c r="I38" s="17"/>
      <c r="J38" s="17"/>
      <c r="K38" s="17"/>
      <c r="L38" s="17"/>
      <c r="M38" s="19" t="s">
        <v>72</v>
      </c>
      <c r="N38" s="17">
        <v>6289037005</v>
      </c>
      <c r="O38" s="17">
        <v>20</v>
      </c>
      <c r="P38" s="17">
        <v>100</v>
      </c>
      <c r="Q38" s="17" t="s">
        <v>73</v>
      </c>
      <c r="R38" s="17" t="s">
        <v>74</v>
      </c>
      <c r="S38" s="17" t="s">
        <v>75</v>
      </c>
      <c r="T38" s="17"/>
      <c r="U38" s="17" t="s">
        <v>76</v>
      </c>
      <c r="V38" s="17" t="s">
        <v>77</v>
      </c>
      <c r="W38" s="17" t="s">
        <v>136</v>
      </c>
      <c r="X38" s="17">
        <v>3</v>
      </c>
      <c r="Y38" s="17">
        <v>1</v>
      </c>
      <c r="Z38" s="17"/>
      <c r="AA38" s="17" t="s">
        <v>73</v>
      </c>
      <c r="AB38" s="17" t="s">
        <v>79</v>
      </c>
      <c r="AC38" s="17">
        <v>2</v>
      </c>
      <c r="AD38" s="17">
        <v>0</v>
      </c>
      <c r="AE38" s="17">
        <v>1</v>
      </c>
      <c r="AF38" s="17" t="s">
        <v>80</v>
      </c>
      <c r="AG38" s="17" t="s">
        <v>81</v>
      </c>
      <c r="AH38" s="17" t="s">
        <v>82</v>
      </c>
      <c r="AI38" s="17" t="s">
        <v>83</v>
      </c>
      <c r="AJ38" s="17">
        <v>2111</v>
      </c>
      <c r="AK38" s="17" t="s">
        <v>137</v>
      </c>
      <c r="AL38" s="17" t="s">
        <v>75</v>
      </c>
      <c r="AM38" s="17" t="s">
        <v>137</v>
      </c>
      <c r="AN38" s="17" t="s">
        <v>84</v>
      </c>
      <c r="AO38" s="17" t="s">
        <v>75</v>
      </c>
      <c r="AP38" s="17"/>
      <c r="AQ38" s="17"/>
      <c r="AR38" s="17"/>
      <c r="AS38" s="17"/>
      <c r="AT38" s="17" t="s">
        <v>138</v>
      </c>
      <c r="AU38" s="17" t="s">
        <v>111</v>
      </c>
    </row>
    <row r="39" hidden="1">
      <c r="A39" s="17">
        <v>37</v>
      </c>
      <c r="B39" s="17" t="s">
        <v>52</v>
      </c>
      <c r="C39" s="19" t="s">
        <v>139</v>
      </c>
      <c r="D39" s="19" t="s">
        <v>54</v>
      </c>
      <c r="E39" s="17" t="s">
        <v>140</v>
      </c>
      <c r="F39" s="17" t="s">
        <v>141</v>
      </c>
      <c r="G39" s="17">
        <v>22.064792000000001</v>
      </c>
      <c r="H39" s="17">
        <v>87.865493000000001</v>
      </c>
      <c r="I39" s="17"/>
      <c r="J39" s="17"/>
      <c r="K39" s="17"/>
      <c r="L39" s="17"/>
      <c r="M39" s="19" t="s">
        <v>72</v>
      </c>
      <c r="N39" s="17">
        <v>6289037005</v>
      </c>
      <c r="O39" s="17">
        <v>15</v>
      </c>
      <c r="P39" s="17">
        <v>100</v>
      </c>
      <c r="Q39" s="17" t="s">
        <v>105</v>
      </c>
      <c r="R39" s="17" t="s">
        <v>142</v>
      </c>
      <c r="S39" s="17" t="s">
        <v>75</v>
      </c>
      <c r="T39" s="17"/>
      <c r="U39" s="17" t="s">
        <v>105</v>
      </c>
      <c r="V39" s="17" t="s">
        <v>77</v>
      </c>
      <c r="W39" s="17" t="s">
        <v>143</v>
      </c>
      <c r="X39" s="17">
        <v>3</v>
      </c>
      <c r="Y39" s="17">
        <v>3</v>
      </c>
      <c r="Z39" s="17" t="s">
        <v>144</v>
      </c>
      <c r="AA39" s="17" t="s">
        <v>145</v>
      </c>
      <c r="AB39" s="17" t="s">
        <v>79</v>
      </c>
      <c r="AC39" s="17">
        <v>4</v>
      </c>
      <c r="AD39" s="17">
        <v>0</v>
      </c>
      <c r="AE39" s="17">
        <v>0</v>
      </c>
      <c r="AF39" s="17"/>
      <c r="AG39" s="17" t="s">
        <v>81</v>
      </c>
      <c r="AH39" s="17" t="s">
        <v>82</v>
      </c>
      <c r="AI39" s="17" t="s">
        <v>107</v>
      </c>
      <c r="AJ39" s="17"/>
      <c r="AK39" s="17" t="s">
        <v>137</v>
      </c>
      <c r="AL39" s="17" t="s">
        <v>75</v>
      </c>
      <c r="AM39" s="17" t="s">
        <v>137</v>
      </c>
      <c r="AN39" s="17" t="s">
        <v>84</v>
      </c>
      <c r="AO39" s="17" t="s">
        <v>75</v>
      </c>
      <c r="AP39" s="17"/>
      <c r="AQ39" s="17"/>
      <c r="AR39" s="17"/>
      <c r="AS39" s="17"/>
      <c r="AT39" s="17" t="s">
        <v>146</v>
      </c>
      <c r="AU39" s="17" t="s">
        <v>111</v>
      </c>
    </row>
    <row r="40" hidden="1">
      <c r="A40" s="17">
        <v>38</v>
      </c>
      <c r="B40" s="17" t="s">
        <v>52</v>
      </c>
      <c r="C40" s="19" t="s">
        <v>147</v>
      </c>
      <c r="D40" s="19" t="s">
        <v>54</v>
      </c>
      <c r="E40" s="17" t="s">
        <v>148</v>
      </c>
      <c r="F40" s="17" t="s">
        <v>149</v>
      </c>
      <c r="G40" s="17">
        <v>22.108539</v>
      </c>
      <c r="H40" s="17">
        <v>88.182598999999996</v>
      </c>
      <c r="I40" s="17"/>
      <c r="J40" s="17"/>
      <c r="K40" s="17"/>
      <c r="L40" s="17"/>
      <c r="M40" s="19" t="s">
        <v>150</v>
      </c>
      <c r="N40" s="17">
        <v>6289903920</v>
      </c>
      <c r="O40" s="17">
        <v>20</v>
      </c>
      <c r="P40" s="17">
        <v>70</v>
      </c>
      <c r="Q40" s="17" t="s">
        <v>105</v>
      </c>
      <c r="R40" s="17" t="s">
        <v>74</v>
      </c>
      <c r="S40" s="17" t="s">
        <v>75</v>
      </c>
      <c r="T40" s="17"/>
      <c r="U40" s="17" t="s">
        <v>105</v>
      </c>
      <c r="V40" s="17" t="s">
        <v>77</v>
      </c>
      <c r="W40" s="17" t="s">
        <v>151</v>
      </c>
      <c r="X40" s="17">
        <v>8</v>
      </c>
      <c r="Y40" s="17">
        <v>0</v>
      </c>
      <c r="Z40" s="17"/>
      <c r="AA40" s="17" t="s">
        <v>145</v>
      </c>
      <c r="AB40" s="17" t="s">
        <v>79</v>
      </c>
      <c r="AC40" s="17">
        <v>4</v>
      </c>
      <c r="AD40" s="17">
        <v>0</v>
      </c>
      <c r="AE40" s="17">
        <v>2</v>
      </c>
      <c r="AF40" s="17" t="s">
        <v>152</v>
      </c>
      <c r="AG40" s="17" t="s">
        <v>153</v>
      </c>
      <c r="AH40" s="17"/>
      <c r="AI40" s="17"/>
      <c r="AJ40" s="17"/>
      <c r="AK40" s="17"/>
      <c r="AL40" s="17"/>
      <c r="AM40" s="17"/>
      <c r="AN40" s="17"/>
      <c r="AO40" s="17"/>
      <c r="AP40" s="17" t="s">
        <v>105</v>
      </c>
      <c r="AQ40" s="17" t="s">
        <v>154</v>
      </c>
      <c r="AR40" s="17">
        <v>2</v>
      </c>
      <c r="AS40" s="17">
        <v>0</v>
      </c>
      <c r="AT40" s="17" t="s">
        <v>155</v>
      </c>
      <c r="AU40" s="17" t="s">
        <v>127</v>
      </c>
    </row>
    <row r="41" hidden="1">
      <c r="A41" s="17">
        <v>39</v>
      </c>
      <c r="B41" s="17" t="s">
        <v>52</v>
      </c>
      <c r="C41" s="19" t="s">
        <v>156</v>
      </c>
      <c r="D41" s="19" t="s">
        <v>54</v>
      </c>
      <c r="E41" s="17" t="s">
        <v>157</v>
      </c>
      <c r="F41" s="17" t="s">
        <v>158</v>
      </c>
      <c r="G41" s="17">
        <v>22.307120000000001</v>
      </c>
      <c r="H41" s="17">
        <v>87.807670000000002</v>
      </c>
      <c r="I41" s="17"/>
      <c r="J41" s="17"/>
      <c r="K41" s="17"/>
      <c r="L41" s="17"/>
      <c r="M41" s="19" t="s">
        <v>159</v>
      </c>
      <c r="N41" s="17">
        <v>9064976020</v>
      </c>
      <c r="O41" s="17">
        <v>20</v>
      </c>
      <c r="P41" s="17">
        <v>40</v>
      </c>
      <c r="Q41" s="17" t="s">
        <v>73</v>
      </c>
      <c r="R41" s="17" t="s">
        <v>74</v>
      </c>
      <c r="S41" s="17"/>
      <c r="T41" s="17"/>
      <c r="U41" s="17" t="s">
        <v>160</v>
      </c>
      <c r="V41" s="17" t="s">
        <v>77</v>
      </c>
      <c r="W41" s="17" t="s">
        <v>161</v>
      </c>
      <c r="X41" s="17">
        <v>3</v>
      </c>
      <c r="Y41" s="17">
        <v>0</v>
      </c>
      <c r="Z41" s="17"/>
      <c r="AA41" s="17" t="s">
        <v>73</v>
      </c>
      <c r="AB41" s="17" t="s">
        <v>79</v>
      </c>
      <c r="AC41" s="17">
        <v>1</v>
      </c>
      <c r="AD41" s="17">
        <v>0</v>
      </c>
      <c r="AE41" s="17">
        <v>0</v>
      </c>
      <c r="AF41" s="17"/>
      <c r="AG41" s="17" t="s">
        <v>124</v>
      </c>
      <c r="AH41" s="17" t="s">
        <v>162</v>
      </c>
      <c r="AI41" s="17" t="s">
        <v>83</v>
      </c>
      <c r="AJ41" s="17">
        <v>2112</v>
      </c>
      <c r="AK41" s="17" t="s">
        <v>75</v>
      </c>
      <c r="AL41" s="17" t="s">
        <v>75</v>
      </c>
      <c r="AM41" s="17" t="s">
        <v>163</v>
      </c>
      <c r="AN41" s="17" t="s">
        <v>125</v>
      </c>
      <c r="AO41" s="17" t="s">
        <v>137</v>
      </c>
      <c r="AP41" s="17"/>
      <c r="AQ41" s="17"/>
      <c r="AR41" s="17"/>
      <c r="AS41" s="17"/>
      <c r="AT41" s="17" t="s">
        <v>164</v>
      </c>
      <c r="AU41" s="17" t="s">
        <v>111</v>
      </c>
    </row>
    <row r="42" hidden="1">
      <c r="A42" s="17">
        <v>40</v>
      </c>
      <c r="B42" s="17" t="s">
        <v>52</v>
      </c>
      <c r="C42" s="19" t="s">
        <v>165</v>
      </c>
      <c r="D42" s="19" t="s">
        <v>54</v>
      </c>
      <c r="E42" s="17"/>
      <c r="F42" s="17"/>
      <c r="G42" s="17"/>
      <c r="H42" s="17"/>
      <c r="I42" s="17"/>
      <c r="J42" s="17"/>
      <c r="K42" s="17"/>
      <c r="L42" s="17"/>
      <c r="M42" s="19" t="s">
        <v>166</v>
      </c>
      <c r="N42" s="17">
        <v>9064976019</v>
      </c>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row>
    <row r="43" hidden="1">
      <c r="A43" s="17">
        <v>41</v>
      </c>
      <c r="B43" s="17" t="s">
        <v>52</v>
      </c>
      <c r="C43" s="19" t="s">
        <v>167</v>
      </c>
      <c r="D43" s="19" t="s">
        <v>54</v>
      </c>
      <c r="E43" s="17" t="s">
        <v>168</v>
      </c>
      <c r="F43" s="17" t="s">
        <v>169</v>
      </c>
      <c r="G43" s="17">
        <v>22.327145999999999</v>
      </c>
      <c r="H43" s="17">
        <v>87.808498</v>
      </c>
      <c r="I43" s="17"/>
      <c r="J43" s="17"/>
      <c r="K43" s="17"/>
      <c r="L43" s="17"/>
      <c r="M43" s="19" t="s">
        <v>159</v>
      </c>
      <c r="N43" s="17">
        <v>9064976020</v>
      </c>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row>
    <row r="44" hidden="1">
      <c r="A44" s="17">
        <v>42</v>
      </c>
      <c r="B44" s="17" t="s">
        <v>52</v>
      </c>
      <c r="C44" s="20" t="s">
        <v>170</v>
      </c>
      <c r="D44" s="19" t="s">
        <v>54</v>
      </c>
      <c r="E44" s="17"/>
      <c r="F44" s="17"/>
      <c r="G44" s="17"/>
      <c r="H44" s="17"/>
      <c r="I44" s="17"/>
      <c r="J44" s="17"/>
      <c r="K44" s="17"/>
      <c r="L44" s="17"/>
      <c r="M44" s="20"/>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row>
    <row r="45" hidden="1">
      <c r="A45" s="17">
        <v>43</v>
      </c>
      <c r="B45" s="17" t="s">
        <v>52</v>
      </c>
      <c r="C45" s="19" t="s">
        <v>171</v>
      </c>
      <c r="D45" s="19" t="s">
        <v>54</v>
      </c>
      <c r="E45" s="17"/>
      <c r="F45" s="17"/>
      <c r="G45" s="17"/>
      <c r="H45" s="17"/>
      <c r="I45" s="17"/>
      <c r="J45" s="17"/>
      <c r="K45" s="17"/>
      <c r="L45" s="17"/>
      <c r="M45" s="19" t="s">
        <v>150</v>
      </c>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row>
    <row r="46" hidden="1">
      <c r="A46" s="17">
        <v>44</v>
      </c>
      <c r="B46" s="17" t="s">
        <v>52</v>
      </c>
      <c r="C46" s="19" t="s">
        <v>172</v>
      </c>
      <c r="D46" s="19" t="s">
        <v>54</v>
      </c>
      <c r="E46" s="17" t="s">
        <v>173</v>
      </c>
      <c r="F46" s="17" t="s">
        <v>174</v>
      </c>
      <c r="G46" s="17">
        <v>22.030100000000001</v>
      </c>
      <c r="H46" s="17">
        <v>88.061600999999996</v>
      </c>
      <c r="I46" s="17"/>
      <c r="J46" s="17"/>
      <c r="K46" s="17"/>
      <c r="L46" s="17"/>
      <c r="M46" s="19" t="s">
        <v>59</v>
      </c>
      <c r="N46" s="17">
        <v>7384766634</v>
      </c>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row>
    <row r="47" hidden="1">
      <c r="A47" s="17">
        <v>45</v>
      </c>
      <c r="B47" s="17" t="s">
        <v>52</v>
      </c>
      <c r="C47" s="19" t="s">
        <v>175</v>
      </c>
      <c r="D47" s="19" t="s">
        <v>54</v>
      </c>
      <c r="E47" s="17" t="s">
        <v>176</v>
      </c>
      <c r="F47" s="17" t="s">
        <v>177</v>
      </c>
      <c r="G47" s="17">
        <v>22.041208000000001</v>
      </c>
      <c r="H47" s="17">
        <v>88.053171000000006</v>
      </c>
      <c r="I47" s="17"/>
      <c r="J47" s="17"/>
      <c r="K47" s="17"/>
      <c r="L47" s="17"/>
      <c r="M47" s="19" t="s">
        <v>59</v>
      </c>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row>
    <row r="48" hidden="1">
      <c r="A48" s="17">
        <v>46</v>
      </c>
      <c r="B48" s="17" t="s">
        <v>52</v>
      </c>
      <c r="C48" s="19" t="s">
        <v>178</v>
      </c>
      <c r="D48" s="19" t="s">
        <v>54</v>
      </c>
      <c r="E48" s="17" t="s">
        <v>179</v>
      </c>
      <c r="F48" s="17" t="s">
        <v>180</v>
      </c>
      <c r="G48" s="17">
        <v>22.052875</v>
      </c>
      <c r="H48" s="17">
        <v>88.070294000000004</v>
      </c>
      <c r="I48" s="17"/>
      <c r="J48" s="17"/>
      <c r="K48" s="17"/>
      <c r="L48" s="17"/>
      <c r="M48" s="19" t="s">
        <v>59</v>
      </c>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row>
    <row r="49" hidden="1">
      <c r="A49" s="17">
        <v>47</v>
      </c>
      <c r="B49" s="17" t="s">
        <v>52</v>
      </c>
      <c r="C49" s="19" t="s">
        <v>181</v>
      </c>
      <c r="D49" s="19" t="s">
        <v>54</v>
      </c>
      <c r="E49" s="17" t="s">
        <v>182</v>
      </c>
      <c r="F49" s="17" t="s">
        <v>183</v>
      </c>
      <c r="G49" s="17">
        <v>22.055498</v>
      </c>
      <c r="H49" s="17">
        <v>88.095741000000004</v>
      </c>
      <c r="I49" s="17"/>
      <c r="J49" s="17"/>
      <c r="K49" s="17"/>
      <c r="L49" s="17"/>
      <c r="M49" s="19" t="s">
        <v>59</v>
      </c>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row>
    <row r="50" hidden="1">
      <c r="A50" s="17">
        <v>48</v>
      </c>
      <c r="B50" s="17" t="s">
        <v>52</v>
      </c>
      <c r="C50" s="19" t="s">
        <v>184</v>
      </c>
      <c r="D50" s="19" t="s">
        <v>54</v>
      </c>
      <c r="E50" s="17" t="s">
        <v>185</v>
      </c>
      <c r="F50" s="17" t="s">
        <v>186</v>
      </c>
      <c r="G50" s="17">
        <v>22.069908999999999</v>
      </c>
      <c r="H50" s="17">
        <v>88.132769999999994</v>
      </c>
      <c r="I50" s="17"/>
      <c r="J50" s="17"/>
      <c r="K50" s="17"/>
      <c r="L50" s="17"/>
      <c r="M50" s="19" t="s">
        <v>150</v>
      </c>
      <c r="N50" s="17">
        <v>6289903920</v>
      </c>
      <c r="O50" s="17">
        <v>20</v>
      </c>
      <c r="P50" s="17">
        <v>90</v>
      </c>
      <c r="Q50" s="17" t="s">
        <v>187</v>
      </c>
      <c r="R50" s="17" t="s">
        <v>74</v>
      </c>
      <c r="S50" s="17" t="s">
        <v>75</v>
      </c>
      <c r="T50" s="17"/>
      <c r="U50" s="17" t="s">
        <v>105</v>
      </c>
      <c r="V50" s="17" t="s">
        <v>77</v>
      </c>
      <c r="W50" s="17" t="s">
        <v>78</v>
      </c>
      <c r="X50" s="17">
        <v>6</v>
      </c>
      <c r="Y50" s="17">
        <v>0</v>
      </c>
      <c r="Z50" s="17"/>
      <c r="AA50" s="17" t="s">
        <v>187</v>
      </c>
      <c r="AB50" s="17" t="s">
        <v>79</v>
      </c>
      <c r="AC50" s="17">
        <v>4</v>
      </c>
      <c r="AD50" s="17">
        <v>0</v>
      </c>
      <c r="AE50" s="17">
        <v>0</v>
      </c>
      <c r="AF50" s="17"/>
      <c r="AG50" s="17" t="s">
        <v>124</v>
      </c>
      <c r="AH50" s="17" t="s">
        <v>162</v>
      </c>
      <c r="AI50" s="17" t="s">
        <v>188</v>
      </c>
      <c r="AJ50" s="17" t="s">
        <v>189</v>
      </c>
      <c r="AK50" s="17" t="s">
        <v>75</v>
      </c>
      <c r="AL50" s="17" t="s">
        <v>75</v>
      </c>
      <c r="AM50" s="17" t="s">
        <v>84</v>
      </c>
      <c r="AN50" s="17" t="s">
        <v>75</v>
      </c>
      <c r="AO50" s="17"/>
      <c r="AP50" s="17"/>
      <c r="AQ50" s="17"/>
      <c r="AR50" s="17"/>
      <c r="AS50" s="17"/>
      <c r="AT50" s="17" t="s">
        <v>190</v>
      </c>
      <c r="AU50" s="17" t="s">
        <v>127</v>
      </c>
    </row>
    <row r="51" hidden="1">
      <c r="A51" s="17">
        <v>49</v>
      </c>
      <c r="B51" s="17" t="s">
        <v>52</v>
      </c>
      <c r="C51" s="19" t="s">
        <v>191</v>
      </c>
      <c r="D51" s="19" t="s">
        <v>54</v>
      </c>
      <c r="E51" s="17" t="s">
        <v>192</v>
      </c>
      <c r="F51" s="17" t="s">
        <v>193</v>
      </c>
      <c r="G51" s="17">
        <v>22.071308999999999</v>
      </c>
      <c r="H51" s="17">
        <v>88.142232000000007</v>
      </c>
      <c r="I51" s="17"/>
      <c r="J51" s="17"/>
      <c r="K51" s="17"/>
      <c r="L51" s="17"/>
      <c r="M51" s="19" t="s">
        <v>150</v>
      </c>
      <c r="N51" s="17">
        <v>6289903920</v>
      </c>
      <c r="O51" s="17">
        <v>20</v>
      </c>
      <c r="P51" s="17">
        <v>80</v>
      </c>
      <c r="Q51" s="17" t="s">
        <v>73</v>
      </c>
      <c r="R51" s="17" t="s">
        <v>74</v>
      </c>
      <c r="S51" s="17" t="s">
        <v>75</v>
      </c>
      <c r="T51" s="17"/>
      <c r="U51" s="17" t="s">
        <v>105</v>
      </c>
      <c r="V51" s="17" t="s">
        <v>77</v>
      </c>
      <c r="W51" s="17" t="s">
        <v>78</v>
      </c>
      <c r="X51" s="17">
        <v>5</v>
      </c>
      <c r="Y51" s="17">
        <v>0</v>
      </c>
      <c r="Z51" s="17"/>
      <c r="AA51" s="17" t="s">
        <v>73</v>
      </c>
      <c r="AB51" s="17" t="s">
        <v>79</v>
      </c>
      <c r="AC51" s="17">
        <v>2</v>
      </c>
      <c r="AD51" s="17">
        <v>0</v>
      </c>
      <c r="AE51" s="17">
        <v>0</v>
      </c>
      <c r="AF51" s="17" t="s">
        <v>194</v>
      </c>
      <c r="AG51" s="17" t="s">
        <v>81</v>
      </c>
      <c r="AH51" s="17" t="s">
        <v>82</v>
      </c>
      <c r="AI51" s="17" t="s">
        <v>107</v>
      </c>
      <c r="AJ51" s="17" t="s">
        <v>195</v>
      </c>
      <c r="AK51" s="17" t="s">
        <v>75</v>
      </c>
      <c r="AL51" s="17" t="s">
        <v>137</v>
      </c>
      <c r="AM51" s="17" t="s">
        <v>84</v>
      </c>
      <c r="AN51" s="17" t="s">
        <v>75</v>
      </c>
      <c r="AO51" s="17"/>
      <c r="AP51" s="17"/>
      <c r="AQ51" s="17"/>
      <c r="AR51" s="17"/>
      <c r="AS51" s="17"/>
      <c r="AT51" s="17" t="s">
        <v>196</v>
      </c>
      <c r="AU51" s="17" t="s">
        <v>127</v>
      </c>
    </row>
    <row r="52" hidden="1">
      <c r="A52" s="17">
        <v>50</v>
      </c>
      <c r="B52" s="17" t="s">
        <v>52</v>
      </c>
      <c r="C52" s="19" t="s">
        <v>197</v>
      </c>
      <c r="D52" s="19" t="s">
        <v>54</v>
      </c>
      <c r="E52" s="17" t="s">
        <v>198</v>
      </c>
      <c r="F52" s="17" t="s">
        <v>199</v>
      </c>
      <c r="G52" s="17">
        <v>22.079096</v>
      </c>
      <c r="H52" s="17">
        <v>88.145866999999996</v>
      </c>
      <c r="I52" s="17"/>
      <c r="J52" s="17"/>
      <c r="K52" s="17"/>
      <c r="L52" s="17"/>
      <c r="M52" s="19" t="s">
        <v>59</v>
      </c>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row>
    <row r="53" hidden="1">
      <c r="A53" s="17">
        <v>51</v>
      </c>
      <c r="B53" s="17" t="s">
        <v>52</v>
      </c>
      <c r="C53" s="19" t="s">
        <v>200</v>
      </c>
      <c r="D53" s="19" t="s">
        <v>54</v>
      </c>
      <c r="E53" s="17" t="s">
        <v>201</v>
      </c>
      <c r="F53" s="17" t="s">
        <v>202</v>
      </c>
      <c r="G53" s="17">
        <v>22.031842000000001</v>
      </c>
      <c r="H53" s="17">
        <v>88.053460999999999</v>
      </c>
      <c r="I53" s="17"/>
      <c r="J53" s="17"/>
      <c r="K53" s="17"/>
      <c r="L53" s="17"/>
      <c r="M53" s="19" t="s">
        <v>59</v>
      </c>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row>
    <row r="54" hidden="1">
      <c r="A54" s="17">
        <v>52</v>
      </c>
      <c r="B54" s="17" t="s">
        <v>52</v>
      </c>
      <c r="C54" s="19" t="s">
        <v>203</v>
      </c>
      <c r="D54" s="19" t="s">
        <v>54</v>
      </c>
      <c r="E54" s="17" t="s">
        <v>204</v>
      </c>
      <c r="F54" s="17" t="s">
        <v>205</v>
      </c>
      <c r="G54" s="17">
        <v>22.046869000000001</v>
      </c>
      <c r="H54" s="17">
        <v>88.060717999999994</v>
      </c>
      <c r="I54" s="17"/>
      <c r="J54" s="17"/>
      <c r="K54" s="17"/>
      <c r="L54" s="17"/>
      <c r="M54" s="19" t="s">
        <v>59</v>
      </c>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row>
    <row r="55" hidden="1">
      <c r="A55" s="17">
        <v>53</v>
      </c>
      <c r="B55" s="17" t="s">
        <v>52</v>
      </c>
      <c r="C55" s="19" t="s">
        <v>206</v>
      </c>
      <c r="D55" s="19" t="s">
        <v>54</v>
      </c>
      <c r="E55" s="17" t="s">
        <v>207</v>
      </c>
      <c r="F55" s="17" t="s">
        <v>208</v>
      </c>
      <c r="G55" s="17">
        <v>22.060683999999998</v>
      </c>
      <c r="H55" s="17">
        <v>88.063309000000004</v>
      </c>
      <c r="I55" s="17"/>
      <c r="J55" s="17"/>
      <c r="K55" s="17"/>
      <c r="L55" s="17"/>
      <c r="M55" s="19" t="s">
        <v>59</v>
      </c>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row>
    <row r="56" hidden="1">
      <c r="A56" s="17">
        <v>54</v>
      </c>
      <c r="B56" s="17" t="s">
        <v>52</v>
      </c>
      <c r="C56" s="19" t="s">
        <v>209</v>
      </c>
      <c r="D56" s="19" t="s">
        <v>54</v>
      </c>
      <c r="E56" s="17" t="s">
        <v>210</v>
      </c>
      <c r="F56" s="17" t="s">
        <v>211</v>
      </c>
      <c r="G56" s="17">
        <v>22.067056000000001</v>
      </c>
      <c r="H56" s="17">
        <v>88.125221999999994</v>
      </c>
      <c r="I56" s="17"/>
      <c r="J56" s="17"/>
      <c r="K56" s="17"/>
      <c r="L56" s="17"/>
      <c r="M56" s="19" t="s">
        <v>59</v>
      </c>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row>
    <row r="57" hidden="1">
      <c r="A57" s="17">
        <v>55</v>
      </c>
      <c r="B57" s="17" t="s">
        <v>52</v>
      </c>
      <c r="C57" s="19" t="s">
        <v>212</v>
      </c>
      <c r="D57" s="19" t="s">
        <v>54</v>
      </c>
      <c r="E57" s="17" t="s">
        <v>213</v>
      </c>
      <c r="F57" s="17" t="s">
        <v>214</v>
      </c>
      <c r="G57" s="17">
        <v>22.035079</v>
      </c>
      <c r="H57" s="17">
        <v>88.059583000000003</v>
      </c>
      <c r="I57" s="17"/>
      <c r="J57" s="17"/>
      <c r="K57" s="17"/>
      <c r="L57" s="17"/>
      <c r="M57" s="19" t="s">
        <v>59</v>
      </c>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row>
    <row r="58" hidden="1">
      <c r="A58" s="17">
        <v>56</v>
      </c>
      <c r="B58" s="17" t="s">
        <v>52</v>
      </c>
      <c r="C58" s="19" t="s">
        <v>215</v>
      </c>
      <c r="D58" s="19" t="s">
        <v>54</v>
      </c>
      <c r="E58" s="17" t="s">
        <v>216</v>
      </c>
      <c r="F58" s="17" t="s">
        <v>217</v>
      </c>
      <c r="G58" s="17">
        <v>22.026457000000001</v>
      </c>
      <c r="H58" s="17">
        <v>88.056286999999998</v>
      </c>
      <c r="I58" s="17"/>
      <c r="J58" s="17"/>
      <c r="K58" s="17"/>
      <c r="L58" s="17"/>
      <c r="M58" s="19" t="s">
        <v>59</v>
      </c>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row>
    <row r="59" hidden="1">
      <c r="A59" s="17">
        <v>57</v>
      </c>
      <c r="B59" s="17" t="s">
        <v>52</v>
      </c>
      <c r="C59" s="19" t="s">
        <v>218</v>
      </c>
      <c r="D59" s="19" t="s">
        <v>54</v>
      </c>
      <c r="E59" s="17" t="s">
        <v>219</v>
      </c>
      <c r="F59" s="17" t="s">
        <v>220</v>
      </c>
      <c r="G59" s="17">
        <v>22.068909999999999</v>
      </c>
      <c r="H59" s="17">
        <v>88.149626999999995</v>
      </c>
      <c r="I59" s="17"/>
      <c r="J59" s="17"/>
      <c r="K59" s="17"/>
      <c r="L59" s="17"/>
      <c r="M59" s="19" t="s">
        <v>150</v>
      </c>
      <c r="N59" s="17">
        <v>6289903920</v>
      </c>
      <c r="O59" s="17">
        <v>20</v>
      </c>
      <c r="P59" s="17">
        <v>70</v>
      </c>
      <c r="Q59" s="17" t="s">
        <v>187</v>
      </c>
      <c r="R59" s="17" t="s">
        <v>74</v>
      </c>
      <c r="S59" s="17" t="s">
        <v>75</v>
      </c>
      <c r="T59" s="17"/>
      <c r="U59" s="17" t="s">
        <v>105</v>
      </c>
      <c r="V59" s="17" t="s">
        <v>77</v>
      </c>
      <c r="W59" s="17" t="s">
        <v>161</v>
      </c>
      <c r="X59" s="17">
        <v>5</v>
      </c>
      <c r="Y59" s="17">
        <v>0</v>
      </c>
      <c r="Z59" s="17"/>
      <c r="AA59" s="17" t="s">
        <v>187</v>
      </c>
      <c r="AB59" s="17" t="s">
        <v>79</v>
      </c>
      <c r="AC59" s="17">
        <v>2</v>
      </c>
      <c r="AD59" s="17">
        <v>0</v>
      </c>
      <c r="AE59" s="17">
        <v>0</v>
      </c>
      <c r="AF59" s="17"/>
      <c r="AG59" s="17" t="s">
        <v>124</v>
      </c>
      <c r="AH59" s="17" t="s">
        <v>162</v>
      </c>
      <c r="AI59" s="17" t="s">
        <v>83</v>
      </c>
      <c r="AJ59" s="17" t="s">
        <v>221</v>
      </c>
      <c r="AK59" s="17" t="s">
        <v>75</v>
      </c>
      <c r="AL59" s="17" t="s">
        <v>75</v>
      </c>
      <c r="AM59" s="17" t="s">
        <v>125</v>
      </c>
      <c r="AN59" s="17" t="s">
        <v>75</v>
      </c>
      <c r="AO59" s="17"/>
      <c r="AP59" s="17"/>
      <c r="AQ59" s="17"/>
      <c r="AR59" s="17"/>
      <c r="AS59" s="17"/>
      <c r="AT59" s="17"/>
      <c r="AU59" s="17" t="s">
        <v>111</v>
      </c>
    </row>
    <row r="60" hidden="1">
      <c r="A60" s="17">
        <v>58</v>
      </c>
      <c r="B60" s="17" t="s">
        <v>52</v>
      </c>
      <c r="C60" s="19" t="s">
        <v>222</v>
      </c>
      <c r="D60" s="19" t="s">
        <v>54</v>
      </c>
      <c r="E60" s="17" t="s">
        <v>223</v>
      </c>
      <c r="F60" s="17" t="s">
        <v>224</v>
      </c>
      <c r="G60" s="17">
        <v>22.055384</v>
      </c>
      <c r="H60" s="17">
        <v>88.055777000000006</v>
      </c>
      <c r="I60" s="17"/>
      <c r="J60" s="17"/>
      <c r="K60" s="17"/>
      <c r="L60" s="17"/>
      <c r="M60" s="19" t="s">
        <v>59</v>
      </c>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row>
    <row r="61" hidden="1">
      <c r="A61" s="17">
        <v>59</v>
      </c>
      <c r="B61" s="17" t="s">
        <v>52</v>
      </c>
      <c r="C61" s="19" t="s">
        <v>225</v>
      </c>
      <c r="D61" s="19" t="s">
        <v>54</v>
      </c>
      <c r="E61" s="17" t="s">
        <v>226</v>
      </c>
      <c r="F61" s="17" t="s">
        <v>227</v>
      </c>
      <c r="G61" s="17">
        <v>22.071995000000001</v>
      </c>
      <c r="H61" s="17">
        <v>88.079997000000006</v>
      </c>
      <c r="I61" s="17"/>
      <c r="J61" s="17"/>
      <c r="K61" s="17"/>
      <c r="L61" s="17"/>
      <c r="M61" s="19" t="s">
        <v>59</v>
      </c>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row>
    <row r="62" hidden="1">
      <c r="A62" s="17">
        <v>60</v>
      </c>
      <c r="B62" s="17" t="s">
        <v>52</v>
      </c>
      <c r="C62" s="19" t="s">
        <v>228</v>
      </c>
      <c r="D62" s="19" t="s">
        <v>54</v>
      </c>
      <c r="E62" s="17" t="s">
        <v>54</v>
      </c>
      <c r="F62" s="17" t="s">
        <v>229</v>
      </c>
      <c r="G62" s="17">
        <v>22.066606</v>
      </c>
      <c r="H62" s="17">
        <v>88.111609999999999</v>
      </c>
      <c r="I62" s="17"/>
      <c r="J62" s="17"/>
      <c r="K62" s="17"/>
      <c r="L62" s="17"/>
      <c r="M62" s="19" t="s">
        <v>59</v>
      </c>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row>
    <row r="63" hidden="1">
      <c r="A63" s="17">
        <v>61</v>
      </c>
      <c r="B63" s="17" t="s">
        <v>52</v>
      </c>
      <c r="C63" s="19" t="s">
        <v>230</v>
      </c>
      <c r="D63" s="19" t="s">
        <v>54</v>
      </c>
      <c r="E63" s="17" t="s">
        <v>231</v>
      </c>
      <c r="F63" s="17" t="s">
        <v>232</v>
      </c>
      <c r="G63" s="17">
        <v>22.080131999999999</v>
      </c>
      <c r="H63" s="17">
        <v>88.140314000000004</v>
      </c>
      <c r="I63" s="17"/>
      <c r="J63" s="17"/>
      <c r="K63" s="17"/>
      <c r="L63" s="17"/>
      <c r="M63" s="19" t="s">
        <v>59</v>
      </c>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row>
    <row r="64" hidden="1">
      <c r="A64" s="17">
        <v>62</v>
      </c>
      <c r="B64" s="17" t="s">
        <v>52</v>
      </c>
      <c r="C64" s="19" t="s">
        <v>233</v>
      </c>
      <c r="D64" s="19" t="s">
        <v>54</v>
      </c>
      <c r="E64" s="17" t="s">
        <v>234</v>
      </c>
      <c r="F64" s="17" t="s">
        <v>235</v>
      </c>
      <c r="G64" s="17">
        <v>22.019586</v>
      </c>
      <c r="H64" s="17">
        <v>88.063056000000003</v>
      </c>
      <c r="I64" s="17"/>
      <c r="J64" s="17"/>
      <c r="K64" s="17"/>
      <c r="L64" s="17"/>
      <c r="M64" s="19" t="s">
        <v>59</v>
      </c>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row>
    <row r="65" hidden="1">
      <c r="A65" s="17">
        <v>63</v>
      </c>
      <c r="B65" s="17" t="s">
        <v>52</v>
      </c>
      <c r="C65" s="19" t="s">
        <v>236</v>
      </c>
      <c r="D65" s="19" t="s">
        <v>54</v>
      </c>
      <c r="E65" s="17" t="s">
        <v>237</v>
      </c>
      <c r="F65" s="17" t="s">
        <v>217</v>
      </c>
      <c r="G65" s="17">
        <v>22.061399999999999</v>
      </c>
      <c r="H65" s="17">
        <v>88.135088999999994</v>
      </c>
      <c r="I65" s="17"/>
      <c r="J65" s="17"/>
      <c r="K65" s="17"/>
      <c r="L65" s="17"/>
      <c r="M65" s="19" t="s">
        <v>150</v>
      </c>
      <c r="N65" s="17">
        <v>6289903920</v>
      </c>
      <c r="O65" s="17">
        <v>20</v>
      </c>
      <c r="P65" s="17">
        <v>80</v>
      </c>
      <c r="Q65" s="17" t="s">
        <v>105</v>
      </c>
      <c r="R65" s="17" t="s">
        <v>238</v>
      </c>
      <c r="S65" s="17" t="s">
        <v>75</v>
      </c>
      <c r="T65" s="17"/>
      <c r="U65" s="17" t="s">
        <v>105</v>
      </c>
      <c r="V65" s="17" t="s">
        <v>77</v>
      </c>
      <c r="W65" s="17" t="s">
        <v>161</v>
      </c>
      <c r="X65" s="17">
        <v>5</v>
      </c>
      <c r="Y65" s="17">
        <v>0</v>
      </c>
      <c r="Z65" s="17"/>
      <c r="AA65" s="17" t="s">
        <v>105</v>
      </c>
      <c r="AB65" s="17" t="s">
        <v>239</v>
      </c>
      <c r="AC65" s="17">
        <v>3</v>
      </c>
      <c r="AD65" s="17">
        <v>0</v>
      </c>
      <c r="AE65" s="17">
        <v>0</v>
      </c>
      <c r="AF65" s="17"/>
      <c r="AG65" s="17" t="s">
        <v>81</v>
      </c>
      <c r="AH65" s="17" t="s">
        <v>82</v>
      </c>
      <c r="AI65" s="17" t="s">
        <v>83</v>
      </c>
      <c r="AJ65" s="17" t="s">
        <v>240</v>
      </c>
      <c r="AK65" s="17" t="s">
        <v>75</v>
      </c>
      <c r="AL65" s="17" t="s">
        <v>75</v>
      </c>
      <c r="AM65" s="17" t="s">
        <v>84</v>
      </c>
      <c r="AN65" s="17" t="s">
        <v>137</v>
      </c>
      <c r="AO65" s="17" t="s">
        <v>241</v>
      </c>
      <c r="AP65" s="17"/>
      <c r="AQ65" s="17"/>
      <c r="AR65" s="17"/>
      <c r="AS65" s="17"/>
      <c r="AT65" s="17"/>
      <c r="AU65" s="17"/>
    </row>
    <row r="66" hidden="1">
      <c r="A66" s="17">
        <v>64</v>
      </c>
      <c r="B66" s="17" t="s">
        <v>52</v>
      </c>
      <c r="C66" s="19" t="s">
        <v>242</v>
      </c>
      <c r="D66" s="19" t="s">
        <v>54</v>
      </c>
      <c r="E66" s="17" t="s">
        <v>243</v>
      </c>
      <c r="F66" s="17" t="s">
        <v>244</v>
      </c>
      <c r="G66" s="17">
        <v>22.053422999999999</v>
      </c>
      <c r="H66" s="17">
        <v>88.101162000000002</v>
      </c>
      <c r="I66" s="17"/>
      <c r="J66" s="17"/>
      <c r="K66" s="17"/>
      <c r="L66" s="17"/>
      <c r="M66" s="19" t="s">
        <v>59</v>
      </c>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row>
    <row r="67" hidden="1">
      <c r="A67" s="17">
        <v>65</v>
      </c>
      <c r="B67" s="17" t="s">
        <v>52</v>
      </c>
      <c r="C67" s="19" t="s">
        <v>245</v>
      </c>
      <c r="D67" s="19" t="s">
        <v>54</v>
      </c>
      <c r="E67" s="17" t="s">
        <v>246</v>
      </c>
      <c r="F67" s="17" t="s">
        <v>247</v>
      </c>
      <c r="G67" s="17">
        <v>22.073174999999999</v>
      </c>
      <c r="H67" s="17">
        <v>88.138886999999997</v>
      </c>
      <c r="I67" s="17"/>
      <c r="J67" s="17"/>
      <c r="K67" s="17"/>
      <c r="L67" s="17"/>
      <c r="M67" s="19" t="s">
        <v>59</v>
      </c>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row>
    <row r="68" hidden="1">
      <c r="A68" s="17">
        <v>66</v>
      </c>
      <c r="B68" s="17" t="s">
        <v>52</v>
      </c>
      <c r="C68" s="19" t="s">
        <v>248</v>
      </c>
      <c r="D68" s="19" t="s">
        <v>54</v>
      </c>
      <c r="E68" s="17" t="s">
        <v>249</v>
      </c>
      <c r="F68" s="17" t="s">
        <v>250</v>
      </c>
      <c r="G68" s="17">
        <v>22.084697999999999</v>
      </c>
      <c r="H68" s="17">
        <v>88.149429999999995</v>
      </c>
      <c r="I68" s="17"/>
      <c r="J68" s="17"/>
      <c r="K68" s="17"/>
      <c r="L68" s="17"/>
      <c r="M68" s="19" t="s">
        <v>150</v>
      </c>
      <c r="N68" s="17">
        <v>6289903920</v>
      </c>
      <c r="O68" s="17">
        <v>22</v>
      </c>
      <c r="P68" s="17">
        <v>90</v>
      </c>
      <c r="Q68" s="17" t="s">
        <v>73</v>
      </c>
      <c r="R68" s="17" t="s">
        <v>74</v>
      </c>
      <c r="S68" s="17" t="s">
        <v>75</v>
      </c>
      <c r="T68" s="17"/>
      <c r="U68" s="17" t="s">
        <v>251</v>
      </c>
      <c r="V68" s="17" t="s">
        <v>77</v>
      </c>
      <c r="W68" s="17" t="s">
        <v>252</v>
      </c>
      <c r="X68" s="17">
        <v>5</v>
      </c>
      <c r="Y68" s="17">
        <v>0</v>
      </c>
      <c r="Z68" s="17"/>
      <c r="AA68" s="17" t="s">
        <v>73</v>
      </c>
      <c r="AB68" s="17" t="s">
        <v>239</v>
      </c>
      <c r="AC68" s="17">
        <v>3</v>
      </c>
      <c r="AD68" s="17">
        <v>0</v>
      </c>
      <c r="AE68" s="17">
        <v>0</v>
      </c>
      <c r="AF68" s="17"/>
      <c r="AG68" s="17" t="s">
        <v>81</v>
      </c>
      <c r="AH68" s="17" t="s">
        <v>82</v>
      </c>
      <c r="AI68" s="17" t="s">
        <v>107</v>
      </c>
      <c r="AJ68" s="17" t="s">
        <v>253</v>
      </c>
      <c r="AK68" s="17" t="s">
        <v>137</v>
      </c>
      <c r="AL68" s="17" t="s">
        <v>75</v>
      </c>
      <c r="AM68" s="17" t="s">
        <v>137</v>
      </c>
      <c r="AN68" s="17" t="s">
        <v>84</v>
      </c>
      <c r="AO68" s="17" t="s">
        <v>75</v>
      </c>
      <c r="AP68" s="17"/>
      <c r="AQ68" s="17"/>
      <c r="AR68" s="17"/>
      <c r="AS68" s="17"/>
      <c r="AT68" s="17" t="s">
        <v>254</v>
      </c>
      <c r="AU68" s="17" t="s">
        <v>127</v>
      </c>
    </row>
    <row r="69" hidden="1">
      <c r="A69" s="17">
        <v>67</v>
      </c>
      <c r="B69" s="17" t="s">
        <v>52</v>
      </c>
      <c r="C69" s="19" t="s">
        <v>255</v>
      </c>
      <c r="D69" s="19" t="s">
        <v>54</v>
      </c>
      <c r="E69" s="17" t="s">
        <v>256</v>
      </c>
      <c r="F69" s="17" t="s">
        <v>257</v>
      </c>
      <c r="G69" s="17">
        <v>22.051748</v>
      </c>
      <c r="H69" s="17">
        <v>88.066137999999995</v>
      </c>
      <c r="I69" s="17"/>
      <c r="J69" s="17"/>
      <c r="K69" s="17"/>
      <c r="L69" s="17"/>
      <c r="M69" s="19" t="s">
        <v>59</v>
      </c>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row>
    <row r="70" hidden="1">
      <c r="A70" s="17">
        <v>68</v>
      </c>
      <c r="B70" s="17" t="s">
        <v>52</v>
      </c>
      <c r="C70" s="19" t="s">
        <v>258</v>
      </c>
      <c r="D70" s="19" t="s">
        <v>54</v>
      </c>
      <c r="E70" s="17" t="s">
        <v>259</v>
      </c>
      <c r="F70" s="17" t="s">
        <v>260</v>
      </c>
      <c r="G70" s="17">
        <v>22.073599999999999</v>
      </c>
      <c r="H70" s="17">
        <v>88.134640000000005</v>
      </c>
      <c r="I70" s="17"/>
      <c r="J70" s="17"/>
      <c r="K70" s="17"/>
      <c r="L70" s="17"/>
      <c r="M70" s="19" t="s">
        <v>150</v>
      </c>
      <c r="N70" s="17">
        <v>6289903920</v>
      </c>
      <c r="O70" s="17">
        <v>22</v>
      </c>
      <c r="P70" s="17">
        <v>75</v>
      </c>
      <c r="Q70" s="17" t="s">
        <v>73</v>
      </c>
      <c r="R70" s="17" t="s">
        <v>74</v>
      </c>
      <c r="S70" s="17" t="s">
        <v>75</v>
      </c>
      <c r="T70" s="17"/>
      <c r="U70" s="17" t="s">
        <v>160</v>
      </c>
      <c r="V70" s="17" t="s">
        <v>77</v>
      </c>
      <c r="W70" s="17" t="s">
        <v>161</v>
      </c>
      <c r="X70" s="17">
        <v>5</v>
      </c>
      <c r="Y70" s="17">
        <v>0</v>
      </c>
      <c r="Z70" s="17"/>
      <c r="AA70" s="17" t="s">
        <v>73</v>
      </c>
      <c r="AB70" s="17" t="s">
        <v>79</v>
      </c>
      <c r="AC70" s="17">
        <v>2</v>
      </c>
      <c r="AD70" s="17">
        <v>0</v>
      </c>
      <c r="AE70" s="17">
        <v>0</v>
      </c>
      <c r="AF70" s="17"/>
      <c r="AG70" s="17" t="s">
        <v>81</v>
      </c>
      <c r="AH70" s="17" t="s">
        <v>82</v>
      </c>
      <c r="AI70" s="17" t="s">
        <v>107</v>
      </c>
      <c r="AJ70" s="17" t="s">
        <v>261</v>
      </c>
      <c r="AK70" s="17" t="s">
        <v>75</v>
      </c>
      <c r="AL70" s="17" t="s">
        <v>75</v>
      </c>
      <c r="AM70" s="17" t="s">
        <v>75</v>
      </c>
      <c r="AN70" s="17" t="s">
        <v>84</v>
      </c>
      <c r="AO70" s="17" t="s">
        <v>75</v>
      </c>
      <c r="AP70" s="17"/>
      <c r="AQ70" s="17"/>
      <c r="AR70" s="17"/>
      <c r="AS70" s="17"/>
      <c r="AT70" s="17"/>
      <c r="AU70" s="17" t="s">
        <v>127</v>
      </c>
    </row>
    <row r="71" hidden="1">
      <c r="A71" s="17">
        <v>69</v>
      </c>
      <c r="B71" s="17" t="s">
        <v>52</v>
      </c>
      <c r="C71" s="19" t="s">
        <v>262</v>
      </c>
      <c r="D71" s="19" t="s">
        <v>54</v>
      </c>
      <c r="E71" s="17" t="s">
        <v>263</v>
      </c>
      <c r="F71" s="17" t="s">
        <v>264</v>
      </c>
      <c r="G71" s="17">
        <v>22.03762</v>
      </c>
      <c r="H71" s="17">
        <v>88.055819999999997</v>
      </c>
      <c r="I71" s="17"/>
      <c r="J71" s="17"/>
      <c r="K71" s="17"/>
      <c r="L71" s="17"/>
      <c r="M71" s="19" t="s">
        <v>59</v>
      </c>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row>
    <row r="72" hidden="1">
      <c r="A72" s="17">
        <v>70</v>
      </c>
      <c r="B72" s="17" t="s">
        <v>52</v>
      </c>
      <c r="C72" s="19" t="s">
        <v>265</v>
      </c>
      <c r="D72" s="19" t="s">
        <v>54</v>
      </c>
      <c r="E72" s="17" t="s">
        <v>266</v>
      </c>
      <c r="F72" s="17" t="s">
        <v>267</v>
      </c>
      <c r="G72" s="17">
        <v>22.066967999999999</v>
      </c>
      <c r="H72" s="17">
        <v>88.067262999999997</v>
      </c>
      <c r="I72" s="17"/>
      <c r="J72" s="17"/>
      <c r="K72" s="17"/>
      <c r="L72" s="17"/>
      <c r="M72" s="19" t="s">
        <v>59</v>
      </c>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row>
    <row r="73" hidden="1">
      <c r="A73" s="17">
        <v>71</v>
      </c>
      <c r="B73" s="17" t="s">
        <v>52</v>
      </c>
      <c r="C73" s="19" t="s">
        <v>268</v>
      </c>
      <c r="D73" s="19" t="s">
        <v>54</v>
      </c>
      <c r="E73" s="17" t="s">
        <v>269</v>
      </c>
      <c r="F73" s="17" t="s">
        <v>270</v>
      </c>
      <c r="G73" s="17">
        <v>22.061340000000001</v>
      </c>
      <c r="H73" s="17">
        <v>88.078558000000001</v>
      </c>
      <c r="I73" s="17"/>
      <c r="J73" s="17"/>
      <c r="K73" s="17"/>
      <c r="L73" s="17"/>
      <c r="M73" s="19" t="s">
        <v>59</v>
      </c>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row>
    <row r="74" hidden="1">
      <c r="A74" s="17">
        <v>72</v>
      </c>
      <c r="B74" s="17" t="s">
        <v>52</v>
      </c>
      <c r="C74" s="19" t="s">
        <v>271</v>
      </c>
      <c r="D74" s="19" t="s">
        <v>54</v>
      </c>
      <c r="E74" s="17" t="s">
        <v>272</v>
      </c>
      <c r="F74" s="17" t="s">
        <v>273</v>
      </c>
      <c r="G74" s="17">
        <v>22.079107</v>
      </c>
      <c r="H74" s="17">
        <v>88.134080999999995</v>
      </c>
      <c r="I74" s="17"/>
      <c r="J74" s="17"/>
      <c r="K74" s="17"/>
      <c r="L74" s="17"/>
      <c r="M74" s="19" t="s">
        <v>59</v>
      </c>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row>
    <row r="75" hidden="1">
      <c r="A75" s="17">
        <v>73</v>
      </c>
      <c r="B75" s="17" t="s">
        <v>52</v>
      </c>
      <c r="C75" s="19" t="s">
        <v>274</v>
      </c>
      <c r="D75" s="19" t="s">
        <v>54</v>
      </c>
      <c r="E75" s="17"/>
      <c r="F75" s="17"/>
      <c r="G75" s="17"/>
      <c r="H75" s="17"/>
      <c r="I75" s="17"/>
      <c r="J75" s="17"/>
      <c r="K75" s="17"/>
      <c r="L75" s="17"/>
      <c r="M75" s="19" t="s">
        <v>59</v>
      </c>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row>
    <row r="76" hidden="1">
      <c r="A76" s="17">
        <v>74</v>
      </c>
      <c r="B76" s="17" t="s">
        <v>52</v>
      </c>
      <c r="C76" s="19" t="s">
        <v>275</v>
      </c>
      <c r="D76" s="19" t="s">
        <v>54</v>
      </c>
      <c r="E76" s="17" t="s">
        <v>276</v>
      </c>
      <c r="F76" s="17" t="s">
        <v>277</v>
      </c>
      <c r="G76" s="17">
        <v>22.074449000000001</v>
      </c>
      <c r="H76" s="17">
        <v>88.026651000000001</v>
      </c>
      <c r="I76" s="17"/>
      <c r="J76" s="17"/>
      <c r="K76" s="17"/>
      <c r="L76" s="17"/>
      <c r="M76" s="19" t="s">
        <v>59</v>
      </c>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row>
    <row r="77" hidden="1">
      <c r="A77" s="17">
        <v>75</v>
      </c>
      <c r="B77" s="17" t="s">
        <v>52</v>
      </c>
      <c r="C77" s="19" t="s">
        <v>278</v>
      </c>
      <c r="D77" s="19" t="s">
        <v>54</v>
      </c>
      <c r="E77" s="17" t="s">
        <v>279</v>
      </c>
      <c r="F77" s="17" t="s">
        <v>280</v>
      </c>
      <c r="G77" s="17">
        <v>22.058972000000001</v>
      </c>
      <c r="H77" s="17">
        <v>88.092776000000001</v>
      </c>
      <c r="I77" s="17"/>
      <c r="J77" s="17"/>
      <c r="K77" s="17"/>
      <c r="L77" s="17"/>
      <c r="M77" s="19" t="s">
        <v>59</v>
      </c>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row>
    <row r="78" hidden="1">
      <c r="A78" s="17">
        <v>76</v>
      </c>
      <c r="B78" s="17" t="s">
        <v>52</v>
      </c>
      <c r="C78" s="19" t="s">
        <v>281</v>
      </c>
      <c r="D78" s="19" t="s">
        <v>54</v>
      </c>
      <c r="E78" s="17" t="s">
        <v>282</v>
      </c>
      <c r="F78" s="17" t="s">
        <v>283</v>
      </c>
      <c r="G78" s="17">
        <v>22.044008000000002</v>
      </c>
      <c r="H78" s="17">
        <v>88.064864</v>
      </c>
      <c r="I78" s="17"/>
      <c r="J78" s="17"/>
      <c r="K78" s="17"/>
      <c r="L78" s="17"/>
      <c r="M78" s="19" t="s">
        <v>59</v>
      </c>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row>
    <row r="79" hidden="1">
      <c r="A79" s="17">
        <v>77</v>
      </c>
      <c r="B79" s="17" t="s">
        <v>52</v>
      </c>
      <c r="C79" s="19" t="s">
        <v>284</v>
      </c>
      <c r="D79" s="19" t="s">
        <v>54</v>
      </c>
      <c r="E79" s="17" t="s">
        <v>285</v>
      </c>
      <c r="F79" s="17" t="s">
        <v>286</v>
      </c>
      <c r="G79" s="17">
        <v>22.039877000000001</v>
      </c>
      <c r="H79" s="17">
        <v>88.043042999999997</v>
      </c>
      <c r="I79" s="17"/>
      <c r="J79" s="17"/>
      <c r="K79" s="17"/>
      <c r="L79" s="17"/>
      <c r="M79" s="19" t="s">
        <v>59</v>
      </c>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row>
    <row r="80" hidden="1">
      <c r="A80" s="17">
        <v>78</v>
      </c>
      <c r="B80" s="17" t="s">
        <v>52</v>
      </c>
      <c r="C80" s="19" t="s">
        <v>287</v>
      </c>
      <c r="D80" s="19" t="s">
        <v>54</v>
      </c>
      <c r="E80" s="17" t="s">
        <v>288</v>
      </c>
      <c r="F80" s="17" t="s">
        <v>289</v>
      </c>
      <c r="G80" s="17">
        <v>22.078607999999999</v>
      </c>
      <c r="H80" s="17">
        <v>88.158320000000003</v>
      </c>
      <c r="I80" s="17"/>
      <c r="J80" s="17"/>
      <c r="K80" s="17"/>
      <c r="L80" s="17"/>
      <c r="M80" s="19" t="s">
        <v>59</v>
      </c>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row>
    <row r="81" hidden="1">
      <c r="A81" s="17">
        <v>79</v>
      </c>
      <c r="B81" s="17" t="s">
        <v>52</v>
      </c>
      <c r="C81" s="19" t="s">
        <v>290</v>
      </c>
      <c r="D81" s="19" t="s">
        <v>54</v>
      </c>
      <c r="E81" s="17" t="s">
        <v>291</v>
      </c>
      <c r="F81" s="17" t="s">
        <v>292</v>
      </c>
      <c r="G81" s="17">
        <v>22.057423</v>
      </c>
      <c r="H81" s="17">
        <v>88.104547999999994</v>
      </c>
      <c r="I81" s="17"/>
      <c r="J81" s="17"/>
      <c r="K81" s="17"/>
      <c r="L81" s="17"/>
      <c r="M81" s="19" t="s">
        <v>59</v>
      </c>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row>
    <row r="82" hidden="1">
      <c r="A82" s="17">
        <v>80</v>
      </c>
      <c r="B82" s="17" t="s">
        <v>52</v>
      </c>
      <c r="C82" s="19" t="s">
        <v>293</v>
      </c>
      <c r="D82" s="19" t="s">
        <v>54</v>
      </c>
      <c r="E82" s="17" t="s">
        <v>294</v>
      </c>
      <c r="F82" s="17" t="s">
        <v>295</v>
      </c>
      <c r="G82" s="17">
        <v>22.312826999999999</v>
      </c>
      <c r="H82" s="17">
        <v>87.871281999999994</v>
      </c>
      <c r="I82" s="17"/>
      <c r="J82" s="17"/>
      <c r="K82" s="17"/>
      <c r="L82" s="17"/>
      <c r="M82" s="19" t="s">
        <v>296</v>
      </c>
      <c r="N82" s="17">
        <v>7003188452</v>
      </c>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row>
    <row r="83" hidden="1">
      <c r="A83" s="17">
        <v>81</v>
      </c>
      <c r="B83" s="17" t="s">
        <v>52</v>
      </c>
      <c r="C83" s="19" t="s">
        <v>297</v>
      </c>
      <c r="D83" s="19" t="s">
        <v>54</v>
      </c>
      <c r="E83" s="17" t="s">
        <v>54</v>
      </c>
      <c r="F83" s="17" t="s">
        <v>298</v>
      </c>
      <c r="G83" s="17">
        <v>22.061259</v>
      </c>
      <c r="H83" s="17">
        <v>88.073758999999995</v>
      </c>
      <c r="I83" s="17"/>
      <c r="J83" s="17"/>
      <c r="K83" s="17"/>
      <c r="L83" s="17"/>
      <c r="M83" s="19" t="s">
        <v>59</v>
      </c>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row>
    <row r="84" hidden="1">
      <c r="A84" s="17">
        <v>82</v>
      </c>
      <c r="B84" s="17" t="s">
        <v>52</v>
      </c>
      <c r="C84" s="18" t="s">
        <v>299</v>
      </c>
      <c r="D84" s="19" t="s">
        <v>54</v>
      </c>
      <c r="E84" s="17"/>
      <c r="F84" s="17"/>
      <c r="G84" s="17"/>
      <c r="H84" s="17"/>
      <c r="I84" s="17"/>
      <c r="J84" s="17"/>
      <c r="K84" s="17"/>
      <c r="L84" s="17"/>
      <c r="M84" s="20"/>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row>
    <row r="85" hidden="1">
      <c r="A85" s="17">
        <v>83</v>
      </c>
      <c r="B85" s="17" t="s">
        <v>52</v>
      </c>
      <c r="C85" s="20" t="s">
        <v>300</v>
      </c>
      <c r="D85" s="19" t="s">
        <v>54</v>
      </c>
      <c r="E85" s="17"/>
      <c r="F85" s="17"/>
      <c r="G85" s="17"/>
      <c r="H85" s="17"/>
      <c r="I85" s="17"/>
      <c r="J85" s="17"/>
      <c r="K85" s="17"/>
      <c r="L85" s="17"/>
      <c r="M85" s="20"/>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row>
    <row r="86" hidden="1">
      <c r="A86" s="17">
        <v>84</v>
      </c>
      <c r="B86" s="17" t="s">
        <v>52</v>
      </c>
      <c r="C86" s="20" t="s">
        <v>301</v>
      </c>
      <c r="D86" s="19" t="s">
        <v>54</v>
      </c>
      <c r="E86" s="17"/>
      <c r="F86" s="17"/>
      <c r="G86" s="17"/>
      <c r="H86" s="17"/>
      <c r="I86" s="17"/>
      <c r="J86" s="17"/>
      <c r="K86" s="17"/>
      <c r="L86" s="17"/>
      <c r="M86" s="20"/>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row>
    <row r="87" hidden="1">
      <c r="A87" s="17">
        <v>85</v>
      </c>
      <c r="B87" s="17" t="s">
        <v>52</v>
      </c>
      <c r="C87" s="18" t="s">
        <v>302</v>
      </c>
      <c r="D87" s="19" t="s">
        <v>54</v>
      </c>
      <c r="E87" s="17"/>
      <c r="F87" s="17"/>
      <c r="G87" s="17"/>
      <c r="H87" s="17"/>
      <c r="I87" s="17"/>
      <c r="J87" s="17"/>
      <c r="K87" s="17"/>
      <c r="L87" s="17"/>
      <c r="M87" s="20"/>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row>
    <row r="88" hidden="1">
      <c r="A88" s="17">
        <v>86</v>
      </c>
      <c r="B88" s="17" t="s">
        <v>52</v>
      </c>
      <c r="C88" s="19" t="s">
        <v>303</v>
      </c>
      <c r="D88" s="19" t="s">
        <v>54</v>
      </c>
      <c r="E88" s="17" t="s">
        <v>304</v>
      </c>
      <c r="F88" s="17" t="s">
        <v>305</v>
      </c>
      <c r="G88" s="17">
        <v>22.164106</v>
      </c>
      <c r="H88" s="17">
        <v>87.971013999999997</v>
      </c>
      <c r="I88" s="17"/>
      <c r="J88" s="17"/>
      <c r="K88" s="17"/>
      <c r="L88" s="17"/>
      <c r="M88" s="19" t="s">
        <v>306</v>
      </c>
      <c r="N88" s="17">
        <v>7003187792</v>
      </c>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row>
    <row r="89" hidden="1">
      <c r="A89" s="17">
        <v>87</v>
      </c>
      <c r="B89" s="17" t="s">
        <v>52</v>
      </c>
      <c r="C89" s="19" t="s">
        <v>307</v>
      </c>
      <c r="D89" s="19" t="s">
        <v>54</v>
      </c>
      <c r="E89" s="17" t="s">
        <v>308</v>
      </c>
      <c r="F89" s="17" t="s">
        <v>309</v>
      </c>
      <c r="G89" s="17">
        <v>22.113641999999999</v>
      </c>
      <c r="H89" s="17">
        <v>87.950793000000004</v>
      </c>
      <c r="I89" s="17"/>
      <c r="J89" s="17"/>
      <c r="K89" s="17"/>
      <c r="L89" s="17"/>
      <c r="M89" s="19" t="s">
        <v>306</v>
      </c>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row>
    <row r="90" hidden="1">
      <c r="A90" s="17">
        <v>88</v>
      </c>
      <c r="B90" s="17" t="s">
        <v>52</v>
      </c>
      <c r="C90" s="19" t="s">
        <v>310</v>
      </c>
      <c r="D90" s="19" t="s">
        <v>54</v>
      </c>
      <c r="E90" s="17" t="s">
        <v>311</v>
      </c>
      <c r="F90" s="17" t="s">
        <v>312</v>
      </c>
      <c r="G90" s="17">
        <v>22.138090999999999</v>
      </c>
      <c r="H90" s="17">
        <v>87.958556000000002</v>
      </c>
      <c r="I90" s="17"/>
      <c r="J90" s="17"/>
      <c r="K90" s="17"/>
      <c r="L90" s="17"/>
      <c r="M90" s="19" t="s">
        <v>306</v>
      </c>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row>
    <row r="91" hidden="1">
      <c r="A91" s="17">
        <v>89</v>
      </c>
      <c r="B91" s="17" t="s">
        <v>52</v>
      </c>
      <c r="C91" s="19" t="s">
        <v>313</v>
      </c>
      <c r="D91" s="19" t="s">
        <v>54</v>
      </c>
      <c r="E91" s="17" t="s">
        <v>314</v>
      </c>
      <c r="F91" s="17" t="s">
        <v>315</v>
      </c>
      <c r="G91" s="17">
        <v>22.131647999999998</v>
      </c>
      <c r="H91" s="17">
        <v>87.975159000000005</v>
      </c>
      <c r="I91" s="17"/>
      <c r="J91" s="17"/>
      <c r="K91" s="17"/>
      <c r="L91" s="17"/>
      <c r="M91" s="19" t="s">
        <v>306</v>
      </c>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row>
    <row r="92" hidden="1">
      <c r="A92" s="17">
        <v>90</v>
      </c>
      <c r="B92" s="17" t="s">
        <v>52</v>
      </c>
      <c r="C92" s="19" t="s">
        <v>316</v>
      </c>
      <c r="D92" s="19" t="s">
        <v>54</v>
      </c>
      <c r="E92" s="17"/>
      <c r="F92" s="17" t="s">
        <v>317</v>
      </c>
      <c r="G92" s="17">
        <v>22.102250000000002</v>
      </c>
      <c r="H92" s="17">
        <v>87.960089999999994</v>
      </c>
      <c r="I92" s="17"/>
      <c r="J92" s="17"/>
      <c r="K92" s="17"/>
      <c r="L92" s="17"/>
      <c r="M92" s="19" t="s">
        <v>306</v>
      </c>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row>
    <row r="93" hidden="1">
      <c r="A93" s="17">
        <v>91</v>
      </c>
      <c r="B93" s="17" t="s">
        <v>52</v>
      </c>
      <c r="C93" s="19" t="s">
        <v>318</v>
      </c>
      <c r="D93" s="19" t="s">
        <v>54</v>
      </c>
      <c r="E93" s="17" t="s">
        <v>319</v>
      </c>
      <c r="F93" s="17" t="s">
        <v>320</v>
      </c>
      <c r="G93" s="17">
        <v>22.22578</v>
      </c>
      <c r="H93" s="17">
        <v>87.86009</v>
      </c>
      <c r="I93" s="17"/>
      <c r="J93" s="17"/>
      <c r="K93" s="17"/>
      <c r="L93" s="17"/>
      <c r="M93" s="19" t="s">
        <v>296</v>
      </c>
      <c r="N93" s="17">
        <v>7003188452</v>
      </c>
      <c r="O93" s="17">
        <v>20</v>
      </c>
      <c r="P93" s="17">
        <v>55</v>
      </c>
      <c r="Q93" s="17" t="s">
        <v>105</v>
      </c>
      <c r="R93" s="17" t="s">
        <v>238</v>
      </c>
      <c r="S93" s="17"/>
      <c r="T93" s="17"/>
      <c r="U93" s="17" t="s">
        <v>160</v>
      </c>
      <c r="V93" s="17" t="s">
        <v>77</v>
      </c>
      <c r="W93" s="17" t="s">
        <v>161</v>
      </c>
      <c r="X93" s="17">
        <v>4</v>
      </c>
      <c r="Y93" s="17">
        <v>1</v>
      </c>
      <c r="Z93" s="17"/>
      <c r="AA93" s="17" t="s">
        <v>105</v>
      </c>
      <c r="AB93" s="17" t="s">
        <v>239</v>
      </c>
      <c r="AC93" s="17">
        <v>2</v>
      </c>
      <c r="AD93" s="17">
        <v>0</v>
      </c>
      <c r="AE93" s="17">
        <v>0</v>
      </c>
      <c r="AF93" s="17"/>
      <c r="AG93" s="17" t="s">
        <v>124</v>
      </c>
      <c r="AH93" s="17" t="s">
        <v>82</v>
      </c>
      <c r="AI93" s="17" t="s">
        <v>83</v>
      </c>
      <c r="AJ93" s="17">
        <v>2111</v>
      </c>
      <c r="AK93" s="17" t="s">
        <v>321</v>
      </c>
      <c r="AL93" s="17" t="s">
        <v>75</v>
      </c>
      <c r="AM93" s="17" t="s">
        <v>75</v>
      </c>
      <c r="AN93" s="17" t="s">
        <v>84</v>
      </c>
      <c r="AO93" s="17" t="s">
        <v>75</v>
      </c>
      <c r="AP93" s="17"/>
      <c r="AQ93" s="17"/>
      <c r="AR93" s="17"/>
      <c r="AS93" s="17"/>
      <c r="AT93" s="17" t="s">
        <v>322</v>
      </c>
      <c r="AU93" s="17" t="s">
        <v>127</v>
      </c>
    </row>
    <row r="94" hidden="1">
      <c r="A94" s="17">
        <v>92</v>
      </c>
      <c r="B94" s="17" t="s">
        <v>52</v>
      </c>
      <c r="C94" s="19" t="s">
        <v>323</v>
      </c>
      <c r="D94" s="19" t="s">
        <v>54</v>
      </c>
      <c r="E94" s="17" t="s">
        <v>324</v>
      </c>
      <c r="F94" s="17" t="s">
        <v>325</v>
      </c>
      <c r="G94" s="17">
        <v>22.112019</v>
      </c>
      <c r="H94" s="17">
        <v>88.034779</v>
      </c>
      <c r="I94" s="17"/>
      <c r="J94" s="17"/>
      <c r="K94" s="17"/>
      <c r="L94" s="17"/>
      <c r="M94" s="19" t="s">
        <v>59</v>
      </c>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row>
    <row r="95" hidden="1">
      <c r="A95" s="17">
        <v>93</v>
      </c>
      <c r="B95" s="17" t="s">
        <v>52</v>
      </c>
      <c r="C95" s="19" t="s">
        <v>326</v>
      </c>
      <c r="D95" s="19" t="s">
        <v>54</v>
      </c>
      <c r="E95" s="17" t="s">
        <v>327</v>
      </c>
      <c r="F95" s="17" t="s">
        <v>328</v>
      </c>
      <c r="G95" s="17">
        <v>22.120791000000001</v>
      </c>
      <c r="H95" s="17">
        <v>87.816505000000006</v>
      </c>
      <c r="I95" s="17"/>
      <c r="J95" s="17"/>
      <c r="K95" s="17"/>
      <c r="L95" s="17"/>
      <c r="M95" s="19" t="s">
        <v>72</v>
      </c>
      <c r="N95" s="17">
        <v>6289037005</v>
      </c>
      <c r="O95" s="17">
        <v>18</v>
      </c>
      <c r="P95" s="17">
        <v>100</v>
      </c>
      <c r="Q95" s="17" t="s">
        <v>187</v>
      </c>
      <c r="R95" s="17" t="s">
        <v>74</v>
      </c>
      <c r="S95" s="17" t="s">
        <v>329</v>
      </c>
      <c r="T95" s="17"/>
      <c r="U95" s="17" t="s">
        <v>160</v>
      </c>
      <c r="V95" s="17" t="s">
        <v>77</v>
      </c>
      <c r="W95" s="17" t="s">
        <v>330</v>
      </c>
      <c r="X95" s="17">
        <v>5</v>
      </c>
      <c r="Y95" s="17">
        <v>1</v>
      </c>
      <c r="Z95" s="17"/>
      <c r="AA95" s="17" t="s">
        <v>187</v>
      </c>
      <c r="AB95" s="17" t="s">
        <v>79</v>
      </c>
      <c r="AC95" s="17">
        <v>3</v>
      </c>
      <c r="AD95" s="17">
        <v>0</v>
      </c>
      <c r="AE95" s="17">
        <v>1</v>
      </c>
      <c r="AF95" s="17"/>
      <c r="AG95" s="17" t="s">
        <v>124</v>
      </c>
      <c r="AH95" s="17" t="s">
        <v>82</v>
      </c>
      <c r="AI95" s="17" t="s">
        <v>83</v>
      </c>
      <c r="AJ95" s="17">
        <v>2111</v>
      </c>
      <c r="AK95" s="17" t="s">
        <v>75</v>
      </c>
      <c r="AL95" s="17" t="s">
        <v>75</v>
      </c>
      <c r="AM95" s="17" t="s">
        <v>75</v>
      </c>
      <c r="AN95" s="17" t="s">
        <v>84</v>
      </c>
      <c r="AO95" s="17" t="s">
        <v>75</v>
      </c>
      <c r="AP95" s="17"/>
      <c r="AQ95" s="17"/>
      <c r="AR95" s="17"/>
      <c r="AS95" s="17"/>
      <c r="AT95" s="17" t="s">
        <v>331</v>
      </c>
      <c r="AU95" s="17" t="s">
        <v>111</v>
      </c>
    </row>
    <row r="96" hidden="1">
      <c r="A96" s="17">
        <v>94</v>
      </c>
      <c r="B96" s="17" t="s">
        <v>52</v>
      </c>
      <c r="C96" s="19" t="s">
        <v>332</v>
      </c>
      <c r="D96" s="19" t="s">
        <v>54</v>
      </c>
      <c r="E96" s="17" t="s">
        <v>333</v>
      </c>
      <c r="F96" s="17" t="s">
        <v>334</v>
      </c>
      <c r="G96" s="17">
        <v>22.132406</v>
      </c>
      <c r="H96" s="17">
        <v>87.824346000000006</v>
      </c>
      <c r="I96" s="17"/>
      <c r="J96" s="17"/>
      <c r="K96" s="17"/>
      <c r="L96" s="17"/>
      <c r="M96" s="19" t="s">
        <v>335</v>
      </c>
      <c r="N96" s="17">
        <v>6290825031</v>
      </c>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row>
    <row r="97" hidden="1">
      <c r="A97" s="17">
        <v>95</v>
      </c>
      <c r="B97" s="17" t="s">
        <v>52</v>
      </c>
      <c r="C97" s="19" t="s">
        <v>336</v>
      </c>
      <c r="D97" s="19" t="s">
        <v>54</v>
      </c>
      <c r="E97" s="17" t="s">
        <v>337</v>
      </c>
      <c r="F97" s="17" t="s">
        <v>338</v>
      </c>
      <c r="G97" s="17">
        <v>22.159842999999999</v>
      </c>
      <c r="H97" s="17">
        <v>88.049946000000006</v>
      </c>
      <c r="I97" s="17"/>
      <c r="J97" s="17"/>
      <c r="K97" s="17"/>
      <c r="L97" s="17"/>
      <c r="M97" s="19" t="s">
        <v>150</v>
      </c>
      <c r="N97" s="17">
        <v>6289903920</v>
      </c>
      <c r="O97" s="17">
        <v>15</v>
      </c>
      <c r="P97" s="17">
        <v>70</v>
      </c>
      <c r="Q97" s="17" t="s">
        <v>187</v>
      </c>
      <c r="R97" s="17" t="s">
        <v>339</v>
      </c>
      <c r="S97" s="17" t="s">
        <v>75</v>
      </c>
      <c r="T97" s="17"/>
      <c r="U97" s="17" t="s">
        <v>76</v>
      </c>
      <c r="V97" s="17" t="s">
        <v>340</v>
      </c>
      <c r="W97" s="17" t="s">
        <v>78</v>
      </c>
      <c r="X97" s="17">
        <v>5</v>
      </c>
      <c r="Y97" s="17">
        <v>0</v>
      </c>
      <c r="Z97" s="17"/>
      <c r="AA97" s="17" t="s">
        <v>187</v>
      </c>
      <c r="AB97" s="17" t="s">
        <v>79</v>
      </c>
      <c r="AC97" s="17">
        <v>2</v>
      </c>
      <c r="AD97" s="17">
        <v>0</v>
      </c>
      <c r="AE97" s="17">
        <v>0</v>
      </c>
      <c r="AF97" s="17"/>
      <c r="AG97" s="17" t="s">
        <v>124</v>
      </c>
      <c r="AH97" s="17" t="s">
        <v>162</v>
      </c>
      <c r="AI97" s="17" t="s">
        <v>83</v>
      </c>
      <c r="AJ97" s="17" t="s">
        <v>341</v>
      </c>
      <c r="AK97" s="17" t="s">
        <v>137</v>
      </c>
      <c r="AL97" s="17" t="s">
        <v>137</v>
      </c>
      <c r="AM97" s="17" t="s">
        <v>137</v>
      </c>
      <c r="AN97" s="17" t="s">
        <v>125</v>
      </c>
      <c r="AO97" s="17" t="s">
        <v>75</v>
      </c>
      <c r="AP97" s="17"/>
      <c r="AQ97" s="17"/>
      <c r="AR97" s="17"/>
      <c r="AS97" s="17"/>
      <c r="AT97" s="17"/>
      <c r="AU97" s="17" t="s">
        <v>111</v>
      </c>
    </row>
    <row r="98" hidden="1">
      <c r="A98" s="17">
        <v>96</v>
      </c>
      <c r="B98" s="17" t="s">
        <v>52</v>
      </c>
      <c r="C98" s="19" t="s">
        <v>342</v>
      </c>
      <c r="D98" s="19" t="s">
        <v>54</v>
      </c>
      <c r="E98" s="17" t="s">
        <v>343</v>
      </c>
      <c r="F98" s="17" t="s">
        <v>344</v>
      </c>
      <c r="G98" s="17">
        <v>22.196701999999998</v>
      </c>
      <c r="H98" s="17">
        <v>88.046019000000001</v>
      </c>
      <c r="I98" s="17"/>
      <c r="J98" s="17"/>
      <c r="K98" s="17"/>
      <c r="L98" s="17"/>
      <c r="M98" s="19" t="s">
        <v>306</v>
      </c>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row>
    <row r="99" hidden="1">
      <c r="A99" s="17">
        <v>97</v>
      </c>
      <c r="B99" s="17" t="s">
        <v>52</v>
      </c>
      <c r="C99" s="19" t="s">
        <v>345</v>
      </c>
      <c r="D99" s="19" t="s">
        <v>54</v>
      </c>
      <c r="E99" s="17" t="s">
        <v>346</v>
      </c>
      <c r="F99" s="17" t="s">
        <v>347</v>
      </c>
      <c r="G99" s="17">
        <v>22.118442999999999</v>
      </c>
      <c r="H99" s="17">
        <v>87.965861000000004</v>
      </c>
      <c r="I99" s="17"/>
      <c r="J99" s="17"/>
      <c r="K99" s="17"/>
      <c r="L99" s="17"/>
      <c r="M99" s="19" t="s">
        <v>306</v>
      </c>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row>
    <row r="100" hidden="1">
      <c r="A100" s="17">
        <v>98</v>
      </c>
      <c r="B100" s="17" t="s">
        <v>52</v>
      </c>
      <c r="C100" s="19" t="s">
        <v>348</v>
      </c>
      <c r="D100" s="19" t="s">
        <v>54</v>
      </c>
      <c r="E100" s="17" t="s">
        <v>349</v>
      </c>
      <c r="F100" s="17" t="s">
        <v>350</v>
      </c>
      <c r="G100" s="17">
        <v>22.157236999999999</v>
      </c>
      <c r="H100" s="17">
        <v>88.020217000000002</v>
      </c>
      <c r="I100" s="17"/>
      <c r="J100" s="17"/>
      <c r="K100" s="17"/>
      <c r="L100" s="17"/>
      <c r="M100" s="19" t="s">
        <v>306</v>
      </c>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row>
    <row r="101" hidden="1">
      <c r="A101" s="17">
        <v>99</v>
      </c>
      <c r="B101" s="17" t="s">
        <v>52</v>
      </c>
      <c r="C101" s="19" t="s">
        <v>351</v>
      </c>
      <c r="D101" s="19" t="s">
        <v>54</v>
      </c>
      <c r="E101" s="17" t="s">
        <v>352</v>
      </c>
      <c r="F101" s="17" t="s">
        <v>353</v>
      </c>
      <c r="G101" s="17">
        <v>22.138822999999999</v>
      </c>
      <c r="H101" s="17">
        <v>87.977157000000005</v>
      </c>
      <c r="I101" s="17"/>
      <c r="J101" s="17"/>
      <c r="K101" s="17"/>
      <c r="L101" s="17"/>
      <c r="M101" s="19" t="s">
        <v>306</v>
      </c>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row>
    <row r="102" hidden="1">
      <c r="A102" s="17">
        <v>100</v>
      </c>
      <c r="B102" s="17" t="s">
        <v>52</v>
      </c>
      <c r="C102" s="19" t="s">
        <v>354</v>
      </c>
      <c r="D102" s="19" t="s">
        <v>54</v>
      </c>
      <c r="E102" s="17" t="s">
        <v>355</v>
      </c>
      <c r="F102" s="17" t="s">
        <v>356</v>
      </c>
      <c r="G102" s="17">
        <v>22.186143000000001</v>
      </c>
      <c r="H102" s="17">
        <v>87.991692999999998</v>
      </c>
      <c r="I102" s="17"/>
      <c r="J102" s="17"/>
      <c r="K102" s="17"/>
      <c r="L102" s="17"/>
      <c r="M102" s="19" t="s">
        <v>306</v>
      </c>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row>
    <row r="103" hidden="1">
      <c r="A103" s="17">
        <v>101</v>
      </c>
      <c r="B103" s="17" t="s">
        <v>52</v>
      </c>
      <c r="C103" s="19" t="s">
        <v>357</v>
      </c>
      <c r="D103" s="19" t="s">
        <v>54</v>
      </c>
      <c r="E103" s="17" t="s">
        <v>358</v>
      </c>
      <c r="F103" s="17" t="s">
        <v>359</v>
      </c>
      <c r="G103" s="17">
        <v>22.178101000000002</v>
      </c>
      <c r="H103" s="17">
        <v>88.067069000000004</v>
      </c>
      <c r="I103" s="17"/>
      <c r="J103" s="17"/>
      <c r="K103" s="17"/>
      <c r="L103" s="17"/>
      <c r="M103" s="19" t="s">
        <v>150</v>
      </c>
      <c r="N103" s="17">
        <v>6289903920</v>
      </c>
      <c r="O103" s="17">
        <v>18</v>
      </c>
      <c r="P103" s="17">
        <v>80</v>
      </c>
      <c r="Q103" s="17" t="s">
        <v>73</v>
      </c>
      <c r="R103" s="17" t="s">
        <v>74</v>
      </c>
      <c r="S103" s="17" t="s">
        <v>75</v>
      </c>
      <c r="T103" s="17"/>
      <c r="U103" s="17" t="s">
        <v>160</v>
      </c>
      <c r="V103" s="17" t="s">
        <v>77</v>
      </c>
      <c r="W103" s="17" t="s">
        <v>161</v>
      </c>
      <c r="X103" s="17">
        <v>5</v>
      </c>
      <c r="Y103" s="17">
        <v>0</v>
      </c>
      <c r="Z103" s="17"/>
      <c r="AA103" s="17" t="s">
        <v>73</v>
      </c>
      <c r="AB103" s="17" t="s">
        <v>79</v>
      </c>
      <c r="AC103" s="17">
        <v>2</v>
      </c>
      <c r="AD103" s="17">
        <v>0</v>
      </c>
      <c r="AE103" s="17">
        <v>0</v>
      </c>
      <c r="AF103" s="17"/>
      <c r="AG103" s="17" t="s">
        <v>124</v>
      </c>
      <c r="AH103" s="17" t="s">
        <v>82</v>
      </c>
      <c r="AI103" s="17" t="s">
        <v>83</v>
      </c>
      <c r="AJ103" s="17" t="s">
        <v>341</v>
      </c>
      <c r="AK103" s="17" t="s">
        <v>75</v>
      </c>
      <c r="AL103" s="17" t="s">
        <v>75</v>
      </c>
      <c r="AM103" s="17" t="s">
        <v>75</v>
      </c>
      <c r="AN103" s="17" t="s">
        <v>84</v>
      </c>
      <c r="AO103" s="17" t="s">
        <v>75</v>
      </c>
      <c r="AP103" s="17"/>
      <c r="AQ103" s="17"/>
      <c r="AR103" s="17"/>
      <c r="AS103" s="17"/>
      <c r="AT103" s="17"/>
      <c r="AU103" s="17" t="s">
        <v>127</v>
      </c>
    </row>
    <row r="104" hidden="1">
      <c r="A104" s="17">
        <v>102</v>
      </c>
      <c r="B104" s="17" t="s">
        <v>52</v>
      </c>
      <c r="C104" s="19" t="s">
        <v>360</v>
      </c>
      <c r="D104" s="19" t="s">
        <v>54</v>
      </c>
      <c r="E104" s="17" t="s">
        <v>361</v>
      </c>
      <c r="F104" s="17" t="s">
        <v>362</v>
      </c>
      <c r="G104" s="17">
        <v>22.194845000000001</v>
      </c>
      <c r="H104" s="17">
        <v>88.025401000000002</v>
      </c>
      <c r="I104" s="17"/>
      <c r="J104" s="17"/>
      <c r="K104" s="17"/>
      <c r="L104" s="17"/>
      <c r="M104" s="19" t="s">
        <v>306</v>
      </c>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row>
    <row r="105" hidden="1">
      <c r="A105" s="17">
        <v>103</v>
      </c>
      <c r="B105" s="17" t="s">
        <v>52</v>
      </c>
      <c r="C105" s="19" t="s">
        <v>363</v>
      </c>
      <c r="D105" s="19" t="s">
        <v>54</v>
      </c>
      <c r="E105" s="17" t="s">
        <v>364</v>
      </c>
      <c r="F105" s="17" t="s">
        <v>365</v>
      </c>
      <c r="G105" s="17">
        <v>22.165050000000001</v>
      </c>
      <c r="H105" s="17">
        <v>88.085729999999998</v>
      </c>
      <c r="I105" s="17"/>
      <c r="J105" s="17"/>
      <c r="K105" s="17"/>
      <c r="L105" s="17"/>
      <c r="M105" s="19" t="s">
        <v>150</v>
      </c>
      <c r="N105" s="17">
        <v>6289903920</v>
      </c>
      <c r="O105" s="17">
        <v>20</v>
      </c>
      <c r="P105" s="17">
        <v>80</v>
      </c>
      <c r="Q105" s="17" t="s">
        <v>105</v>
      </c>
      <c r="R105" s="17" t="s">
        <v>238</v>
      </c>
      <c r="S105" s="17" t="s">
        <v>75</v>
      </c>
      <c r="T105" s="17"/>
      <c r="U105" s="17" t="s">
        <v>160</v>
      </c>
      <c r="V105" s="17" t="s">
        <v>77</v>
      </c>
      <c r="W105" s="17" t="s">
        <v>161</v>
      </c>
      <c r="X105" s="17">
        <v>5</v>
      </c>
      <c r="Y105" s="17">
        <v>0</v>
      </c>
      <c r="Z105" s="17"/>
      <c r="AA105" s="17" t="s">
        <v>105</v>
      </c>
      <c r="AB105" s="17" t="s">
        <v>239</v>
      </c>
      <c r="AC105" s="17">
        <v>2</v>
      </c>
      <c r="AD105" s="17">
        <v>0</v>
      </c>
      <c r="AE105" s="17">
        <v>0</v>
      </c>
      <c r="AF105" s="17"/>
      <c r="AG105" s="17" t="s">
        <v>124</v>
      </c>
      <c r="AH105" s="17" t="s">
        <v>82</v>
      </c>
      <c r="AI105" s="17" t="s">
        <v>83</v>
      </c>
      <c r="AJ105" s="17" t="s">
        <v>366</v>
      </c>
      <c r="AK105" s="17" t="s">
        <v>75</v>
      </c>
      <c r="AL105" s="17" t="s">
        <v>75</v>
      </c>
      <c r="AM105" s="17" t="s">
        <v>75</v>
      </c>
      <c r="AN105" s="17" t="s">
        <v>125</v>
      </c>
      <c r="AO105" s="17" t="s">
        <v>75</v>
      </c>
      <c r="AP105" s="17"/>
      <c r="AQ105" s="17"/>
      <c r="AR105" s="17"/>
      <c r="AS105" s="17"/>
      <c r="AT105" s="17"/>
      <c r="AU105" s="17" t="s">
        <v>127</v>
      </c>
    </row>
    <row r="106" hidden="1">
      <c r="A106" s="17">
        <v>104</v>
      </c>
      <c r="B106" s="17" t="s">
        <v>52</v>
      </c>
      <c r="C106" s="19" t="s">
        <v>367</v>
      </c>
      <c r="D106" s="19" t="s">
        <v>54</v>
      </c>
      <c r="E106" s="17" t="s">
        <v>368</v>
      </c>
      <c r="F106" s="17" t="s">
        <v>369</v>
      </c>
      <c r="G106" s="17">
        <v>22.173577000000002</v>
      </c>
      <c r="H106" s="17">
        <v>87.976353000000003</v>
      </c>
      <c r="I106" s="17"/>
      <c r="J106" s="17"/>
      <c r="K106" s="17"/>
      <c r="L106" s="17"/>
      <c r="M106" s="19" t="s">
        <v>306</v>
      </c>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row>
    <row r="107" hidden="1">
      <c r="A107" s="17">
        <v>105</v>
      </c>
      <c r="B107" s="17" t="s">
        <v>52</v>
      </c>
      <c r="C107" s="19" t="s">
        <v>370</v>
      </c>
      <c r="D107" s="19" t="s">
        <v>54</v>
      </c>
      <c r="E107" s="17" t="s">
        <v>371</v>
      </c>
      <c r="F107" s="17" t="s">
        <v>372</v>
      </c>
      <c r="G107" s="17">
        <v>22.198360000000001</v>
      </c>
      <c r="H107" s="17">
        <v>87.988710999999995</v>
      </c>
      <c r="I107" s="17"/>
      <c r="J107" s="17"/>
      <c r="K107" s="17"/>
      <c r="L107" s="17"/>
      <c r="M107" s="19" t="s">
        <v>306</v>
      </c>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row>
    <row r="108" hidden="1">
      <c r="A108" s="17">
        <v>106</v>
      </c>
      <c r="B108" s="17" t="s">
        <v>52</v>
      </c>
      <c r="C108" s="19" t="s">
        <v>373</v>
      </c>
      <c r="D108" s="19" t="s">
        <v>54</v>
      </c>
      <c r="E108" s="17" t="s">
        <v>374</v>
      </c>
      <c r="F108" s="17" t="s">
        <v>375</v>
      </c>
      <c r="G108" s="17">
        <v>22.214711999999999</v>
      </c>
      <c r="H108" s="17">
        <v>87.965018999999998</v>
      </c>
      <c r="I108" s="17"/>
      <c r="J108" s="17"/>
      <c r="K108" s="17"/>
      <c r="L108" s="17"/>
      <c r="M108" s="19" t="s">
        <v>306</v>
      </c>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row>
    <row r="109" hidden="1">
      <c r="A109" s="17">
        <v>107</v>
      </c>
      <c r="B109" s="17" t="s">
        <v>52</v>
      </c>
      <c r="C109" s="19" t="s">
        <v>376</v>
      </c>
      <c r="D109" s="19" t="s">
        <v>54</v>
      </c>
      <c r="E109" s="17" t="s">
        <v>377</v>
      </c>
      <c r="F109" s="17" t="s">
        <v>378</v>
      </c>
      <c r="G109" s="17">
        <v>22.203565000000001</v>
      </c>
      <c r="H109" s="17">
        <v>87.962259000000003</v>
      </c>
      <c r="I109" s="17"/>
      <c r="J109" s="17"/>
      <c r="K109" s="17"/>
      <c r="L109" s="17"/>
      <c r="M109" s="19" t="s">
        <v>306</v>
      </c>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row>
    <row r="110" hidden="1">
      <c r="A110" s="17">
        <v>108</v>
      </c>
      <c r="B110" s="17" t="s">
        <v>52</v>
      </c>
      <c r="C110" s="19" t="s">
        <v>379</v>
      </c>
      <c r="D110" s="19" t="s">
        <v>54</v>
      </c>
      <c r="E110" s="17" t="s">
        <v>380</v>
      </c>
      <c r="F110" s="17" t="s">
        <v>381</v>
      </c>
      <c r="G110" s="17">
        <v>22.177771</v>
      </c>
      <c r="H110" s="17">
        <v>88.094655000000003</v>
      </c>
      <c r="I110" s="17"/>
      <c r="J110" s="17"/>
      <c r="K110" s="17"/>
      <c r="L110" s="17"/>
      <c r="M110" s="19" t="s">
        <v>150</v>
      </c>
      <c r="N110" s="17">
        <v>6289903920</v>
      </c>
      <c r="O110" s="17">
        <v>20</v>
      </c>
      <c r="P110" s="17">
        <v>80</v>
      </c>
      <c r="Q110" s="17" t="s">
        <v>73</v>
      </c>
      <c r="R110" s="17" t="s">
        <v>74</v>
      </c>
      <c r="S110" s="17" t="s">
        <v>75</v>
      </c>
      <c r="T110" s="17"/>
      <c r="U110" s="17" t="s">
        <v>160</v>
      </c>
      <c r="V110" s="17" t="s">
        <v>77</v>
      </c>
      <c r="W110" s="17" t="s">
        <v>161</v>
      </c>
      <c r="X110" s="17">
        <v>5</v>
      </c>
      <c r="Y110" s="17">
        <v>0</v>
      </c>
      <c r="Z110" s="17"/>
      <c r="AA110" s="17" t="s">
        <v>73</v>
      </c>
      <c r="AB110" s="17" t="s">
        <v>79</v>
      </c>
      <c r="AC110" s="17">
        <v>2</v>
      </c>
      <c r="AD110" s="17">
        <v>0</v>
      </c>
      <c r="AE110" s="17">
        <v>0</v>
      </c>
      <c r="AF110" s="17"/>
      <c r="AG110" s="17" t="s">
        <v>81</v>
      </c>
      <c r="AH110" s="17" t="s">
        <v>82</v>
      </c>
      <c r="AI110" s="17" t="s">
        <v>107</v>
      </c>
      <c r="AJ110" s="17" t="s">
        <v>382</v>
      </c>
      <c r="AK110" s="17" t="s">
        <v>137</v>
      </c>
      <c r="AL110" s="17" t="s">
        <v>75</v>
      </c>
      <c r="AM110" s="17" t="s">
        <v>75</v>
      </c>
      <c r="AN110" s="17" t="s">
        <v>125</v>
      </c>
      <c r="AO110" s="17" t="s">
        <v>75</v>
      </c>
      <c r="AP110" s="17"/>
      <c r="AQ110" s="17"/>
      <c r="AR110" s="17"/>
      <c r="AS110" s="17"/>
      <c r="AT110" s="17" t="s">
        <v>383</v>
      </c>
      <c r="AU110" s="17" t="s">
        <v>111</v>
      </c>
    </row>
    <row r="111" hidden="1">
      <c r="A111" s="17">
        <v>109</v>
      </c>
      <c r="B111" s="17" t="s">
        <v>52</v>
      </c>
      <c r="C111" s="19" t="s">
        <v>384</v>
      </c>
      <c r="D111" s="19" t="s">
        <v>54</v>
      </c>
      <c r="E111" s="17"/>
      <c r="F111" s="17" t="s">
        <v>385</v>
      </c>
      <c r="G111" s="17">
        <v>22.15606</v>
      </c>
      <c r="H111" s="17">
        <v>87.992329999999995</v>
      </c>
      <c r="I111" s="17"/>
      <c r="J111" s="17"/>
      <c r="K111" s="17"/>
      <c r="L111" s="17"/>
      <c r="M111" s="19" t="s">
        <v>306</v>
      </c>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row>
    <row r="112" hidden="1">
      <c r="A112" s="17">
        <v>110</v>
      </c>
      <c r="B112" s="17" t="s">
        <v>52</v>
      </c>
      <c r="C112" s="19" t="s">
        <v>386</v>
      </c>
      <c r="D112" s="19" t="s">
        <v>54</v>
      </c>
      <c r="E112" s="17" t="s">
        <v>54</v>
      </c>
      <c r="F112" s="17" t="s">
        <v>387</v>
      </c>
      <c r="G112" s="17">
        <v>22.173931</v>
      </c>
      <c r="H112" s="17">
        <v>88.032043000000002</v>
      </c>
      <c r="I112" s="17"/>
      <c r="J112" s="17"/>
      <c r="K112" s="17"/>
      <c r="L112" s="17"/>
      <c r="M112" s="19" t="s">
        <v>306</v>
      </c>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row>
    <row r="113" hidden="1">
      <c r="A113" s="17">
        <v>111</v>
      </c>
      <c r="B113" s="17" t="s">
        <v>52</v>
      </c>
      <c r="C113" s="19" t="s">
        <v>388</v>
      </c>
      <c r="D113" s="19" t="s">
        <v>54</v>
      </c>
      <c r="E113" s="17" t="s">
        <v>389</v>
      </c>
      <c r="F113" s="17">
        <v>0</v>
      </c>
      <c r="G113" s="17">
        <v>22.202686</v>
      </c>
      <c r="H113" s="17">
        <v>87.980596000000006</v>
      </c>
      <c r="I113" s="17"/>
      <c r="J113" s="17"/>
      <c r="K113" s="17"/>
      <c r="L113" s="17"/>
      <c r="M113" s="19" t="s">
        <v>306</v>
      </c>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row>
    <row r="114" hidden="1">
      <c r="A114" s="17">
        <v>112</v>
      </c>
      <c r="B114" s="17" t="s">
        <v>52</v>
      </c>
      <c r="C114" s="19" t="s">
        <v>390</v>
      </c>
      <c r="D114" s="19" t="s">
        <v>54</v>
      </c>
      <c r="E114" s="17" t="s">
        <v>54</v>
      </c>
      <c r="F114" s="17" t="s">
        <v>391</v>
      </c>
      <c r="G114" s="17">
        <v>22.185320000000001</v>
      </c>
      <c r="H114" s="17">
        <v>87.981126000000003</v>
      </c>
      <c r="I114" s="17"/>
      <c r="J114" s="17"/>
      <c r="K114" s="17"/>
      <c r="L114" s="17"/>
      <c r="M114" s="19" t="s">
        <v>306</v>
      </c>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row>
    <row r="115" hidden="1">
      <c r="A115" s="17">
        <v>113</v>
      </c>
      <c r="B115" s="17" t="s">
        <v>52</v>
      </c>
      <c r="C115" s="19" t="s">
        <v>392</v>
      </c>
      <c r="D115" s="19" t="s">
        <v>54</v>
      </c>
      <c r="E115" s="17" t="s">
        <v>393</v>
      </c>
      <c r="F115" s="17" t="s">
        <v>394</v>
      </c>
      <c r="G115" s="17">
        <v>22.077624</v>
      </c>
      <c r="H115" s="17">
        <v>87.888284999999996</v>
      </c>
      <c r="I115" s="17"/>
      <c r="J115" s="17"/>
      <c r="K115" s="17"/>
      <c r="L115" s="17"/>
      <c r="M115" s="19" t="s">
        <v>117</v>
      </c>
      <c r="N115" s="17"/>
      <c r="O115" s="17">
        <v>22</v>
      </c>
      <c r="P115" s="17">
        <v>70</v>
      </c>
      <c r="Q115" s="17" t="s">
        <v>73</v>
      </c>
      <c r="R115" s="17" t="s">
        <v>74</v>
      </c>
      <c r="S115" s="22" t="s">
        <v>395</v>
      </c>
      <c r="T115" s="23"/>
      <c r="U115" s="17" t="s">
        <v>160</v>
      </c>
      <c r="V115" s="17" t="s">
        <v>77</v>
      </c>
      <c r="W115" s="17" t="s">
        <v>161</v>
      </c>
      <c r="X115" s="17">
        <v>5</v>
      </c>
      <c r="Y115" s="17">
        <v>0</v>
      </c>
      <c r="Z115" s="17"/>
      <c r="AA115" s="17" t="s">
        <v>73</v>
      </c>
      <c r="AB115" s="17" t="s">
        <v>79</v>
      </c>
      <c r="AC115" s="17">
        <v>2</v>
      </c>
      <c r="AD115" s="17">
        <v>0</v>
      </c>
      <c r="AE115" s="17">
        <v>0</v>
      </c>
      <c r="AF115" s="17"/>
      <c r="AG115" s="17"/>
      <c r="AH115" s="17"/>
      <c r="AI115" s="17"/>
      <c r="AJ115" s="17"/>
      <c r="AK115" s="17"/>
      <c r="AL115" s="17"/>
      <c r="AM115" s="17"/>
      <c r="AN115" s="17"/>
      <c r="AO115" s="17"/>
      <c r="AP115" s="17"/>
      <c r="AQ115" s="17"/>
      <c r="AR115" s="17"/>
      <c r="AS115" s="17"/>
      <c r="AT115" s="17"/>
      <c r="AU115" s="17" t="s">
        <v>127</v>
      </c>
    </row>
    <row r="116" hidden="1">
      <c r="A116" s="17">
        <v>114</v>
      </c>
      <c r="B116" s="17" t="s">
        <v>52</v>
      </c>
      <c r="C116" s="19" t="s">
        <v>396</v>
      </c>
      <c r="D116" s="19" t="s">
        <v>54</v>
      </c>
      <c r="E116" s="17" t="s">
        <v>397</v>
      </c>
      <c r="F116" s="17" t="s">
        <v>398</v>
      </c>
      <c r="G116" s="17">
        <v>22.173549000000001</v>
      </c>
      <c r="H116" s="17">
        <v>88.000305999999995</v>
      </c>
      <c r="I116" s="17"/>
      <c r="J116" s="17"/>
      <c r="K116" s="17"/>
      <c r="L116" s="17"/>
      <c r="M116" s="19" t="s">
        <v>306</v>
      </c>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row>
    <row r="117" hidden="1">
      <c r="A117" s="17">
        <v>115</v>
      </c>
      <c r="B117" s="17" t="s">
        <v>52</v>
      </c>
      <c r="C117" s="19" t="s">
        <v>399</v>
      </c>
      <c r="D117" s="19" t="s">
        <v>54</v>
      </c>
      <c r="E117" s="17" t="s">
        <v>400</v>
      </c>
      <c r="F117" s="17" t="s">
        <v>401</v>
      </c>
      <c r="G117" s="17">
        <v>22.188137999999999</v>
      </c>
      <c r="H117" s="17">
        <v>87.965871000000007</v>
      </c>
      <c r="I117" s="17"/>
      <c r="J117" s="17"/>
      <c r="K117" s="17"/>
      <c r="L117" s="17"/>
      <c r="M117" s="19" t="s">
        <v>306</v>
      </c>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row>
    <row r="118" hidden="1">
      <c r="A118" s="17">
        <v>116</v>
      </c>
      <c r="B118" s="17" t="s">
        <v>52</v>
      </c>
      <c r="C118" s="19" t="s">
        <v>402</v>
      </c>
      <c r="D118" s="19" t="s">
        <v>54</v>
      </c>
      <c r="E118" s="17"/>
      <c r="F118" s="17"/>
      <c r="G118" s="17"/>
      <c r="H118" s="17"/>
      <c r="I118" s="17"/>
      <c r="J118" s="17"/>
      <c r="K118" s="17"/>
      <c r="L118" s="17"/>
      <c r="M118" s="19" t="s">
        <v>306</v>
      </c>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row>
    <row r="119" hidden="1">
      <c r="A119" s="17">
        <v>117</v>
      </c>
      <c r="B119" s="17" t="s">
        <v>52</v>
      </c>
      <c r="C119" s="19" t="s">
        <v>403</v>
      </c>
      <c r="D119" s="19" t="s">
        <v>54</v>
      </c>
      <c r="E119" s="17" t="s">
        <v>404</v>
      </c>
      <c r="F119" s="17" t="s">
        <v>405</v>
      </c>
      <c r="G119" s="17">
        <v>22.149332000000001</v>
      </c>
      <c r="H119" s="17">
        <v>87.964612000000002</v>
      </c>
      <c r="I119" s="17"/>
      <c r="J119" s="17"/>
      <c r="K119" s="17"/>
      <c r="L119" s="17"/>
      <c r="M119" s="19" t="s">
        <v>306</v>
      </c>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row>
    <row r="120" hidden="1">
      <c r="A120" s="17">
        <v>118</v>
      </c>
      <c r="B120" s="17" t="s">
        <v>52</v>
      </c>
      <c r="C120" s="19" t="s">
        <v>406</v>
      </c>
      <c r="D120" s="19" t="s">
        <v>54</v>
      </c>
      <c r="E120" s="17" t="s">
        <v>54</v>
      </c>
      <c r="F120" s="17" t="s">
        <v>407</v>
      </c>
      <c r="G120" s="17">
        <v>22.196081</v>
      </c>
      <c r="H120" s="17">
        <v>88.002707999999998</v>
      </c>
      <c r="I120" s="17"/>
      <c r="J120" s="17"/>
      <c r="K120" s="17"/>
      <c r="L120" s="17"/>
      <c r="M120" s="19" t="s">
        <v>306</v>
      </c>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row>
    <row r="121" hidden="1">
      <c r="A121" s="17">
        <v>119</v>
      </c>
      <c r="B121" s="17" t="s">
        <v>52</v>
      </c>
      <c r="C121" s="20" t="s">
        <v>408</v>
      </c>
      <c r="D121" s="19" t="s">
        <v>54</v>
      </c>
      <c r="E121" s="17"/>
      <c r="F121" s="17"/>
      <c r="G121" s="17"/>
      <c r="H121" s="17"/>
      <c r="I121" s="17"/>
      <c r="J121" s="17"/>
      <c r="K121" s="17"/>
      <c r="L121" s="17"/>
      <c r="M121" s="20"/>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row>
    <row r="122" hidden="1">
      <c r="A122" s="17">
        <v>120</v>
      </c>
      <c r="B122" s="17" t="s">
        <v>52</v>
      </c>
      <c r="C122" s="18" t="s">
        <v>409</v>
      </c>
      <c r="D122" s="19" t="s">
        <v>54</v>
      </c>
      <c r="E122" s="17"/>
      <c r="F122" s="17"/>
      <c r="G122" s="17"/>
      <c r="H122" s="17"/>
      <c r="I122" s="17"/>
      <c r="J122" s="17"/>
      <c r="K122" s="17"/>
      <c r="L122" s="17"/>
      <c r="M122" s="20"/>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row>
    <row r="123" hidden="1">
      <c r="A123" s="17">
        <v>121</v>
      </c>
      <c r="B123" s="17" t="s">
        <v>52</v>
      </c>
      <c r="C123" s="19" t="s">
        <v>410</v>
      </c>
      <c r="D123" s="19" t="s">
        <v>54</v>
      </c>
      <c r="E123" s="17" t="s">
        <v>411</v>
      </c>
      <c r="F123" s="17" t="s">
        <v>412</v>
      </c>
      <c r="G123" s="17">
        <v>22.203403999999999</v>
      </c>
      <c r="H123" s="17">
        <v>87.749694000000005</v>
      </c>
      <c r="I123" s="17"/>
      <c r="J123" s="17"/>
      <c r="K123" s="17"/>
      <c r="L123" s="17"/>
      <c r="M123" s="19" t="s">
        <v>122</v>
      </c>
      <c r="N123" s="17">
        <v>8420984799</v>
      </c>
      <c r="O123" s="17">
        <v>22</v>
      </c>
      <c r="P123" s="17">
        <v>110</v>
      </c>
      <c r="Q123" s="17" t="s">
        <v>413</v>
      </c>
      <c r="R123" s="17" t="s">
        <v>74</v>
      </c>
      <c r="S123" s="17" t="s">
        <v>75</v>
      </c>
      <c r="T123" s="17"/>
      <c r="U123" s="17" t="s">
        <v>160</v>
      </c>
      <c r="V123" s="17" t="s">
        <v>77</v>
      </c>
      <c r="W123" s="17" t="s">
        <v>161</v>
      </c>
      <c r="X123" s="17">
        <v>5</v>
      </c>
      <c r="Y123" s="17">
        <v>0</v>
      </c>
      <c r="Z123" s="17"/>
      <c r="AA123" s="17" t="s">
        <v>413</v>
      </c>
      <c r="AB123" s="17" t="s">
        <v>79</v>
      </c>
      <c r="AC123" s="17">
        <v>5</v>
      </c>
      <c r="AD123" s="17">
        <v>0</v>
      </c>
      <c r="AE123" s="17">
        <v>1</v>
      </c>
      <c r="AF123" s="17"/>
      <c r="AG123" s="17" t="s">
        <v>414</v>
      </c>
      <c r="AH123" s="17" t="s">
        <v>415</v>
      </c>
      <c r="AI123" s="17" t="s">
        <v>414</v>
      </c>
      <c r="AJ123" s="17" t="s">
        <v>416</v>
      </c>
      <c r="AK123" s="17" t="s">
        <v>137</v>
      </c>
      <c r="AL123" s="17" t="s">
        <v>137</v>
      </c>
      <c r="AM123" s="17" t="s">
        <v>163</v>
      </c>
      <c r="AN123" s="17" t="s">
        <v>84</v>
      </c>
      <c r="AO123" s="17" t="s">
        <v>75</v>
      </c>
      <c r="AP123" s="17"/>
      <c r="AQ123" s="17"/>
      <c r="AR123" s="17"/>
      <c r="AS123" s="17"/>
      <c r="AT123" s="17" t="s">
        <v>417</v>
      </c>
      <c r="AU123" s="17" t="s">
        <v>127</v>
      </c>
    </row>
    <row r="124" hidden="1">
      <c r="A124" s="17">
        <v>122</v>
      </c>
      <c r="B124" s="17" t="s">
        <v>52</v>
      </c>
      <c r="C124" s="19" t="s">
        <v>418</v>
      </c>
      <c r="D124" s="19" t="s">
        <v>54</v>
      </c>
      <c r="E124" s="17" t="s">
        <v>419</v>
      </c>
      <c r="F124" s="17" t="s">
        <v>420</v>
      </c>
      <c r="G124" s="17">
        <v>22.246411999999999</v>
      </c>
      <c r="H124" s="17">
        <v>87.796181000000004</v>
      </c>
      <c r="I124" s="17"/>
      <c r="J124" s="17"/>
      <c r="K124" s="17"/>
      <c r="L124" s="17"/>
      <c r="M124" s="19" t="s">
        <v>122</v>
      </c>
      <c r="N124" s="17">
        <v>8420984799</v>
      </c>
      <c r="O124" s="17">
        <v>22</v>
      </c>
      <c r="P124" s="17">
        <v>100</v>
      </c>
      <c r="Q124" s="17" t="s">
        <v>413</v>
      </c>
      <c r="R124" s="17" t="s">
        <v>74</v>
      </c>
      <c r="S124" s="17" t="s">
        <v>75</v>
      </c>
      <c r="T124" s="17"/>
      <c r="U124" s="17" t="s">
        <v>160</v>
      </c>
      <c r="V124" s="17" t="s">
        <v>77</v>
      </c>
      <c r="W124" s="17" t="s">
        <v>161</v>
      </c>
      <c r="X124" s="17">
        <v>5</v>
      </c>
      <c r="Y124" s="17">
        <v>0</v>
      </c>
      <c r="Z124" s="17"/>
      <c r="AA124" s="17" t="s">
        <v>413</v>
      </c>
      <c r="AB124" s="17" t="s">
        <v>79</v>
      </c>
      <c r="AC124" s="17">
        <v>5</v>
      </c>
      <c r="AD124" s="17">
        <v>0</v>
      </c>
      <c r="AE124" s="17">
        <v>1</v>
      </c>
      <c r="AF124" s="17"/>
      <c r="AG124" s="17" t="s">
        <v>414</v>
      </c>
      <c r="AH124" s="17" t="s">
        <v>415</v>
      </c>
      <c r="AI124" s="17" t="s">
        <v>414</v>
      </c>
      <c r="AJ124" s="17" t="s">
        <v>416</v>
      </c>
      <c r="AK124" s="17" t="s">
        <v>137</v>
      </c>
      <c r="AL124" s="17" t="s">
        <v>137</v>
      </c>
      <c r="AM124" s="17" t="s">
        <v>163</v>
      </c>
      <c r="AN124" s="17" t="s">
        <v>84</v>
      </c>
      <c r="AO124" s="17" t="s">
        <v>75</v>
      </c>
      <c r="AP124" s="17"/>
      <c r="AQ124" s="17"/>
      <c r="AR124" s="17"/>
      <c r="AS124" s="17"/>
      <c r="AT124" s="17"/>
      <c r="AU124" s="17" t="s">
        <v>127</v>
      </c>
    </row>
    <row r="125" hidden="1">
      <c r="A125" s="17">
        <v>123</v>
      </c>
      <c r="B125" s="17" t="s">
        <v>52</v>
      </c>
      <c r="C125" s="19" t="s">
        <v>421</v>
      </c>
      <c r="D125" s="19" t="s">
        <v>54</v>
      </c>
      <c r="E125" s="17" t="s">
        <v>422</v>
      </c>
      <c r="F125" s="17" t="s">
        <v>423</v>
      </c>
      <c r="G125" s="17">
        <v>22.179219</v>
      </c>
      <c r="H125" s="17">
        <v>87.793881999999996</v>
      </c>
      <c r="I125" s="17"/>
      <c r="J125" s="17"/>
      <c r="K125" s="17"/>
      <c r="L125" s="17"/>
      <c r="M125" s="19" t="s">
        <v>122</v>
      </c>
      <c r="N125" s="17">
        <v>8420984799</v>
      </c>
      <c r="O125" s="17">
        <v>15</v>
      </c>
      <c r="P125" s="17">
        <v>110</v>
      </c>
      <c r="Q125" s="17" t="s">
        <v>413</v>
      </c>
      <c r="R125" s="17" t="s">
        <v>74</v>
      </c>
      <c r="S125" s="17" t="s">
        <v>75</v>
      </c>
      <c r="T125" s="17"/>
      <c r="U125" s="17" t="s">
        <v>76</v>
      </c>
      <c r="V125" s="17" t="s">
        <v>77</v>
      </c>
      <c r="W125" s="17" t="s">
        <v>123</v>
      </c>
      <c r="X125" s="17">
        <v>5</v>
      </c>
      <c r="Y125" s="17">
        <v>0</v>
      </c>
      <c r="Z125" s="17" t="s">
        <v>424</v>
      </c>
      <c r="AA125" s="17" t="s">
        <v>413</v>
      </c>
      <c r="AB125" s="17" t="s">
        <v>79</v>
      </c>
      <c r="AC125" s="17">
        <v>4</v>
      </c>
      <c r="AD125" s="17">
        <v>0</v>
      </c>
      <c r="AE125" s="17">
        <v>0</v>
      </c>
      <c r="AF125" s="17"/>
      <c r="AG125" s="17" t="s">
        <v>414</v>
      </c>
      <c r="AH125" s="17" t="s">
        <v>415</v>
      </c>
      <c r="AI125" s="17" t="s">
        <v>414</v>
      </c>
      <c r="AJ125" s="17" t="s">
        <v>416</v>
      </c>
      <c r="AK125" s="17" t="s">
        <v>137</v>
      </c>
      <c r="AL125" s="17" t="s">
        <v>137</v>
      </c>
      <c r="AM125" s="17" t="s">
        <v>163</v>
      </c>
      <c r="AN125" s="17" t="s">
        <v>84</v>
      </c>
      <c r="AO125" s="17" t="s">
        <v>75</v>
      </c>
      <c r="AP125" s="17"/>
      <c r="AQ125" s="17"/>
      <c r="AR125" s="17"/>
      <c r="AS125" s="17"/>
      <c r="AT125" s="17" t="s">
        <v>425</v>
      </c>
      <c r="AU125" s="17" t="s">
        <v>127</v>
      </c>
    </row>
    <row r="126" hidden="1">
      <c r="A126" s="17">
        <v>124</v>
      </c>
      <c r="B126" s="17" t="s">
        <v>52</v>
      </c>
      <c r="C126" s="19" t="s">
        <v>426</v>
      </c>
      <c r="D126" s="19" t="s">
        <v>54</v>
      </c>
      <c r="E126" s="17" t="s">
        <v>427</v>
      </c>
      <c r="F126" s="17" t="s">
        <v>428</v>
      </c>
      <c r="G126" s="17">
        <v>22.246797999999998</v>
      </c>
      <c r="H126" s="17">
        <v>87.708262000000005</v>
      </c>
      <c r="I126" s="17"/>
      <c r="J126" s="17"/>
      <c r="K126" s="17"/>
      <c r="L126" s="17"/>
      <c r="M126" s="19" t="s">
        <v>122</v>
      </c>
      <c r="N126" s="17">
        <v>8420984799</v>
      </c>
      <c r="O126" s="17">
        <v>22</v>
      </c>
      <c r="P126" s="17">
        <v>120</v>
      </c>
      <c r="Q126" s="17" t="s">
        <v>187</v>
      </c>
      <c r="R126" s="17" t="s">
        <v>74</v>
      </c>
      <c r="S126" s="17" t="s">
        <v>75</v>
      </c>
      <c r="T126" s="17"/>
      <c r="U126" s="17" t="s">
        <v>76</v>
      </c>
      <c r="V126" s="17" t="s">
        <v>77</v>
      </c>
      <c r="W126" s="17" t="s">
        <v>123</v>
      </c>
      <c r="X126" s="17">
        <v>4</v>
      </c>
      <c r="Y126" s="17">
        <v>2</v>
      </c>
      <c r="Z126" s="17"/>
      <c r="AA126" s="17" t="s">
        <v>187</v>
      </c>
      <c r="AB126" s="17" t="s">
        <v>79</v>
      </c>
      <c r="AC126" s="17">
        <v>4</v>
      </c>
      <c r="AD126" s="17">
        <v>0</v>
      </c>
      <c r="AE126" s="17">
        <v>0</v>
      </c>
      <c r="AF126" s="17"/>
      <c r="AG126" s="17" t="s">
        <v>414</v>
      </c>
      <c r="AH126" s="17" t="s">
        <v>415</v>
      </c>
      <c r="AI126" s="17" t="s">
        <v>83</v>
      </c>
      <c r="AJ126" s="17">
        <v>2112</v>
      </c>
      <c r="AK126" s="17" t="s">
        <v>75</v>
      </c>
      <c r="AL126" s="17" t="s">
        <v>137</v>
      </c>
      <c r="AM126" s="17" t="s">
        <v>75</v>
      </c>
      <c r="AN126" s="17" t="s">
        <v>125</v>
      </c>
      <c r="AO126" s="17" t="s">
        <v>75</v>
      </c>
      <c r="AP126" s="17"/>
      <c r="AQ126" s="17"/>
      <c r="AR126" s="17"/>
      <c r="AS126" s="17"/>
      <c r="AT126" s="17" t="s">
        <v>429</v>
      </c>
      <c r="AU126" s="17" t="s">
        <v>430</v>
      </c>
    </row>
    <row r="127" hidden="1">
      <c r="A127" s="17">
        <v>125</v>
      </c>
      <c r="B127" s="17" t="s">
        <v>52</v>
      </c>
      <c r="C127" s="19" t="s">
        <v>431</v>
      </c>
      <c r="D127" s="19" t="s">
        <v>54</v>
      </c>
      <c r="E127" s="17" t="s">
        <v>432</v>
      </c>
      <c r="F127" s="17" t="s">
        <v>433</v>
      </c>
      <c r="G127" s="17">
        <v>22.250926</v>
      </c>
      <c r="H127" s="17">
        <v>87.778201999999993</v>
      </c>
      <c r="I127" s="17"/>
      <c r="J127" s="17"/>
      <c r="K127" s="17"/>
      <c r="L127" s="17"/>
      <c r="M127" s="19" t="s">
        <v>166</v>
      </c>
      <c r="N127" s="17">
        <v>9064976019</v>
      </c>
      <c r="O127" s="17">
        <v>18</v>
      </c>
      <c r="P127" s="17">
        <v>95</v>
      </c>
      <c r="Q127" s="17" t="s">
        <v>187</v>
      </c>
      <c r="R127" s="17" t="s">
        <v>74</v>
      </c>
      <c r="S127" s="17" t="s">
        <v>75</v>
      </c>
      <c r="T127" s="17"/>
      <c r="U127" s="17" t="s">
        <v>76</v>
      </c>
      <c r="V127" s="17" t="s">
        <v>77</v>
      </c>
      <c r="W127" s="17" t="s">
        <v>123</v>
      </c>
      <c r="X127" s="17">
        <v>4</v>
      </c>
      <c r="Y127" s="17">
        <v>1</v>
      </c>
      <c r="Z127" s="17"/>
      <c r="AA127" s="17" t="s">
        <v>187</v>
      </c>
      <c r="AB127" s="17" t="s">
        <v>79</v>
      </c>
      <c r="AC127" s="17">
        <v>3</v>
      </c>
      <c r="AD127" s="17">
        <v>0</v>
      </c>
      <c r="AE127" s="17">
        <v>0</v>
      </c>
      <c r="AF127" s="17"/>
      <c r="AG127" s="17" t="s">
        <v>124</v>
      </c>
      <c r="AH127" s="17" t="s">
        <v>82</v>
      </c>
      <c r="AI127" s="17" t="s">
        <v>83</v>
      </c>
      <c r="AJ127" s="17">
        <v>2111</v>
      </c>
      <c r="AK127" s="17" t="s">
        <v>75</v>
      </c>
      <c r="AL127" s="17" t="s">
        <v>75</v>
      </c>
      <c r="AM127" s="17" t="s">
        <v>75</v>
      </c>
      <c r="AN127" s="17" t="s">
        <v>84</v>
      </c>
      <c r="AO127" s="17" t="s">
        <v>109</v>
      </c>
      <c r="AP127" s="17"/>
      <c r="AQ127" s="17"/>
      <c r="AR127" s="17"/>
      <c r="AS127" s="17"/>
      <c r="AT127" s="17"/>
      <c r="AU127" s="17" t="s">
        <v>127</v>
      </c>
    </row>
    <row r="128" hidden="1">
      <c r="A128" s="17">
        <v>126</v>
      </c>
      <c r="B128" s="17" t="s">
        <v>52</v>
      </c>
      <c r="C128" s="19" t="s">
        <v>434</v>
      </c>
      <c r="D128" s="19" t="s">
        <v>54</v>
      </c>
      <c r="E128" s="17" t="s">
        <v>435</v>
      </c>
      <c r="F128" s="17" t="s">
        <v>436</v>
      </c>
      <c r="G128" s="17">
        <v>22.205826999999999</v>
      </c>
      <c r="H128" s="17">
        <v>87.800786000000002</v>
      </c>
      <c r="I128" s="17"/>
      <c r="J128" s="17"/>
      <c r="K128" s="17"/>
      <c r="L128" s="17"/>
      <c r="M128" s="19" t="s">
        <v>166</v>
      </c>
      <c r="N128" s="17">
        <v>9064976019</v>
      </c>
      <c r="O128" s="17">
        <v>18</v>
      </c>
      <c r="P128" s="17">
        <v>55</v>
      </c>
      <c r="Q128" s="17" t="s">
        <v>73</v>
      </c>
      <c r="R128" s="17" t="s">
        <v>74</v>
      </c>
      <c r="S128" s="17" t="s">
        <v>75</v>
      </c>
      <c r="T128" s="17"/>
      <c r="U128" s="17" t="s">
        <v>76</v>
      </c>
      <c r="V128" s="17" t="s">
        <v>77</v>
      </c>
      <c r="W128" s="17" t="s">
        <v>252</v>
      </c>
      <c r="X128" s="17">
        <v>3</v>
      </c>
      <c r="Y128" s="17">
        <v>0</v>
      </c>
      <c r="Z128" s="17"/>
      <c r="AA128" s="17" t="s">
        <v>73</v>
      </c>
      <c r="AB128" s="17" t="s">
        <v>79</v>
      </c>
      <c r="AC128" s="17">
        <v>2</v>
      </c>
      <c r="AD128" s="17">
        <v>0</v>
      </c>
      <c r="AE128" s="17">
        <v>0</v>
      </c>
      <c r="AF128" s="17"/>
      <c r="AG128" s="17" t="s">
        <v>81</v>
      </c>
      <c r="AH128" s="17" t="s">
        <v>82</v>
      </c>
      <c r="AI128" s="17" t="s">
        <v>107</v>
      </c>
      <c r="AJ128" s="17"/>
      <c r="AK128" s="17" t="s">
        <v>75</v>
      </c>
      <c r="AL128" s="17" t="s">
        <v>75</v>
      </c>
      <c r="AM128" s="17" t="s">
        <v>137</v>
      </c>
      <c r="AN128" s="17" t="s">
        <v>84</v>
      </c>
      <c r="AO128" s="17" t="s">
        <v>75</v>
      </c>
      <c r="AP128" s="17"/>
      <c r="AQ128" s="17"/>
      <c r="AR128" s="17"/>
      <c r="AS128" s="17"/>
      <c r="AT128" s="17" t="s">
        <v>437</v>
      </c>
      <c r="AU128" s="17" t="s">
        <v>111</v>
      </c>
    </row>
    <row r="129" hidden="1">
      <c r="A129" s="17">
        <v>127</v>
      </c>
      <c r="B129" s="17" t="s">
        <v>52</v>
      </c>
      <c r="C129" s="19" t="s">
        <v>438</v>
      </c>
      <c r="D129" s="19" t="s">
        <v>54</v>
      </c>
      <c r="E129" s="17" t="s">
        <v>439</v>
      </c>
      <c r="F129" s="17" t="s">
        <v>440</v>
      </c>
      <c r="G129" s="17">
        <v>22.285948999999999</v>
      </c>
      <c r="H129" s="17">
        <v>87.739599999999996</v>
      </c>
      <c r="I129" s="17"/>
      <c r="J129" s="17"/>
      <c r="K129" s="17"/>
      <c r="L129" s="17"/>
      <c r="M129" s="19" t="s">
        <v>166</v>
      </c>
      <c r="N129" s="17">
        <v>9064976019</v>
      </c>
      <c r="O129" s="17">
        <v>18</v>
      </c>
      <c r="P129" s="17">
        <v>55</v>
      </c>
      <c r="Q129" s="17" t="s">
        <v>73</v>
      </c>
      <c r="R129" s="17" t="s">
        <v>104</v>
      </c>
      <c r="S129" s="17" t="s">
        <v>75</v>
      </c>
      <c r="T129" s="17"/>
      <c r="U129" s="17" t="s">
        <v>441</v>
      </c>
      <c r="V129" s="17" t="s">
        <v>442</v>
      </c>
      <c r="W129" s="17" t="s">
        <v>443</v>
      </c>
      <c r="X129" s="17">
        <v>4</v>
      </c>
      <c r="Y129" s="17">
        <v>1</v>
      </c>
      <c r="Z129" s="17"/>
      <c r="AA129" s="17" t="s">
        <v>73</v>
      </c>
      <c r="AB129" s="17" t="s">
        <v>79</v>
      </c>
      <c r="AC129" s="17">
        <v>1</v>
      </c>
      <c r="AD129" s="17">
        <v>0</v>
      </c>
      <c r="AE129" s="17">
        <v>0</v>
      </c>
      <c r="AF129" s="17"/>
      <c r="AG129" s="17" t="s">
        <v>124</v>
      </c>
      <c r="AH129" s="17" t="s">
        <v>82</v>
      </c>
      <c r="AI129" s="17" t="s">
        <v>83</v>
      </c>
      <c r="AJ129" s="17">
        <v>2111</v>
      </c>
      <c r="AK129" s="17" t="s">
        <v>75</v>
      </c>
      <c r="AL129" s="17" t="s">
        <v>75</v>
      </c>
      <c r="AM129" s="17" t="s">
        <v>75</v>
      </c>
      <c r="AN129" s="17" t="s">
        <v>84</v>
      </c>
      <c r="AO129" s="17" t="s">
        <v>75</v>
      </c>
      <c r="AP129" s="17"/>
      <c r="AQ129" s="17"/>
      <c r="AR129" s="17"/>
      <c r="AS129" s="17"/>
      <c r="AT129" s="17" t="s">
        <v>444</v>
      </c>
      <c r="AU129" s="17" t="s">
        <v>111</v>
      </c>
    </row>
    <row r="130" hidden="1">
      <c r="A130" s="17">
        <v>128</v>
      </c>
      <c r="B130" s="17" t="s">
        <v>52</v>
      </c>
      <c r="C130" s="19" t="s">
        <v>445</v>
      </c>
      <c r="D130" s="19" t="s">
        <v>54</v>
      </c>
      <c r="E130" s="17" t="s">
        <v>446</v>
      </c>
      <c r="F130" s="17" t="s">
        <v>447</v>
      </c>
      <c r="G130" s="17">
        <v>22.180392000000001</v>
      </c>
      <c r="H130" s="17">
        <v>87.777991999999998</v>
      </c>
      <c r="I130" s="17"/>
      <c r="J130" s="17"/>
      <c r="K130" s="17"/>
      <c r="L130" s="17"/>
      <c r="M130" s="19" t="s">
        <v>166</v>
      </c>
      <c r="N130" s="17">
        <v>9064976019</v>
      </c>
      <c r="O130" s="17">
        <v>18</v>
      </c>
      <c r="P130" s="17">
        <v>90</v>
      </c>
      <c r="Q130" s="17" t="s">
        <v>448</v>
      </c>
      <c r="R130" s="17" t="s">
        <v>74</v>
      </c>
      <c r="S130" s="17" t="s">
        <v>75</v>
      </c>
      <c r="T130" s="17"/>
      <c r="U130" s="17" t="s">
        <v>105</v>
      </c>
      <c r="V130" s="17" t="s">
        <v>77</v>
      </c>
      <c r="W130" s="17" t="s">
        <v>449</v>
      </c>
      <c r="X130" s="17">
        <v>3</v>
      </c>
      <c r="Y130" s="17">
        <v>1</v>
      </c>
      <c r="Z130" s="17"/>
      <c r="AA130" s="17" t="s">
        <v>448</v>
      </c>
      <c r="AB130" s="17" t="s">
        <v>79</v>
      </c>
      <c r="AC130" s="17">
        <v>4</v>
      </c>
      <c r="AD130" s="17">
        <v>0</v>
      </c>
      <c r="AE130" s="17">
        <v>0</v>
      </c>
      <c r="AF130" s="17"/>
      <c r="AG130" s="17" t="s">
        <v>81</v>
      </c>
      <c r="AH130" s="17" t="s">
        <v>82</v>
      </c>
      <c r="AI130" s="17" t="s">
        <v>107</v>
      </c>
      <c r="AJ130" s="17"/>
      <c r="AK130" s="17" t="s">
        <v>137</v>
      </c>
      <c r="AL130" s="17" t="s">
        <v>137</v>
      </c>
      <c r="AM130" s="17" t="s">
        <v>137</v>
      </c>
      <c r="AN130" s="17" t="s">
        <v>84</v>
      </c>
      <c r="AO130" s="17" t="s">
        <v>75</v>
      </c>
      <c r="AP130" s="17"/>
      <c r="AQ130" s="17"/>
      <c r="AR130" s="17"/>
      <c r="AS130" s="17"/>
      <c r="AT130" s="17" t="s">
        <v>450</v>
      </c>
      <c r="AU130" s="17" t="s">
        <v>111</v>
      </c>
    </row>
    <row r="131" hidden="1">
      <c r="A131" s="17">
        <v>129</v>
      </c>
      <c r="B131" s="17" t="s">
        <v>52</v>
      </c>
      <c r="C131" s="19" t="s">
        <v>451</v>
      </c>
      <c r="D131" s="19" t="s">
        <v>54</v>
      </c>
      <c r="E131" s="17" t="s">
        <v>452</v>
      </c>
      <c r="F131" s="17" t="s">
        <v>453</v>
      </c>
      <c r="G131" s="17">
        <v>22.263809999999999</v>
      </c>
      <c r="H131" s="17">
        <v>87.787156999999993</v>
      </c>
      <c r="I131" s="17"/>
      <c r="J131" s="17"/>
      <c r="K131" s="17"/>
      <c r="L131" s="17"/>
      <c r="M131" s="19" t="s">
        <v>166</v>
      </c>
      <c r="N131" s="17">
        <v>9064976019</v>
      </c>
      <c r="O131" s="17">
        <v>18</v>
      </c>
      <c r="P131" s="17">
        <v>55</v>
      </c>
      <c r="Q131" s="17" t="s">
        <v>73</v>
      </c>
      <c r="R131" s="17" t="s">
        <v>104</v>
      </c>
      <c r="S131" s="17" t="s">
        <v>75</v>
      </c>
      <c r="T131" s="17"/>
      <c r="U131" s="17" t="s">
        <v>105</v>
      </c>
      <c r="V131" s="17" t="s">
        <v>77</v>
      </c>
      <c r="W131" s="17" t="s">
        <v>454</v>
      </c>
      <c r="X131" s="17">
        <v>5</v>
      </c>
      <c r="Y131" s="17">
        <v>0</v>
      </c>
      <c r="Z131" s="17"/>
      <c r="AA131" s="17" t="s">
        <v>73</v>
      </c>
      <c r="AB131" s="17" t="s">
        <v>79</v>
      </c>
      <c r="AC131" s="17">
        <v>1</v>
      </c>
      <c r="AD131" s="17">
        <v>0</v>
      </c>
      <c r="AE131" s="17">
        <v>0</v>
      </c>
      <c r="AF131" s="17"/>
      <c r="AG131" s="17" t="s">
        <v>124</v>
      </c>
      <c r="AH131" s="17" t="s">
        <v>82</v>
      </c>
      <c r="AI131" s="17" t="s">
        <v>83</v>
      </c>
      <c r="AJ131" s="17">
        <v>2111</v>
      </c>
      <c r="AK131" s="17" t="s">
        <v>75</v>
      </c>
      <c r="AL131" s="17" t="s">
        <v>75</v>
      </c>
      <c r="AM131" s="17" t="s">
        <v>75</v>
      </c>
      <c r="AN131" s="17" t="s">
        <v>125</v>
      </c>
      <c r="AO131" s="17" t="s">
        <v>75</v>
      </c>
      <c r="AP131" s="17"/>
      <c r="AQ131" s="17"/>
      <c r="AR131" s="17"/>
      <c r="AS131" s="17"/>
      <c r="AT131" s="17" t="s">
        <v>455</v>
      </c>
      <c r="AU131" s="17" t="s">
        <v>111</v>
      </c>
    </row>
    <row r="132" hidden="1">
      <c r="A132" s="17">
        <v>130</v>
      </c>
      <c r="B132" s="17" t="s">
        <v>52</v>
      </c>
      <c r="C132" s="19" t="s">
        <v>456</v>
      </c>
      <c r="D132" s="19" t="s">
        <v>54</v>
      </c>
      <c r="E132" s="17" t="s">
        <v>457</v>
      </c>
      <c r="F132" s="17" t="s">
        <v>458</v>
      </c>
      <c r="G132" s="17">
        <v>22.187494000000001</v>
      </c>
      <c r="H132" s="17">
        <v>87.735485999999995</v>
      </c>
      <c r="I132" s="17"/>
      <c r="J132" s="17"/>
      <c r="K132" s="17"/>
      <c r="L132" s="17"/>
      <c r="M132" s="19" t="s">
        <v>166</v>
      </c>
      <c r="N132" s="17">
        <v>9064976019</v>
      </c>
      <c r="O132" s="17">
        <v>18</v>
      </c>
      <c r="P132" s="17">
        <v>100</v>
      </c>
      <c r="Q132" s="17" t="s">
        <v>73</v>
      </c>
      <c r="R132" s="17" t="s">
        <v>74</v>
      </c>
      <c r="S132" s="17" t="s">
        <v>75</v>
      </c>
      <c r="T132" s="17"/>
      <c r="U132" s="17" t="s">
        <v>105</v>
      </c>
      <c r="V132" s="17" t="s">
        <v>77</v>
      </c>
      <c r="W132" s="17" t="s">
        <v>454</v>
      </c>
      <c r="X132" s="17">
        <v>5</v>
      </c>
      <c r="Y132" s="17">
        <v>0</v>
      </c>
      <c r="Z132" s="17" t="s">
        <v>459</v>
      </c>
      <c r="AA132" s="17" t="s">
        <v>73</v>
      </c>
      <c r="AB132" s="17" t="s">
        <v>79</v>
      </c>
      <c r="AC132" s="17">
        <v>2</v>
      </c>
      <c r="AD132" s="17">
        <v>0</v>
      </c>
      <c r="AE132" s="17">
        <v>0</v>
      </c>
      <c r="AF132" s="17" t="s">
        <v>460</v>
      </c>
      <c r="AG132" s="17" t="s">
        <v>124</v>
      </c>
      <c r="AH132" s="17" t="s">
        <v>82</v>
      </c>
      <c r="AI132" s="17" t="s">
        <v>83</v>
      </c>
      <c r="AJ132" s="17">
        <v>2111</v>
      </c>
      <c r="AK132" s="17" t="s">
        <v>75</v>
      </c>
      <c r="AL132" s="17" t="s">
        <v>75</v>
      </c>
      <c r="AM132" s="17" t="s">
        <v>75</v>
      </c>
      <c r="AN132" s="17" t="s">
        <v>84</v>
      </c>
      <c r="AO132" s="17" t="s">
        <v>75</v>
      </c>
      <c r="AP132" s="17"/>
      <c r="AQ132" s="17"/>
      <c r="AR132" s="17"/>
      <c r="AS132" s="17"/>
      <c r="AT132" s="17" t="s">
        <v>18</v>
      </c>
      <c r="AU132" s="17" t="s">
        <v>111</v>
      </c>
    </row>
    <row r="133" hidden="1">
      <c r="A133" s="17">
        <v>131</v>
      </c>
      <c r="B133" s="17" t="s">
        <v>52</v>
      </c>
      <c r="C133" s="19" t="s">
        <v>461</v>
      </c>
      <c r="D133" s="19" t="s">
        <v>54</v>
      </c>
      <c r="E133" s="17" t="s">
        <v>462</v>
      </c>
      <c r="F133" s="17" t="s">
        <v>463</v>
      </c>
      <c r="G133" s="17">
        <v>22.193922000000001</v>
      </c>
      <c r="H133" s="17">
        <v>87.834537999999995</v>
      </c>
      <c r="I133" s="17"/>
      <c r="J133" s="17"/>
      <c r="K133" s="17"/>
      <c r="L133" s="17"/>
      <c r="M133" s="19" t="s">
        <v>122</v>
      </c>
      <c r="N133" s="17">
        <v>8420984799</v>
      </c>
      <c r="O133" s="17">
        <v>18</v>
      </c>
      <c r="P133" s="17">
        <v>45</v>
      </c>
      <c r="Q133" s="17" t="s">
        <v>73</v>
      </c>
      <c r="R133" s="17" t="s">
        <v>74</v>
      </c>
      <c r="S133" s="17" t="s">
        <v>75</v>
      </c>
      <c r="T133" s="17"/>
      <c r="U133" s="17" t="s">
        <v>76</v>
      </c>
      <c r="V133" s="17" t="s">
        <v>77</v>
      </c>
      <c r="W133" s="17" t="s">
        <v>161</v>
      </c>
      <c r="X133" s="17">
        <v>3</v>
      </c>
      <c r="Y133" s="17">
        <v>0</v>
      </c>
      <c r="Z133" s="17"/>
      <c r="AA133" s="17" t="s">
        <v>73</v>
      </c>
      <c r="AB133" s="17" t="s">
        <v>79</v>
      </c>
      <c r="AC133" s="17">
        <v>1</v>
      </c>
      <c r="AD133" s="17">
        <v>0</v>
      </c>
      <c r="AE133" s="17">
        <v>0</v>
      </c>
      <c r="AF133" s="17"/>
      <c r="AG133" s="17" t="s">
        <v>81</v>
      </c>
      <c r="AH133" s="17" t="s">
        <v>82</v>
      </c>
      <c r="AI133" s="17" t="s">
        <v>107</v>
      </c>
      <c r="AJ133" s="17"/>
      <c r="AK133" s="17" t="s">
        <v>137</v>
      </c>
      <c r="AL133" s="17" t="s">
        <v>75</v>
      </c>
      <c r="AM133" s="17" t="s">
        <v>137</v>
      </c>
      <c r="AN133" s="17" t="s">
        <v>125</v>
      </c>
      <c r="AO133" s="17" t="s">
        <v>137</v>
      </c>
      <c r="AP133" s="17"/>
      <c r="AQ133" s="17"/>
      <c r="AR133" s="17"/>
      <c r="AS133" s="17"/>
      <c r="AT133" s="17" t="s">
        <v>464</v>
      </c>
      <c r="AU133" s="17" t="s">
        <v>465</v>
      </c>
    </row>
    <row r="134" hidden="1">
      <c r="A134" s="17">
        <v>132</v>
      </c>
      <c r="B134" s="17" t="s">
        <v>52</v>
      </c>
      <c r="C134" s="19" t="s">
        <v>466</v>
      </c>
      <c r="D134" s="19" t="s">
        <v>54</v>
      </c>
      <c r="E134" s="17" t="s">
        <v>467</v>
      </c>
      <c r="F134" s="17" t="s">
        <v>468</v>
      </c>
      <c r="G134" s="17">
        <v>22.304922000000001</v>
      </c>
      <c r="H134" s="17">
        <v>87.718936999999997</v>
      </c>
      <c r="I134" s="17"/>
      <c r="J134" s="17"/>
      <c r="K134" s="17"/>
      <c r="L134" s="17"/>
      <c r="M134" s="19" t="s">
        <v>166</v>
      </c>
      <c r="N134" s="17">
        <v>9064976019</v>
      </c>
      <c r="O134" s="17">
        <v>18</v>
      </c>
      <c r="P134" s="17">
        <v>55</v>
      </c>
      <c r="Q134" s="17" t="s">
        <v>73</v>
      </c>
      <c r="R134" s="17" t="s">
        <v>104</v>
      </c>
      <c r="S134" s="17" t="s">
        <v>75</v>
      </c>
      <c r="T134" s="17"/>
      <c r="U134" s="17" t="s">
        <v>76</v>
      </c>
      <c r="V134" s="17" t="s">
        <v>77</v>
      </c>
      <c r="W134" s="17" t="s">
        <v>78</v>
      </c>
      <c r="X134" s="17">
        <v>3</v>
      </c>
      <c r="Y134" s="17">
        <v>0</v>
      </c>
      <c r="Z134" s="17"/>
      <c r="AA134" s="17" t="s">
        <v>73</v>
      </c>
      <c r="AB134" s="17" t="s">
        <v>79</v>
      </c>
      <c r="AC134" s="17">
        <v>1</v>
      </c>
      <c r="AD134" s="17">
        <v>0</v>
      </c>
      <c r="AE134" s="17">
        <v>0</v>
      </c>
      <c r="AF134" s="17"/>
      <c r="AG134" s="17" t="s">
        <v>124</v>
      </c>
      <c r="AH134" s="17" t="s">
        <v>82</v>
      </c>
      <c r="AI134" s="17" t="s">
        <v>83</v>
      </c>
      <c r="AJ134" s="17">
        <v>2111</v>
      </c>
      <c r="AK134" s="17" t="s">
        <v>75</v>
      </c>
      <c r="AL134" s="17" t="s">
        <v>75</v>
      </c>
      <c r="AM134" s="17" t="s">
        <v>75</v>
      </c>
      <c r="AN134" s="17" t="s">
        <v>125</v>
      </c>
      <c r="AO134" s="17" t="s">
        <v>75</v>
      </c>
      <c r="AP134" s="17"/>
      <c r="AQ134" s="17"/>
      <c r="AR134" s="17"/>
      <c r="AS134" s="17"/>
      <c r="AT134" s="17" t="s">
        <v>18</v>
      </c>
      <c r="AU134" s="17" t="s">
        <v>127</v>
      </c>
    </row>
    <row r="135" hidden="1">
      <c r="A135" s="17">
        <v>133</v>
      </c>
      <c r="B135" s="17" t="s">
        <v>52</v>
      </c>
      <c r="C135" s="19" t="s">
        <v>469</v>
      </c>
      <c r="D135" s="19" t="s">
        <v>54</v>
      </c>
      <c r="E135" s="17" t="s">
        <v>470</v>
      </c>
      <c r="F135" s="17" t="s">
        <v>471</v>
      </c>
      <c r="G135" s="17">
        <v>22.211808000000001</v>
      </c>
      <c r="H135" s="17">
        <v>87.734459999999999</v>
      </c>
      <c r="I135" s="17"/>
      <c r="J135" s="17"/>
      <c r="K135" s="17"/>
      <c r="L135" s="17"/>
      <c r="M135" s="19" t="s">
        <v>166</v>
      </c>
      <c r="N135" s="17">
        <v>9064976019</v>
      </c>
      <c r="O135" s="17">
        <v>18</v>
      </c>
      <c r="P135" s="17">
        <v>100</v>
      </c>
      <c r="Q135" s="17" t="s">
        <v>187</v>
      </c>
      <c r="R135" s="17" t="s">
        <v>339</v>
      </c>
      <c r="S135" s="17" t="s">
        <v>75</v>
      </c>
      <c r="T135" s="17"/>
      <c r="U135" s="17" t="s">
        <v>76</v>
      </c>
      <c r="V135" s="17" t="s">
        <v>77</v>
      </c>
      <c r="W135" s="17" t="s">
        <v>123</v>
      </c>
      <c r="X135" s="17">
        <v>4</v>
      </c>
      <c r="Y135" s="17">
        <v>1</v>
      </c>
      <c r="Z135" s="17" t="s">
        <v>472</v>
      </c>
      <c r="AA135" s="17" t="s">
        <v>187</v>
      </c>
      <c r="AB135" s="17" t="s">
        <v>79</v>
      </c>
      <c r="AC135" s="17">
        <v>4</v>
      </c>
      <c r="AD135" s="17">
        <v>0</v>
      </c>
      <c r="AE135" s="17">
        <v>0</v>
      </c>
      <c r="AF135" s="17"/>
      <c r="AG135" s="17" t="s">
        <v>124</v>
      </c>
      <c r="AH135" s="17" t="s">
        <v>82</v>
      </c>
      <c r="AI135" s="17" t="s">
        <v>83</v>
      </c>
      <c r="AJ135" s="17">
        <v>2111</v>
      </c>
      <c r="AK135" s="17" t="s">
        <v>75</v>
      </c>
      <c r="AL135" s="17" t="s">
        <v>137</v>
      </c>
      <c r="AM135" s="17" t="s">
        <v>75</v>
      </c>
      <c r="AN135" s="17" t="s">
        <v>125</v>
      </c>
      <c r="AO135" s="17" t="s">
        <v>75</v>
      </c>
      <c r="AP135" s="17"/>
      <c r="AQ135" s="17"/>
      <c r="AR135" s="17"/>
      <c r="AS135" s="17"/>
      <c r="AT135" s="17" t="s">
        <v>473</v>
      </c>
      <c r="AU135" s="17" t="s">
        <v>127</v>
      </c>
    </row>
    <row r="136" hidden="1">
      <c r="A136" s="17">
        <v>134</v>
      </c>
      <c r="B136" s="17" t="s">
        <v>52</v>
      </c>
      <c r="C136" s="19" t="s">
        <v>474</v>
      </c>
      <c r="D136" s="19" t="s">
        <v>54</v>
      </c>
      <c r="E136" s="17" t="s">
        <v>475</v>
      </c>
      <c r="F136" s="17" t="s">
        <v>476</v>
      </c>
      <c r="G136" s="17">
        <v>22.203744</v>
      </c>
      <c r="H136" s="17">
        <v>87.778903</v>
      </c>
      <c r="I136" s="17"/>
      <c r="J136" s="17"/>
      <c r="K136" s="17"/>
      <c r="L136" s="17"/>
      <c r="M136" s="19" t="s">
        <v>166</v>
      </c>
      <c r="N136" s="17">
        <v>9064976019</v>
      </c>
      <c r="O136" s="17">
        <v>18</v>
      </c>
      <c r="P136" s="17">
        <v>130</v>
      </c>
      <c r="Q136" s="17" t="s">
        <v>73</v>
      </c>
      <c r="R136" s="17" t="s">
        <v>74</v>
      </c>
      <c r="S136" s="17" t="s">
        <v>75</v>
      </c>
      <c r="T136" s="17"/>
      <c r="U136" s="17" t="s">
        <v>105</v>
      </c>
      <c r="V136" s="17" t="s">
        <v>77</v>
      </c>
      <c r="W136" s="17" t="s">
        <v>443</v>
      </c>
      <c r="X136" s="17">
        <v>3</v>
      </c>
      <c r="Y136" s="17">
        <v>0</v>
      </c>
      <c r="Z136" s="17"/>
      <c r="AA136" s="17" t="s">
        <v>73</v>
      </c>
      <c r="AB136" s="17" t="s">
        <v>79</v>
      </c>
      <c r="AC136" s="17">
        <v>2</v>
      </c>
      <c r="AD136" s="17">
        <v>0</v>
      </c>
      <c r="AE136" s="17">
        <v>0</v>
      </c>
      <c r="AF136" s="17"/>
      <c r="AG136" s="17" t="s">
        <v>124</v>
      </c>
      <c r="AH136" s="17" t="s">
        <v>82</v>
      </c>
      <c r="AI136" s="17" t="s">
        <v>83</v>
      </c>
      <c r="AJ136" s="17">
        <v>2111</v>
      </c>
      <c r="AK136" s="17" t="s">
        <v>75</v>
      </c>
      <c r="AL136" s="17" t="s">
        <v>75</v>
      </c>
      <c r="AM136" s="17" t="s">
        <v>75</v>
      </c>
      <c r="AN136" s="17" t="s">
        <v>84</v>
      </c>
      <c r="AO136" s="17" t="s">
        <v>75</v>
      </c>
      <c r="AP136" s="17"/>
      <c r="AQ136" s="17"/>
      <c r="AR136" s="17"/>
      <c r="AS136" s="17"/>
      <c r="AT136" s="17" t="s">
        <v>477</v>
      </c>
      <c r="AU136" s="17" t="s">
        <v>111</v>
      </c>
    </row>
    <row r="137" hidden="1">
      <c r="A137" s="17">
        <v>135</v>
      </c>
      <c r="B137" s="17" t="s">
        <v>52</v>
      </c>
      <c r="C137" s="19" t="s">
        <v>478</v>
      </c>
      <c r="D137" s="19" t="s">
        <v>54</v>
      </c>
      <c r="E137" s="17" t="s">
        <v>479</v>
      </c>
      <c r="F137" s="17" t="s">
        <v>480</v>
      </c>
      <c r="G137" s="17">
        <v>22.26136</v>
      </c>
      <c r="H137" s="17">
        <v>87.717709999999997</v>
      </c>
      <c r="I137" s="17"/>
      <c r="J137" s="17"/>
      <c r="K137" s="17"/>
      <c r="L137" s="17"/>
      <c r="M137" s="19" t="s">
        <v>166</v>
      </c>
      <c r="N137" s="17">
        <v>9064976019</v>
      </c>
      <c r="O137" s="17">
        <v>18</v>
      </c>
      <c r="P137" s="17">
        <v>95</v>
      </c>
      <c r="Q137" s="17" t="s">
        <v>187</v>
      </c>
      <c r="R137" s="17" t="s">
        <v>74</v>
      </c>
      <c r="S137" s="17" t="s">
        <v>75</v>
      </c>
      <c r="T137" s="17"/>
      <c r="U137" s="17" t="s">
        <v>160</v>
      </c>
      <c r="V137" s="17" t="s">
        <v>77</v>
      </c>
      <c r="W137" s="17" t="s">
        <v>252</v>
      </c>
      <c r="X137" s="17">
        <v>5</v>
      </c>
      <c r="Y137" s="17">
        <v>0</v>
      </c>
      <c r="Z137" s="17"/>
      <c r="AA137" s="17" t="s">
        <v>187</v>
      </c>
      <c r="AB137" s="17" t="s">
        <v>79</v>
      </c>
      <c r="AC137" s="17">
        <v>3</v>
      </c>
      <c r="AD137" s="17">
        <v>0</v>
      </c>
      <c r="AE137" s="17">
        <v>0</v>
      </c>
      <c r="AF137" s="17"/>
      <c r="AG137" s="17" t="s">
        <v>124</v>
      </c>
      <c r="AH137" s="17" t="s">
        <v>162</v>
      </c>
      <c r="AI137" s="17" t="s">
        <v>83</v>
      </c>
      <c r="AJ137" s="17">
        <v>2112</v>
      </c>
      <c r="AK137" s="17" t="s">
        <v>75</v>
      </c>
      <c r="AL137" s="17" t="s">
        <v>75</v>
      </c>
      <c r="AM137" s="17" t="s">
        <v>75</v>
      </c>
      <c r="AN137" s="17" t="s">
        <v>84</v>
      </c>
      <c r="AO137" s="17" t="s">
        <v>75</v>
      </c>
      <c r="AP137" s="17"/>
      <c r="AQ137" s="17"/>
      <c r="AR137" s="17"/>
      <c r="AS137" s="17"/>
      <c r="AT137" s="17" t="s">
        <v>481</v>
      </c>
      <c r="AU137" s="17" t="s">
        <v>127</v>
      </c>
    </row>
    <row r="138" hidden="1">
      <c r="A138" s="17">
        <v>136</v>
      </c>
      <c r="B138" s="17" t="s">
        <v>52</v>
      </c>
      <c r="C138" s="19" t="s">
        <v>482</v>
      </c>
      <c r="D138" s="19" t="s">
        <v>54</v>
      </c>
      <c r="E138" s="17" t="s">
        <v>483</v>
      </c>
      <c r="F138" s="17" t="s">
        <v>484</v>
      </c>
      <c r="G138" s="17">
        <v>22.21677</v>
      </c>
      <c r="H138" s="17">
        <v>87.764740000000003</v>
      </c>
      <c r="I138" s="17"/>
      <c r="J138" s="17"/>
      <c r="K138" s="17"/>
      <c r="L138" s="17"/>
      <c r="M138" s="19" t="s">
        <v>166</v>
      </c>
      <c r="N138" s="17">
        <v>9064976019</v>
      </c>
      <c r="O138" s="17">
        <v>18</v>
      </c>
      <c r="P138" s="17">
        <v>95</v>
      </c>
      <c r="Q138" s="17" t="s">
        <v>187</v>
      </c>
      <c r="R138" s="17" t="s">
        <v>104</v>
      </c>
      <c r="S138" s="17" t="s">
        <v>137</v>
      </c>
      <c r="T138" s="17" t="s">
        <v>485</v>
      </c>
      <c r="U138" s="17" t="s">
        <v>160</v>
      </c>
      <c r="V138" s="17" t="s">
        <v>77</v>
      </c>
      <c r="W138" s="17" t="s">
        <v>78</v>
      </c>
      <c r="X138" s="17">
        <v>5</v>
      </c>
      <c r="Y138" s="17">
        <v>1</v>
      </c>
      <c r="Z138" s="17" t="s">
        <v>472</v>
      </c>
      <c r="AA138" s="17" t="s">
        <v>187</v>
      </c>
      <c r="AB138" s="17" t="s">
        <v>79</v>
      </c>
      <c r="AC138" s="17">
        <v>2</v>
      </c>
      <c r="AD138" s="17">
        <v>0</v>
      </c>
      <c r="AE138" s="17">
        <v>0</v>
      </c>
      <c r="AF138" s="17"/>
      <c r="AG138" s="17" t="s">
        <v>81</v>
      </c>
      <c r="AH138" s="17" t="s">
        <v>82</v>
      </c>
      <c r="AI138" s="17" t="s">
        <v>83</v>
      </c>
      <c r="AJ138" s="17">
        <v>2111</v>
      </c>
      <c r="AK138" s="17" t="s">
        <v>75</v>
      </c>
      <c r="AL138" s="17" t="s">
        <v>75</v>
      </c>
      <c r="AM138" s="17" t="s">
        <v>163</v>
      </c>
      <c r="AN138" s="17" t="s">
        <v>84</v>
      </c>
      <c r="AO138" s="17" t="s">
        <v>75</v>
      </c>
      <c r="AP138" s="17"/>
      <c r="AQ138" s="17"/>
      <c r="AR138" s="17"/>
      <c r="AS138" s="17"/>
      <c r="AT138" s="17" t="s">
        <v>486</v>
      </c>
      <c r="AU138" s="17" t="s">
        <v>111</v>
      </c>
    </row>
    <row r="139" hidden="1">
      <c r="A139" s="17">
        <v>137</v>
      </c>
      <c r="B139" s="17" t="s">
        <v>52</v>
      </c>
      <c r="C139" s="19" t="s">
        <v>487</v>
      </c>
      <c r="D139" s="19" t="s">
        <v>54</v>
      </c>
      <c r="E139" s="17" t="s">
        <v>488</v>
      </c>
      <c r="F139" s="17" t="s">
        <v>489</v>
      </c>
      <c r="G139" s="17">
        <v>22.255808999999999</v>
      </c>
      <c r="H139" s="17">
        <v>87.800331</v>
      </c>
      <c r="I139" s="17"/>
      <c r="J139" s="17"/>
      <c r="K139" s="17"/>
      <c r="L139" s="17"/>
      <c r="M139" s="19" t="s">
        <v>122</v>
      </c>
      <c r="N139" s="17">
        <v>8420984799</v>
      </c>
      <c r="O139" s="17">
        <v>22</v>
      </c>
      <c r="P139" s="17">
        <v>45</v>
      </c>
      <c r="Q139" s="17" t="s">
        <v>187</v>
      </c>
      <c r="R139" s="17" t="s">
        <v>74</v>
      </c>
      <c r="S139" s="17" t="s">
        <v>75</v>
      </c>
      <c r="T139" s="17"/>
      <c r="U139" s="17" t="s">
        <v>160</v>
      </c>
      <c r="V139" s="17" t="s">
        <v>77</v>
      </c>
      <c r="W139" s="17" t="s">
        <v>161</v>
      </c>
      <c r="X139" s="17">
        <v>3</v>
      </c>
      <c r="Y139" s="17">
        <v>0</v>
      </c>
      <c r="Z139" s="17"/>
      <c r="AA139" s="17" t="s">
        <v>187</v>
      </c>
      <c r="AB139" s="17" t="s">
        <v>79</v>
      </c>
      <c r="AC139" s="17">
        <v>2</v>
      </c>
      <c r="AD139" s="17">
        <v>0</v>
      </c>
      <c r="AE139" s="17">
        <v>0</v>
      </c>
      <c r="AF139" s="17"/>
      <c r="AG139" s="17" t="s">
        <v>124</v>
      </c>
      <c r="AH139" s="17" t="s">
        <v>82</v>
      </c>
      <c r="AI139" s="17" t="s">
        <v>83</v>
      </c>
      <c r="AJ139" s="17">
        <v>2111</v>
      </c>
      <c r="AK139" s="17" t="s">
        <v>75</v>
      </c>
      <c r="AL139" s="17" t="s">
        <v>75</v>
      </c>
      <c r="AM139" s="17" t="s">
        <v>75</v>
      </c>
      <c r="AN139" s="17" t="s">
        <v>84</v>
      </c>
      <c r="AO139" s="17" t="s">
        <v>75</v>
      </c>
      <c r="AP139" s="17"/>
      <c r="AQ139" s="17"/>
      <c r="AR139" s="17"/>
      <c r="AS139" s="17"/>
      <c r="AT139" s="17"/>
      <c r="AU139" s="17" t="s">
        <v>127</v>
      </c>
    </row>
    <row r="140" hidden="1">
      <c r="A140" s="17">
        <v>138</v>
      </c>
      <c r="B140" s="17" t="s">
        <v>52</v>
      </c>
      <c r="C140" s="19" t="s">
        <v>490</v>
      </c>
      <c r="D140" s="19" t="s">
        <v>54</v>
      </c>
      <c r="E140" s="17" t="s">
        <v>491</v>
      </c>
      <c r="F140" s="17" t="s">
        <v>492</v>
      </c>
      <c r="G140" s="17">
        <v>22.27216</v>
      </c>
      <c r="H140" s="17">
        <v>87.745279999999994</v>
      </c>
      <c r="I140" s="17"/>
      <c r="J140" s="17"/>
      <c r="K140" s="17"/>
      <c r="L140" s="17"/>
      <c r="M140" s="19" t="s">
        <v>166</v>
      </c>
      <c r="N140" s="17">
        <v>9064976019</v>
      </c>
      <c r="O140" s="17">
        <v>18</v>
      </c>
      <c r="P140" s="17">
        <v>90</v>
      </c>
      <c r="Q140" s="17" t="s">
        <v>73</v>
      </c>
      <c r="R140" s="17" t="s">
        <v>74</v>
      </c>
      <c r="S140" s="17" t="s">
        <v>75</v>
      </c>
      <c r="T140" s="17"/>
      <c r="U140" s="17" t="s">
        <v>160</v>
      </c>
      <c r="V140" s="17" t="s">
        <v>77</v>
      </c>
      <c r="W140" s="17" t="s">
        <v>123</v>
      </c>
      <c r="X140" s="17">
        <v>2</v>
      </c>
      <c r="Y140" s="17">
        <v>0</v>
      </c>
      <c r="Z140" s="17"/>
      <c r="AA140" s="17" t="s">
        <v>73</v>
      </c>
      <c r="AB140" s="17" t="s">
        <v>79</v>
      </c>
      <c r="AC140" s="17">
        <v>2</v>
      </c>
      <c r="AD140" s="17">
        <v>0</v>
      </c>
      <c r="AE140" s="17">
        <v>0</v>
      </c>
      <c r="AF140" s="17"/>
      <c r="AG140" s="17" t="s">
        <v>124</v>
      </c>
      <c r="AH140" s="17" t="s">
        <v>74</v>
      </c>
      <c r="AI140" s="17" t="s">
        <v>83</v>
      </c>
      <c r="AJ140" s="17">
        <v>2112</v>
      </c>
      <c r="AK140" s="17" t="s">
        <v>75</v>
      </c>
      <c r="AL140" s="17" t="s">
        <v>137</v>
      </c>
      <c r="AM140" s="17" t="s">
        <v>75</v>
      </c>
      <c r="AN140" s="17" t="s">
        <v>84</v>
      </c>
      <c r="AO140" s="17" t="s">
        <v>75</v>
      </c>
      <c r="AP140" s="17"/>
      <c r="AQ140" s="17"/>
      <c r="AR140" s="17"/>
      <c r="AS140" s="17"/>
      <c r="AT140" s="17" t="s">
        <v>429</v>
      </c>
      <c r="AU140" s="17" t="s">
        <v>111</v>
      </c>
    </row>
    <row r="141" hidden="1">
      <c r="A141" s="17">
        <v>139</v>
      </c>
      <c r="B141" s="17" t="s">
        <v>52</v>
      </c>
      <c r="C141" s="19" t="s">
        <v>493</v>
      </c>
      <c r="D141" s="19" t="s">
        <v>54</v>
      </c>
      <c r="E141" s="17" t="s">
        <v>494</v>
      </c>
      <c r="F141" s="17" t="s">
        <v>495</v>
      </c>
      <c r="G141" s="17">
        <v>22.306889999999999</v>
      </c>
      <c r="H141" s="17">
        <v>87.739130000000003</v>
      </c>
      <c r="I141" s="17"/>
      <c r="J141" s="17"/>
      <c r="K141" s="17"/>
      <c r="L141" s="17"/>
      <c r="M141" s="19" t="s">
        <v>166</v>
      </c>
      <c r="N141" s="17">
        <v>9064976019</v>
      </c>
      <c r="O141" s="17">
        <v>18</v>
      </c>
      <c r="P141" s="17">
        <v>100</v>
      </c>
      <c r="Q141" s="17" t="s">
        <v>73</v>
      </c>
      <c r="R141" s="17" t="s">
        <v>74</v>
      </c>
      <c r="S141" s="17" t="s">
        <v>75</v>
      </c>
      <c r="T141" s="17"/>
      <c r="U141" s="17" t="s">
        <v>160</v>
      </c>
      <c r="V141" s="17" t="s">
        <v>77</v>
      </c>
      <c r="W141" s="17" t="s">
        <v>252</v>
      </c>
      <c r="X141" s="17">
        <v>5</v>
      </c>
      <c r="Y141" s="17">
        <v>0</v>
      </c>
      <c r="Z141" s="17"/>
      <c r="AA141" s="17" t="s">
        <v>73</v>
      </c>
      <c r="AB141" s="17" t="s">
        <v>79</v>
      </c>
      <c r="AC141" s="17">
        <v>2</v>
      </c>
      <c r="AD141" s="17">
        <v>0</v>
      </c>
      <c r="AE141" s="17">
        <v>0</v>
      </c>
      <c r="AF141" s="17"/>
      <c r="AG141" s="17" t="s">
        <v>124</v>
      </c>
      <c r="AH141" s="17" t="s">
        <v>82</v>
      </c>
      <c r="AI141" s="17" t="s">
        <v>83</v>
      </c>
      <c r="AJ141" s="17">
        <v>2111</v>
      </c>
      <c r="AK141" s="17" t="s">
        <v>75</v>
      </c>
      <c r="AL141" s="17" t="s">
        <v>75</v>
      </c>
      <c r="AM141" s="17" t="s">
        <v>75</v>
      </c>
      <c r="AN141" s="17" t="s">
        <v>125</v>
      </c>
      <c r="AO141" s="17" t="s">
        <v>75</v>
      </c>
      <c r="AP141" s="17"/>
      <c r="AQ141" s="17"/>
      <c r="AR141" s="17"/>
      <c r="AS141" s="17"/>
      <c r="AT141" s="17"/>
      <c r="AU141" s="17" t="s">
        <v>111</v>
      </c>
    </row>
    <row r="142" hidden="1">
      <c r="A142" s="17">
        <v>140</v>
      </c>
      <c r="B142" s="17" t="s">
        <v>52</v>
      </c>
      <c r="C142" s="19" t="s">
        <v>496</v>
      </c>
      <c r="D142" s="19" t="s">
        <v>54</v>
      </c>
      <c r="E142" s="17" t="s">
        <v>497</v>
      </c>
      <c r="F142" s="17" t="s">
        <v>498</v>
      </c>
      <c r="G142" s="17">
        <v>22.280139999999999</v>
      </c>
      <c r="H142" s="17">
        <v>87.708489999999998</v>
      </c>
      <c r="I142" s="17"/>
      <c r="J142" s="17"/>
      <c r="K142" s="17"/>
      <c r="L142" s="17"/>
      <c r="M142" s="19" t="s">
        <v>166</v>
      </c>
      <c r="N142" s="17">
        <v>9064976019</v>
      </c>
      <c r="O142" s="17">
        <v>18</v>
      </c>
      <c r="P142" s="17">
        <v>52</v>
      </c>
      <c r="Q142" s="17" t="s">
        <v>187</v>
      </c>
      <c r="R142" s="17" t="s">
        <v>104</v>
      </c>
      <c r="S142" s="17" t="s">
        <v>75</v>
      </c>
      <c r="T142" s="17"/>
      <c r="U142" s="17" t="s">
        <v>160</v>
      </c>
      <c r="V142" s="17" t="s">
        <v>77</v>
      </c>
      <c r="W142" s="17" t="s">
        <v>252</v>
      </c>
      <c r="X142" s="17">
        <v>3</v>
      </c>
      <c r="Y142" s="17">
        <v>0</v>
      </c>
      <c r="Z142" s="17"/>
      <c r="AA142" s="17" t="s">
        <v>187</v>
      </c>
      <c r="AB142" s="17" t="s">
        <v>79</v>
      </c>
      <c r="AC142" s="17">
        <v>2</v>
      </c>
      <c r="AD142" s="17">
        <v>0</v>
      </c>
      <c r="AE142" s="17">
        <v>0</v>
      </c>
      <c r="AF142" s="17"/>
      <c r="AG142" s="17" t="s">
        <v>124</v>
      </c>
      <c r="AH142" s="17" t="s">
        <v>82</v>
      </c>
      <c r="AI142" s="17" t="s">
        <v>83</v>
      </c>
      <c r="AJ142" s="17">
        <v>2111</v>
      </c>
      <c r="AK142" s="17" t="s">
        <v>75</v>
      </c>
      <c r="AL142" s="17" t="s">
        <v>75</v>
      </c>
      <c r="AM142" s="17" t="s">
        <v>163</v>
      </c>
      <c r="AN142" s="17" t="s">
        <v>84</v>
      </c>
      <c r="AO142" s="17" t="s">
        <v>137</v>
      </c>
      <c r="AP142" s="17"/>
      <c r="AQ142" s="17"/>
      <c r="AR142" s="17"/>
      <c r="AS142" s="17"/>
      <c r="AT142" s="17" t="s">
        <v>499</v>
      </c>
      <c r="AU142" s="17" t="s">
        <v>127</v>
      </c>
    </row>
    <row r="143" hidden="1">
      <c r="A143" s="17">
        <v>141</v>
      </c>
      <c r="B143" s="17" t="s">
        <v>52</v>
      </c>
      <c r="C143" s="19" t="s">
        <v>500</v>
      </c>
      <c r="D143" s="19" t="s">
        <v>54</v>
      </c>
      <c r="E143" s="17" t="s">
        <v>501</v>
      </c>
      <c r="F143" s="17" t="s">
        <v>502</v>
      </c>
      <c r="G143" s="17">
        <v>22.236239999999999</v>
      </c>
      <c r="H143" s="17">
        <v>87.775700000000001</v>
      </c>
      <c r="I143" s="17"/>
      <c r="J143" s="17"/>
      <c r="K143" s="17"/>
      <c r="L143" s="17"/>
      <c r="M143" s="19" t="s">
        <v>166</v>
      </c>
      <c r="N143" s="17">
        <v>9064976019</v>
      </c>
      <c r="O143" s="17">
        <v>18</v>
      </c>
      <c r="P143" s="17">
        <v>90</v>
      </c>
      <c r="Q143" s="17" t="s">
        <v>73</v>
      </c>
      <c r="R143" s="17" t="s">
        <v>74</v>
      </c>
      <c r="S143" s="17" t="s">
        <v>75</v>
      </c>
      <c r="T143" s="17"/>
      <c r="U143" s="17" t="s">
        <v>503</v>
      </c>
      <c r="V143" s="17" t="s">
        <v>504</v>
      </c>
      <c r="W143" s="17" t="s">
        <v>151</v>
      </c>
      <c r="X143" s="17">
        <v>2</v>
      </c>
      <c r="Y143" s="17">
        <v>0</v>
      </c>
      <c r="Z143" s="17"/>
      <c r="AA143" s="17" t="s">
        <v>73</v>
      </c>
      <c r="AB143" s="17" t="s">
        <v>79</v>
      </c>
      <c r="AC143" s="17">
        <v>2</v>
      </c>
      <c r="AD143" s="17">
        <v>0</v>
      </c>
      <c r="AE143" s="17">
        <v>0</v>
      </c>
      <c r="AF143" s="17"/>
      <c r="AG143" s="17" t="s">
        <v>505</v>
      </c>
      <c r="AH143" s="17" t="s">
        <v>82</v>
      </c>
      <c r="AI143" s="17" t="s">
        <v>83</v>
      </c>
      <c r="AJ143" s="17">
        <v>2111</v>
      </c>
      <c r="AK143" s="17" t="s">
        <v>75</v>
      </c>
      <c r="AL143" s="17" t="s">
        <v>75</v>
      </c>
      <c r="AM143" s="17" t="s">
        <v>75</v>
      </c>
      <c r="AN143" s="17" t="s">
        <v>84</v>
      </c>
      <c r="AO143" s="17" t="s">
        <v>109</v>
      </c>
      <c r="AP143" s="17"/>
      <c r="AQ143" s="17"/>
      <c r="AR143" s="17"/>
      <c r="AS143" s="17"/>
      <c r="AT143" s="17" t="s">
        <v>506</v>
      </c>
      <c r="AU143" s="17" t="s">
        <v>127</v>
      </c>
    </row>
    <row r="144" hidden="1">
      <c r="A144" s="17">
        <v>142</v>
      </c>
      <c r="B144" s="17" t="s">
        <v>52</v>
      </c>
      <c r="C144" s="19" t="s">
        <v>507</v>
      </c>
      <c r="D144" s="19" t="s">
        <v>54</v>
      </c>
      <c r="E144" s="17" t="s">
        <v>508</v>
      </c>
      <c r="F144" s="17" t="s">
        <v>509</v>
      </c>
      <c r="G144" s="17">
        <v>22.226547</v>
      </c>
      <c r="H144" s="17">
        <v>87.720089000000002</v>
      </c>
      <c r="I144" s="17"/>
      <c r="J144" s="17"/>
      <c r="K144" s="17"/>
      <c r="L144" s="17"/>
      <c r="M144" s="19" t="s">
        <v>122</v>
      </c>
      <c r="N144" s="17">
        <v>8420984799</v>
      </c>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row>
    <row r="145" hidden="1">
      <c r="A145" s="17">
        <v>143</v>
      </c>
      <c r="B145" s="17" t="s">
        <v>52</v>
      </c>
      <c r="C145" s="19" t="s">
        <v>510</v>
      </c>
      <c r="D145" s="19" t="s">
        <v>54</v>
      </c>
      <c r="E145" s="17" t="s">
        <v>511</v>
      </c>
      <c r="F145" s="17" t="s">
        <v>512</v>
      </c>
      <c r="G145" s="17">
        <v>22.225027000000001</v>
      </c>
      <c r="H145" s="17">
        <v>87.779736</v>
      </c>
      <c r="I145" s="17"/>
      <c r="J145" s="17"/>
      <c r="K145" s="17"/>
      <c r="L145" s="17"/>
      <c r="M145" s="19" t="s">
        <v>166</v>
      </c>
      <c r="N145" s="17">
        <v>9064976019</v>
      </c>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row>
    <row r="146" hidden="1">
      <c r="A146" s="17">
        <v>144</v>
      </c>
      <c r="B146" s="17" t="s">
        <v>52</v>
      </c>
      <c r="C146" s="19" t="s">
        <v>513</v>
      </c>
      <c r="D146" s="19" t="s">
        <v>54</v>
      </c>
      <c r="E146" s="17"/>
      <c r="F146" s="17"/>
      <c r="G146" s="17"/>
      <c r="H146" s="17"/>
      <c r="I146" s="17"/>
      <c r="J146" s="17"/>
      <c r="K146" s="17"/>
      <c r="L146" s="17"/>
      <c r="M146" s="19" t="s">
        <v>166</v>
      </c>
      <c r="N146" s="17">
        <v>9064976019</v>
      </c>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row>
    <row r="147" hidden="1">
      <c r="A147" s="17">
        <v>145</v>
      </c>
      <c r="B147" s="17" t="s">
        <v>52</v>
      </c>
      <c r="C147" s="19" t="s">
        <v>514</v>
      </c>
      <c r="D147" s="19" t="s">
        <v>54</v>
      </c>
      <c r="E147" s="17" t="s">
        <v>515</v>
      </c>
      <c r="F147" s="17" t="s">
        <v>516</v>
      </c>
      <c r="G147" s="17">
        <v>22.245729000000001</v>
      </c>
      <c r="H147" s="17">
        <v>87.739778999999999</v>
      </c>
      <c r="I147" s="17"/>
      <c r="J147" s="17"/>
      <c r="K147" s="17"/>
      <c r="L147" s="17"/>
      <c r="M147" s="19" t="s">
        <v>122</v>
      </c>
      <c r="N147" s="17">
        <v>8420984799</v>
      </c>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row>
    <row r="148" hidden="1">
      <c r="A148" s="17">
        <v>146</v>
      </c>
      <c r="B148" s="17" t="s">
        <v>52</v>
      </c>
      <c r="C148" s="18" t="s">
        <v>517</v>
      </c>
      <c r="D148" s="19" t="s">
        <v>54</v>
      </c>
      <c r="E148" s="17"/>
      <c r="F148" s="17"/>
      <c r="G148" s="17"/>
      <c r="H148" s="17"/>
      <c r="I148" s="17"/>
      <c r="J148" s="17"/>
      <c r="K148" s="17"/>
      <c r="L148" s="17"/>
      <c r="M148" s="20"/>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row>
    <row r="149" hidden="1">
      <c r="A149" s="17">
        <v>147</v>
      </c>
      <c r="B149" s="17" t="s">
        <v>52</v>
      </c>
      <c r="C149" s="20" t="s">
        <v>518</v>
      </c>
      <c r="D149" s="19" t="s">
        <v>54</v>
      </c>
      <c r="E149" s="17"/>
      <c r="F149" s="17"/>
      <c r="G149" s="17"/>
      <c r="H149" s="17"/>
      <c r="I149" s="17"/>
      <c r="J149" s="17"/>
      <c r="K149" s="17"/>
      <c r="L149" s="17"/>
      <c r="M149" s="20"/>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row>
    <row r="150" hidden="1">
      <c r="A150" s="17">
        <v>148</v>
      </c>
      <c r="B150" s="17" t="s">
        <v>52</v>
      </c>
      <c r="C150" s="20" t="s">
        <v>519</v>
      </c>
      <c r="D150" s="19" t="s">
        <v>54</v>
      </c>
      <c r="E150" s="17"/>
      <c r="F150" s="17"/>
      <c r="G150" s="17"/>
      <c r="H150" s="17"/>
      <c r="I150" s="17"/>
      <c r="J150" s="17"/>
      <c r="K150" s="17"/>
      <c r="L150" s="17"/>
      <c r="M150" s="20"/>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row>
    <row r="151" hidden="1">
      <c r="A151" s="17">
        <v>149</v>
      </c>
      <c r="B151" s="17" t="s">
        <v>52</v>
      </c>
      <c r="C151" s="18" t="s">
        <v>520</v>
      </c>
      <c r="D151" s="19" t="s">
        <v>54</v>
      </c>
      <c r="E151" s="17"/>
      <c r="F151" s="17"/>
      <c r="G151" s="17"/>
      <c r="H151" s="17"/>
      <c r="I151" s="17"/>
      <c r="J151" s="17"/>
      <c r="K151" s="17"/>
      <c r="L151" s="17"/>
      <c r="M151" s="20"/>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row>
    <row r="152" hidden="1">
      <c r="A152" s="17">
        <v>150</v>
      </c>
      <c r="B152" s="17" t="s">
        <v>52</v>
      </c>
      <c r="C152" s="18" t="s">
        <v>521</v>
      </c>
      <c r="D152" s="19" t="s">
        <v>54</v>
      </c>
      <c r="E152" s="17"/>
      <c r="F152" s="17"/>
      <c r="G152" s="17"/>
      <c r="H152" s="17"/>
      <c r="I152" s="17"/>
      <c r="J152" s="17"/>
      <c r="K152" s="17"/>
      <c r="L152" s="17"/>
      <c r="M152" s="20"/>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row>
    <row r="153" hidden="1">
      <c r="A153" s="17">
        <v>151</v>
      </c>
      <c r="B153" s="17" t="s">
        <v>52</v>
      </c>
      <c r="C153" s="20" t="s">
        <v>522</v>
      </c>
      <c r="D153" s="19" t="s">
        <v>54</v>
      </c>
      <c r="E153" s="17"/>
      <c r="F153" s="17"/>
      <c r="G153" s="17"/>
      <c r="H153" s="17"/>
      <c r="I153" s="17"/>
      <c r="J153" s="17"/>
      <c r="K153" s="17"/>
      <c r="L153" s="17"/>
      <c r="M153" s="20"/>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row>
    <row r="154" hidden="1">
      <c r="A154" s="17">
        <v>152</v>
      </c>
      <c r="B154" s="17" t="s">
        <v>52</v>
      </c>
      <c r="C154" s="19" t="s">
        <v>523</v>
      </c>
      <c r="D154" s="19" t="s">
        <v>54</v>
      </c>
      <c r="E154" s="17" t="s">
        <v>524</v>
      </c>
      <c r="F154" s="17" t="s">
        <v>525</v>
      </c>
      <c r="G154" s="17">
        <v>22.033691999999999</v>
      </c>
      <c r="H154" s="17">
        <v>87.841222999999999</v>
      </c>
      <c r="I154" s="17"/>
      <c r="J154" s="17"/>
      <c r="K154" s="17"/>
      <c r="L154" s="17"/>
      <c r="M154" s="19" t="s">
        <v>72</v>
      </c>
      <c r="N154" s="17">
        <v>6289037005</v>
      </c>
      <c r="O154" s="17">
        <v>15</v>
      </c>
      <c r="P154" s="17">
        <v>100</v>
      </c>
      <c r="Q154" s="17" t="s">
        <v>73</v>
      </c>
      <c r="R154" s="17" t="s">
        <v>142</v>
      </c>
      <c r="S154" s="17" t="s">
        <v>75</v>
      </c>
      <c r="T154" s="17"/>
      <c r="U154" s="17" t="s">
        <v>76</v>
      </c>
      <c r="V154" s="17" t="s">
        <v>77</v>
      </c>
      <c r="W154" s="17" t="s">
        <v>454</v>
      </c>
      <c r="X154" s="17">
        <v>3</v>
      </c>
      <c r="Y154" s="17">
        <v>0</v>
      </c>
      <c r="Z154" s="17"/>
      <c r="AA154" s="17" t="s">
        <v>73</v>
      </c>
      <c r="AB154" s="17" t="s">
        <v>79</v>
      </c>
      <c r="AC154" s="17">
        <v>2</v>
      </c>
      <c r="AD154" s="17">
        <v>0</v>
      </c>
      <c r="AE154" s="17">
        <v>0</v>
      </c>
      <c r="AF154" s="17"/>
      <c r="AG154" s="17" t="s">
        <v>124</v>
      </c>
      <c r="AH154" s="17" t="s">
        <v>82</v>
      </c>
      <c r="AI154" s="17" t="s">
        <v>83</v>
      </c>
      <c r="AJ154" s="17">
        <v>2111</v>
      </c>
      <c r="AK154" s="17" t="s">
        <v>75</v>
      </c>
      <c r="AL154" s="17" t="s">
        <v>75</v>
      </c>
      <c r="AM154" s="17" t="s">
        <v>75</v>
      </c>
      <c r="AN154" s="17" t="s">
        <v>84</v>
      </c>
      <c r="AO154" s="17" t="s">
        <v>75</v>
      </c>
      <c r="AP154" s="17"/>
      <c r="AQ154" s="17"/>
      <c r="AR154" s="17"/>
      <c r="AS154" s="17"/>
      <c r="AT154" s="17" t="s">
        <v>526</v>
      </c>
      <c r="AU154" s="17" t="s">
        <v>111</v>
      </c>
    </row>
    <row r="155" hidden="1">
      <c r="A155" s="17">
        <v>153</v>
      </c>
      <c r="B155" s="17" t="s">
        <v>52</v>
      </c>
      <c r="C155" s="20" t="s">
        <v>527</v>
      </c>
      <c r="D155" s="19" t="s">
        <v>54</v>
      </c>
      <c r="E155" s="17"/>
      <c r="F155" s="17"/>
      <c r="G155" s="17"/>
      <c r="H155" s="17"/>
      <c r="I155" s="17"/>
      <c r="J155" s="17"/>
      <c r="K155" s="17"/>
      <c r="L155" s="17"/>
      <c r="M155" s="20"/>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row>
    <row r="156" hidden="1">
      <c r="A156" s="17">
        <v>154</v>
      </c>
      <c r="B156" s="17" t="s">
        <v>52</v>
      </c>
      <c r="C156" s="19" t="s">
        <v>528</v>
      </c>
      <c r="D156" s="19" t="s">
        <v>54</v>
      </c>
      <c r="E156" s="17" t="s">
        <v>529</v>
      </c>
      <c r="F156" s="17" t="s">
        <v>530</v>
      </c>
      <c r="G156" s="17">
        <v>22.01651</v>
      </c>
      <c r="H156" s="17">
        <v>88.012540000000001</v>
      </c>
      <c r="I156" s="17"/>
      <c r="J156" s="17"/>
      <c r="K156" s="17"/>
      <c r="L156" s="17"/>
      <c r="M156" s="19" t="s">
        <v>117</v>
      </c>
      <c r="N156" s="17"/>
      <c r="O156" s="17">
        <v>16</v>
      </c>
      <c r="P156" s="17">
        <v>120</v>
      </c>
      <c r="Q156" s="17" t="s">
        <v>73</v>
      </c>
      <c r="R156" s="17" t="s">
        <v>74</v>
      </c>
      <c r="S156" s="22" t="s">
        <v>531</v>
      </c>
      <c r="T156" s="23"/>
      <c r="U156" s="17" t="s">
        <v>160</v>
      </c>
      <c r="V156" s="17" t="s">
        <v>77</v>
      </c>
      <c r="W156" s="17" t="s">
        <v>78</v>
      </c>
      <c r="X156" s="17">
        <v>5</v>
      </c>
      <c r="Y156" s="17">
        <v>0</v>
      </c>
      <c r="Z156" s="17"/>
      <c r="AA156" s="17" t="s">
        <v>532</v>
      </c>
      <c r="AB156" s="17" t="s">
        <v>533</v>
      </c>
      <c r="AC156" s="17">
        <v>3</v>
      </c>
      <c r="AD156" s="17">
        <v>0</v>
      </c>
      <c r="AE156" s="17">
        <v>0</v>
      </c>
      <c r="AF156" s="17"/>
      <c r="AG156" s="17" t="s">
        <v>81</v>
      </c>
      <c r="AH156" s="17" t="s">
        <v>82</v>
      </c>
      <c r="AI156" s="17" t="s">
        <v>107</v>
      </c>
      <c r="AJ156" s="17" t="s">
        <v>534</v>
      </c>
      <c r="AK156" s="17" t="s">
        <v>189</v>
      </c>
      <c r="AL156" s="17" t="s">
        <v>75</v>
      </c>
      <c r="AM156" s="17" t="s">
        <v>75</v>
      </c>
      <c r="AN156" s="17" t="s">
        <v>84</v>
      </c>
      <c r="AO156" s="17" t="s">
        <v>75</v>
      </c>
      <c r="AP156" s="17"/>
      <c r="AQ156" s="17"/>
      <c r="AR156" s="17"/>
      <c r="AS156" s="17"/>
      <c r="AT156" s="17" t="s">
        <v>535</v>
      </c>
      <c r="AU156" s="17" t="s">
        <v>127</v>
      </c>
    </row>
    <row r="157" hidden="1">
      <c r="A157" s="17">
        <v>155</v>
      </c>
      <c r="B157" s="17" t="s">
        <v>52</v>
      </c>
      <c r="C157" s="19" t="s">
        <v>536</v>
      </c>
      <c r="D157" s="19" t="s">
        <v>54</v>
      </c>
      <c r="E157" s="17" t="s">
        <v>537</v>
      </c>
      <c r="F157" s="17" t="s">
        <v>538</v>
      </c>
      <c r="G157" s="17">
        <v>22.004640999999999</v>
      </c>
      <c r="H157" s="17">
        <v>87.995196000000007</v>
      </c>
      <c r="I157" s="17"/>
      <c r="J157" s="17"/>
      <c r="K157" s="17"/>
      <c r="L157" s="17"/>
      <c r="M157" s="19" t="s">
        <v>117</v>
      </c>
      <c r="N157" s="17"/>
      <c r="O157" s="17">
        <v>15</v>
      </c>
      <c r="P157" s="17">
        <v>70</v>
      </c>
      <c r="Q157" s="17" t="s">
        <v>73</v>
      </c>
      <c r="R157" s="17" t="s">
        <v>74</v>
      </c>
      <c r="S157" s="22" t="s">
        <v>75</v>
      </c>
      <c r="T157" s="23"/>
      <c r="U157" s="17" t="s">
        <v>105</v>
      </c>
      <c r="V157" s="17" t="s">
        <v>77</v>
      </c>
      <c r="W157" s="17" t="s">
        <v>252</v>
      </c>
      <c r="X157" s="17">
        <v>4</v>
      </c>
      <c r="Y157" s="17">
        <v>0</v>
      </c>
      <c r="Z157" s="17"/>
      <c r="AA157" s="17" t="s">
        <v>532</v>
      </c>
      <c r="AB157" s="17" t="s">
        <v>79</v>
      </c>
      <c r="AC157" s="17">
        <v>2</v>
      </c>
      <c r="AD157" s="17">
        <v>0</v>
      </c>
      <c r="AE157" s="17">
        <v>0</v>
      </c>
      <c r="AF157" s="17"/>
      <c r="AG157" s="17" t="s">
        <v>81</v>
      </c>
      <c r="AH157" s="17" t="s">
        <v>162</v>
      </c>
      <c r="AI157" s="17" t="s">
        <v>107</v>
      </c>
      <c r="AJ157" s="17" t="s">
        <v>539</v>
      </c>
      <c r="AK157" s="17" t="s">
        <v>189</v>
      </c>
      <c r="AL157" s="17" t="s">
        <v>75</v>
      </c>
      <c r="AM157" s="17" t="s">
        <v>75</v>
      </c>
      <c r="AN157" s="17" t="s">
        <v>84</v>
      </c>
      <c r="AO157" s="17" t="s">
        <v>75</v>
      </c>
      <c r="AP157" s="17" t="s">
        <v>73</v>
      </c>
      <c r="AQ157" s="17" t="s">
        <v>79</v>
      </c>
      <c r="AR157" s="17">
        <v>3</v>
      </c>
      <c r="AS157" s="17">
        <v>0</v>
      </c>
      <c r="AT157" s="17"/>
      <c r="AU157" s="17" t="s">
        <v>430</v>
      </c>
    </row>
    <row r="158" hidden="1">
      <c r="A158" s="17">
        <v>156</v>
      </c>
      <c r="B158" s="17" t="s">
        <v>52</v>
      </c>
      <c r="C158" s="19" t="s">
        <v>540</v>
      </c>
      <c r="D158" s="19" t="s">
        <v>54</v>
      </c>
      <c r="E158" s="17" t="s">
        <v>541</v>
      </c>
      <c r="F158" s="17" t="s">
        <v>542</v>
      </c>
      <c r="G158" s="17">
        <v>22.026004</v>
      </c>
      <c r="H158" s="17">
        <v>87.951679999999996</v>
      </c>
      <c r="I158" s="17"/>
      <c r="J158" s="17"/>
      <c r="K158" s="17"/>
      <c r="L158" s="17"/>
      <c r="M158" s="19" t="s">
        <v>117</v>
      </c>
      <c r="N158" s="17"/>
      <c r="O158" s="17">
        <v>15</v>
      </c>
      <c r="P158" s="17">
        <v>32</v>
      </c>
      <c r="Q158" s="17" t="s">
        <v>187</v>
      </c>
      <c r="R158" s="17" t="s">
        <v>74</v>
      </c>
      <c r="S158" s="22" t="s">
        <v>543</v>
      </c>
      <c r="T158" s="23"/>
      <c r="U158" s="17" t="s">
        <v>76</v>
      </c>
      <c r="V158" s="17" t="s">
        <v>77</v>
      </c>
      <c r="W158" s="17" t="s">
        <v>544</v>
      </c>
      <c r="X158" s="17">
        <v>3</v>
      </c>
      <c r="Y158" s="17">
        <v>0</v>
      </c>
      <c r="Z158" s="17"/>
      <c r="AA158" s="17" t="s">
        <v>187</v>
      </c>
      <c r="AB158" s="17" t="s">
        <v>79</v>
      </c>
      <c r="AC158" s="17">
        <v>1</v>
      </c>
      <c r="AD158" s="17">
        <v>0</v>
      </c>
      <c r="AE158" s="17">
        <v>0</v>
      </c>
      <c r="AF158" s="17"/>
      <c r="AG158" s="17" t="s">
        <v>124</v>
      </c>
      <c r="AH158" s="17" t="s">
        <v>82</v>
      </c>
      <c r="AI158" s="17" t="s">
        <v>83</v>
      </c>
      <c r="AJ158" s="17" t="s">
        <v>545</v>
      </c>
      <c r="AK158" s="17" t="s">
        <v>546</v>
      </c>
      <c r="AL158" s="17" t="s">
        <v>75</v>
      </c>
      <c r="AM158" s="17" t="s">
        <v>75</v>
      </c>
      <c r="AN158" s="17" t="s">
        <v>125</v>
      </c>
      <c r="AO158" s="17" t="s">
        <v>75</v>
      </c>
      <c r="AP158" s="17"/>
      <c r="AQ158" s="17"/>
      <c r="AR158" s="17"/>
      <c r="AS158" s="17"/>
      <c r="AT158" s="17" t="s">
        <v>547</v>
      </c>
      <c r="AU158" s="17" t="s">
        <v>430</v>
      </c>
    </row>
    <row r="159" hidden="1">
      <c r="A159" s="17">
        <v>157</v>
      </c>
      <c r="B159" s="17" t="s">
        <v>52</v>
      </c>
      <c r="C159" s="19" t="s">
        <v>548</v>
      </c>
      <c r="D159" s="19" t="s">
        <v>54</v>
      </c>
      <c r="E159" s="17" t="s">
        <v>549</v>
      </c>
      <c r="F159" s="17" t="s">
        <v>550</v>
      </c>
      <c r="G159" s="17">
        <v>22.040033999999999</v>
      </c>
      <c r="H159" s="17">
        <v>87.904022999999995</v>
      </c>
      <c r="I159" s="17"/>
      <c r="J159" s="17"/>
      <c r="K159" s="17"/>
      <c r="L159" s="17"/>
      <c r="M159" s="19" t="s">
        <v>117</v>
      </c>
      <c r="N159" s="17"/>
      <c r="O159" s="17">
        <v>22</v>
      </c>
      <c r="P159" s="17">
        <v>70</v>
      </c>
      <c r="Q159" s="17" t="s">
        <v>73</v>
      </c>
      <c r="R159" s="17" t="s">
        <v>74</v>
      </c>
      <c r="S159" s="22" t="s">
        <v>551</v>
      </c>
      <c r="T159" s="23"/>
      <c r="U159" s="17" t="s">
        <v>76</v>
      </c>
      <c r="V159" s="17" t="s">
        <v>77</v>
      </c>
      <c r="W159" s="17" t="s">
        <v>252</v>
      </c>
      <c r="X159" s="17">
        <v>5</v>
      </c>
      <c r="Y159" s="17">
        <v>2</v>
      </c>
      <c r="Z159" s="17"/>
      <c r="AA159" s="17" t="s">
        <v>532</v>
      </c>
      <c r="AB159" s="17" t="s">
        <v>79</v>
      </c>
      <c r="AC159" s="17">
        <v>2</v>
      </c>
      <c r="AD159" s="17">
        <v>0</v>
      </c>
      <c r="AE159" s="17">
        <v>0</v>
      </c>
      <c r="AF159" s="17"/>
      <c r="AG159" s="17" t="s">
        <v>81</v>
      </c>
      <c r="AH159" s="17" t="s">
        <v>82</v>
      </c>
      <c r="AI159" s="17" t="s">
        <v>107</v>
      </c>
      <c r="AJ159" s="17" t="s">
        <v>534</v>
      </c>
      <c r="AK159" s="17" t="s">
        <v>189</v>
      </c>
      <c r="AL159" s="17" t="s">
        <v>75</v>
      </c>
      <c r="AM159" s="17" t="s">
        <v>75</v>
      </c>
      <c r="AN159" s="17" t="s">
        <v>84</v>
      </c>
      <c r="AO159" s="17" t="s">
        <v>137</v>
      </c>
      <c r="AP159" s="17"/>
      <c r="AQ159" s="17"/>
      <c r="AR159" s="17"/>
      <c r="AS159" s="17"/>
      <c r="AT159" s="17"/>
      <c r="AU159" s="17" t="s">
        <v>127</v>
      </c>
    </row>
    <row r="160" hidden="1">
      <c r="A160" s="17">
        <v>158</v>
      </c>
      <c r="B160" s="17" t="s">
        <v>52</v>
      </c>
      <c r="C160" s="19" t="s">
        <v>552</v>
      </c>
      <c r="D160" s="19" t="s">
        <v>54</v>
      </c>
      <c r="E160" s="17" t="s">
        <v>553</v>
      </c>
      <c r="F160" s="17" t="s">
        <v>554</v>
      </c>
      <c r="G160" s="17">
        <v>22.003671000000001</v>
      </c>
      <c r="H160" s="17">
        <v>87.955101999999997</v>
      </c>
      <c r="I160" s="17"/>
      <c r="J160" s="17"/>
      <c r="K160" s="17"/>
      <c r="L160" s="17"/>
      <c r="M160" s="19" t="s">
        <v>117</v>
      </c>
      <c r="N160" s="17"/>
      <c r="O160" s="17">
        <v>15</v>
      </c>
      <c r="P160" s="17">
        <v>75</v>
      </c>
      <c r="Q160" s="17" t="s">
        <v>105</v>
      </c>
      <c r="R160" s="17" t="s">
        <v>74</v>
      </c>
      <c r="S160" s="22" t="s">
        <v>75</v>
      </c>
      <c r="T160" s="23" t="s">
        <v>555</v>
      </c>
      <c r="U160" s="17" t="s">
        <v>160</v>
      </c>
      <c r="V160" s="17" t="s">
        <v>77</v>
      </c>
      <c r="W160" s="17" t="s">
        <v>252</v>
      </c>
      <c r="X160" s="17">
        <v>5</v>
      </c>
      <c r="Y160" s="17">
        <v>0</v>
      </c>
      <c r="Z160" s="17"/>
      <c r="AA160" s="17" t="s">
        <v>105</v>
      </c>
      <c r="AB160" s="17" t="s">
        <v>79</v>
      </c>
      <c r="AC160" s="17">
        <v>3</v>
      </c>
      <c r="AD160" s="17">
        <v>0</v>
      </c>
      <c r="AE160" s="17">
        <v>1</v>
      </c>
      <c r="AF160" s="17" t="s">
        <v>556</v>
      </c>
      <c r="AG160" s="17" t="s">
        <v>81</v>
      </c>
      <c r="AH160" s="17" t="s">
        <v>82</v>
      </c>
      <c r="AI160" s="17" t="s">
        <v>107</v>
      </c>
      <c r="AJ160" s="17" t="s">
        <v>539</v>
      </c>
      <c r="AK160" s="17" t="s">
        <v>557</v>
      </c>
      <c r="AL160" s="17" t="s">
        <v>75</v>
      </c>
      <c r="AM160" s="17" t="s">
        <v>75</v>
      </c>
      <c r="AN160" s="17" t="s">
        <v>84</v>
      </c>
      <c r="AO160" s="17" t="s">
        <v>75</v>
      </c>
      <c r="AP160" s="17" t="s">
        <v>105</v>
      </c>
      <c r="AQ160" s="17" t="s">
        <v>558</v>
      </c>
      <c r="AR160" s="17">
        <v>1</v>
      </c>
      <c r="AS160" s="17">
        <v>0</v>
      </c>
      <c r="AT160" s="17" t="s">
        <v>559</v>
      </c>
      <c r="AU160" s="17" t="s">
        <v>127</v>
      </c>
    </row>
    <row r="161" hidden="1">
      <c r="A161" s="17">
        <v>159</v>
      </c>
      <c r="B161" s="17" t="s">
        <v>52</v>
      </c>
      <c r="C161" s="19" t="s">
        <v>560</v>
      </c>
      <c r="D161" s="19" t="s">
        <v>54</v>
      </c>
      <c r="E161" s="17" t="s">
        <v>561</v>
      </c>
      <c r="F161" s="17" t="s">
        <v>562</v>
      </c>
      <c r="G161" s="17">
        <v>22.000053000000001</v>
      </c>
      <c r="H161" s="17">
        <v>87.933215000000004</v>
      </c>
      <c r="I161" s="17"/>
      <c r="J161" s="17"/>
      <c r="K161" s="17"/>
      <c r="L161" s="17"/>
      <c r="M161" s="19" t="s">
        <v>117</v>
      </c>
      <c r="N161" s="17"/>
      <c r="O161" s="17">
        <v>17</v>
      </c>
      <c r="P161" s="17">
        <v>75</v>
      </c>
      <c r="Q161" s="17" t="s">
        <v>73</v>
      </c>
      <c r="R161" s="17" t="s">
        <v>104</v>
      </c>
      <c r="S161" s="22" t="s">
        <v>75</v>
      </c>
      <c r="T161" s="23"/>
      <c r="U161" s="17" t="s">
        <v>160</v>
      </c>
      <c r="V161" s="17" t="s">
        <v>77</v>
      </c>
      <c r="W161" s="17" t="s">
        <v>454</v>
      </c>
      <c r="X161" s="17">
        <v>4</v>
      </c>
      <c r="Y161" s="17">
        <v>2</v>
      </c>
      <c r="Z161" s="17"/>
      <c r="AA161" s="17" t="s">
        <v>532</v>
      </c>
      <c r="AB161" s="17" t="s">
        <v>79</v>
      </c>
      <c r="AC161" s="17">
        <v>2</v>
      </c>
      <c r="AD161" s="17">
        <v>0</v>
      </c>
      <c r="AE161" s="17">
        <v>0</v>
      </c>
      <c r="AF161" s="17"/>
      <c r="AG161" s="17" t="s">
        <v>81</v>
      </c>
      <c r="AH161" s="17" t="s">
        <v>82</v>
      </c>
      <c r="AI161" s="17" t="s">
        <v>107</v>
      </c>
      <c r="AJ161" s="17" t="s">
        <v>534</v>
      </c>
      <c r="AK161" s="17" t="s">
        <v>189</v>
      </c>
      <c r="AL161" s="17" t="s">
        <v>75</v>
      </c>
      <c r="AM161" s="17" t="s">
        <v>75</v>
      </c>
      <c r="AN161" s="17" t="s">
        <v>84</v>
      </c>
      <c r="AO161" s="17" t="s">
        <v>75</v>
      </c>
      <c r="AP161" s="17"/>
      <c r="AQ161" s="17"/>
      <c r="AR161" s="17"/>
      <c r="AS161" s="17"/>
      <c r="AT161" s="17" t="s">
        <v>563</v>
      </c>
      <c r="AU161" s="17" t="s">
        <v>127</v>
      </c>
    </row>
    <row r="162" hidden="1">
      <c r="A162" s="17">
        <v>160</v>
      </c>
      <c r="B162" s="17" t="s">
        <v>52</v>
      </c>
      <c r="C162" s="19" t="s">
        <v>564</v>
      </c>
      <c r="D162" s="19" t="s">
        <v>54</v>
      </c>
      <c r="E162" s="17" t="s">
        <v>565</v>
      </c>
      <c r="F162" s="17" t="s">
        <v>566</v>
      </c>
      <c r="G162" s="17">
        <v>21.99081</v>
      </c>
      <c r="H162" s="17">
        <v>88.017948000000004</v>
      </c>
      <c r="I162" s="17"/>
      <c r="J162" s="17"/>
      <c r="K162" s="17"/>
      <c r="L162" s="17"/>
      <c r="M162" s="19" t="s">
        <v>117</v>
      </c>
      <c r="N162" s="17"/>
      <c r="O162" s="17">
        <v>16</v>
      </c>
      <c r="P162" s="17">
        <v>42</v>
      </c>
      <c r="Q162" s="17" t="s">
        <v>105</v>
      </c>
      <c r="R162" s="17" t="s">
        <v>74</v>
      </c>
      <c r="S162" s="22" t="s">
        <v>75</v>
      </c>
      <c r="T162" s="23" t="s">
        <v>567</v>
      </c>
      <c r="U162" s="17" t="s">
        <v>160</v>
      </c>
      <c r="V162" s="17" t="s">
        <v>77</v>
      </c>
      <c r="W162" s="17" t="s">
        <v>78</v>
      </c>
      <c r="X162" s="17">
        <v>2</v>
      </c>
      <c r="Y162" s="17">
        <v>0</v>
      </c>
      <c r="Z162" s="17"/>
      <c r="AA162" s="17" t="s">
        <v>105</v>
      </c>
      <c r="AB162" s="17" t="s">
        <v>79</v>
      </c>
      <c r="AC162" s="17">
        <v>5</v>
      </c>
      <c r="AD162" s="17">
        <v>0</v>
      </c>
      <c r="AE162" s="17">
        <v>0</v>
      </c>
      <c r="AF162" s="17"/>
      <c r="AG162" s="17" t="s">
        <v>124</v>
      </c>
      <c r="AH162" s="17" t="s">
        <v>82</v>
      </c>
      <c r="AI162" s="17" t="s">
        <v>83</v>
      </c>
      <c r="AJ162" s="17" t="s">
        <v>568</v>
      </c>
      <c r="AK162" s="17" t="s">
        <v>189</v>
      </c>
      <c r="AL162" s="17" t="s">
        <v>75</v>
      </c>
      <c r="AM162" s="17" t="s">
        <v>75</v>
      </c>
      <c r="AN162" s="17" t="s">
        <v>84</v>
      </c>
      <c r="AO162" s="17" t="s">
        <v>75</v>
      </c>
      <c r="AP162" s="17"/>
      <c r="AQ162" s="17"/>
      <c r="AR162" s="17"/>
      <c r="AS162" s="17"/>
      <c r="AT162" s="17" t="s">
        <v>569</v>
      </c>
      <c r="AU162" s="17" t="s">
        <v>127</v>
      </c>
    </row>
    <row r="163" hidden="1">
      <c r="A163" s="17">
        <v>161</v>
      </c>
      <c r="B163" s="17" t="s">
        <v>52</v>
      </c>
      <c r="C163" s="19" t="s">
        <v>570</v>
      </c>
      <c r="D163" s="19" t="s">
        <v>54</v>
      </c>
      <c r="E163" s="17" t="s">
        <v>571</v>
      </c>
      <c r="F163" s="17" t="s">
        <v>572</v>
      </c>
      <c r="G163" s="17">
        <v>21.944949999999999</v>
      </c>
      <c r="H163" s="17">
        <v>87.980591000000004</v>
      </c>
      <c r="I163" s="17"/>
      <c r="J163" s="17"/>
      <c r="K163" s="17"/>
      <c r="L163" s="17"/>
      <c r="M163" s="19" t="s">
        <v>117</v>
      </c>
      <c r="N163" s="17"/>
      <c r="O163" s="17">
        <v>16</v>
      </c>
      <c r="P163" s="17">
        <v>42</v>
      </c>
      <c r="Q163" s="17" t="s">
        <v>73</v>
      </c>
      <c r="R163" s="17" t="s">
        <v>74</v>
      </c>
      <c r="S163" s="22" t="s">
        <v>75</v>
      </c>
      <c r="T163" s="23"/>
      <c r="U163" s="17" t="s">
        <v>160</v>
      </c>
      <c r="V163" s="17" t="s">
        <v>77</v>
      </c>
      <c r="W163" s="17" t="s">
        <v>252</v>
      </c>
      <c r="X163" s="17">
        <v>3</v>
      </c>
      <c r="Y163" s="17">
        <v>0</v>
      </c>
      <c r="Z163" s="17"/>
      <c r="AA163" s="17" t="s">
        <v>532</v>
      </c>
      <c r="AB163" s="17" t="s">
        <v>79</v>
      </c>
      <c r="AC163" s="17">
        <v>2</v>
      </c>
      <c r="AD163" s="17">
        <v>0</v>
      </c>
      <c r="AE163" s="17">
        <v>0</v>
      </c>
      <c r="AF163" s="17"/>
      <c r="AG163" s="17" t="s">
        <v>573</v>
      </c>
      <c r="AH163" s="17" t="s">
        <v>82</v>
      </c>
      <c r="AI163" s="17" t="s">
        <v>107</v>
      </c>
      <c r="AJ163" s="17" t="s">
        <v>534</v>
      </c>
      <c r="AK163" s="17" t="s">
        <v>189</v>
      </c>
      <c r="AL163" s="17" t="s">
        <v>75</v>
      </c>
      <c r="AM163" s="17" t="s">
        <v>75</v>
      </c>
      <c r="AN163" s="17" t="s">
        <v>84</v>
      </c>
      <c r="AO163" s="17" t="s">
        <v>75</v>
      </c>
      <c r="AP163" s="17"/>
      <c r="AQ163" s="17"/>
      <c r="AR163" s="17"/>
      <c r="AS163" s="17"/>
      <c r="AT163" s="17" t="s">
        <v>574</v>
      </c>
      <c r="AU163" s="17" t="s">
        <v>127</v>
      </c>
    </row>
    <row r="164" hidden="1">
      <c r="A164" s="17">
        <v>162</v>
      </c>
      <c r="B164" s="17" t="s">
        <v>52</v>
      </c>
      <c r="C164" s="19" t="s">
        <v>575</v>
      </c>
      <c r="D164" s="19" t="s">
        <v>54</v>
      </c>
      <c r="E164" s="17" t="s">
        <v>576</v>
      </c>
      <c r="F164" s="17" t="s">
        <v>577</v>
      </c>
      <c r="G164" s="17">
        <v>21.981784000000001</v>
      </c>
      <c r="H164" s="17">
        <v>87.938965999999994</v>
      </c>
      <c r="I164" s="17"/>
      <c r="J164" s="17"/>
      <c r="K164" s="17"/>
      <c r="L164" s="17"/>
      <c r="M164" s="19" t="s">
        <v>117</v>
      </c>
      <c r="N164" s="17"/>
      <c r="O164" s="17">
        <v>16</v>
      </c>
      <c r="P164" s="17">
        <v>70</v>
      </c>
      <c r="Q164" s="17" t="s">
        <v>73</v>
      </c>
      <c r="R164" s="17" t="s">
        <v>74</v>
      </c>
      <c r="S164" s="22" t="s">
        <v>75</v>
      </c>
      <c r="T164" s="23"/>
      <c r="U164" s="17" t="s">
        <v>503</v>
      </c>
      <c r="V164" s="17" t="s">
        <v>504</v>
      </c>
      <c r="W164" s="17" t="s">
        <v>78</v>
      </c>
      <c r="X164" s="17">
        <v>2</v>
      </c>
      <c r="Y164" s="17">
        <v>0</v>
      </c>
      <c r="Z164" s="17" t="s">
        <v>578</v>
      </c>
      <c r="AA164" s="17" t="s">
        <v>532</v>
      </c>
      <c r="AB164" s="17" t="s">
        <v>79</v>
      </c>
      <c r="AC164" s="17">
        <v>1</v>
      </c>
      <c r="AD164" s="17">
        <v>0</v>
      </c>
      <c r="AE164" s="17">
        <v>0</v>
      </c>
      <c r="AF164" s="17" t="s">
        <v>579</v>
      </c>
      <c r="AG164" s="17" t="s">
        <v>573</v>
      </c>
      <c r="AH164" s="17" t="s">
        <v>82</v>
      </c>
      <c r="AI164" s="17" t="s">
        <v>107</v>
      </c>
      <c r="AJ164" s="17" t="s">
        <v>539</v>
      </c>
      <c r="AK164" s="17" t="s">
        <v>137</v>
      </c>
      <c r="AL164" s="17" t="s">
        <v>75</v>
      </c>
      <c r="AM164" s="17" t="s">
        <v>137</v>
      </c>
      <c r="AN164" s="17" t="s">
        <v>84</v>
      </c>
      <c r="AO164" s="17" t="s">
        <v>137</v>
      </c>
      <c r="AP164" s="17"/>
      <c r="AQ164" s="17"/>
      <c r="AR164" s="17"/>
      <c r="AS164" s="17"/>
      <c r="AT164" s="17" t="s">
        <v>580</v>
      </c>
      <c r="AU164" s="17" t="s">
        <v>127</v>
      </c>
    </row>
    <row r="165" hidden="1">
      <c r="A165" s="17">
        <v>163</v>
      </c>
      <c r="B165" s="17" t="s">
        <v>52</v>
      </c>
      <c r="C165" s="19" t="s">
        <v>581</v>
      </c>
      <c r="D165" s="19" t="s">
        <v>54</v>
      </c>
      <c r="E165" s="17" t="s">
        <v>582</v>
      </c>
      <c r="F165" s="17" t="s">
        <v>583</v>
      </c>
      <c r="G165" s="17">
        <v>22.039269999999998</v>
      </c>
      <c r="H165" s="17">
        <v>87.949010000000001</v>
      </c>
      <c r="I165" s="17"/>
      <c r="J165" s="17"/>
      <c r="K165" s="17"/>
      <c r="L165" s="17"/>
      <c r="M165" s="19" t="s">
        <v>117</v>
      </c>
      <c r="N165" s="17"/>
      <c r="O165" s="17">
        <v>17</v>
      </c>
      <c r="P165" s="17">
        <v>120</v>
      </c>
      <c r="Q165" s="17" t="s">
        <v>105</v>
      </c>
      <c r="R165" s="17" t="s">
        <v>238</v>
      </c>
      <c r="S165" s="22" t="s">
        <v>75</v>
      </c>
      <c r="T165" s="23" t="s">
        <v>584</v>
      </c>
      <c r="U165" s="17" t="s">
        <v>503</v>
      </c>
      <c r="V165" s="17" t="s">
        <v>504</v>
      </c>
      <c r="W165" s="17" t="s">
        <v>78</v>
      </c>
      <c r="X165" s="17">
        <v>3</v>
      </c>
      <c r="Y165" s="17">
        <v>1</v>
      </c>
      <c r="Z165" s="17"/>
      <c r="AA165" s="17" t="s">
        <v>105</v>
      </c>
      <c r="AB165" s="17" t="s">
        <v>239</v>
      </c>
      <c r="AC165" s="17">
        <v>3</v>
      </c>
      <c r="AD165" s="17">
        <v>0</v>
      </c>
      <c r="AE165" s="17">
        <v>0</v>
      </c>
      <c r="AF165" s="17"/>
      <c r="AG165" s="17" t="s">
        <v>573</v>
      </c>
      <c r="AH165" s="17" t="s">
        <v>82</v>
      </c>
      <c r="AI165" s="17" t="s">
        <v>107</v>
      </c>
      <c r="AJ165" s="17" t="s">
        <v>534</v>
      </c>
      <c r="AK165" s="17" t="s">
        <v>189</v>
      </c>
      <c r="AL165" s="17" t="s">
        <v>75</v>
      </c>
      <c r="AM165" s="17" t="s">
        <v>75</v>
      </c>
      <c r="AN165" s="17" t="s">
        <v>125</v>
      </c>
      <c r="AO165" s="17" t="s">
        <v>75</v>
      </c>
      <c r="AP165" s="17"/>
      <c r="AQ165" s="17"/>
      <c r="AR165" s="17"/>
      <c r="AS165" s="17"/>
      <c r="AT165" s="17" t="s">
        <v>585</v>
      </c>
      <c r="AU165" s="17" t="s">
        <v>127</v>
      </c>
    </row>
    <row r="166" hidden="1">
      <c r="A166" s="17">
        <v>164</v>
      </c>
      <c r="B166" s="17" t="s">
        <v>52</v>
      </c>
      <c r="C166" s="19" t="s">
        <v>586</v>
      </c>
      <c r="D166" s="19" t="s">
        <v>54</v>
      </c>
      <c r="E166" s="17" t="s">
        <v>587</v>
      </c>
      <c r="F166" s="17" t="s">
        <v>588</v>
      </c>
      <c r="G166" s="17">
        <v>22.02928</v>
      </c>
      <c r="H166" s="17">
        <v>87.970410000000001</v>
      </c>
      <c r="I166" s="17"/>
      <c r="J166" s="17"/>
      <c r="K166" s="17"/>
      <c r="L166" s="17"/>
      <c r="M166" s="19" t="s">
        <v>117</v>
      </c>
      <c r="N166" s="17"/>
      <c r="O166" s="17">
        <v>22</v>
      </c>
      <c r="P166" s="17">
        <v>70</v>
      </c>
      <c r="Q166" s="17" t="s">
        <v>105</v>
      </c>
      <c r="R166" s="17" t="s">
        <v>238</v>
      </c>
      <c r="S166" s="22" t="s">
        <v>75</v>
      </c>
      <c r="T166" s="23" t="s">
        <v>584</v>
      </c>
      <c r="U166" s="17" t="s">
        <v>160</v>
      </c>
      <c r="V166" s="17" t="s">
        <v>77</v>
      </c>
      <c r="W166" s="17" t="s">
        <v>252</v>
      </c>
      <c r="X166" s="17">
        <v>5</v>
      </c>
      <c r="Y166" s="17">
        <v>1</v>
      </c>
      <c r="Z166" s="17"/>
      <c r="AA166" s="17" t="s">
        <v>105</v>
      </c>
      <c r="AB166" s="17" t="s">
        <v>239</v>
      </c>
      <c r="AC166" s="17">
        <v>4</v>
      </c>
      <c r="AD166" s="17">
        <v>0</v>
      </c>
      <c r="AE166" s="17">
        <v>1</v>
      </c>
      <c r="AF166" s="17"/>
      <c r="AG166" s="17" t="s">
        <v>573</v>
      </c>
      <c r="AH166" s="17" t="s">
        <v>82</v>
      </c>
      <c r="AI166" s="17" t="s">
        <v>107</v>
      </c>
      <c r="AJ166" s="17" t="s">
        <v>534</v>
      </c>
      <c r="AK166" s="17" t="s">
        <v>137</v>
      </c>
      <c r="AL166" s="17" t="s">
        <v>75</v>
      </c>
      <c r="AM166" s="17" t="s">
        <v>137</v>
      </c>
      <c r="AN166" s="17" t="s">
        <v>84</v>
      </c>
      <c r="AO166" s="17" t="s">
        <v>75</v>
      </c>
      <c r="AP166" s="17"/>
      <c r="AQ166" s="17"/>
      <c r="AR166" s="17"/>
      <c r="AS166" s="17"/>
      <c r="AT166" s="17" t="s">
        <v>589</v>
      </c>
      <c r="AU166" s="17" t="s">
        <v>127</v>
      </c>
    </row>
    <row r="167" hidden="1">
      <c r="A167" s="17">
        <v>165</v>
      </c>
      <c r="B167" s="17" t="s">
        <v>52</v>
      </c>
      <c r="C167" s="19" t="s">
        <v>590</v>
      </c>
      <c r="D167" s="19" t="s">
        <v>54</v>
      </c>
      <c r="E167" s="17" t="s">
        <v>591</v>
      </c>
      <c r="F167" s="17" t="s">
        <v>592</v>
      </c>
      <c r="G167" s="17">
        <v>21.927710000000001</v>
      </c>
      <c r="H167" s="17">
        <v>87.973969999999994</v>
      </c>
      <c r="I167" s="17"/>
      <c r="J167" s="17"/>
      <c r="K167" s="17"/>
      <c r="L167" s="17"/>
      <c r="M167" s="19" t="s">
        <v>117</v>
      </c>
      <c r="N167" s="17"/>
      <c r="O167" s="17">
        <v>12</v>
      </c>
      <c r="P167" s="17">
        <v>40</v>
      </c>
      <c r="Q167" s="17" t="s">
        <v>73</v>
      </c>
      <c r="R167" s="17" t="s">
        <v>74</v>
      </c>
      <c r="S167" s="22" t="s">
        <v>75</v>
      </c>
      <c r="T167" s="23" t="s">
        <v>584</v>
      </c>
      <c r="U167" s="17" t="s">
        <v>503</v>
      </c>
      <c r="V167" s="17" t="s">
        <v>504</v>
      </c>
      <c r="W167" s="17" t="s">
        <v>593</v>
      </c>
      <c r="X167" s="17">
        <v>2</v>
      </c>
      <c r="Y167" s="17">
        <v>0</v>
      </c>
      <c r="Z167" s="17" t="s">
        <v>594</v>
      </c>
      <c r="AA167" s="17" t="s">
        <v>532</v>
      </c>
      <c r="AB167" s="17" t="s">
        <v>79</v>
      </c>
      <c r="AC167" s="17">
        <v>1</v>
      </c>
      <c r="AD167" s="17">
        <v>0</v>
      </c>
      <c r="AE167" s="17">
        <v>0</v>
      </c>
      <c r="AF167" s="17"/>
      <c r="AG167" s="17" t="s">
        <v>124</v>
      </c>
      <c r="AH167" s="17" t="s">
        <v>82</v>
      </c>
      <c r="AI167" s="17" t="s">
        <v>83</v>
      </c>
      <c r="AJ167" s="17" t="s">
        <v>545</v>
      </c>
      <c r="AK167" s="17" t="s">
        <v>189</v>
      </c>
      <c r="AL167" s="17" t="s">
        <v>75</v>
      </c>
      <c r="AM167" s="17" t="s">
        <v>75</v>
      </c>
      <c r="AN167" s="17" t="s">
        <v>84</v>
      </c>
      <c r="AO167" s="17" t="s">
        <v>75</v>
      </c>
      <c r="AP167" s="17"/>
      <c r="AQ167" s="17"/>
      <c r="AR167" s="17"/>
      <c r="AS167" s="17"/>
      <c r="AT167" s="17" t="s">
        <v>595</v>
      </c>
      <c r="AU167" s="17" t="s">
        <v>127</v>
      </c>
    </row>
    <row r="168" hidden="1">
      <c r="A168" s="17">
        <v>166</v>
      </c>
      <c r="B168" s="17" t="s">
        <v>52</v>
      </c>
      <c r="C168" s="19" t="s">
        <v>596</v>
      </c>
      <c r="D168" s="19" t="s">
        <v>54</v>
      </c>
      <c r="E168" s="17" t="s">
        <v>597</v>
      </c>
      <c r="F168" s="17" t="s">
        <v>598</v>
      </c>
      <c r="G168" s="17">
        <v>21.964259999999999</v>
      </c>
      <c r="H168" s="17">
        <v>87.964849999999998</v>
      </c>
      <c r="I168" s="17"/>
      <c r="J168" s="17"/>
      <c r="K168" s="17"/>
      <c r="L168" s="17"/>
      <c r="M168" s="19" t="s">
        <v>117</v>
      </c>
      <c r="N168" s="17"/>
      <c r="O168" s="17">
        <v>16</v>
      </c>
      <c r="P168" s="17">
        <v>80</v>
      </c>
      <c r="Q168" s="17" t="s">
        <v>187</v>
      </c>
      <c r="R168" s="17" t="s">
        <v>74</v>
      </c>
      <c r="S168" s="22" t="s">
        <v>75</v>
      </c>
      <c r="T168" s="23" t="s">
        <v>584</v>
      </c>
      <c r="U168" s="17" t="s">
        <v>160</v>
      </c>
      <c r="V168" s="17" t="s">
        <v>77</v>
      </c>
      <c r="W168" s="17" t="s">
        <v>161</v>
      </c>
      <c r="X168" s="17">
        <v>6</v>
      </c>
      <c r="Y168" s="17">
        <v>0</v>
      </c>
      <c r="Z168" s="17"/>
      <c r="AA168" s="17" t="s">
        <v>187</v>
      </c>
      <c r="AB168" s="17" t="s">
        <v>79</v>
      </c>
      <c r="AC168" s="17">
        <v>2</v>
      </c>
      <c r="AD168" s="17">
        <v>0</v>
      </c>
      <c r="AE168" s="17">
        <v>0</v>
      </c>
      <c r="AF168" s="17"/>
      <c r="AG168" s="17" t="s">
        <v>124</v>
      </c>
      <c r="AH168" s="17" t="s">
        <v>162</v>
      </c>
      <c r="AI168" s="17" t="s">
        <v>83</v>
      </c>
      <c r="AJ168" s="17" t="s">
        <v>599</v>
      </c>
      <c r="AK168" s="17" t="s">
        <v>189</v>
      </c>
      <c r="AL168" s="17" t="s">
        <v>75</v>
      </c>
      <c r="AM168" s="17" t="s">
        <v>75</v>
      </c>
      <c r="AN168" s="17" t="s">
        <v>84</v>
      </c>
      <c r="AO168" s="17" t="s">
        <v>75</v>
      </c>
      <c r="AP168" s="17"/>
      <c r="AQ168" s="17"/>
      <c r="AR168" s="17"/>
      <c r="AS168" s="17"/>
      <c r="AT168" s="17" t="s">
        <v>600</v>
      </c>
      <c r="AU168" s="17" t="s">
        <v>127</v>
      </c>
    </row>
    <row r="169" hidden="1">
      <c r="A169" s="17">
        <v>167</v>
      </c>
      <c r="B169" s="17" t="s">
        <v>52</v>
      </c>
      <c r="C169" s="19" t="s">
        <v>601</v>
      </c>
      <c r="D169" s="19" t="s">
        <v>54</v>
      </c>
      <c r="E169" s="17"/>
      <c r="F169" s="17" t="s">
        <v>602</v>
      </c>
      <c r="G169" s="17">
        <v>22.063929999999999</v>
      </c>
      <c r="H169" s="17">
        <v>87.986329999999995</v>
      </c>
      <c r="I169" s="17"/>
      <c r="J169" s="17"/>
      <c r="K169" s="17"/>
      <c r="L169" s="17"/>
      <c r="M169" s="19" t="s">
        <v>117</v>
      </c>
      <c r="N169" s="17"/>
      <c r="O169" s="17">
        <v>17</v>
      </c>
      <c r="P169" s="17">
        <v>70</v>
      </c>
      <c r="Q169" s="17" t="s">
        <v>187</v>
      </c>
      <c r="R169" s="17" t="s">
        <v>74</v>
      </c>
      <c r="S169" s="22" t="s">
        <v>75</v>
      </c>
      <c r="T169" s="23"/>
      <c r="U169" s="17" t="s">
        <v>160</v>
      </c>
      <c r="V169" s="17" t="s">
        <v>77</v>
      </c>
      <c r="W169" s="17" t="s">
        <v>252</v>
      </c>
      <c r="X169" s="17">
        <v>5</v>
      </c>
      <c r="Y169" s="17">
        <v>0</v>
      </c>
      <c r="Z169" s="17"/>
      <c r="AA169" s="17" t="s">
        <v>187</v>
      </c>
      <c r="AB169" s="17" t="s">
        <v>79</v>
      </c>
      <c r="AC169" s="17">
        <v>2</v>
      </c>
      <c r="AD169" s="17">
        <v>0</v>
      </c>
      <c r="AE169" s="17">
        <v>0</v>
      </c>
      <c r="AF169" s="17"/>
      <c r="AG169" s="17" t="s">
        <v>124</v>
      </c>
      <c r="AH169" s="17" t="s">
        <v>82</v>
      </c>
      <c r="AI169" s="17" t="s">
        <v>83</v>
      </c>
      <c r="AJ169" s="17" t="s">
        <v>545</v>
      </c>
      <c r="AK169" s="17" t="s">
        <v>189</v>
      </c>
      <c r="AL169" s="17" t="s">
        <v>75</v>
      </c>
      <c r="AM169" s="17" t="s">
        <v>75</v>
      </c>
      <c r="AN169" s="17" t="s">
        <v>84</v>
      </c>
      <c r="AO169" s="17" t="s">
        <v>75</v>
      </c>
      <c r="AP169" s="17"/>
      <c r="AQ169" s="17"/>
      <c r="AR169" s="17"/>
      <c r="AS169" s="17"/>
      <c r="AT169" s="17" t="s">
        <v>585</v>
      </c>
      <c r="AU169" s="17" t="s">
        <v>127</v>
      </c>
    </row>
    <row r="170" hidden="1">
      <c r="A170" s="17">
        <v>168</v>
      </c>
      <c r="B170" s="17" t="s">
        <v>52</v>
      </c>
      <c r="C170" s="19" t="s">
        <v>603</v>
      </c>
      <c r="D170" s="19" t="s">
        <v>54</v>
      </c>
      <c r="E170" s="17" t="s">
        <v>604</v>
      </c>
      <c r="F170" s="17" t="s">
        <v>605</v>
      </c>
      <c r="G170" s="17">
        <v>22.039019</v>
      </c>
      <c r="H170" s="17">
        <v>87.994112000000001</v>
      </c>
      <c r="I170" s="17"/>
      <c r="J170" s="17"/>
      <c r="K170" s="17"/>
      <c r="L170" s="17"/>
      <c r="M170" s="19" t="s">
        <v>117</v>
      </c>
      <c r="N170" s="17"/>
      <c r="O170" s="17" t="s">
        <v>118</v>
      </c>
      <c r="P170" s="17"/>
      <c r="Q170" s="17"/>
      <c r="R170" s="17"/>
      <c r="S170" s="22"/>
      <c r="T170" s="23"/>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row>
    <row r="171" hidden="1">
      <c r="A171" s="17">
        <v>169</v>
      </c>
      <c r="B171" s="17" t="s">
        <v>52</v>
      </c>
      <c r="C171" s="19" t="s">
        <v>606</v>
      </c>
      <c r="D171" s="19" t="s">
        <v>54</v>
      </c>
      <c r="E171" s="17" t="s">
        <v>607</v>
      </c>
      <c r="F171" s="17" t="s">
        <v>608</v>
      </c>
      <c r="G171" s="17">
        <v>22.011140000000001</v>
      </c>
      <c r="H171" s="17">
        <v>87.971755999999999</v>
      </c>
      <c r="I171" s="17"/>
      <c r="J171" s="17"/>
      <c r="K171" s="17"/>
      <c r="L171" s="17"/>
      <c r="M171" s="19" t="s">
        <v>117</v>
      </c>
      <c r="N171" s="17"/>
      <c r="O171" s="17">
        <v>17</v>
      </c>
      <c r="P171" s="17">
        <v>65</v>
      </c>
      <c r="Q171" s="17" t="s">
        <v>73</v>
      </c>
      <c r="R171" s="17" t="s">
        <v>74</v>
      </c>
      <c r="S171" s="22" t="s">
        <v>75</v>
      </c>
      <c r="T171" s="23"/>
      <c r="U171" s="17" t="s">
        <v>160</v>
      </c>
      <c r="V171" s="17" t="s">
        <v>77</v>
      </c>
      <c r="W171" s="17" t="s">
        <v>609</v>
      </c>
      <c r="X171" s="17">
        <v>5</v>
      </c>
      <c r="Y171" s="17">
        <v>0</v>
      </c>
      <c r="Z171" s="17"/>
      <c r="AA171" s="17" t="s">
        <v>73</v>
      </c>
      <c r="AB171" s="17" t="s">
        <v>79</v>
      </c>
      <c r="AC171" s="17">
        <v>2</v>
      </c>
      <c r="AD171" s="17">
        <v>0</v>
      </c>
      <c r="AE171" s="17">
        <v>0</v>
      </c>
      <c r="AF171" s="17"/>
      <c r="AG171" s="17" t="s">
        <v>81</v>
      </c>
      <c r="AH171" s="17" t="s">
        <v>162</v>
      </c>
      <c r="AI171" s="17" t="s">
        <v>107</v>
      </c>
      <c r="AJ171" s="17" t="s">
        <v>539</v>
      </c>
      <c r="AK171" s="17" t="s">
        <v>137</v>
      </c>
      <c r="AL171" s="17" t="s">
        <v>75</v>
      </c>
      <c r="AM171" s="17" t="s">
        <v>137</v>
      </c>
      <c r="AN171" s="17" t="s">
        <v>84</v>
      </c>
      <c r="AO171" s="17" t="s">
        <v>75</v>
      </c>
      <c r="AP171" s="17"/>
      <c r="AQ171" s="17"/>
      <c r="AR171" s="17"/>
      <c r="AS171" s="17"/>
      <c r="AT171" s="17" t="s">
        <v>610</v>
      </c>
      <c r="AU171" s="17" t="s">
        <v>127</v>
      </c>
    </row>
    <row r="172" hidden="1">
      <c r="A172" s="17">
        <v>170</v>
      </c>
      <c r="B172" s="17" t="s">
        <v>52</v>
      </c>
      <c r="C172" s="19" t="s">
        <v>611</v>
      </c>
      <c r="D172" s="19" t="s">
        <v>54</v>
      </c>
      <c r="E172" s="17" t="s">
        <v>612</v>
      </c>
      <c r="F172" s="17" t="s">
        <v>613</v>
      </c>
      <c r="G172" s="17">
        <v>21.939630999999999</v>
      </c>
      <c r="H172" s="17">
        <v>87.952451999999994</v>
      </c>
      <c r="I172" s="17"/>
      <c r="J172" s="17"/>
      <c r="K172" s="17"/>
      <c r="L172" s="17"/>
      <c r="M172" s="19" t="s">
        <v>117</v>
      </c>
      <c r="N172" s="17"/>
      <c r="O172" s="17"/>
      <c r="P172" s="17"/>
      <c r="Q172" s="17"/>
      <c r="R172" s="17"/>
      <c r="S172" s="22"/>
      <c r="T172" s="23"/>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row>
    <row r="173" hidden="1">
      <c r="A173" s="17">
        <v>171</v>
      </c>
      <c r="B173" s="17" t="s">
        <v>52</v>
      </c>
      <c r="C173" s="19" t="s">
        <v>614</v>
      </c>
      <c r="D173" s="19" t="s">
        <v>54</v>
      </c>
      <c r="E173" s="17" t="s">
        <v>615</v>
      </c>
      <c r="F173" s="17" t="s">
        <v>616</v>
      </c>
      <c r="G173" s="17">
        <v>21.911286</v>
      </c>
      <c r="H173" s="17">
        <v>87.977698000000004</v>
      </c>
      <c r="I173" s="17"/>
      <c r="J173" s="17"/>
      <c r="K173" s="17"/>
      <c r="L173" s="17"/>
      <c r="M173" s="19" t="s">
        <v>117</v>
      </c>
      <c r="N173" s="17"/>
      <c r="O173" s="17"/>
      <c r="P173" s="17"/>
      <c r="Q173" s="17"/>
      <c r="R173" s="17"/>
      <c r="S173" s="22"/>
      <c r="T173" s="23"/>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row>
    <row r="174" hidden="1">
      <c r="A174" s="17">
        <v>172</v>
      </c>
      <c r="B174" s="17" t="s">
        <v>52</v>
      </c>
      <c r="C174" s="19" t="s">
        <v>617</v>
      </c>
      <c r="D174" s="19" t="s">
        <v>54</v>
      </c>
      <c r="E174" s="17"/>
      <c r="F174" s="17"/>
      <c r="G174" s="17"/>
      <c r="H174" s="17"/>
      <c r="I174" s="17"/>
      <c r="J174" s="17"/>
      <c r="K174" s="17"/>
      <c r="L174" s="17"/>
      <c r="M174" s="19" t="s">
        <v>117</v>
      </c>
      <c r="N174" s="17"/>
      <c r="O174" s="17"/>
      <c r="P174" s="17"/>
      <c r="Q174" s="17"/>
      <c r="R174" s="17"/>
      <c r="S174" s="22"/>
      <c r="T174" s="23"/>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row>
    <row r="175" hidden="1">
      <c r="A175" s="17">
        <v>173</v>
      </c>
      <c r="B175" s="17" t="s">
        <v>52</v>
      </c>
      <c r="C175" s="19" t="s">
        <v>618</v>
      </c>
      <c r="D175" s="19" t="s">
        <v>54</v>
      </c>
      <c r="E175" s="17" t="s">
        <v>619</v>
      </c>
      <c r="F175" s="17" t="s">
        <v>620</v>
      </c>
      <c r="G175" s="17">
        <v>21.961501999999999</v>
      </c>
      <c r="H175" s="17">
        <v>88.001130000000003</v>
      </c>
      <c r="I175" s="17"/>
      <c r="J175" s="17"/>
      <c r="K175" s="17"/>
      <c r="L175" s="17"/>
      <c r="M175" s="19" t="s">
        <v>117</v>
      </c>
      <c r="N175" s="17"/>
      <c r="O175" s="17"/>
      <c r="P175" s="17"/>
      <c r="Q175" s="17"/>
      <c r="R175" s="17"/>
      <c r="S175" s="22"/>
      <c r="T175" s="23"/>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row>
    <row r="176" hidden="1">
      <c r="A176" s="17">
        <v>174</v>
      </c>
      <c r="B176" s="17" t="s">
        <v>52</v>
      </c>
      <c r="C176" s="19" t="s">
        <v>621</v>
      </c>
      <c r="D176" s="19" t="s">
        <v>54</v>
      </c>
      <c r="E176" s="17" t="s">
        <v>622</v>
      </c>
      <c r="F176" s="17" t="s">
        <v>623</v>
      </c>
      <c r="G176" s="17">
        <v>21.993148999999999</v>
      </c>
      <c r="H176" s="17">
        <v>88.035494</v>
      </c>
      <c r="I176" s="17"/>
      <c r="J176" s="17"/>
      <c r="K176" s="17"/>
      <c r="L176" s="17"/>
      <c r="M176" s="19" t="s">
        <v>117</v>
      </c>
      <c r="N176" s="17"/>
      <c r="O176" s="17"/>
      <c r="P176" s="17"/>
      <c r="Q176" s="17"/>
      <c r="R176" s="17"/>
      <c r="S176" s="22"/>
      <c r="T176" s="23"/>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row>
    <row r="177" hidden="1">
      <c r="A177" s="17">
        <v>175</v>
      </c>
      <c r="B177" s="17" t="s">
        <v>52</v>
      </c>
      <c r="C177" s="19" t="s">
        <v>624</v>
      </c>
      <c r="D177" s="19" t="s">
        <v>54</v>
      </c>
      <c r="E177" s="17" t="s">
        <v>625</v>
      </c>
      <c r="F177" s="17" t="s">
        <v>626</v>
      </c>
      <c r="G177" s="17">
        <v>21.931021999999999</v>
      </c>
      <c r="H177" s="17">
        <v>87.994749999999996</v>
      </c>
      <c r="I177" s="17"/>
      <c r="J177" s="17"/>
      <c r="K177" s="17"/>
      <c r="L177" s="17"/>
      <c r="M177" s="19" t="s">
        <v>117</v>
      </c>
      <c r="N177" s="17"/>
      <c r="O177" s="17"/>
      <c r="P177" s="17"/>
      <c r="Q177" s="17"/>
      <c r="R177" s="17"/>
      <c r="S177" s="22"/>
      <c r="T177" s="23"/>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row>
    <row r="178" hidden="1">
      <c r="A178" s="17">
        <v>176</v>
      </c>
      <c r="B178" s="17" t="s">
        <v>52</v>
      </c>
      <c r="C178" s="19" t="s">
        <v>627</v>
      </c>
      <c r="D178" s="19" t="s">
        <v>54</v>
      </c>
      <c r="E178" s="17" t="s">
        <v>628</v>
      </c>
      <c r="F178" s="17" t="s">
        <v>629</v>
      </c>
      <c r="G178" s="17">
        <v>22.079412999999999</v>
      </c>
      <c r="H178" s="17">
        <v>87.958319000000003</v>
      </c>
      <c r="I178" s="17"/>
      <c r="J178" s="17"/>
      <c r="K178" s="17"/>
      <c r="L178" s="17"/>
      <c r="M178" s="19" t="s">
        <v>117</v>
      </c>
      <c r="N178" s="17"/>
      <c r="O178" s="17"/>
      <c r="P178" s="17"/>
      <c r="Q178" s="17"/>
      <c r="R178" s="17"/>
      <c r="S178" s="22"/>
      <c r="T178" s="23"/>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row>
    <row r="179" hidden="1">
      <c r="A179" s="17">
        <v>177</v>
      </c>
      <c r="B179" s="17" t="s">
        <v>52</v>
      </c>
      <c r="C179" s="19" t="s">
        <v>630</v>
      </c>
      <c r="D179" s="19" t="s">
        <v>54</v>
      </c>
      <c r="E179" s="17" t="s">
        <v>631</v>
      </c>
      <c r="F179" s="17" t="s">
        <v>632</v>
      </c>
      <c r="G179" s="17">
        <v>21.993606</v>
      </c>
      <c r="H179" s="17">
        <v>87.952001999999993</v>
      </c>
      <c r="I179" s="17"/>
      <c r="J179" s="17"/>
      <c r="K179" s="17"/>
      <c r="L179" s="17"/>
      <c r="M179" s="19" t="s">
        <v>117</v>
      </c>
      <c r="N179" s="17"/>
      <c r="O179" s="17" t="s">
        <v>633</v>
      </c>
      <c r="P179" s="17"/>
      <c r="Q179" s="17"/>
      <c r="R179" s="17"/>
      <c r="S179" s="22"/>
      <c r="T179" s="23"/>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row>
    <row r="180" hidden="1">
      <c r="A180" s="17">
        <v>178</v>
      </c>
      <c r="B180" s="17" t="s">
        <v>52</v>
      </c>
      <c r="C180" s="20" t="s">
        <v>634</v>
      </c>
      <c r="D180" s="19" t="s">
        <v>54</v>
      </c>
      <c r="E180" s="17"/>
      <c r="F180" s="17"/>
      <c r="G180" s="17"/>
      <c r="H180" s="17"/>
      <c r="I180" s="17"/>
      <c r="J180" s="17"/>
      <c r="K180" s="17"/>
      <c r="L180" s="17"/>
      <c r="M180" s="20"/>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row>
    <row r="181" hidden="1">
      <c r="A181" s="17">
        <v>179</v>
      </c>
      <c r="B181" s="17" t="s">
        <v>52</v>
      </c>
      <c r="C181" s="18" t="s">
        <v>635</v>
      </c>
      <c r="D181" s="19" t="s">
        <v>54</v>
      </c>
      <c r="E181" s="17"/>
      <c r="F181" s="17"/>
      <c r="G181" s="17"/>
      <c r="H181" s="17"/>
      <c r="I181" s="17"/>
      <c r="J181" s="17"/>
      <c r="K181" s="17"/>
      <c r="L181" s="17"/>
      <c r="M181" s="20"/>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row>
    <row r="182" hidden="1">
      <c r="A182" s="17">
        <v>180</v>
      </c>
      <c r="B182" s="17" t="s">
        <v>52</v>
      </c>
      <c r="C182" s="20" t="s">
        <v>636</v>
      </c>
      <c r="D182" s="19" t="s">
        <v>54</v>
      </c>
      <c r="E182" s="17"/>
      <c r="F182" s="17"/>
      <c r="G182" s="17"/>
      <c r="H182" s="17"/>
      <c r="I182" s="17"/>
      <c r="J182" s="17"/>
      <c r="K182" s="17"/>
      <c r="L182" s="17"/>
      <c r="M182" s="20"/>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row>
    <row r="183" hidden="1">
      <c r="A183" s="17">
        <v>181</v>
      </c>
      <c r="B183" s="17" t="s">
        <v>52</v>
      </c>
      <c r="C183" s="18" t="s">
        <v>637</v>
      </c>
      <c r="D183" s="19" t="s">
        <v>54</v>
      </c>
      <c r="E183" s="17"/>
      <c r="F183" s="17"/>
      <c r="G183" s="17"/>
      <c r="H183" s="17"/>
      <c r="I183" s="17"/>
      <c r="J183" s="17"/>
      <c r="K183" s="17"/>
      <c r="L183" s="17"/>
      <c r="M183" s="20"/>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row>
    <row r="184" hidden="1">
      <c r="A184" s="17">
        <v>182</v>
      </c>
      <c r="B184" s="17" t="s">
        <v>52</v>
      </c>
      <c r="C184" s="18" t="s">
        <v>638</v>
      </c>
      <c r="D184" s="19" t="s">
        <v>54</v>
      </c>
      <c r="E184" s="17"/>
      <c r="F184" s="17"/>
      <c r="G184" s="17"/>
      <c r="H184" s="17"/>
      <c r="I184" s="17"/>
      <c r="J184" s="17"/>
      <c r="K184" s="17"/>
      <c r="L184" s="17"/>
      <c r="M184" s="20"/>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row>
    <row r="185" hidden="1">
      <c r="A185" s="17">
        <v>183</v>
      </c>
      <c r="B185" s="17" t="s">
        <v>52</v>
      </c>
      <c r="C185" s="19" t="s">
        <v>639</v>
      </c>
      <c r="D185" s="19" t="s">
        <v>54</v>
      </c>
      <c r="E185" s="17" t="s">
        <v>640</v>
      </c>
      <c r="F185" s="17" t="s">
        <v>641</v>
      </c>
      <c r="G185" s="17">
        <v>21.992678000000002</v>
      </c>
      <c r="H185" s="17">
        <v>87.902216999999993</v>
      </c>
      <c r="I185" s="17"/>
      <c r="J185" s="17"/>
      <c r="K185" s="17"/>
      <c r="L185" s="17"/>
      <c r="M185" s="19" t="s">
        <v>131</v>
      </c>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row>
    <row r="186" hidden="1">
      <c r="A186" s="17">
        <v>184</v>
      </c>
      <c r="B186" s="17" t="s">
        <v>52</v>
      </c>
      <c r="C186" s="19" t="s">
        <v>642</v>
      </c>
      <c r="D186" s="19" t="s">
        <v>54</v>
      </c>
      <c r="E186" s="17" t="s">
        <v>643</v>
      </c>
      <c r="F186" s="17" t="s">
        <v>644</v>
      </c>
      <c r="G186" s="17">
        <v>21.991668000000001</v>
      </c>
      <c r="H186" s="17">
        <v>87.863523000000001</v>
      </c>
      <c r="I186" s="17"/>
      <c r="J186" s="17"/>
      <c r="K186" s="17"/>
      <c r="L186" s="17"/>
      <c r="M186" s="19" t="s">
        <v>131</v>
      </c>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row>
    <row r="187" hidden="1">
      <c r="A187" s="17">
        <v>185</v>
      </c>
      <c r="B187" s="17" t="s">
        <v>52</v>
      </c>
      <c r="C187" s="19" t="s">
        <v>645</v>
      </c>
      <c r="D187" s="19" t="s">
        <v>54</v>
      </c>
      <c r="E187" s="17" t="s">
        <v>646</v>
      </c>
      <c r="F187" s="17" t="s">
        <v>647</v>
      </c>
      <c r="G187" s="17">
        <v>22.062578999999999</v>
      </c>
      <c r="H187" s="17">
        <v>87.897389000000004</v>
      </c>
      <c r="I187" s="17"/>
      <c r="J187" s="17"/>
      <c r="K187" s="17"/>
      <c r="L187" s="17"/>
      <c r="M187" s="19" t="s">
        <v>648</v>
      </c>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row>
    <row r="188" hidden="1">
      <c r="A188" s="17">
        <v>186</v>
      </c>
      <c r="B188" s="17" t="s">
        <v>52</v>
      </c>
      <c r="C188" s="19" t="s">
        <v>649</v>
      </c>
      <c r="D188" s="19" t="s">
        <v>54</v>
      </c>
      <c r="E188" s="17" t="s">
        <v>650</v>
      </c>
      <c r="F188" s="17" t="s">
        <v>651</v>
      </c>
      <c r="G188" s="17">
        <v>22.082830999999999</v>
      </c>
      <c r="H188" s="17">
        <v>87.926399000000004</v>
      </c>
      <c r="I188" s="17"/>
      <c r="J188" s="17"/>
      <c r="K188" s="17"/>
      <c r="L188" s="17"/>
      <c r="M188" s="19" t="s">
        <v>117</v>
      </c>
      <c r="N188" s="17"/>
      <c r="O188" s="17">
        <v>16</v>
      </c>
      <c r="P188" s="17">
        <v>32</v>
      </c>
      <c r="Q188" s="17" t="s">
        <v>187</v>
      </c>
      <c r="R188" s="17" t="s">
        <v>74</v>
      </c>
      <c r="S188" s="22" t="s">
        <v>75</v>
      </c>
      <c r="T188" s="23"/>
      <c r="U188" s="17" t="s">
        <v>76</v>
      </c>
      <c r="V188" s="17" t="s">
        <v>652</v>
      </c>
      <c r="W188" s="17" t="s">
        <v>449</v>
      </c>
      <c r="X188" s="17">
        <v>2</v>
      </c>
      <c r="Y188" s="17">
        <v>2</v>
      </c>
      <c r="Z188" s="17" t="s">
        <v>653</v>
      </c>
      <c r="AA188" s="17" t="s">
        <v>187</v>
      </c>
      <c r="AB188" s="17" t="s">
        <v>79</v>
      </c>
      <c r="AC188" s="17">
        <v>2</v>
      </c>
      <c r="AD188" s="17">
        <v>0</v>
      </c>
      <c r="AE188" s="17">
        <v>0</v>
      </c>
      <c r="AF188" s="17"/>
      <c r="AG188" s="17" t="s">
        <v>81</v>
      </c>
      <c r="AH188" s="17" t="s">
        <v>82</v>
      </c>
      <c r="AI188" s="17" t="s">
        <v>83</v>
      </c>
      <c r="AJ188" s="17" t="s">
        <v>545</v>
      </c>
      <c r="AK188" s="17" t="s">
        <v>189</v>
      </c>
      <c r="AL188" s="17" t="s">
        <v>75</v>
      </c>
      <c r="AM188" s="17" t="s">
        <v>75</v>
      </c>
      <c r="AN188" s="17" t="s">
        <v>84</v>
      </c>
      <c r="AO188" s="17" t="s">
        <v>75</v>
      </c>
      <c r="AP188" s="17"/>
      <c r="AQ188" s="17"/>
      <c r="AR188" s="17"/>
      <c r="AS188" s="17"/>
      <c r="AT188" s="17" t="s">
        <v>654</v>
      </c>
      <c r="AU188" s="17" t="s">
        <v>127</v>
      </c>
    </row>
    <row r="189" hidden="1">
      <c r="A189" s="17">
        <v>187</v>
      </c>
      <c r="B189" s="17" t="s">
        <v>52</v>
      </c>
      <c r="C189" s="19" t="s">
        <v>655</v>
      </c>
      <c r="D189" s="19" t="s">
        <v>54</v>
      </c>
      <c r="E189" s="17" t="s">
        <v>656</v>
      </c>
      <c r="F189" s="17" t="s">
        <v>657</v>
      </c>
      <c r="G189" s="17">
        <v>22.036034999999998</v>
      </c>
      <c r="H189" s="17">
        <v>87.922306000000006</v>
      </c>
      <c r="I189" s="17"/>
      <c r="J189" s="17"/>
      <c r="K189" s="17"/>
      <c r="L189" s="17"/>
      <c r="M189" s="19" t="s">
        <v>117</v>
      </c>
      <c r="N189" s="17"/>
      <c r="O189" s="17">
        <v>17</v>
      </c>
      <c r="P189" s="17">
        <v>120</v>
      </c>
      <c r="Q189" s="17" t="s">
        <v>413</v>
      </c>
      <c r="R189" s="17" t="s">
        <v>74</v>
      </c>
      <c r="S189" s="22" t="s">
        <v>75</v>
      </c>
      <c r="T189" s="23"/>
      <c r="U189" s="17" t="s">
        <v>160</v>
      </c>
      <c r="V189" s="17" t="s">
        <v>77</v>
      </c>
      <c r="W189" s="17" t="s">
        <v>252</v>
      </c>
      <c r="X189" s="17">
        <v>5</v>
      </c>
      <c r="Y189" s="17">
        <v>0</v>
      </c>
      <c r="Z189" s="17"/>
      <c r="AA189" s="17" t="s">
        <v>413</v>
      </c>
      <c r="AB189" s="17" t="s">
        <v>79</v>
      </c>
      <c r="AC189" s="17">
        <v>3</v>
      </c>
      <c r="AD189" s="17">
        <v>0</v>
      </c>
      <c r="AE189" s="17">
        <v>0</v>
      </c>
      <c r="AF189" s="17"/>
      <c r="AG189" s="17" t="s">
        <v>81</v>
      </c>
      <c r="AH189" s="17" t="s">
        <v>162</v>
      </c>
      <c r="AI189" s="17" t="s">
        <v>107</v>
      </c>
      <c r="AJ189" s="17" t="s">
        <v>539</v>
      </c>
      <c r="AK189" s="17" t="s">
        <v>189</v>
      </c>
      <c r="AL189" s="17" t="s">
        <v>137</v>
      </c>
      <c r="AM189" s="17" t="s">
        <v>75</v>
      </c>
      <c r="AN189" s="17" t="s">
        <v>84</v>
      </c>
      <c r="AO189" s="17" t="s">
        <v>75</v>
      </c>
      <c r="AP189" s="17"/>
      <c r="AQ189" s="17"/>
      <c r="AR189" s="17"/>
      <c r="AS189" s="17"/>
      <c r="AT189" s="17" t="s">
        <v>658</v>
      </c>
      <c r="AU189" s="17" t="s">
        <v>127</v>
      </c>
    </row>
    <row r="190" hidden="1">
      <c r="A190" s="17">
        <v>188</v>
      </c>
      <c r="B190" s="17" t="s">
        <v>52</v>
      </c>
      <c r="C190" s="19" t="s">
        <v>659</v>
      </c>
      <c r="D190" s="19" t="s">
        <v>54</v>
      </c>
      <c r="E190" s="17" t="s">
        <v>660</v>
      </c>
      <c r="F190" s="17" t="s">
        <v>661</v>
      </c>
      <c r="G190" s="17">
        <v>22.004725000000001</v>
      </c>
      <c r="H190" s="17">
        <v>87.888130000000004</v>
      </c>
      <c r="I190" s="17"/>
      <c r="J190" s="17"/>
      <c r="K190" s="17"/>
      <c r="L190" s="17"/>
      <c r="M190" s="19" t="s">
        <v>103</v>
      </c>
      <c r="N190" s="17">
        <v>7003286846</v>
      </c>
      <c r="O190" s="17">
        <v>8</v>
      </c>
      <c r="P190" s="17">
        <v>65</v>
      </c>
      <c r="Q190" s="17" t="s">
        <v>105</v>
      </c>
      <c r="R190" s="17" t="s">
        <v>154</v>
      </c>
      <c r="S190" s="17"/>
      <c r="T190" s="17"/>
      <c r="U190" s="17" t="s">
        <v>76</v>
      </c>
      <c r="V190" s="17" t="s">
        <v>340</v>
      </c>
      <c r="W190" s="17" t="s">
        <v>123</v>
      </c>
      <c r="X190" s="17">
        <v>4</v>
      </c>
      <c r="Y190" s="17">
        <v>2</v>
      </c>
      <c r="Z190" s="17"/>
      <c r="AA190" s="17" t="s">
        <v>105</v>
      </c>
      <c r="AB190" s="17" t="s">
        <v>239</v>
      </c>
      <c r="AC190" s="17">
        <v>2</v>
      </c>
      <c r="AD190" s="17">
        <v>0</v>
      </c>
      <c r="AE190" s="17">
        <v>0</v>
      </c>
      <c r="AF190" s="17"/>
      <c r="AG190" s="17" t="s">
        <v>81</v>
      </c>
      <c r="AH190" s="17" t="s">
        <v>82</v>
      </c>
      <c r="AI190" s="17" t="s">
        <v>107</v>
      </c>
      <c r="AJ190" s="17"/>
      <c r="AK190" s="17" t="s">
        <v>137</v>
      </c>
      <c r="AL190" s="17" t="s">
        <v>75</v>
      </c>
      <c r="AM190" s="17" t="s">
        <v>137</v>
      </c>
      <c r="AN190" s="17" t="s">
        <v>84</v>
      </c>
      <c r="AO190" s="17" t="s">
        <v>75</v>
      </c>
      <c r="AP190" s="17"/>
      <c r="AQ190" s="17"/>
      <c r="AR190" s="17"/>
      <c r="AS190" s="17"/>
      <c r="AT190" s="17" t="s">
        <v>662</v>
      </c>
      <c r="AU190" s="17" t="s">
        <v>111</v>
      </c>
    </row>
    <row r="191" hidden="1">
      <c r="A191" s="17">
        <v>189</v>
      </c>
      <c r="B191" s="17" t="s">
        <v>52</v>
      </c>
      <c r="C191" s="19" t="s">
        <v>663</v>
      </c>
      <c r="D191" s="19" t="s">
        <v>54</v>
      </c>
      <c r="E191" s="17" t="s">
        <v>664</v>
      </c>
      <c r="F191" s="17" t="s">
        <v>665</v>
      </c>
      <c r="G191" s="17">
        <v>21.992894</v>
      </c>
      <c r="H191" s="17">
        <v>87.881636</v>
      </c>
      <c r="I191" s="17"/>
      <c r="J191" s="17"/>
      <c r="K191" s="17"/>
      <c r="L191" s="17"/>
      <c r="M191" s="19" t="s">
        <v>103</v>
      </c>
      <c r="N191" s="17">
        <v>7003286846</v>
      </c>
      <c r="O191" s="17">
        <v>12</v>
      </c>
      <c r="P191" s="17">
        <v>120</v>
      </c>
      <c r="Q191" s="17" t="s">
        <v>105</v>
      </c>
      <c r="R191" s="17" t="s">
        <v>142</v>
      </c>
      <c r="S191" s="17"/>
      <c r="T191" s="17"/>
      <c r="U191" s="17" t="s">
        <v>160</v>
      </c>
      <c r="V191" s="17" t="s">
        <v>77</v>
      </c>
      <c r="W191" s="17" t="s">
        <v>252</v>
      </c>
      <c r="X191" s="17">
        <v>4</v>
      </c>
      <c r="Y191" s="17">
        <v>0</v>
      </c>
      <c r="Z191" s="17"/>
      <c r="AA191" s="17" t="s">
        <v>105</v>
      </c>
      <c r="AB191" s="17" t="s">
        <v>79</v>
      </c>
      <c r="AC191" s="17">
        <v>6</v>
      </c>
      <c r="AD191" s="17">
        <v>0</v>
      </c>
      <c r="AE191" s="17">
        <v>0</v>
      </c>
      <c r="AF191" s="17"/>
      <c r="AG191" s="17" t="s">
        <v>81</v>
      </c>
      <c r="AH191" s="17" t="s">
        <v>82</v>
      </c>
      <c r="AI191" s="17" t="s">
        <v>83</v>
      </c>
      <c r="AJ191" s="17">
        <v>2111</v>
      </c>
      <c r="AK191" s="17" t="s">
        <v>137</v>
      </c>
      <c r="AL191" s="17" t="s">
        <v>137</v>
      </c>
      <c r="AM191" s="17" t="s">
        <v>137</v>
      </c>
      <c r="AN191" s="17" t="s">
        <v>84</v>
      </c>
      <c r="AO191" s="17" t="s">
        <v>75</v>
      </c>
      <c r="AP191" s="17"/>
      <c r="AQ191" s="17"/>
      <c r="AR191" s="17"/>
      <c r="AS191" s="17"/>
      <c r="AT191" s="17" t="s">
        <v>666</v>
      </c>
      <c r="AU191" s="17" t="s">
        <v>111</v>
      </c>
    </row>
    <row r="192" hidden="1">
      <c r="A192" s="17">
        <v>190</v>
      </c>
      <c r="B192" s="17" t="s">
        <v>52</v>
      </c>
      <c r="C192" s="19" t="s">
        <v>667</v>
      </c>
      <c r="D192" s="19" t="s">
        <v>54</v>
      </c>
      <c r="E192" s="17" t="s">
        <v>668</v>
      </c>
      <c r="F192" s="17" t="s">
        <v>669</v>
      </c>
      <c r="G192" s="17">
        <v>21.966459</v>
      </c>
      <c r="H192" s="17">
        <v>87.911704999999998</v>
      </c>
      <c r="I192" s="17"/>
      <c r="J192" s="17"/>
      <c r="K192" s="17"/>
      <c r="L192" s="17"/>
      <c r="M192" s="19" t="s">
        <v>131</v>
      </c>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row>
    <row r="193" hidden="1">
      <c r="A193" s="17">
        <v>191</v>
      </c>
      <c r="B193" s="17" t="s">
        <v>52</v>
      </c>
      <c r="C193" s="19" t="s">
        <v>670</v>
      </c>
      <c r="D193" s="19" t="s">
        <v>54</v>
      </c>
      <c r="E193" s="17" t="s">
        <v>671</v>
      </c>
      <c r="F193" s="17" t="s">
        <v>672</v>
      </c>
      <c r="G193" s="17">
        <v>22.084437999999999</v>
      </c>
      <c r="H193" s="17">
        <v>87.980401000000001</v>
      </c>
      <c r="I193" s="17"/>
      <c r="J193" s="17"/>
      <c r="K193" s="17"/>
      <c r="L193" s="17"/>
      <c r="M193" s="19" t="s">
        <v>117</v>
      </c>
      <c r="N193" s="17"/>
      <c r="O193" s="17">
        <v>17</v>
      </c>
      <c r="P193" s="17">
        <v>60</v>
      </c>
      <c r="Q193" s="17" t="s">
        <v>73</v>
      </c>
      <c r="R193" s="17" t="s">
        <v>74</v>
      </c>
      <c r="S193" s="22" t="s">
        <v>75</v>
      </c>
      <c r="T193" s="23"/>
      <c r="U193" s="17" t="s">
        <v>105</v>
      </c>
      <c r="V193" s="17" t="s">
        <v>77</v>
      </c>
      <c r="W193" s="17" t="s">
        <v>78</v>
      </c>
      <c r="X193" s="17">
        <v>4</v>
      </c>
      <c r="Y193" s="17">
        <v>1</v>
      </c>
      <c r="Z193" s="17"/>
      <c r="AA193" s="17" t="s">
        <v>73</v>
      </c>
      <c r="AB193" s="17" t="s">
        <v>79</v>
      </c>
      <c r="AC193" s="17">
        <v>2</v>
      </c>
      <c r="AD193" s="17">
        <v>0</v>
      </c>
      <c r="AE193" s="17">
        <v>0</v>
      </c>
      <c r="AF193" s="17"/>
      <c r="AG193" s="17" t="s">
        <v>81</v>
      </c>
      <c r="AH193" s="17" t="s">
        <v>82</v>
      </c>
      <c r="AI193" s="17" t="s">
        <v>107</v>
      </c>
      <c r="AJ193" s="17" t="s">
        <v>534</v>
      </c>
      <c r="AK193" s="17" t="s">
        <v>189</v>
      </c>
      <c r="AL193" s="17" t="s">
        <v>75</v>
      </c>
      <c r="AM193" s="17" t="s">
        <v>75</v>
      </c>
      <c r="AN193" s="17" t="s">
        <v>84</v>
      </c>
      <c r="AO193" s="17" t="s">
        <v>75</v>
      </c>
      <c r="AP193" s="17"/>
      <c r="AQ193" s="17"/>
      <c r="AR193" s="17"/>
      <c r="AS193" s="17"/>
      <c r="AT193" s="17" t="s">
        <v>673</v>
      </c>
      <c r="AU193" s="17" t="s">
        <v>127</v>
      </c>
    </row>
    <row r="194" hidden="1">
      <c r="A194" s="17">
        <v>192</v>
      </c>
      <c r="B194" s="17" t="s">
        <v>52</v>
      </c>
      <c r="C194" s="19" t="s">
        <v>674</v>
      </c>
      <c r="D194" s="19" t="s">
        <v>54</v>
      </c>
      <c r="E194" s="17" t="s">
        <v>675</v>
      </c>
      <c r="F194" s="17" t="s">
        <v>676</v>
      </c>
      <c r="G194" s="17">
        <v>22.0153</v>
      </c>
      <c r="H194" s="17">
        <v>87.911460000000005</v>
      </c>
      <c r="I194" s="17"/>
      <c r="J194" s="17"/>
      <c r="K194" s="17"/>
      <c r="L194" s="17"/>
      <c r="M194" s="19" t="s">
        <v>117</v>
      </c>
      <c r="N194" s="17"/>
      <c r="O194" s="17">
        <v>15</v>
      </c>
      <c r="P194" s="17">
        <v>65</v>
      </c>
      <c r="Q194" s="17" t="s">
        <v>105</v>
      </c>
      <c r="R194" s="17" t="s">
        <v>238</v>
      </c>
      <c r="S194" s="22" t="s">
        <v>75</v>
      </c>
      <c r="T194" s="23"/>
      <c r="U194" s="17" t="s">
        <v>160</v>
      </c>
      <c r="V194" s="17" t="s">
        <v>77</v>
      </c>
      <c r="W194" s="17" t="s">
        <v>161</v>
      </c>
      <c r="X194" s="17">
        <v>5</v>
      </c>
      <c r="Y194" s="17">
        <v>0</v>
      </c>
      <c r="Z194" s="17"/>
      <c r="AA194" s="17" t="s">
        <v>105</v>
      </c>
      <c r="AB194" s="17" t="s">
        <v>239</v>
      </c>
      <c r="AC194" s="17">
        <v>3</v>
      </c>
      <c r="AD194" s="17">
        <v>0</v>
      </c>
      <c r="AE194" s="17">
        <v>0</v>
      </c>
      <c r="AF194" s="17"/>
      <c r="AG194" s="17" t="s">
        <v>677</v>
      </c>
      <c r="AH194" s="17" t="s">
        <v>162</v>
      </c>
      <c r="AI194" s="17" t="s">
        <v>83</v>
      </c>
      <c r="AJ194" s="17" t="s">
        <v>545</v>
      </c>
      <c r="AK194" s="17" t="s">
        <v>189</v>
      </c>
      <c r="AL194" s="17" t="s">
        <v>75</v>
      </c>
      <c r="AM194" s="17" t="s">
        <v>75</v>
      </c>
      <c r="AN194" s="17" t="s">
        <v>84</v>
      </c>
      <c r="AO194" s="17" t="s">
        <v>75</v>
      </c>
      <c r="AP194" s="17"/>
      <c r="AQ194" s="17"/>
      <c r="AR194" s="17"/>
      <c r="AS194" s="17"/>
      <c r="AT194" s="17" t="s">
        <v>678</v>
      </c>
      <c r="AU194" s="17" t="s">
        <v>111</v>
      </c>
    </row>
    <row r="195" hidden="1">
      <c r="A195" s="17">
        <v>193</v>
      </c>
      <c r="B195" s="17" t="s">
        <v>52</v>
      </c>
      <c r="C195" s="19" t="s">
        <v>679</v>
      </c>
      <c r="D195" s="19" t="s">
        <v>54</v>
      </c>
      <c r="E195" s="17"/>
      <c r="F195" s="17" t="s">
        <v>680</v>
      </c>
      <c r="G195" s="17">
        <v>22.059699999999999</v>
      </c>
      <c r="H195" s="17">
        <v>87.931200000000004</v>
      </c>
      <c r="I195" s="17"/>
      <c r="J195" s="17"/>
      <c r="K195" s="17"/>
      <c r="L195" s="17"/>
      <c r="M195" s="19" t="s">
        <v>117</v>
      </c>
      <c r="N195" s="17"/>
      <c r="O195" s="17">
        <v>22</v>
      </c>
      <c r="P195" s="17">
        <v>32</v>
      </c>
      <c r="Q195" s="17" t="s">
        <v>73</v>
      </c>
      <c r="R195" s="17" t="s">
        <v>74</v>
      </c>
      <c r="S195" s="22" t="s">
        <v>75</v>
      </c>
      <c r="T195" s="23"/>
      <c r="U195" s="17" t="s">
        <v>160</v>
      </c>
      <c r="V195" s="17" t="s">
        <v>77</v>
      </c>
      <c r="W195" s="17" t="s">
        <v>252</v>
      </c>
      <c r="X195" s="17">
        <v>3</v>
      </c>
      <c r="Y195" s="17">
        <v>0</v>
      </c>
      <c r="Z195" s="17"/>
      <c r="AA195" s="17" t="s">
        <v>73</v>
      </c>
      <c r="AB195" s="17" t="s">
        <v>681</v>
      </c>
      <c r="AC195" s="17">
        <v>2</v>
      </c>
      <c r="AD195" s="17">
        <v>0</v>
      </c>
      <c r="AE195" s="17">
        <v>0</v>
      </c>
      <c r="AF195" s="17"/>
      <c r="AG195" s="17" t="s">
        <v>124</v>
      </c>
      <c r="AH195" s="17" t="s">
        <v>82</v>
      </c>
      <c r="AI195" s="17" t="s">
        <v>83</v>
      </c>
      <c r="AJ195" s="17" t="s">
        <v>545</v>
      </c>
      <c r="AK195" s="17" t="s">
        <v>189</v>
      </c>
      <c r="AL195" s="17" t="s">
        <v>75</v>
      </c>
      <c r="AM195" s="17" t="s">
        <v>75</v>
      </c>
      <c r="AN195" s="17" t="s">
        <v>84</v>
      </c>
      <c r="AO195" s="17" t="s">
        <v>137</v>
      </c>
      <c r="AP195" s="17"/>
      <c r="AQ195" s="17"/>
      <c r="AR195" s="17"/>
      <c r="AS195" s="17"/>
      <c r="AT195" s="17" t="s">
        <v>585</v>
      </c>
      <c r="AU195" s="17" t="s">
        <v>111</v>
      </c>
    </row>
    <row r="196" hidden="1">
      <c r="A196" s="17">
        <v>194</v>
      </c>
      <c r="B196" s="17" t="s">
        <v>52</v>
      </c>
      <c r="C196" s="19" t="s">
        <v>682</v>
      </c>
      <c r="D196" s="19" t="s">
        <v>54</v>
      </c>
      <c r="E196" s="17" t="s">
        <v>683</v>
      </c>
      <c r="F196" s="17" t="s">
        <v>684</v>
      </c>
      <c r="G196" s="17">
        <v>21.964981999999999</v>
      </c>
      <c r="H196" s="17">
        <v>87.934877999999998</v>
      </c>
      <c r="I196" s="17"/>
      <c r="J196" s="17"/>
      <c r="K196" s="17"/>
      <c r="L196" s="17"/>
      <c r="M196" s="19" t="s">
        <v>117</v>
      </c>
      <c r="N196" s="17"/>
      <c r="O196" s="17"/>
      <c r="P196" s="17"/>
      <c r="Q196" s="17"/>
      <c r="R196" s="17"/>
      <c r="S196" s="22"/>
      <c r="T196" s="23"/>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row>
    <row r="197" hidden="1">
      <c r="A197" s="17">
        <v>195</v>
      </c>
      <c r="B197" s="17" t="s">
        <v>52</v>
      </c>
      <c r="C197" s="19" t="s">
        <v>685</v>
      </c>
      <c r="D197" s="19" t="s">
        <v>54</v>
      </c>
      <c r="E197" s="17"/>
      <c r="F197" s="17"/>
      <c r="G197" s="17"/>
      <c r="H197" s="17"/>
      <c r="I197" s="17"/>
      <c r="J197" s="17"/>
      <c r="K197" s="17"/>
      <c r="L197" s="17"/>
      <c r="M197" s="19" t="s">
        <v>117</v>
      </c>
      <c r="N197" s="17"/>
      <c r="O197" s="17"/>
      <c r="P197" s="17"/>
      <c r="Q197" s="17"/>
      <c r="R197" s="17"/>
      <c r="S197" s="22"/>
      <c r="T197" s="23"/>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row>
    <row r="198" hidden="1">
      <c r="A198" s="17">
        <v>196</v>
      </c>
      <c r="B198" s="17" t="s">
        <v>52</v>
      </c>
      <c r="C198" s="19" t="s">
        <v>686</v>
      </c>
      <c r="D198" s="19" t="s">
        <v>54</v>
      </c>
      <c r="E198" s="17" t="s">
        <v>687</v>
      </c>
      <c r="F198" s="17" t="s">
        <v>688</v>
      </c>
      <c r="G198" s="17">
        <v>22.025475</v>
      </c>
      <c r="H198" s="17">
        <v>87.874375999999998</v>
      </c>
      <c r="I198" s="17"/>
      <c r="J198" s="17"/>
      <c r="K198" s="17"/>
      <c r="L198" s="17"/>
      <c r="M198" s="19" t="s">
        <v>117</v>
      </c>
      <c r="N198" s="17"/>
      <c r="O198" s="17"/>
      <c r="P198" s="17"/>
      <c r="Q198" s="17"/>
      <c r="R198" s="17"/>
      <c r="S198" s="22"/>
      <c r="T198" s="23"/>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row>
    <row r="199" hidden="1">
      <c r="A199" s="17">
        <v>197</v>
      </c>
      <c r="B199" s="17" t="s">
        <v>52</v>
      </c>
      <c r="C199" s="18" t="s">
        <v>689</v>
      </c>
      <c r="D199" s="19" t="s">
        <v>54</v>
      </c>
      <c r="E199" s="17"/>
      <c r="F199" s="17"/>
      <c r="G199" s="17"/>
      <c r="H199" s="17"/>
      <c r="I199" s="17"/>
      <c r="J199" s="17"/>
      <c r="K199" s="17"/>
      <c r="L199" s="17"/>
      <c r="M199" s="20"/>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row>
    <row r="200" hidden="1">
      <c r="A200" s="17">
        <v>198</v>
      </c>
      <c r="B200" s="17" t="s">
        <v>52</v>
      </c>
      <c r="C200" s="20" t="s">
        <v>690</v>
      </c>
      <c r="D200" s="19" t="s">
        <v>54</v>
      </c>
      <c r="E200" s="17"/>
      <c r="F200" s="17"/>
      <c r="G200" s="17"/>
      <c r="H200" s="17"/>
      <c r="I200" s="17"/>
      <c r="J200" s="17"/>
      <c r="K200" s="17"/>
      <c r="L200" s="17"/>
      <c r="M200" s="20"/>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row>
    <row r="201" hidden="1">
      <c r="A201" s="17">
        <v>199</v>
      </c>
      <c r="B201" s="17" t="s">
        <v>52</v>
      </c>
      <c r="C201" s="18" t="s">
        <v>691</v>
      </c>
      <c r="D201" s="19" t="s">
        <v>54</v>
      </c>
      <c r="E201" s="17"/>
      <c r="F201" s="17"/>
      <c r="G201" s="17"/>
      <c r="H201" s="17"/>
      <c r="I201" s="17"/>
      <c r="J201" s="17"/>
      <c r="K201" s="17"/>
      <c r="L201" s="17"/>
      <c r="M201" s="20"/>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row>
    <row r="202" hidden="1">
      <c r="A202" s="17">
        <v>200</v>
      </c>
      <c r="B202" s="17" t="s">
        <v>52</v>
      </c>
      <c r="C202" s="20" t="s">
        <v>692</v>
      </c>
      <c r="D202" s="19" t="s">
        <v>54</v>
      </c>
      <c r="E202" s="17"/>
      <c r="F202" s="17"/>
      <c r="G202" s="17"/>
      <c r="H202" s="17"/>
      <c r="I202" s="17"/>
      <c r="J202" s="17"/>
      <c r="K202" s="17"/>
      <c r="L202" s="17"/>
      <c r="M202" s="20"/>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row>
    <row r="203" hidden="1">
      <c r="A203" s="17">
        <v>201</v>
      </c>
      <c r="B203" s="17" t="s">
        <v>52</v>
      </c>
      <c r="C203" s="20" t="s">
        <v>693</v>
      </c>
      <c r="D203" s="19" t="s">
        <v>54</v>
      </c>
      <c r="E203" s="17"/>
      <c r="F203" s="17"/>
      <c r="G203" s="17"/>
      <c r="H203" s="17"/>
      <c r="I203" s="17"/>
      <c r="J203" s="17"/>
      <c r="K203" s="17"/>
      <c r="L203" s="17"/>
      <c r="M203" s="20"/>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row>
    <row r="204" hidden="1">
      <c r="A204" s="17">
        <v>202</v>
      </c>
      <c r="B204" s="17" t="s">
        <v>52</v>
      </c>
      <c r="C204" s="19" t="s">
        <v>694</v>
      </c>
      <c r="D204" s="19" t="s">
        <v>54</v>
      </c>
      <c r="E204" s="17" t="s">
        <v>695</v>
      </c>
      <c r="F204" s="17" t="s">
        <v>696</v>
      </c>
      <c r="G204" s="17">
        <v>22.087986999999998</v>
      </c>
      <c r="H204" s="17">
        <v>87.859189000000001</v>
      </c>
      <c r="I204" s="17"/>
      <c r="J204" s="17"/>
      <c r="K204" s="17"/>
      <c r="L204" s="17"/>
      <c r="M204" s="19" t="s">
        <v>72</v>
      </c>
      <c r="N204" s="17">
        <v>6289037005</v>
      </c>
      <c r="O204" s="17">
        <v>24</v>
      </c>
      <c r="P204" s="17">
        <v>100</v>
      </c>
      <c r="Q204" s="17" t="s">
        <v>73</v>
      </c>
      <c r="R204" s="17" t="s">
        <v>104</v>
      </c>
      <c r="S204" s="17" t="s">
        <v>75</v>
      </c>
      <c r="T204" s="17"/>
      <c r="U204" s="17" t="s">
        <v>160</v>
      </c>
      <c r="V204" s="17" t="s">
        <v>77</v>
      </c>
      <c r="W204" s="17" t="s">
        <v>161</v>
      </c>
      <c r="X204" s="17">
        <v>5</v>
      </c>
      <c r="Y204" s="17">
        <v>0</v>
      </c>
      <c r="Z204" s="17"/>
      <c r="AA204" s="17" t="s">
        <v>73</v>
      </c>
      <c r="AB204" s="17" t="s">
        <v>79</v>
      </c>
      <c r="AC204" s="17">
        <v>2</v>
      </c>
      <c r="AD204" s="17">
        <v>0</v>
      </c>
      <c r="AE204" s="17">
        <v>0</v>
      </c>
      <c r="AF204" s="17"/>
      <c r="AG204" s="17" t="s">
        <v>697</v>
      </c>
      <c r="AH204" s="17"/>
      <c r="AI204" s="17"/>
      <c r="AJ204" s="17"/>
      <c r="AK204" s="17"/>
      <c r="AL204" s="17"/>
      <c r="AM204" s="17"/>
      <c r="AN204" s="17"/>
      <c r="AO204" s="17"/>
      <c r="AP204" s="17"/>
      <c r="AQ204" s="17"/>
      <c r="AR204" s="17"/>
      <c r="AS204" s="17"/>
      <c r="AT204" s="17" t="s">
        <v>698</v>
      </c>
      <c r="AU204" s="17" t="s">
        <v>111</v>
      </c>
    </row>
    <row r="205" hidden="1">
      <c r="A205" s="17">
        <v>203</v>
      </c>
      <c r="B205" s="17" t="s">
        <v>52</v>
      </c>
      <c r="C205" s="19" t="s">
        <v>699</v>
      </c>
      <c r="D205" s="19" t="s">
        <v>54</v>
      </c>
      <c r="E205" s="17" t="s">
        <v>700</v>
      </c>
      <c r="F205" s="17" t="s">
        <v>701</v>
      </c>
      <c r="G205" s="17">
        <v>22.118988999999999</v>
      </c>
      <c r="H205" s="17">
        <v>87.881741000000005</v>
      </c>
      <c r="I205" s="17"/>
      <c r="J205" s="17"/>
      <c r="K205" s="17"/>
      <c r="L205" s="17"/>
      <c r="M205" s="19" t="s">
        <v>72</v>
      </c>
      <c r="N205" s="17">
        <v>6289037005</v>
      </c>
      <c r="O205" s="17">
        <v>18</v>
      </c>
      <c r="P205" s="17">
        <v>100</v>
      </c>
      <c r="Q205" s="17" t="s">
        <v>187</v>
      </c>
      <c r="R205" s="17" t="s">
        <v>104</v>
      </c>
      <c r="S205" s="17" t="s">
        <v>75</v>
      </c>
      <c r="T205" s="17"/>
      <c r="U205" s="17" t="s">
        <v>76</v>
      </c>
      <c r="V205" s="17" t="s">
        <v>77</v>
      </c>
      <c r="W205" s="17" t="s">
        <v>78</v>
      </c>
      <c r="X205" s="17">
        <v>5</v>
      </c>
      <c r="Y205" s="17">
        <v>2</v>
      </c>
      <c r="Z205" s="17"/>
      <c r="AA205" s="17" t="s">
        <v>187</v>
      </c>
      <c r="AB205" s="17" t="s">
        <v>79</v>
      </c>
      <c r="AC205" s="17">
        <v>3</v>
      </c>
      <c r="AD205" s="17">
        <v>0</v>
      </c>
      <c r="AE205" s="17">
        <v>1</v>
      </c>
      <c r="AF205" s="17"/>
      <c r="AG205" s="17" t="s">
        <v>124</v>
      </c>
      <c r="AH205" s="17" t="s">
        <v>82</v>
      </c>
      <c r="AI205" s="17" t="s">
        <v>83</v>
      </c>
      <c r="AJ205" s="17">
        <v>2111</v>
      </c>
      <c r="AK205" s="17" t="s">
        <v>75</v>
      </c>
      <c r="AL205" s="17" t="s">
        <v>75</v>
      </c>
      <c r="AM205" s="17" t="s">
        <v>75</v>
      </c>
      <c r="AN205" s="17" t="s">
        <v>84</v>
      </c>
      <c r="AO205" s="17" t="s">
        <v>75</v>
      </c>
      <c r="AP205" s="17"/>
      <c r="AQ205" s="17"/>
      <c r="AR205" s="17"/>
      <c r="AS205" s="17"/>
      <c r="AT205" s="17" t="s">
        <v>702</v>
      </c>
      <c r="AU205" s="17" t="s">
        <v>111</v>
      </c>
    </row>
    <row r="206" hidden="1">
      <c r="A206" s="17">
        <v>204</v>
      </c>
      <c r="B206" s="17" t="s">
        <v>52</v>
      </c>
      <c r="C206" s="19" t="s">
        <v>703</v>
      </c>
      <c r="D206" s="19" t="s">
        <v>54</v>
      </c>
      <c r="E206" s="17" t="s">
        <v>704</v>
      </c>
      <c r="F206" s="17" t="s">
        <v>705</v>
      </c>
      <c r="G206" s="17">
        <v>22.059692999999999</v>
      </c>
      <c r="H206" s="17">
        <v>87.839106000000001</v>
      </c>
      <c r="I206" s="17"/>
      <c r="J206" s="17"/>
      <c r="K206" s="17"/>
      <c r="L206" s="17"/>
      <c r="M206" s="19" t="s">
        <v>72</v>
      </c>
      <c r="N206" s="17">
        <v>6289037005</v>
      </c>
      <c r="O206" s="17">
        <v>18</v>
      </c>
      <c r="P206" s="17">
        <v>70</v>
      </c>
      <c r="Q206" s="17" t="s">
        <v>73</v>
      </c>
      <c r="R206" s="17" t="s">
        <v>104</v>
      </c>
      <c r="S206" s="17" t="s">
        <v>75</v>
      </c>
      <c r="T206" s="17"/>
      <c r="U206" s="17" t="s">
        <v>105</v>
      </c>
      <c r="V206" s="17" t="s">
        <v>77</v>
      </c>
      <c r="W206" s="17" t="s">
        <v>136</v>
      </c>
      <c r="X206" s="17">
        <v>2</v>
      </c>
      <c r="Y206" s="17">
        <v>0</v>
      </c>
      <c r="Z206" s="17"/>
      <c r="AA206" s="17" t="s">
        <v>73</v>
      </c>
      <c r="AB206" s="17" t="s">
        <v>79</v>
      </c>
      <c r="AC206" s="17">
        <v>2</v>
      </c>
      <c r="AD206" s="17">
        <v>0</v>
      </c>
      <c r="AE206" s="17">
        <v>0</v>
      </c>
      <c r="AF206" s="17" t="s">
        <v>706</v>
      </c>
      <c r="AG206" s="17" t="s">
        <v>124</v>
      </c>
      <c r="AH206" s="17" t="s">
        <v>82</v>
      </c>
      <c r="AI206" s="17" t="s">
        <v>83</v>
      </c>
      <c r="AJ206" s="17">
        <v>2111</v>
      </c>
      <c r="AK206" s="17" t="s">
        <v>75</v>
      </c>
      <c r="AL206" s="17" t="s">
        <v>75</v>
      </c>
      <c r="AM206" s="17" t="s">
        <v>75</v>
      </c>
      <c r="AN206" s="17" t="s">
        <v>125</v>
      </c>
      <c r="AO206" s="17" t="s">
        <v>75</v>
      </c>
      <c r="AP206" s="17"/>
      <c r="AQ206" s="17"/>
      <c r="AR206" s="17"/>
      <c r="AS206" s="17"/>
      <c r="AT206" s="17" t="s">
        <v>707</v>
      </c>
      <c r="AU206" s="17" t="s">
        <v>111</v>
      </c>
    </row>
    <row r="207" hidden="1">
      <c r="A207" s="17">
        <v>205</v>
      </c>
      <c r="B207" s="17" t="s">
        <v>52</v>
      </c>
      <c r="C207" s="19" t="s">
        <v>708</v>
      </c>
      <c r="D207" s="19" t="s">
        <v>54</v>
      </c>
      <c r="E207" s="17" t="s">
        <v>709</v>
      </c>
      <c r="F207" s="17" t="s">
        <v>710</v>
      </c>
      <c r="G207" s="17">
        <v>22.113319000000001</v>
      </c>
      <c r="H207" s="17">
        <v>87.904557999999994</v>
      </c>
      <c r="I207" s="17"/>
      <c r="J207" s="17"/>
      <c r="K207" s="17"/>
      <c r="L207" s="17"/>
      <c r="M207" s="19" t="s">
        <v>72</v>
      </c>
      <c r="N207" s="17">
        <v>6289037005</v>
      </c>
      <c r="O207" s="17">
        <v>20</v>
      </c>
      <c r="P207" s="17">
        <v>90</v>
      </c>
      <c r="Q207" s="17" t="s">
        <v>73</v>
      </c>
      <c r="R207" s="17" t="s">
        <v>74</v>
      </c>
      <c r="S207" s="17" t="s">
        <v>711</v>
      </c>
      <c r="T207" s="17"/>
      <c r="U207" s="17" t="s">
        <v>76</v>
      </c>
      <c r="V207" s="17" t="s">
        <v>77</v>
      </c>
      <c r="W207" s="17" t="s">
        <v>123</v>
      </c>
      <c r="X207" s="17">
        <v>4</v>
      </c>
      <c r="Y207" s="17">
        <v>1</v>
      </c>
      <c r="Z207" s="17"/>
      <c r="AA207" s="17" t="s">
        <v>73</v>
      </c>
      <c r="AB207" s="17" t="s">
        <v>79</v>
      </c>
      <c r="AC207" s="17">
        <v>2</v>
      </c>
      <c r="AD207" s="17">
        <v>0</v>
      </c>
      <c r="AE207" s="17">
        <v>0</v>
      </c>
      <c r="AF207" s="17"/>
      <c r="AG207" s="17" t="s">
        <v>81</v>
      </c>
      <c r="AH207" s="17" t="s">
        <v>82</v>
      </c>
      <c r="AI207" s="17" t="s">
        <v>107</v>
      </c>
      <c r="AJ207" s="17"/>
      <c r="AK207" s="17" t="s">
        <v>75</v>
      </c>
      <c r="AL207" s="17" t="s">
        <v>75</v>
      </c>
      <c r="AM207" s="17" t="s">
        <v>75</v>
      </c>
      <c r="AN207" s="17" t="s">
        <v>84</v>
      </c>
      <c r="AO207" s="17" t="s">
        <v>75</v>
      </c>
      <c r="AP207" s="17"/>
      <c r="AQ207" s="17"/>
      <c r="AR207" s="17"/>
      <c r="AS207" s="17"/>
      <c r="AT207" s="17" t="s">
        <v>712</v>
      </c>
      <c r="AU207" s="17" t="s">
        <v>713</v>
      </c>
    </row>
    <row r="208" hidden="1">
      <c r="A208" s="17">
        <v>206</v>
      </c>
      <c r="B208" s="17" t="s">
        <v>52</v>
      </c>
      <c r="C208" s="19" t="s">
        <v>714</v>
      </c>
      <c r="D208" s="19" t="s">
        <v>54</v>
      </c>
      <c r="E208" s="17" t="s">
        <v>715</v>
      </c>
      <c r="F208" s="17" t="s">
        <v>716</v>
      </c>
      <c r="G208" s="17">
        <v>22.104424000000002</v>
      </c>
      <c r="H208" s="17">
        <v>87.863061999999999</v>
      </c>
      <c r="I208" s="17"/>
      <c r="J208" s="17"/>
      <c r="K208" s="17"/>
      <c r="L208" s="17"/>
      <c r="M208" s="19" t="s">
        <v>72</v>
      </c>
      <c r="N208" s="17">
        <v>6289037005</v>
      </c>
      <c r="O208" s="17">
        <v>20</v>
      </c>
      <c r="P208" s="17">
        <v>100</v>
      </c>
      <c r="Q208" s="17" t="s">
        <v>73</v>
      </c>
      <c r="R208" s="17" t="s">
        <v>74</v>
      </c>
      <c r="S208" s="17"/>
      <c r="T208" s="17"/>
      <c r="U208" s="17" t="s">
        <v>160</v>
      </c>
      <c r="V208" s="17" t="s">
        <v>77</v>
      </c>
      <c r="W208" s="17" t="s">
        <v>252</v>
      </c>
      <c r="X208" s="17">
        <v>5</v>
      </c>
      <c r="Y208" s="17">
        <v>1</v>
      </c>
      <c r="Z208" s="17"/>
      <c r="AA208" s="17" t="s">
        <v>73</v>
      </c>
      <c r="AB208" s="17" t="s">
        <v>79</v>
      </c>
      <c r="AC208" s="17">
        <v>1</v>
      </c>
      <c r="AD208" s="17">
        <v>0</v>
      </c>
      <c r="AE208" s="17">
        <v>0</v>
      </c>
      <c r="AF208" s="17" t="s">
        <v>600</v>
      </c>
      <c r="AG208" s="17" t="s">
        <v>81</v>
      </c>
      <c r="AH208" s="17" t="s">
        <v>82</v>
      </c>
      <c r="AI208" s="17" t="s">
        <v>107</v>
      </c>
      <c r="AJ208" s="17"/>
      <c r="AK208" s="17" t="s">
        <v>75</v>
      </c>
      <c r="AL208" s="17" t="s">
        <v>75</v>
      </c>
      <c r="AM208" s="17" t="s">
        <v>75</v>
      </c>
      <c r="AN208" s="17" t="s">
        <v>125</v>
      </c>
      <c r="AO208" s="17" t="s">
        <v>75</v>
      </c>
      <c r="AP208" s="17"/>
      <c r="AQ208" s="17"/>
      <c r="AR208" s="17"/>
      <c r="AS208" s="17"/>
      <c r="AT208" s="17" t="s">
        <v>526</v>
      </c>
      <c r="AU208" s="17" t="s">
        <v>111</v>
      </c>
    </row>
    <row r="209" hidden="1">
      <c r="A209" s="17">
        <v>207</v>
      </c>
      <c r="B209" s="17" t="s">
        <v>52</v>
      </c>
      <c r="C209" s="19" t="s">
        <v>717</v>
      </c>
      <c r="D209" s="19" t="s">
        <v>54</v>
      </c>
      <c r="E209" s="17" t="s">
        <v>718</v>
      </c>
      <c r="F209" s="17" t="s">
        <v>719</v>
      </c>
      <c r="G209" s="17">
        <v>22.104887999999999</v>
      </c>
      <c r="H209" s="17">
        <v>87.831024999999997</v>
      </c>
      <c r="I209" s="17"/>
      <c r="J209" s="17"/>
      <c r="K209" s="17"/>
      <c r="L209" s="17"/>
      <c r="M209" s="19" t="s">
        <v>72</v>
      </c>
      <c r="N209" s="17">
        <v>6289037005</v>
      </c>
      <c r="O209" s="17">
        <v>18</v>
      </c>
      <c r="P209" s="17">
        <v>60</v>
      </c>
      <c r="Q209" s="17" t="s">
        <v>73</v>
      </c>
      <c r="R209" s="17" t="s">
        <v>104</v>
      </c>
      <c r="S209" s="17" t="s">
        <v>75</v>
      </c>
      <c r="T209" s="17"/>
      <c r="U209" s="17" t="s">
        <v>76</v>
      </c>
      <c r="V209" s="17" t="s">
        <v>77</v>
      </c>
      <c r="W209" s="17" t="s">
        <v>78</v>
      </c>
      <c r="X209" s="17">
        <v>2</v>
      </c>
      <c r="Y209" s="17">
        <v>0</v>
      </c>
      <c r="Z209" s="17"/>
      <c r="AA209" s="17" t="s">
        <v>73</v>
      </c>
      <c r="AB209" s="17" t="s">
        <v>79</v>
      </c>
      <c r="AC209" s="17">
        <v>1</v>
      </c>
      <c r="AD209" s="17">
        <v>0</v>
      </c>
      <c r="AE209" s="17">
        <v>0</v>
      </c>
      <c r="AF209" s="17"/>
      <c r="AG209" s="17" t="s">
        <v>81</v>
      </c>
      <c r="AH209" s="17" t="s">
        <v>82</v>
      </c>
      <c r="AI209" s="17" t="s">
        <v>107</v>
      </c>
      <c r="AJ209" s="17"/>
      <c r="AK209" s="17" t="s">
        <v>75</v>
      </c>
      <c r="AL209" s="17" t="s">
        <v>75</v>
      </c>
      <c r="AM209" s="17" t="s">
        <v>75</v>
      </c>
      <c r="AN209" s="17" t="s">
        <v>84</v>
      </c>
      <c r="AO209" s="17" t="s">
        <v>137</v>
      </c>
      <c r="AP209" s="17"/>
      <c r="AQ209" s="17"/>
      <c r="AR209" s="17"/>
      <c r="AS209" s="17"/>
      <c r="AT209" s="17" t="s">
        <v>712</v>
      </c>
      <c r="AU209" s="17" t="s">
        <v>720</v>
      </c>
    </row>
    <row r="210" hidden="1">
      <c r="A210" s="17">
        <v>208</v>
      </c>
      <c r="B210" s="17" t="s">
        <v>52</v>
      </c>
      <c r="C210" s="19" t="s">
        <v>721</v>
      </c>
      <c r="D210" s="19" t="s">
        <v>54</v>
      </c>
      <c r="E210" s="17" t="s">
        <v>722</v>
      </c>
      <c r="F210" s="17" t="s">
        <v>723</v>
      </c>
      <c r="G210" s="17">
        <v>22.080404999999999</v>
      </c>
      <c r="H210" s="17">
        <v>87.906567999999993</v>
      </c>
      <c r="I210" s="17"/>
      <c r="J210" s="17"/>
      <c r="K210" s="17"/>
      <c r="L210" s="17"/>
      <c r="M210" s="19" t="s">
        <v>72</v>
      </c>
      <c r="N210" s="17">
        <v>6289037005</v>
      </c>
      <c r="O210" s="17">
        <v>20</v>
      </c>
      <c r="P210" s="17">
        <v>90</v>
      </c>
      <c r="Q210" s="17" t="s">
        <v>73</v>
      </c>
      <c r="R210" s="17" t="s">
        <v>74</v>
      </c>
      <c r="S210" s="17" t="s">
        <v>75</v>
      </c>
      <c r="T210" s="17"/>
      <c r="U210" s="17" t="s">
        <v>76</v>
      </c>
      <c r="V210" s="17" t="s">
        <v>77</v>
      </c>
      <c r="W210" s="17" t="s">
        <v>161</v>
      </c>
      <c r="X210" s="17">
        <v>5</v>
      </c>
      <c r="Y210" s="17">
        <v>0</v>
      </c>
      <c r="Z210" s="17"/>
      <c r="AA210" s="17" t="s">
        <v>73</v>
      </c>
      <c r="AB210" s="17" t="s">
        <v>79</v>
      </c>
      <c r="AC210" s="17">
        <v>2</v>
      </c>
      <c r="AD210" s="17">
        <v>0</v>
      </c>
      <c r="AE210" s="17">
        <v>0</v>
      </c>
      <c r="AF210" s="17"/>
      <c r="AG210" s="17" t="s">
        <v>724</v>
      </c>
      <c r="AH210" s="17"/>
      <c r="AI210" s="17"/>
      <c r="AJ210" s="17"/>
      <c r="AK210" s="17"/>
      <c r="AL210" s="17"/>
      <c r="AM210" s="17"/>
      <c r="AN210" s="17"/>
      <c r="AO210" s="17"/>
      <c r="AP210" s="17"/>
      <c r="AQ210" s="17"/>
      <c r="AR210" s="17"/>
      <c r="AS210" s="17"/>
      <c r="AT210" s="17" t="s">
        <v>725</v>
      </c>
      <c r="AU210" s="17" t="s">
        <v>111</v>
      </c>
    </row>
    <row r="211" hidden="1">
      <c r="A211" s="17">
        <v>209</v>
      </c>
      <c r="B211" s="17" t="s">
        <v>52</v>
      </c>
      <c r="C211" s="19" t="s">
        <v>726</v>
      </c>
      <c r="D211" s="19" t="s">
        <v>54</v>
      </c>
      <c r="E211" s="17" t="s">
        <v>727</v>
      </c>
      <c r="F211" s="17" t="s">
        <v>728</v>
      </c>
      <c r="G211" s="17">
        <v>22.076518</v>
      </c>
      <c r="H211" s="17">
        <v>87.823410999999993</v>
      </c>
      <c r="I211" s="17"/>
      <c r="J211" s="17"/>
      <c r="K211" s="17"/>
      <c r="L211" s="17"/>
      <c r="M211" s="19" t="s">
        <v>72</v>
      </c>
      <c r="N211" s="17">
        <v>6289037005</v>
      </c>
      <c r="O211" s="17">
        <v>17</v>
      </c>
      <c r="P211" s="17">
        <v>120</v>
      </c>
      <c r="Q211" s="17" t="s">
        <v>73</v>
      </c>
      <c r="R211" s="17" t="s">
        <v>74</v>
      </c>
      <c r="S211" s="17" t="s">
        <v>75</v>
      </c>
      <c r="T211" s="17" t="s">
        <v>729</v>
      </c>
      <c r="U211" s="17" t="s">
        <v>160</v>
      </c>
      <c r="V211" s="17" t="s">
        <v>77</v>
      </c>
      <c r="W211" s="17" t="s">
        <v>330</v>
      </c>
      <c r="X211" s="17">
        <v>5</v>
      </c>
      <c r="Y211" s="17">
        <v>1</v>
      </c>
      <c r="Z211" s="17"/>
      <c r="AA211" s="17" t="s">
        <v>73</v>
      </c>
      <c r="AB211" s="17" t="s">
        <v>79</v>
      </c>
      <c r="AC211" s="17">
        <v>2</v>
      </c>
      <c r="AD211" s="17">
        <v>0</v>
      </c>
      <c r="AE211" s="17">
        <v>0</v>
      </c>
      <c r="AF211" s="17"/>
      <c r="AG211" s="17" t="s">
        <v>81</v>
      </c>
      <c r="AH211" s="17" t="s">
        <v>82</v>
      </c>
      <c r="AI211" s="17" t="s">
        <v>107</v>
      </c>
      <c r="AJ211" s="17"/>
      <c r="AK211" s="17" t="s">
        <v>75</v>
      </c>
      <c r="AL211" s="17" t="s">
        <v>75</v>
      </c>
      <c r="AM211" s="17" t="s">
        <v>75</v>
      </c>
      <c r="AN211" s="17" t="s">
        <v>125</v>
      </c>
      <c r="AO211" s="17" t="s">
        <v>75</v>
      </c>
      <c r="AP211" s="17"/>
      <c r="AQ211" s="17"/>
      <c r="AR211" s="17"/>
      <c r="AS211" s="17"/>
      <c r="AT211" s="17" t="s">
        <v>730</v>
      </c>
      <c r="AU211" s="17" t="s">
        <v>111</v>
      </c>
    </row>
    <row r="212" hidden="1">
      <c r="A212" s="17">
        <v>210</v>
      </c>
      <c r="B212" s="17" t="s">
        <v>52</v>
      </c>
      <c r="C212" s="19" t="s">
        <v>731</v>
      </c>
      <c r="D212" s="19" t="s">
        <v>54</v>
      </c>
      <c r="E212" s="17" t="s">
        <v>732</v>
      </c>
      <c r="F212" s="17" t="s">
        <v>733</v>
      </c>
      <c r="G212" s="17">
        <v>22.152204999999999</v>
      </c>
      <c r="H212" s="17">
        <v>87.847599000000002</v>
      </c>
      <c r="I212" s="17"/>
      <c r="J212" s="17"/>
      <c r="K212" s="17"/>
      <c r="L212" s="17"/>
      <c r="M212" s="19" t="s">
        <v>335</v>
      </c>
      <c r="N212" s="17">
        <v>6290825031</v>
      </c>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row>
    <row r="213" hidden="1">
      <c r="A213" s="17">
        <v>211</v>
      </c>
      <c r="B213" s="17" t="s">
        <v>52</v>
      </c>
      <c r="C213" s="19" t="s">
        <v>734</v>
      </c>
      <c r="D213" s="19" t="s">
        <v>54</v>
      </c>
      <c r="E213" s="17" t="s">
        <v>735</v>
      </c>
      <c r="F213" s="17" t="s">
        <v>736</v>
      </c>
      <c r="G213" s="17">
        <v>22.128164000000002</v>
      </c>
      <c r="H213" s="17">
        <v>87.886090999999993</v>
      </c>
      <c r="I213" s="17"/>
      <c r="J213" s="17"/>
      <c r="K213" s="17"/>
      <c r="L213" s="17"/>
      <c r="M213" s="19" t="s">
        <v>72</v>
      </c>
      <c r="N213" s="17">
        <v>6289037005</v>
      </c>
      <c r="O213" s="17">
        <v>20</v>
      </c>
      <c r="P213" s="17">
        <v>100</v>
      </c>
      <c r="Q213" s="17" t="s">
        <v>73</v>
      </c>
      <c r="R213" s="17" t="s">
        <v>74</v>
      </c>
      <c r="S213" s="17" t="s">
        <v>75</v>
      </c>
      <c r="T213" s="17"/>
      <c r="U213" s="17" t="s">
        <v>160</v>
      </c>
      <c r="V213" s="17" t="s">
        <v>77</v>
      </c>
      <c r="W213" s="17" t="s">
        <v>252</v>
      </c>
      <c r="X213" s="17">
        <v>5</v>
      </c>
      <c r="Y213" s="17">
        <v>0</v>
      </c>
      <c r="Z213" s="17"/>
      <c r="AA213" s="17" t="s">
        <v>73</v>
      </c>
      <c r="AB213" s="17" t="s">
        <v>79</v>
      </c>
      <c r="AC213" s="17">
        <v>2</v>
      </c>
      <c r="AD213" s="17">
        <v>0</v>
      </c>
      <c r="AE213" s="17">
        <v>0</v>
      </c>
      <c r="AF213" s="17"/>
      <c r="AG213" s="17" t="s">
        <v>124</v>
      </c>
      <c r="AH213" s="17" t="s">
        <v>82</v>
      </c>
      <c r="AI213" s="17" t="s">
        <v>83</v>
      </c>
      <c r="AJ213" s="17">
        <v>2111</v>
      </c>
      <c r="AK213" s="17" t="s">
        <v>75</v>
      </c>
      <c r="AL213" s="17" t="s">
        <v>137</v>
      </c>
      <c r="AM213" s="17" t="s">
        <v>137</v>
      </c>
      <c r="AN213" s="17" t="s">
        <v>84</v>
      </c>
      <c r="AO213" s="17" t="s">
        <v>137</v>
      </c>
      <c r="AP213" s="17"/>
      <c r="AQ213" s="17"/>
      <c r="AR213" s="17"/>
      <c r="AS213" s="17"/>
      <c r="AT213" s="17" t="s">
        <v>666</v>
      </c>
      <c r="AU213" s="17" t="s">
        <v>737</v>
      </c>
    </row>
    <row r="214" hidden="1">
      <c r="A214" s="17">
        <v>212</v>
      </c>
      <c r="B214" s="17" t="s">
        <v>52</v>
      </c>
      <c r="C214" s="19" t="s">
        <v>738</v>
      </c>
      <c r="D214" s="19" t="s">
        <v>54</v>
      </c>
      <c r="E214" s="17" t="s">
        <v>739</v>
      </c>
      <c r="F214" s="17" t="s">
        <v>740</v>
      </c>
      <c r="G214" s="17">
        <v>22.102155</v>
      </c>
      <c r="H214" s="17">
        <v>87.934956999999997</v>
      </c>
      <c r="I214" s="17"/>
      <c r="J214" s="17"/>
      <c r="K214" s="17"/>
      <c r="L214" s="17"/>
      <c r="M214" s="19" t="s">
        <v>117</v>
      </c>
      <c r="N214" s="17"/>
      <c r="O214" s="17">
        <v>16</v>
      </c>
      <c r="P214" s="17">
        <v>32</v>
      </c>
      <c r="Q214" s="17" t="s">
        <v>73</v>
      </c>
      <c r="R214" s="17" t="s">
        <v>74</v>
      </c>
      <c r="S214" s="22" t="s">
        <v>75</v>
      </c>
      <c r="T214" s="23"/>
      <c r="U214" s="17" t="s">
        <v>160</v>
      </c>
      <c r="V214" s="17" t="s">
        <v>77</v>
      </c>
      <c r="W214" s="17" t="s">
        <v>78</v>
      </c>
      <c r="X214" s="17">
        <v>3</v>
      </c>
      <c r="Y214" s="17">
        <v>0</v>
      </c>
      <c r="Z214" s="17"/>
      <c r="AA214" s="17" t="s">
        <v>73</v>
      </c>
      <c r="AB214" s="17" t="s">
        <v>79</v>
      </c>
      <c r="AC214" s="17">
        <v>1</v>
      </c>
      <c r="AD214" s="17">
        <v>0</v>
      </c>
      <c r="AE214" s="17">
        <v>0</v>
      </c>
      <c r="AF214" s="17"/>
      <c r="AG214" s="17" t="s">
        <v>124</v>
      </c>
      <c r="AH214" s="17" t="s">
        <v>82</v>
      </c>
      <c r="AI214" s="17" t="s">
        <v>83</v>
      </c>
      <c r="AJ214" s="17" t="s">
        <v>221</v>
      </c>
      <c r="AK214" s="17" t="s">
        <v>189</v>
      </c>
      <c r="AL214" s="17" t="s">
        <v>137</v>
      </c>
      <c r="AM214" s="17" t="s">
        <v>75</v>
      </c>
      <c r="AN214" s="17" t="s">
        <v>84</v>
      </c>
      <c r="AO214" s="17" t="s">
        <v>75</v>
      </c>
      <c r="AP214" s="17" t="s">
        <v>73</v>
      </c>
      <c r="AQ214" s="17" t="s">
        <v>741</v>
      </c>
      <c r="AR214" s="17">
        <v>2</v>
      </c>
      <c r="AS214" s="17">
        <v>1</v>
      </c>
      <c r="AT214" s="17" t="s">
        <v>742</v>
      </c>
      <c r="AU214" s="17" t="s">
        <v>127</v>
      </c>
    </row>
    <row r="215" hidden="1">
      <c r="A215" s="17">
        <v>213</v>
      </c>
      <c r="B215" s="17" t="s">
        <v>52</v>
      </c>
      <c r="C215" s="19" t="s">
        <v>743</v>
      </c>
      <c r="D215" s="19" t="s">
        <v>54</v>
      </c>
      <c r="E215" s="17" t="s">
        <v>744</v>
      </c>
      <c r="F215" s="17" t="s">
        <v>745</v>
      </c>
      <c r="G215" s="17">
        <v>22.097389</v>
      </c>
      <c r="H215" s="17">
        <v>87.905917000000002</v>
      </c>
      <c r="I215" s="17"/>
      <c r="J215" s="17"/>
      <c r="K215" s="17"/>
      <c r="L215" s="17"/>
      <c r="M215" s="19" t="s">
        <v>72</v>
      </c>
      <c r="N215" s="17">
        <v>6289037005</v>
      </c>
      <c r="O215" s="17">
        <v>15</v>
      </c>
      <c r="P215" s="17">
        <v>115</v>
      </c>
      <c r="Q215" s="17" t="s">
        <v>73</v>
      </c>
      <c r="R215" s="17" t="s">
        <v>74</v>
      </c>
      <c r="S215" s="17" t="s">
        <v>75</v>
      </c>
      <c r="T215" s="17"/>
      <c r="U215" s="17" t="s">
        <v>105</v>
      </c>
      <c r="V215" s="17" t="s">
        <v>77</v>
      </c>
      <c r="W215" s="17" t="s">
        <v>123</v>
      </c>
      <c r="X215" s="17">
        <v>4</v>
      </c>
      <c r="Y215" s="17">
        <v>1</v>
      </c>
      <c r="Z215" s="17"/>
      <c r="AA215" s="17" t="s">
        <v>73</v>
      </c>
      <c r="AB215" s="17" t="s">
        <v>79</v>
      </c>
      <c r="AC215" s="17">
        <v>2</v>
      </c>
      <c r="AD215" s="17">
        <v>0</v>
      </c>
      <c r="AE215" s="17">
        <v>0</v>
      </c>
      <c r="AF215" s="17"/>
      <c r="AG215" s="17" t="s">
        <v>124</v>
      </c>
      <c r="AH215" s="17" t="s">
        <v>82</v>
      </c>
      <c r="AI215" s="17" t="s">
        <v>83</v>
      </c>
      <c r="AJ215" s="17">
        <v>2111</v>
      </c>
      <c r="AK215" s="17" t="s">
        <v>75</v>
      </c>
      <c r="AL215" s="17" t="s">
        <v>75</v>
      </c>
      <c r="AM215" s="17" t="s">
        <v>75</v>
      </c>
      <c r="AN215" s="17" t="s">
        <v>84</v>
      </c>
      <c r="AO215" s="17" t="s">
        <v>75</v>
      </c>
      <c r="AP215" s="17"/>
      <c r="AQ215" s="17"/>
      <c r="AR215" s="17"/>
      <c r="AS215" s="17"/>
      <c r="AT215" s="17" t="s">
        <v>746</v>
      </c>
      <c r="AU215" s="17" t="s">
        <v>737</v>
      </c>
    </row>
    <row r="216" hidden="1">
      <c r="A216" s="17">
        <v>214</v>
      </c>
      <c r="B216" s="17" t="s">
        <v>52</v>
      </c>
      <c r="C216" s="19" t="s">
        <v>747</v>
      </c>
      <c r="D216" s="19" t="s">
        <v>54</v>
      </c>
      <c r="E216" s="17" t="s">
        <v>748</v>
      </c>
      <c r="F216" s="17" t="s">
        <v>749</v>
      </c>
      <c r="G216" s="17">
        <v>22.107220999999999</v>
      </c>
      <c r="H216" s="17">
        <v>87.881889999999999</v>
      </c>
      <c r="I216" s="17"/>
      <c r="J216" s="17"/>
      <c r="K216" s="17"/>
      <c r="L216" s="17"/>
      <c r="M216" s="19" t="s">
        <v>72</v>
      </c>
      <c r="N216" s="17">
        <v>6289037005</v>
      </c>
      <c r="O216" s="17">
        <v>20</v>
      </c>
      <c r="P216" s="17">
        <v>120</v>
      </c>
      <c r="Q216" s="17" t="s">
        <v>187</v>
      </c>
      <c r="R216" s="17" t="s">
        <v>74</v>
      </c>
      <c r="S216" s="17" t="s">
        <v>750</v>
      </c>
      <c r="T216" s="17"/>
      <c r="U216" s="17" t="s">
        <v>76</v>
      </c>
      <c r="V216" s="17" t="s">
        <v>77</v>
      </c>
      <c r="W216" s="17" t="s">
        <v>78</v>
      </c>
      <c r="X216" s="17">
        <v>4</v>
      </c>
      <c r="Y216" s="17">
        <v>0</v>
      </c>
      <c r="Z216" s="17"/>
      <c r="AA216" s="17" t="s">
        <v>187</v>
      </c>
      <c r="AB216" s="17" t="s">
        <v>79</v>
      </c>
      <c r="AC216" s="17">
        <v>3</v>
      </c>
      <c r="AD216" s="17">
        <v>0</v>
      </c>
      <c r="AE216" s="17">
        <v>0</v>
      </c>
      <c r="AF216" s="17"/>
      <c r="AG216" s="17" t="s">
        <v>124</v>
      </c>
      <c r="AH216" s="17" t="s">
        <v>82</v>
      </c>
      <c r="AI216" s="17" t="s">
        <v>83</v>
      </c>
      <c r="AJ216" s="17">
        <v>2111</v>
      </c>
      <c r="AK216" s="17" t="s">
        <v>75</v>
      </c>
      <c r="AL216" s="17" t="s">
        <v>75</v>
      </c>
      <c r="AM216" s="17" t="s">
        <v>75</v>
      </c>
      <c r="AN216" s="17" t="s">
        <v>84</v>
      </c>
      <c r="AO216" s="17" t="s">
        <v>75</v>
      </c>
      <c r="AP216" s="17"/>
      <c r="AQ216" s="17"/>
      <c r="AR216" s="17"/>
      <c r="AS216" s="17"/>
      <c r="AT216" s="17" t="s">
        <v>751</v>
      </c>
      <c r="AU216" s="17" t="s">
        <v>111</v>
      </c>
    </row>
    <row r="217" hidden="1">
      <c r="A217" s="17">
        <v>215</v>
      </c>
      <c r="B217" s="17" t="s">
        <v>52</v>
      </c>
      <c r="C217" s="19" t="s">
        <v>752</v>
      </c>
      <c r="D217" s="19" t="s">
        <v>54</v>
      </c>
      <c r="E217" s="17" t="s">
        <v>753</v>
      </c>
      <c r="F217" s="17" t="s">
        <v>754</v>
      </c>
      <c r="G217" s="17">
        <v>22.090572999999999</v>
      </c>
      <c r="H217" s="17">
        <v>87.812174999999996</v>
      </c>
      <c r="I217" s="17"/>
      <c r="J217" s="17"/>
      <c r="K217" s="17"/>
      <c r="L217" s="17"/>
      <c r="M217" s="19" t="s">
        <v>72</v>
      </c>
      <c r="N217" s="17">
        <v>6289037005</v>
      </c>
      <c r="O217" s="17">
        <v>20</v>
      </c>
      <c r="P217" s="17">
        <v>150</v>
      </c>
      <c r="Q217" s="17" t="s">
        <v>73</v>
      </c>
      <c r="R217" s="17" t="s">
        <v>74</v>
      </c>
      <c r="S217" s="17" t="s">
        <v>75</v>
      </c>
      <c r="T217" s="17"/>
      <c r="U217" s="17" t="s">
        <v>755</v>
      </c>
      <c r="V217" s="17" t="s">
        <v>504</v>
      </c>
      <c r="W217" s="17" t="s">
        <v>151</v>
      </c>
      <c r="X217" s="17">
        <v>6</v>
      </c>
      <c r="Y217" s="17">
        <v>0</v>
      </c>
      <c r="Z217" s="17"/>
      <c r="AA217" s="17" t="s">
        <v>73</v>
      </c>
      <c r="AB217" s="17" t="s">
        <v>79</v>
      </c>
      <c r="AC217" s="17">
        <v>2</v>
      </c>
      <c r="AD217" s="17">
        <v>0</v>
      </c>
      <c r="AE217" s="17">
        <v>0</v>
      </c>
      <c r="AF217" s="17"/>
      <c r="AG217" s="17" t="s">
        <v>124</v>
      </c>
      <c r="AH217" s="17" t="s">
        <v>82</v>
      </c>
      <c r="AI217" s="17" t="s">
        <v>83</v>
      </c>
      <c r="AJ217" s="17">
        <v>2111</v>
      </c>
      <c r="AK217" s="17" t="s">
        <v>75</v>
      </c>
      <c r="AL217" s="17" t="s">
        <v>75</v>
      </c>
      <c r="AM217" s="17" t="s">
        <v>75</v>
      </c>
      <c r="AN217" s="17" t="s">
        <v>84</v>
      </c>
      <c r="AO217" s="17" t="s">
        <v>75</v>
      </c>
      <c r="AP217" s="17"/>
      <c r="AQ217" s="17"/>
      <c r="AR217" s="17"/>
      <c r="AS217" s="17"/>
      <c r="AT217" s="17" t="s">
        <v>526</v>
      </c>
      <c r="AU217" s="17"/>
    </row>
    <row r="218" hidden="1">
      <c r="A218" s="17">
        <v>216</v>
      </c>
      <c r="B218" s="17" t="s">
        <v>52</v>
      </c>
      <c r="C218" s="19" t="s">
        <v>756</v>
      </c>
      <c r="D218" s="19" t="s">
        <v>54</v>
      </c>
      <c r="E218" s="17" t="s">
        <v>757</v>
      </c>
      <c r="F218" s="17" t="s">
        <v>758</v>
      </c>
      <c r="G218" s="17">
        <v>22.050619999999999</v>
      </c>
      <c r="H218" s="17">
        <v>87.876859999999994</v>
      </c>
      <c r="I218" s="17"/>
      <c r="J218" s="17"/>
      <c r="K218" s="17"/>
      <c r="L218" s="17"/>
      <c r="M218" s="19" t="s">
        <v>72</v>
      </c>
      <c r="N218" s="17">
        <v>6289037005</v>
      </c>
      <c r="O218" s="17">
        <v>15</v>
      </c>
      <c r="P218" s="17">
        <v>150</v>
      </c>
      <c r="Q218" s="17" t="s">
        <v>187</v>
      </c>
      <c r="R218" s="17" t="s">
        <v>74</v>
      </c>
      <c r="S218" s="17" t="s">
        <v>137</v>
      </c>
      <c r="T218" s="17" t="s">
        <v>759</v>
      </c>
      <c r="U218" s="17" t="s">
        <v>76</v>
      </c>
      <c r="V218" s="17" t="s">
        <v>77</v>
      </c>
      <c r="W218" s="17">
        <v>0</v>
      </c>
      <c r="X218" s="17">
        <v>4</v>
      </c>
      <c r="Y218" s="17">
        <v>1</v>
      </c>
      <c r="Z218" s="17"/>
      <c r="AA218" s="17" t="s">
        <v>187</v>
      </c>
      <c r="AB218" s="17" t="s">
        <v>79</v>
      </c>
      <c r="AC218" s="17">
        <v>4</v>
      </c>
      <c r="AD218" s="17">
        <v>0</v>
      </c>
      <c r="AE218" s="17">
        <v>0</v>
      </c>
      <c r="AF218" s="17"/>
      <c r="AG218" s="17" t="s">
        <v>81</v>
      </c>
      <c r="AH218" s="17" t="s">
        <v>82</v>
      </c>
      <c r="AI218" s="17" t="s">
        <v>83</v>
      </c>
      <c r="AJ218" s="17">
        <v>2111</v>
      </c>
      <c r="AK218" s="17" t="s">
        <v>75</v>
      </c>
      <c r="AL218" s="17" t="s">
        <v>75</v>
      </c>
      <c r="AM218" s="17" t="s">
        <v>75</v>
      </c>
      <c r="AN218" s="17" t="s">
        <v>84</v>
      </c>
      <c r="AO218" s="17" t="s">
        <v>75</v>
      </c>
      <c r="AP218" s="17"/>
      <c r="AQ218" s="17"/>
      <c r="AR218" s="17"/>
      <c r="AS218" s="17"/>
      <c r="AT218" s="17" t="s">
        <v>760</v>
      </c>
      <c r="AU218" s="17" t="s">
        <v>111</v>
      </c>
    </row>
    <row r="219" hidden="1">
      <c r="A219" s="17">
        <v>217</v>
      </c>
      <c r="B219" s="17" t="s">
        <v>52</v>
      </c>
      <c r="C219" s="19" t="s">
        <v>761</v>
      </c>
      <c r="D219" s="19" t="s">
        <v>54</v>
      </c>
      <c r="E219" s="17" t="s">
        <v>762</v>
      </c>
      <c r="F219" s="17" t="s">
        <v>763</v>
      </c>
      <c r="G219" s="17">
        <v>22.131774</v>
      </c>
      <c r="H219" s="17">
        <v>87.852491000000001</v>
      </c>
      <c r="I219" s="17"/>
      <c r="J219" s="17"/>
      <c r="K219" s="17"/>
      <c r="L219" s="17"/>
      <c r="M219" s="19" t="s">
        <v>72</v>
      </c>
      <c r="N219" s="17">
        <v>6289037005</v>
      </c>
      <c r="O219" s="17">
        <v>20</v>
      </c>
      <c r="P219" s="17">
        <v>90</v>
      </c>
      <c r="Q219" s="17" t="s">
        <v>187</v>
      </c>
      <c r="R219" s="17" t="s">
        <v>74</v>
      </c>
      <c r="S219" s="17" t="s">
        <v>75</v>
      </c>
      <c r="T219" s="17"/>
      <c r="U219" s="17" t="s">
        <v>160</v>
      </c>
      <c r="V219" s="17" t="s">
        <v>77</v>
      </c>
      <c r="W219" s="17" t="s">
        <v>252</v>
      </c>
      <c r="X219" s="17">
        <v>5</v>
      </c>
      <c r="Y219" s="17">
        <v>1</v>
      </c>
      <c r="Z219" s="17"/>
      <c r="AA219" s="17" t="s">
        <v>187</v>
      </c>
      <c r="AB219" s="17" t="s">
        <v>79</v>
      </c>
      <c r="AC219" s="17">
        <v>2</v>
      </c>
      <c r="AD219" s="17">
        <v>0</v>
      </c>
      <c r="AE219" s="17">
        <v>0</v>
      </c>
      <c r="AF219" s="17"/>
      <c r="AG219" s="17" t="s">
        <v>124</v>
      </c>
      <c r="AH219" s="17" t="s">
        <v>82</v>
      </c>
      <c r="AI219" s="17" t="s">
        <v>83</v>
      </c>
      <c r="AJ219" s="17">
        <v>2111</v>
      </c>
      <c r="AK219" s="17" t="s">
        <v>137</v>
      </c>
      <c r="AL219" s="17" t="s">
        <v>75</v>
      </c>
      <c r="AM219" s="17" t="s">
        <v>137</v>
      </c>
      <c r="AN219" s="17" t="s">
        <v>84</v>
      </c>
      <c r="AO219" s="17" t="s">
        <v>75</v>
      </c>
      <c r="AP219" s="17"/>
      <c r="AQ219" s="17"/>
      <c r="AR219" s="17"/>
      <c r="AS219" s="17"/>
      <c r="AT219" s="17" t="s">
        <v>764</v>
      </c>
      <c r="AU219" s="17" t="s">
        <v>765</v>
      </c>
    </row>
    <row r="220" hidden="1">
      <c r="A220" s="17">
        <v>218</v>
      </c>
      <c r="B220" s="17" t="s">
        <v>52</v>
      </c>
      <c r="C220" s="19" t="s">
        <v>766</v>
      </c>
      <c r="D220" s="19" t="s">
        <v>54</v>
      </c>
      <c r="E220" s="17" t="s">
        <v>767</v>
      </c>
      <c r="F220" s="17" t="s">
        <v>768</v>
      </c>
      <c r="G220" s="17">
        <v>22.0886</v>
      </c>
      <c r="H220" s="17">
        <v>87.834241000000006</v>
      </c>
      <c r="I220" s="17"/>
      <c r="J220" s="17"/>
      <c r="K220" s="17"/>
      <c r="L220" s="17"/>
      <c r="M220" s="19" t="s">
        <v>72</v>
      </c>
      <c r="N220" s="17">
        <v>6289037005</v>
      </c>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row>
    <row r="221" hidden="1">
      <c r="A221" s="17">
        <v>219</v>
      </c>
      <c r="B221" s="17" t="s">
        <v>52</v>
      </c>
      <c r="C221" s="19" t="s">
        <v>769</v>
      </c>
      <c r="D221" s="19" t="s">
        <v>54</v>
      </c>
      <c r="E221" s="17" t="s">
        <v>770</v>
      </c>
      <c r="F221" s="17" t="s">
        <v>771</v>
      </c>
      <c r="G221" s="17">
        <v>22.143848999999999</v>
      </c>
      <c r="H221" s="17">
        <v>87.823733000000004</v>
      </c>
      <c r="I221" s="17"/>
      <c r="J221" s="17"/>
      <c r="K221" s="17"/>
      <c r="L221" s="17"/>
      <c r="M221" s="19" t="s">
        <v>335</v>
      </c>
      <c r="N221" s="17">
        <v>6290825031</v>
      </c>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row>
    <row r="222" hidden="1">
      <c r="A222" s="17">
        <v>220</v>
      </c>
      <c r="B222" s="17" t="s">
        <v>52</v>
      </c>
      <c r="C222" s="19" t="s">
        <v>772</v>
      </c>
      <c r="D222" s="19" t="s">
        <v>54</v>
      </c>
      <c r="E222" s="17" t="s">
        <v>773</v>
      </c>
      <c r="F222" s="17" t="s">
        <v>773</v>
      </c>
      <c r="G222" s="17">
        <v>22.077995000000001</v>
      </c>
      <c r="H222" s="17">
        <v>87.868381999999997</v>
      </c>
      <c r="I222" s="17"/>
      <c r="J222" s="17"/>
      <c r="K222" s="17"/>
      <c r="L222" s="17"/>
      <c r="M222" s="19" t="s">
        <v>72</v>
      </c>
      <c r="N222" s="17">
        <v>6289037005</v>
      </c>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row>
    <row r="223" hidden="1">
      <c r="A223" s="17">
        <v>221</v>
      </c>
      <c r="B223" s="17" t="s">
        <v>52</v>
      </c>
      <c r="C223" s="24" t="s">
        <v>774</v>
      </c>
      <c r="D223" s="19" t="s">
        <v>54</v>
      </c>
      <c r="E223" s="17"/>
      <c r="F223" s="17"/>
      <c r="G223" s="17"/>
      <c r="H223" s="17"/>
      <c r="I223" s="17"/>
      <c r="J223" s="17"/>
      <c r="K223" s="17"/>
      <c r="L223" s="17"/>
      <c r="M223" s="19" t="s">
        <v>306</v>
      </c>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row>
    <row r="224" hidden="1">
      <c r="A224" s="17">
        <v>222</v>
      </c>
      <c r="B224" s="17" t="s">
        <v>52</v>
      </c>
      <c r="C224" s="19" t="s">
        <v>775</v>
      </c>
      <c r="D224" s="19" t="s">
        <v>54</v>
      </c>
      <c r="E224" s="17" t="s">
        <v>776</v>
      </c>
      <c r="F224" s="17" t="s">
        <v>777</v>
      </c>
      <c r="G224" s="17">
        <v>22.211172999999999</v>
      </c>
      <c r="H224" s="17">
        <v>87.827130999999994</v>
      </c>
      <c r="I224" s="17"/>
      <c r="J224" s="17"/>
      <c r="K224" s="17"/>
      <c r="L224" s="17"/>
      <c r="M224" s="19" t="s">
        <v>122</v>
      </c>
      <c r="N224" s="17">
        <v>8420984799</v>
      </c>
      <c r="O224" s="17">
        <v>15</v>
      </c>
      <c r="P224" s="17">
        <v>100</v>
      </c>
      <c r="Q224" s="17" t="s">
        <v>187</v>
      </c>
      <c r="R224" s="17" t="s">
        <v>74</v>
      </c>
      <c r="S224" s="17" t="s">
        <v>75</v>
      </c>
      <c r="T224" s="17"/>
      <c r="U224" s="17" t="s">
        <v>105</v>
      </c>
      <c r="V224" s="17" t="s">
        <v>77</v>
      </c>
      <c r="W224" s="17" t="s">
        <v>443</v>
      </c>
      <c r="X224" s="17">
        <v>4</v>
      </c>
      <c r="Y224" s="17">
        <v>3</v>
      </c>
      <c r="Z224" s="17"/>
      <c r="AA224" s="17" t="s">
        <v>187</v>
      </c>
      <c r="AB224" s="17" t="s">
        <v>79</v>
      </c>
      <c r="AC224" s="17">
        <v>2</v>
      </c>
      <c r="AD224" s="17">
        <v>0</v>
      </c>
      <c r="AE224" s="17">
        <v>0</v>
      </c>
      <c r="AF224" s="17"/>
      <c r="AG224" s="17" t="s">
        <v>414</v>
      </c>
      <c r="AH224" s="17" t="s">
        <v>415</v>
      </c>
      <c r="AI224" s="17" t="s">
        <v>414</v>
      </c>
      <c r="AJ224" s="17" t="s">
        <v>416</v>
      </c>
      <c r="AK224" s="17" t="s">
        <v>75</v>
      </c>
      <c r="AL224" s="17" t="s">
        <v>137</v>
      </c>
      <c r="AM224" s="17" t="s">
        <v>75</v>
      </c>
      <c r="AN224" s="17" t="s">
        <v>84</v>
      </c>
      <c r="AO224" s="17" t="s">
        <v>75</v>
      </c>
      <c r="AP224" s="17"/>
      <c r="AQ224" s="17"/>
      <c r="AR224" s="17"/>
      <c r="AS224" s="17"/>
      <c r="AT224" s="17" t="s">
        <v>778</v>
      </c>
      <c r="AU224" s="17" t="s">
        <v>779</v>
      </c>
    </row>
    <row r="225" hidden="1">
      <c r="A225" s="17">
        <v>223</v>
      </c>
      <c r="B225" s="17" t="s">
        <v>52</v>
      </c>
      <c r="C225" s="19" t="s">
        <v>780</v>
      </c>
      <c r="D225" s="19" t="s">
        <v>54</v>
      </c>
      <c r="E225" s="17"/>
      <c r="F225" s="17"/>
      <c r="G225" s="17"/>
      <c r="H225" s="17"/>
      <c r="I225" s="17"/>
      <c r="J225" s="17"/>
      <c r="K225" s="17"/>
      <c r="L225" s="17"/>
      <c r="M225" s="19" t="s">
        <v>122</v>
      </c>
      <c r="N225" s="17">
        <v>8420984799</v>
      </c>
      <c r="O225" s="17" t="s">
        <v>781</v>
      </c>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row>
    <row r="226" hidden="1">
      <c r="A226" s="17">
        <v>224</v>
      </c>
      <c r="B226" s="17" t="s">
        <v>52</v>
      </c>
      <c r="C226" s="19" t="s">
        <v>782</v>
      </c>
      <c r="D226" s="19" t="s">
        <v>54</v>
      </c>
      <c r="E226" s="17" t="s">
        <v>783</v>
      </c>
      <c r="F226" s="17" t="s">
        <v>784</v>
      </c>
      <c r="G226" s="17">
        <v>22.212008999999998</v>
      </c>
      <c r="H226" s="17">
        <v>87.855559</v>
      </c>
      <c r="I226" s="17"/>
      <c r="J226" s="17"/>
      <c r="K226" s="17"/>
      <c r="L226" s="17"/>
      <c r="M226" s="19" t="s">
        <v>122</v>
      </c>
      <c r="N226" s="17">
        <v>8420984799</v>
      </c>
      <c r="O226" s="17">
        <v>20</v>
      </c>
      <c r="P226" s="17">
        <v>80</v>
      </c>
      <c r="Q226" s="17" t="s">
        <v>413</v>
      </c>
      <c r="R226" s="17" t="s">
        <v>74</v>
      </c>
      <c r="S226" s="17" t="s">
        <v>75</v>
      </c>
      <c r="T226" s="17"/>
      <c r="U226" s="17" t="s">
        <v>441</v>
      </c>
      <c r="V226" s="17" t="s">
        <v>442</v>
      </c>
      <c r="W226" s="17" t="s">
        <v>161</v>
      </c>
      <c r="X226" s="17">
        <v>8</v>
      </c>
      <c r="Y226" s="17">
        <v>0</v>
      </c>
      <c r="Z226" s="17"/>
      <c r="AA226" s="17" t="s">
        <v>413</v>
      </c>
      <c r="AB226" s="17" t="s">
        <v>79</v>
      </c>
      <c r="AC226" s="17">
        <v>4</v>
      </c>
      <c r="AD226" s="17">
        <v>0</v>
      </c>
      <c r="AE226" s="17">
        <v>0</v>
      </c>
      <c r="AF226" s="17"/>
      <c r="AG226" s="17" t="s">
        <v>414</v>
      </c>
      <c r="AH226" s="17" t="s">
        <v>415</v>
      </c>
      <c r="AI226" s="17" t="s">
        <v>414</v>
      </c>
      <c r="AJ226" s="17" t="s">
        <v>416</v>
      </c>
      <c r="AK226" s="17" t="s">
        <v>75</v>
      </c>
      <c r="AL226" s="17" t="s">
        <v>137</v>
      </c>
      <c r="AM226" s="17" t="s">
        <v>75</v>
      </c>
      <c r="AN226" s="17" t="s">
        <v>84</v>
      </c>
      <c r="AO226" s="17" t="s">
        <v>75</v>
      </c>
      <c r="AP226" s="17"/>
      <c r="AQ226" s="17"/>
      <c r="AR226" s="17"/>
      <c r="AS226" s="17"/>
      <c r="AT226" s="17" t="s">
        <v>785</v>
      </c>
      <c r="AU226" s="17" t="s">
        <v>127</v>
      </c>
    </row>
    <row r="227" hidden="1">
      <c r="A227" s="17">
        <v>225</v>
      </c>
      <c r="B227" s="17" t="s">
        <v>52</v>
      </c>
      <c r="C227" s="19" t="s">
        <v>786</v>
      </c>
      <c r="D227" s="19" t="s">
        <v>54</v>
      </c>
      <c r="E227" s="17" t="s">
        <v>787</v>
      </c>
      <c r="F227" s="17" t="s">
        <v>788</v>
      </c>
      <c r="G227" s="17">
        <v>22.155169999999998</v>
      </c>
      <c r="H227" s="17">
        <v>87.902489000000003</v>
      </c>
      <c r="I227" s="17"/>
      <c r="J227" s="17"/>
      <c r="K227" s="17"/>
      <c r="L227" s="17"/>
      <c r="M227" s="19" t="s">
        <v>131</v>
      </c>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row>
    <row r="228" hidden="1">
      <c r="A228" s="17">
        <v>226</v>
      </c>
      <c r="B228" s="17" t="s">
        <v>52</v>
      </c>
      <c r="C228" s="19" t="s">
        <v>789</v>
      </c>
      <c r="D228" s="19" t="s">
        <v>54</v>
      </c>
      <c r="E228" s="17" t="s">
        <v>790</v>
      </c>
      <c r="F228" s="17" t="s">
        <v>791</v>
      </c>
      <c r="G228" s="17">
        <v>22.200004</v>
      </c>
      <c r="H228" s="17">
        <v>87.924526</v>
      </c>
      <c r="I228" s="17"/>
      <c r="J228" s="17"/>
      <c r="K228" s="17"/>
      <c r="L228" s="17"/>
      <c r="M228" s="19" t="s">
        <v>306</v>
      </c>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row>
    <row r="229" hidden="1">
      <c r="A229" s="17">
        <v>227</v>
      </c>
      <c r="B229" s="17" t="s">
        <v>52</v>
      </c>
      <c r="C229" s="19" t="s">
        <v>792</v>
      </c>
      <c r="D229" s="19" t="s">
        <v>54</v>
      </c>
      <c r="E229" s="17" t="s">
        <v>793</v>
      </c>
      <c r="F229" s="17" t="s">
        <v>794</v>
      </c>
      <c r="G229" s="17">
        <v>22.186758999999999</v>
      </c>
      <c r="H229" s="17">
        <v>87.919499999999999</v>
      </c>
      <c r="I229" s="17"/>
      <c r="J229" s="17"/>
      <c r="K229" s="17"/>
      <c r="L229" s="17"/>
      <c r="M229" s="19" t="s">
        <v>306</v>
      </c>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row>
    <row r="230" hidden="1">
      <c r="A230" s="17">
        <v>228</v>
      </c>
      <c r="B230" s="17" t="s">
        <v>52</v>
      </c>
      <c r="C230" s="19" t="s">
        <v>795</v>
      </c>
      <c r="D230" s="19" t="s">
        <v>54</v>
      </c>
      <c r="E230" s="17" t="s">
        <v>796</v>
      </c>
      <c r="F230" s="17" t="s">
        <v>797</v>
      </c>
      <c r="G230" s="17">
        <v>22.169746</v>
      </c>
      <c r="H230" s="17">
        <v>87.835481000000001</v>
      </c>
      <c r="I230" s="17"/>
      <c r="J230" s="17"/>
      <c r="K230" s="17"/>
      <c r="L230" s="17"/>
      <c r="M230" s="19" t="s">
        <v>122</v>
      </c>
      <c r="N230" s="17">
        <v>8420984799</v>
      </c>
      <c r="O230" s="17">
        <v>18</v>
      </c>
      <c r="P230" s="17">
        <v>100</v>
      </c>
      <c r="Q230" s="17" t="s">
        <v>187</v>
      </c>
      <c r="R230" s="17" t="s">
        <v>74</v>
      </c>
      <c r="S230" s="17" t="s">
        <v>75</v>
      </c>
      <c r="T230" s="17"/>
      <c r="U230" s="17" t="s">
        <v>105</v>
      </c>
      <c r="V230" s="17" t="s">
        <v>340</v>
      </c>
      <c r="W230" s="17" t="s">
        <v>330</v>
      </c>
      <c r="X230" s="17">
        <v>6</v>
      </c>
      <c r="Y230" s="17">
        <v>1</v>
      </c>
      <c r="Z230" s="17"/>
      <c r="AA230" s="17" t="s">
        <v>187</v>
      </c>
      <c r="AB230" s="17" t="s">
        <v>79</v>
      </c>
      <c r="AC230" s="17">
        <v>3</v>
      </c>
      <c r="AD230" s="17">
        <v>0</v>
      </c>
      <c r="AE230" s="17">
        <v>0</v>
      </c>
      <c r="AF230" s="17"/>
      <c r="AG230" s="17" t="s">
        <v>677</v>
      </c>
      <c r="AH230" s="17" t="s">
        <v>162</v>
      </c>
      <c r="AI230" s="17" t="s">
        <v>83</v>
      </c>
      <c r="AJ230" s="17">
        <v>2112</v>
      </c>
      <c r="AK230" s="17" t="s">
        <v>75</v>
      </c>
      <c r="AL230" s="17" t="s">
        <v>75</v>
      </c>
      <c r="AM230" s="17" t="s">
        <v>137</v>
      </c>
      <c r="AN230" s="17" t="s">
        <v>84</v>
      </c>
      <c r="AO230" s="17" t="s">
        <v>75</v>
      </c>
      <c r="AP230" s="17"/>
      <c r="AQ230" s="17"/>
      <c r="AR230" s="17"/>
      <c r="AS230" s="17"/>
      <c r="AT230" s="17" t="s">
        <v>798</v>
      </c>
      <c r="AU230" s="17" t="s">
        <v>127</v>
      </c>
    </row>
    <row r="231" hidden="1">
      <c r="A231" s="17">
        <v>229</v>
      </c>
      <c r="B231" s="17" t="s">
        <v>52</v>
      </c>
      <c r="C231" s="19" t="s">
        <v>799</v>
      </c>
      <c r="D231" s="19" t="s">
        <v>54</v>
      </c>
      <c r="E231" s="17" t="s">
        <v>800</v>
      </c>
      <c r="F231" s="17" t="s">
        <v>801</v>
      </c>
      <c r="G231" s="17">
        <v>22.231052999999999</v>
      </c>
      <c r="H231" s="17">
        <v>87.898464000000004</v>
      </c>
      <c r="I231" s="17"/>
      <c r="J231" s="17"/>
      <c r="K231" s="17"/>
      <c r="L231" s="17"/>
      <c r="M231" s="19" t="s">
        <v>306</v>
      </c>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row>
    <row r="232" hidden="1">
      <c r="A232" s="17">
        <v>230</v>
      </c>
      <c r="B232" s="17" t="s">
        <v>52</v>
      </c>
      <c r="C232" s="19" t="s">
        <v>802</v>
      </c>
      <c r="D232" s="19" t="s">
        <v>54</v>
      </c>
      <c r="E232" s="17" t="s">
        <v>803</v>
      </c>
      <c r="F232" s="17" t="s">
        <v>804</v>
      </c>
      <c r="G232" s="17">
        <v>22.244721999999999</v>
      </c>
      <c r="H232" s="17">
        <v>87.944593999999995</v>
      </c>
      <c r="I232" s="17"/>
      <c r="J232" s="17"/>
      <c r="K232" s="17"/>
      <c r="L232" s="17"/>
      <c r="M232" s="19" t="s">
        <v>306</v>
      </c>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row>
    <row r="233" hidden="1">
      <c r="A233" s="17">
        <v>231</v>
      </c>
      <c r="B233" s="17" t="s">
        <v>52</v>
      </c>
      <c r="C233" s="19" t="s">
        <v>805</v>
      </c>
      <c r="D233" s="19" t="s">
        <v>54</v>
      </c>
      <c r="E233" s="17" t="s">
        <v>806</v>
      </c>
      <c r="F233" s="17" t="s">
        <v>807</v>
      </c>
      <c r="G233" s="17">
        <v>22.252126000000001</v>
      </c>
      <c r="H233" s="17">
        <v>87.880566999999999</v>
      </c>
      <c r="I233" s="17"/>
      <c r="J233" s="17"/>
      <c r="K233" s="17"/>
      <c r="L233" s="17"/>
      <c r="M233" s="19" t="s">
        <v>296</v>
      </c>
      <c r="N233" s="17">
        <v>7003188452</v>
      </c>
      <c r="O233" s="17">
        <v>16</v>
      </c>
      <c r="P233" s="17">
        <v>80</v>
      </c>
      <c r="Q233" s="17" t="s">
        <v>187</v>
      </c>
      <c r="R233" s="17" t="s">
        <v>74</v>
      </c>
      <c r="S233" s="17"/>
      <c r="T233" s="17"/>
      <c r="U233" s="17" t="s">
        <v>105</v>
      </c>
      <c r="V233" s="17" t="s">
        <v>77</v>
      </c>
      <c r="W233" s="17" t="s">
        <v>143</v>
      </c>
      <c r="X233" s="17">
        <v>5</v>
      </c>
      <c r="Y233" s="17">
        <v>5</v>
      </c>
      <c r="Z233" s="17" t="s">
        <v>808</v>
      </c>
      <c r="AA233" s="17" t="s">
        <v>187</v>
      </c>
      <c r="AB233" s="17" t="s">
        <v>79</v>
      </c>
      <c r="AC233" s="17">
        <v>2</v>
      </c>
      <c r="AD233" s="17">
        <v>0</v>
      </c>
      <c r="AE233" s="17">
        <v>0</v>
      </c>
      <c r="AF233" s="17"/>
      <c r="AG233" s="17" t="s">
        <v>124</v>
      </c>
      <c r="AH233" s="17" t="s">
        <v>82</v>
      </c>
      <c r="AI233" s="17" t="s">
        <v>83</v>
      </c>
      <c r="AJ233" s="17">
        <v>2111</v>
      </c>
      <c r="AK233" s="17" t="s">
        <v>75</v>
      </c>
      <c r="AL233" s="17" t="s">
        <v>75</v>
      </c>
      <c r="AM233" s="17" t="s">
        <v>75</v>
      </c>
      <c r="AN233" s="17" t="s">
        <v>84</v>
      </c>
      <c r="AO233" s="17" t="s">
        <v>75</v>
      </c>
      <c r="AP233" s="17"/>
      <c r="AQ233" s="17"/>
      <c r="AR233" s="17"/>
      <c r="AS233" s="17"/>
      <c r="AT233" s="17" t="s">
        <v>809</v>
      </c>
      <c r="AU233" s="17" t="s">
        <v>127</v>
      </c>
    </row>
    <row r="234" hidden="1">
      <c r="A234" s="17">
        <v>232</v>
      </c>
      <c r="B234" s="17" t="s">
        <v>52</v>
      </c>
      <c r="C234" s="19" t="s">
        <v>810</v>
      </c>
      <c r="D234" s="19" t="s">
        <v>54</v>
      </c>
      <c r="E234" s="17" t="s">
        <v>811</v>
      </c>
      <c r="F234" s="17" t="s">
        <v>812</v>
      </c>
      <c r="G234" s="17">
        <v>22.247748000000001</v>
      </c>
      <c r="H234" s="17">
        <v>87.924190999999993</v>
      </c>
      <c r="I234" s="17"/>
      <c r="J234" s="17"/>
      <c r="K234" s="17"/>
      <c r="L234" s="17"/>
      <c r="M234" s="19" t="s">
        <v>306</v>
      </c>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row>
    <row r="235" hidden="1">
      <c r="A235" s="17">
        <v>233</v>
      </c>
      <c r="B235" s="17" t="s">
        <v>52</v>
      </c>
      <c r="C235" s="19" t="s">
        <v>813</v>
      </c>
      <c r="D235" s="19" t="s">
        <v>54</v>
      </c>
      <c r="E235" s="17" t="s">
        <v>814</v>
      </c>
      <c r="F235" s="17" t="s">
        <v>815</v>
      </c>
      <c r="G235" s="17">
        <v>22.197330000000001</v>
      </c>
      <c r="H235" s="17">
        <v>87.935829999999996</v>
      </c>
      <c r="I235" s="17"/>
      <c r="J235" s="17"/>
      <c r="K235" s="17"/>
      <c r="L235" s="17"/>
      <c r="M235" s="19" t="s">
        <v>306</v>
      </c>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row>
    <row r="236" hidden="1">
      <c r="A236" s="17">
        <v>234</v>
      </c>
      <c r="B236" s="17" t="s">
        <v>52</v>
      </c>
      <c r="C236" s="19" t="s">
        <v>816</v>
      </c>
      <c r="D236" s="19" t="s">
        <v>54</v>
      </c>
      <c r="E236" s="17" t="s">
        <v>817</v>
      </c>
      <c r="F236" s="17" t="s">
        <v>818</v>
      </c>
      <c r="G236" s="17">
        <v>22.154505</v>
      </c>
      <c r="H236" s="17">
        <v>87.929965999999993</v>
      </c>
      <c r="I236" s="17"/>
      <c r="J236" s="17"/>
      <c r="K236" s="17"/>
      <c r="L236" s="17"/>
      <c r="M236" s="19" t="s">
        <v>306</v>
      </c>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row>
    <row r="237" hidden="1">
      <c r="A237" s="17">
        <v>235</v>
      </c>
      <c r="B237" s="17" t="s">
        <v>52</v>
      </c>
      <c r="C237" s="19" t="s">
        <v>819</v>
      </c>
      <c r="D237" s="19" t="s">
        <v>54</v>
      </c>
      <c r="E237" s="17" t="s">
        <v>820</v>
      </c>
      <c r="F237" s="17" t="s">
        <v>821</v>
      </c>
      <c r="G237" s="17">
        <v>22.23734</v>
      </c>
      <c r="H237" s="17">
        <v>87.836842000000004</v>
      </c>
      <c r="I237" s="17"/>
      <c r="J237" s="17"/>
      <c r="K237" s="17"/>
      <c r="L237" s="17"/>
      <c r="M237" s="19" t="s">
        <v>122</v>
      </c>
      <c r="N237" s="17">
        <v>8420984799</v>
      </c>
      <c r="O237" s="17">
        <v>22</v>
      </c>
      <c r="P237" s="17">
        <v>45</v>
      </c>
      <c r="Q237" s="17" t="s">
        <v>73</v>
      </c>
      <c r="R237" s="17" t="s">
        <v>74</v>
      </c>
      <c r="S237" s="17" t="s">
        <v>75</v>
      </c>
      <c r="T237" s="17"/>
      <c r="U237" s="17" t="s">
        <v>105</v>
      </c>
      <c r="V237" s="17" t="s">
        <v>77</v>
      </c>
      <c r="W237" s="17" t="s">
        <v>252</v>
      </c>
      <c r="X237" s="17">
        <v>2</v>
      </c>
      <c r="Y237" s="17">
        <v>0</v>
      </c>
      <c r="Z237" s="17"/>
      <c r="AA237" s="17" t="s">
        <v>73</v>
      </c>
      <c r="AB237" s="17" t="s">
        <v>79</v>
      </c>
      <c r="AC237" s="17">
        <v>1</v>
      </c>
      <c r="AD237" s="17">
        <v>0</v>
      </c>
      <c r="AE237" s="17">
        <v>0</v>
      </c>
      <c r="AF237" s="17"/>
      <c r="AG237" s="17" t="s">
        <v>124</v>
      </c>
      <c r="AH237" s="17" t="s">
        <v>82</v>
      </c>
      <c r="AI237" s="17" t="s">
        <v>83</v>
      </c>
      <c r="AJ237" s="17">
        <v>2111</v>
      </c>
      <c r="AK237" s="17" t="s">
        <v>75</v>
      </c>
      <c r="AL237" s="17" t="s">
        <v>75</v>
      </c>
      <c r="AM237" s="17" t="s">
        <v>75</v>
      </c>
      <c r="AN237" s="17" t="s">
        <v>125</v>
      </c>
      <c r="AO237" s="17" t="s">
        <v>75</v>
      </c>
      <c r="AP237" s="17"/>
      <c r="AQ237" s="17"/>
      <c r="AR237" s="17"/>
      <c r="AS237" s="17"/>
      <c r="AT237" s="17" t="s">
        <v>822</v>
      </c>
      <c r="AU237" s="17" t="s">
        <v>127</v>
      </c>
    </row>
    <row r="238" hidden="1">
      <c r="A238" s="17">
        <v>236</v>
      </c>
      <c r="B238" s="17" t="s">
        <v>52</v>
      </c>
      <c r="C238" s="19" t="s">
        <v>823</v>
      </c>
      <c r="D238" s="19" t="s">
        <v>54</v>
      </c>
      <c r="E238" s="17" t="s">
        <v>824</v>
      </c>
      <c r="F238" s="17" t="s">
        <v>825</v>
      </c>
      <c r="G238" s="17">
        <v>22.138907</v>
      </c>
      <c r="H238" s="17">
        <v>87.908923999999999</v>
      </c>
      <c r="I238" s="17"/>
      <c r="J238" s="17"/>
      <c r="K238" s="17"/>
      <c r="L238" s="17"/>
      <c r="M238" s="19" t="s">
        <v>306</v>
      </c>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row>
    <row r="239" hidden="1">
      <c r="A239" s="17">
        <v>237</v>
      </c>
      <c r="B239" s="17" t="s">
        <v>52</v>
      </c>
      <c r="C239" s="19" t="s">
        <v>826</v>
      </c>
      <c r="D239" s="19" t="s">
        <v>54</v>
      </c>
      <c r="E239" s="17" t="s">
        <v>827</v>
      </c>
      <c r="F239" s="17" t="s">
        <v>828</v>
      </c>
      <c r="G239" s="17">
        <v>22.210381999999999</v>
      </c>
      <c r="H239" s="17">
        <v>87.878428999999997</v>
      </c>
      <c r="I239" s="17"/>
      <c r="J239" s="17"/>
      <c r="K239" s="17"/>
      <c r="L239" s="17"/>
      <c r="M239" s="19" t="s">
        <v>306</v>
      </c>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row>
    <row r="240" hidden="1">
      <c r="A240" s="17">
        <v>238</v>
      </c>
      <c r="B240" s="17" t="s">
        <v>52</v>
      </c>
      <c r="C240" s="19" t="s">
        <v>829</v>
      </c>
      <c r="D240" s="19" t="s">
        <v>54</v>
      </c>
      <c r="E240" s="17" t="s">
        <v>830</v>
      </c>
      <c r="F240" s="17" t="s">
        <v>831</v>
      </c>
      <c r="G240" s="17">
        <v>22.169916000000001</v>
      </c>
      <c r="H240" s="17">
        <v>87.943313000000003</v>
      </c>
      <c r="I240" s="17"/>
      <c r="J240" s="17"/>
      <c r="K240" s="17"/>
      <c r="L240" s="17"/>
      <c r="M240" s="19" t="s">
        <v>306</v>
      </c>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row>
    <row r="241" hidden="1">
      <c r="A241" s="17">
        <v>239</v>
      </c>
      <c r="B241" s="17" t="s">
        <v>52</v>
      </c>
      <c r="C241" s="19" t="s">
        <v>832</v>
      </c>
      <c r="D241" s="19" t="s">
        <v>54</v>
      </c>
      <c r="E241" s="17" t="s">
        <v>833</v>
      </c>
      <c r="F241" s="17" t="s">
        <v>834</v>
      </c>
      <c r="G241" s="17">
        <v>22.140158</v>
      </c>
      <c r="H241" s="17">
        <v>87.895318000000003</v>
      </c>
      <c r="I241" s="17"/>
      <c r="J241" s="17"/>
      <c r="K241" s="17"/>
      <c r="L241" s="17"/>
      <c r="M241" s="19" t="s">
        <v>306</v>
      </c>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row>
    <row r="242" hidden="1">
      <c r="A242" s="17">
        <v>240</v>
      </c>
      <c r="B242" s="17" t="s">
        <v>52</v>
      </c>
      <c r="C242" s="19" t="s">
        <v>835</v>
      </c>
      <c r="D242" s="19" t="s">
        <v>54</v>
      </c>
      <c r="E242" s="17" t="s">
        <v>836</v>
      </c>
      <c r="F242" s="17" t="s">
        <v>837</v>
      </c>
      <c r="G242" s="17">
        <v>22.162866000000001</v>
      </c>
      <c r="H242" s="17">
        <v>87.918814999999995</v>
      </c>
      <c r="I242" s="17"/>
      <c r="J242" s="17"/>
      <c r="K242" s="17"/>
      <c r="L242" s="17"/>
      <c r="M242" s="19" t="s">
        <v>306</v>
      </c>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row>
    <row r="243" hidden="1">
      <c r="A243" s="17">
        <v>241</v>
      </c>
      <c r="B243" s="17" t="s">
        <v>52</v>
      </c>
      <c r="C243" s="19" t="s">
        <v>838</v>
      </c>
      <c r="D243" s="19" t="s">
        <v>54</v>
      </c>
      <c r="E243" s="17" t="s">
        <v>839</v>
      </c>
      <c r="F243" s="17" t="s">
        <v>840</v>
      </c>
      <c r="G243" s="17">
        <v>22.255078000000001</v>
      </c>
      <c r="H243" s="17">
        <v>87.864897999999997</v>
      </c>
      <c r="I243" s="17"/>
      <c r="J243" s="17"/>
      <c r="K243" s="17"/>
      <c r="L243" s="17"/>
      <c r="M243" s="19" t="s">
        <v>296</v>
      </c>
      <c r="N243" s="17">
        <v>7003188452</v>
      </c>
      <c r="O243" s="17">
        <v>16</v>
      </c>
      <c r="P243" s="17">
        <v>95</v>
      </c>
      <c r="Q243" s="17" t="s">
        <v>73</v>
      </c>
      <c r="R243" s="17" t="s">
        <v>74</v>
      </c>
      <c r="S243" s="17" t="s">
        <v>137</v>
      </c>
      <c r="T243" s="17" t="s">
        <v>841</v>
      </c>
      <c r="U243" s="17" t="s">
        <v>105</v>
      </c>
      <c r="V243" s="17" t="s">
        <v>77</v>
      </c>
      <c r="W243" s="17" t="s">
        <v>78</v>
      </c>
      <c r="X243" s="17">
        <v>5</v>
      </c>
      <c r="Y243" s="17">
        <v>0</v>
      </c>
      <c r="Z243" s="17"/>
      <c r="AA243" s="17" t="s">
        <v>73</v>
      </c>
      <c r="AB243" s="17" t="s">
        <v>79</v>
      </c>
      <c r="AC243" s="17">
        <v>2</v>
      </c>
      <c r="AD243" s="17">
        <v>0</v>
      </c>
      <c r="AE243" s="17">
        <v>0</v>
      </c>
      <c r="AF243" s="17"/>
      <c r="AG243" s="17" t="s">
        <v>124</v>
      </c>
      <c r="AH243" s="17" t="s">
        <v>82</v>
      </c>
      <c r="AI243" s="17" t="s">
        <v>83</v>
      </c>
      <c r="AJ243" s="17">
        <v>2111</v>
      </c>
      <c r="AK243" s="17" t="s">
        <v>75</v>
      </c>
      <c r="AL243" s="17" t="s">
        <v>75</v>
      </c>
      <c r="AM243" s="17" t="s">
        <v>75</v>
      </c>
      <c r="AN243" s="17" t="s">
        <v>84</v>
      </c>
      <c r="AO243" s="17" t="s">
        <v>109</v>
      </c>
      <c r="AP243" s="17"/>
      <c r="AQ243" s="17"/>
      <c r="AR243" s="17"/>
      <c r="AS243" s="17"/>
      <c r="AT243" s="17" t="s">
        <v>842</v>
      </c>
      <c r="AU243" s="17" t="s">
        <v>127</v>
      </c>
    </row>
    <row r="244" hidden="1">
      <c r="A244" s="17">
        <v>242</v>
      </c>
      <c r="B244" s="17" t="s">
        <v>52</v>
      </c>
      <c r="C244" s="19" t="s">
        <v>843</v>
      </c>
      <c r="D244" s="19" t="s">
        <v>54</v>
      </c>
      <c r="E244" s="17" t="s">
        <v>844</v>
      </c>
      <c r="F244" s="17" t="s">
        <v>845</v>
      </c>
      <c r="G244" s="17">
        <v>22.23424</v>
      </c>
      <c r="H244" s="17">
        <v>87.815214999999995</v>
      </c>
      <c r="I244" s="17"/>
      <c r="J244" s="17"/>
      <c r="K244" s="17"/>
      <c r="L244" s="17"/>
      <c r="M244" s="19" t="s">
        <v>122</v>
      </c>
      <c r="N244" s="17">
        <v>8420984799</v>
      </c>
      <c r="O244" s="17">
        <v>20</v>
      </c>
      <c r="P244" s="17">
        <v>80</v>
      </c>
      <c r="Q244" s="17" t="s">
        <v>413</v>
      </c>
      <c r="R244" s="17" t="s">
        <v>74</v>
      </c>
      <c r="S244" s="17" t="s">
        <v>75</v>
      </c>
      <c r="T244" s="17"/>
      <c r="U244" s="17" t="s">
        <v>105</v>
      </c>
      <c r="V244" s="17" t="s">
        <v>77</v>
      </c>
      <c r="W244" s="17" t="s">
        <v>252</v>
      </c>
      <c r="X244" s="17">
        <v>5</v>
      </c>
      <c r="Y244" s="17">
        <v>0</v>
      </c>
      <c r="Z244" s="17"/>
      <c r="AA244" s="17" t="s">
        <v>413</v>
      </c>
      <c r="AB244" s="17" t="s">
        <v>79</v>
      </c>
      <c r="AC244" s="17">
        <v>5</v>
      </c>
      <c r="AD244" s="17">
        <v>0</v>
      </c>
      <c r="AE244" s="17">
        <v>0</v>
      </c>
      <c r="AF244" s="17"/>
      <c r="AG244" s="17" t="s">
        <v>81</v>
      </c>
      <c r="AH244" s="17" t="s">
        <v>82</v>
      </c>
      <c r="AI244" s="17" t="s">
        <v>107</v>
      </c>
      <c r="AJ244" s="17"/>
      <c r="AK244" s="17" t="s">
        <v>137</v>
      </c>
      <c r="AL244" s="17" t="s">
        <v>75</v>
      </c>
      <c r="AM244" s="17" t="s">
        <v>163</v>
      </c>
      <c r="AN244" s="17" t="s">
        <v>84</v>
      </c>
      <c r="AO244" s="17" t="s">
        <v>75</v>
      </c>
      <c r="AP244" s="17"/>
      <c r="AQ244" s="17"/>
      <c r="AR244" s="17"/>
      <c r="AS244" s="17"/>
      <c r="AT244" s="17"/>
      <c r="AU244" s="17" t="s">
        <v>127</v>
      </c>
    </row>
    <row r="245" hidden="1">
      <c r="A245" s="17">
        <v>243</v>
      </c>
      <c r="B245" s="17" t="s">
        <v>52</v>
      </c>
      <c r="C245" s="19" t="s">
        <v>846</v>
      </c>
      <c r="D245" s="19" t="s">
        <v>54</v>
      </c>
      <c r="E245" s="17" t="s">
        <v>847</v>
      </c>
      <c r="F245" s="17" t="s">
        <v>848</v>
      </c>
      <c r="G245" s="17">
        <v>22.210556</v>
      </c>
      <c r="H245" s="17">
        <v>87.945591000000007</v>
      </c>
      <c r="I245" s="17"/>
      <c r="J245" s="17"/>
      <c r="K245" s="17"/>
      <c r="L245" s="17"/>
      <c r="M245" s="19" t="s">
        <v>306</v>
      </c>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row>
    <row r="246" hidden="1">
      <c r="A246" s="17">
        <v>244</v>
      </c>
      <c r="B246" s="17" t="s">
        <v>52</v>
      </c>
      <c r="C246" s="19" t="s">
        <v>849</v>
      </c>
      <c r="D246" s="19" t="s">
        <v>54</v>
      </c>
      <c r="E246" s="17"/>
      <c r="F246" s="17">
        <v>0</v>
      </c>
      <c r="G246" s="17">
        <v>22.181640000000002</v>
      </c>
      <c r="H246" s="17">
        <v>87.866950000000003</v>
      </c>
      <c r="I246" s="17"/>
      <c r="J246" s="17"/>
      <c r="K246" s="17"/>
      <c r="L246" s="17"/>
      <c r="M246" s="19" t="s">
        <v>306</v>
      </c>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row>
    <row r="247" hidden="1">
      <c r="A247" s="17">
        <v>245</v>
      </c>
      <c r="B247" s="17" t="s">
        <v>52</v>
      </c>
      <c r="C247" s="19" t="s">
        <v>850</v>
      </c>
      <c r="D247" s="19" t="s">
        <v>54</v>
      </c>
      <c r="E247" s="17" t="s">
        <v>796</v>
      </c>
      <c r="F247" s="17" t="s">
        <v>851</v>
      </c>
      <c r="G247" s="17">
        <v>22.153741</v>
      </c>
      <c r="H247" s="17">
        <v>87.874866999999995</v>
      </c>
      <c r="I247" s="17"/>
      <c r="J247" s="17"/>
      <c r="K247" s="17"/>
      <c r="L247" s="17"/>
      <c r="M247" s="19" t="s">
        <v>306</v>
      </c>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row>
    <row r="248" hidden="1">
      <c r="A248" s="17">
        <v>246</v>
      </c>
      <c r="B248" s="17" t="s">
        <v>52</v>
      </c>
      <c r="C248" s="19" t="s">
        <v>852</v>
      </c>
      <c r="D248" s="19" t="s">
        <v>54</v>
      </c>
      <c r="E248" s="17" t="s">
        <v>853</v>
      </c>
      <c r="F248" s="17" t="s">
        <v>854</v>
      </c>
      <c r="G248" s="17">
        <v>22.126128000000001</v>
      </c>
      <c r="H248" s="17">
        <v>87.926586999999998</v>
      </c>
      <c r="I248" s="17"/>
      <c r="J248" s="17"/>
      <c r="K248" s="17"/>
      <c r="L248" s="17"/>
      <c r="M248" s="19" t="s">
        <v>306</v>
      </c>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row>
    <row r="249" hidden="1">
      <c r="A249" s="17">
        <v>247</v>
      </c>
      <c r="B249" s="17" t="s">
        <v>52</v>
      </c>
      <c r="C249" s="19" t="s">
        <v>855</v>
      </c>
      <c r="D249" s="19" t="s">
        <v>54</v>
      </c>
      <c r="E249" s="17" t="s">
        <v>856</v>
      </c>
      <c r="F249" s="17" t="s">
        <v>857</v>
      </c>
      <c r="G249" s="17">
        <v>22.254228000000001</v>
      </c>
      <c r="H249" s="17">
        <v>87.841707999999997</v>
      </c>
      <c r="I249" s="17"/>
      <c r="J249" s="17"/>
      <c r="K249" s="17"/>
      <c r="L249" s="17"/>
      <c r="M249" s="19" t="s">
        <v>122</v>
      </c>
      <c r="N249" s="17">
        <v>8420984799</v>
      </c>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row>
    <row r="250" hidden="1">
      <c r="A250" s="17">
        <v>248</v>
      </c>
      <c r="B250" s="17" t="s">
        <v>52</v>
      </c>
      <c r="C250" s="19" t="s">
        <v>858</v>
      </c>
      <c r="D250" s="19" t="s">
        <v>54</v>
      </c>
      <c r="E250" s="17" t="s">
        <v>859</v>
      </c>
      <c r="F250" s="17" t="s">
        <v>860</v>
      </c>
      <c r="G250" s="17">
        <v>22.181360999999999</v>
      </c>
      <c r="H250" s="17">
        <v>87.866934000000001</v>
      </c>
      <c r="I250" s="17"/>
      <c r="J250" s="17"/>
      <c r="K250" s="17"/>
      <c r="L250" s="17"/>
      <c r="M250" s="19" t="s">
        <v>122</v>
      </c>
      <c r="N250" s="17">
        <v>8420984799</v>
      </c>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row>
    <row r="251" hidden="1">
      <c r="A251" s="17">
        <v>249</v>
      </c>
      <c r="B251" s="17" t="s">
        <v>52</v>
      </c>
      <c r="C251" s="19" t="s">
        <v>861</v>
      </c>
      <c r="D251" s="19" t="s">
        <v>54</v>
      </c>
      <c r="E251" s="17" t="s">
        <v>862</v>
      </c>
      <c r="F251" s="17" t="s">
        <v>863</v>
      </c>
      <c r="G251" s="17">
        <v>22.185082999999999</v>
      </c>
      <c r="H251" s="17">
        <v>87.945379000000003</v>
      </c>
      <c r="I251" s="17"/>
      <c r="J251" s="17"/>
      <c r="K251" s="17"/>
      <c r="L251" s="17"/>
      <c r="M251" s="19" t="s">
        <v>306</v>
      </c>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row>
    <row r="252" hidden="1">
      <c r="A252" s="17">
        <v>250</v>
      </c>
      <c r="B252" s="17" t="s">
        <v>52</v>
      </c>
      <c r="C252" s="19" t="s">
        <v>864</v>
      </c>
      <c r="D252" s="19" t="s">
        <v>54</v>
      </c>
      <c r="E252" s="17" t="s">
        <v>865</v>
      </c>
      <c r="F252" s="17" t="s">
        <v>866</v>
      </c>
      <c r="G252" s="17">
        <v>22.190356999999999</v>
      </c>
      <c r="H252" s="17">
        <v>87.906953999999999</v>
      </c>
      <c r="I252" s="17"/>
      <c r="J252" s="17"/>
      <c r="K252" s="17"/>
      <c r="L252" s="17"/>
      <c r="M252" s="19" t="s">
        <v>306</v>
      </c>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row>
    <row r="253" hidden="1">
      <c r="A253" s="17">
        <v>251</v>
      </c>
      <c r="B253" s="17" t="s">
        <v>52</v>
      </c>
      <c r="C253" s="19" t="s">
        <v>867</v>
      </c>
      <c r="D253" s="19" t="s">
        <v>54</v>
      </c>
      <c r="E253" s="17" t="s">
        <v>868</v>
      </c>
      <c r="F253" s="17" t="s">
        <v>869</v>
      </c>
      <c r="G253" s="17">
        <v>22.236062</v>
      </c>
      <c r="H253" s="17">
        <v>87.861569000000003</v>
      </c>
      <c r="I253" s="17"/>
      <c r="J253" s="17"/>
      <c r="K253" s="17"/>
      <c r="L253" s="17"/>
      <c r="M253" s="19" t="s">
        <v>306</v>
      </c>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row>
    <row r="254" hidden="1">
      <c r="A254" s="17">
        <v>252</v>
      </c>
      <c r="B254" s="17" t="s">
        <v>52</v>
      </c>
      <c r="C254" s="19" t="s">
        <v>870</v>
      </c>
      <c r="D254" s="19" t="s">
        <v>54</v>
      </c>
      <c r="E254" s="17" t="s">
        <v>871</v>
      </c>
      <c r="F254" s="17" t="s">
        <v>872</v>
      </c>
      <c r="G254" s="17">
        <v>22.226590999999999</v>
      </c>
      <c r="H254" s="17">
        <v>87.945633999999998</v>
      </c>
      <c r="I254" s="17"/>
      <c r="J254" s="17"/>
      <c r="K254" s="17"/>
      <c r="L254" s="17"/>
      <c r="M254" s="19" t="s">
        <v>306</v>
      </c>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row>
    <row r="255" hidden="1">
      <c r="A255" s="17">
        <v>253</v>
      </c>
      <c r="B255" s="17" t="s">
        <v>52</v>
      </c>
      <c r="C255" s="19" t="s">
        <v>873</v>
      </c>
      <c r="D255" s="19" t="s">
        <v>54</v>
      </c>
      <c r="E255" s="17" t="s">
        <v>874</v>
      </c>
      <c r="F255" s="17" t="s">
        <v>875</v>
      </c>
      <c r="G255" s="17">
        <v>22.209031</v>
      </c>
      <c r="H255" s="17">
        <v>87.903282000000004</v>
      </c>
      <c r="I255" s="17"/>
      <c r="J255" s="17"/>
      <c r="K255" s="17"/>
      <c r="L255" s="17"/>
      <c r="M255" s="19" t="s">
        <v>306</v>
      </c>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row>
    <row r="256" hidden="1">
      <c r="A256" s="17">
        <v>254</v>
      </c>
      <c r="B256" s="17" t="s">
        <v>52</v>
      </c>
      <c r="C256" s="19" t="s">
        <v>876</v>
      </c>
      <c r="D256" s="19" t="s">
        <v>54</v>
      </c>
      <c r="E256" s="17" t="s">
        <v>877</v>
      </c>
      <c r="F256" s="17">
        <v>0</v>
      </c>
      <c r="G256" s="17">
        <v>22.222539999999999</v>
      </c>
      <c r="H256" s="17">
        <v>87.926360000000003</v>
      </c>
      <c r="I256" s="17"/>
      <c r="J256" s="17"/>
      <c r="K256" s="17"/>
      <c r="L256" s="17"/>
      <c r="M256" s="19" t="s">
        <v>306</v>
      </c>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row>
    <row r="257" hidden="1">
      <c r="A257" s="17">
        <v>255</v>
      </c>
      <c r="B257" s="17" t="s">
        <v>52</v>
      </c>
      <c r="C257" s="18" t="s">
        <v>878</v>
      </c>
      <c r="D257" s="19" t="s">
        <v>54</v>
      </c>
      <c r="E257" s="17"/>
      <c r="F257" s="17"/>
      <c r="G257" s="17"/>
      <c r="H257" s="17"/>
      <c r="I257" s="17"/>
      <c r="J257" s="17"/>
      <c r="K257" s="17"/>
      <c r="L257" s="17"/>
      <c r="M257" s="20"/>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row>
    <row r="258" hidden="1">
      <c r="A258" s="17">
        <v>256</v>
      </c>
      <c r="B258" s="17" t="s">
        <v>52</v>
      </c>
      <c r="C258" s="24" t="s">
        <v>879</v>
      </c>
      <c r="D258" s="19" t="s">
        <v>54</v>
      </c>
      <c r="E258" s="17" t="s">
        <v>880</v>
      </c>
      <c r="F258" s="17" t="s">
        <v>881</v>
      </c>
      <c r="G258" s="17">
        <v>22.1891</v>
      </c>
      <c r="H258" s="17">
        <v>87.918218999999993</v>
      </c>
      <c r="I258" s="17"/>
      <c r="J258" s="17"/>
      <c r="K258" s="17"/>
      <c r="L258" s="17"/>
      <c r="M258" s="19" t="s">
        <v>306</v>
      </c>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row>
    <row r="259" hidden="1">
      <c r="A259" s="17">
        <v>257</v>
      </c>
      <c r="B259" s="17" t="s">
        <v>52</v>
      </c>
      <c r="C259" s="19" t="s">
        <v>882</v>
      </c>
      <c r="D259" s="19" t="s">
        <v>54</v>
      </c>
      <c r="E259" s="17"/>
      <c r="F259" s="17"/>
      <c r="G259" s="17"/>
      <c r="H259" s="17"/>
      <c r="I259" s="17"/>
      <c r="J259" s="17"/>
      <c r="K259" s="17"/>
      <c r="L259" s="17"/>
      <c r="M259" s="19" t="s">
        <v>306</v>
      </c>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row>
    <row r="260" hidden="1">
      <c r="A260" s="17">
        <v>258</v>
      </c>
      <c r="B260" s="17" t="s">
        <v>52</v>
      </c>
      <c r="C260" s="19" t="s">
        <v>883</v>
      </c>
      <c r="D260" s="19" t="s">
        <v>54</v>
      </c>
      <c r="E260" s="17" t="s">
        <v>607</v>
      </c>
      <c r="F260" s="17" t="s">
        <v>884</v>
      </c>
      <c r="G260" s="17">
        <v>21.989039999999999</v>
      </c>
      <c r="H260" s="17">
        <v>87.976264999999998</v>
      </c>
      <c r="I260" s="17"/>
      <c r="J260" s="17"/>
      <c r="K260" s="17"/>
      <c r="L260" s="17"/>
      <c r="M260" s="19" t="s">
        <v>117</v>
      </c>
      <c r="N260" s="17"/>
      <c r="O260" s="17"/>
      <c r="P260" s="17"/>
      <c r="Q260" s="17"/>
      <c r="R260" s="17"/>
      <c r="S260" s="22"/>
      <c r="T260" s="23"/>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row>
    <row r="261" hidden="1">
      <c r="A261" s="17">
        <v>259</v>
      </c>
      <c r="B261" s="17" t="s">
        <v>52</v>
      </c>
      <c r="C261" s="19" t="s">
        <v>885</v>
      </c>
      <c r="D261" s="19" t="s">
        <v>54</v>
      </c>
      <c r="E261" s="17" t="s">
        <v>886</v>
      </c>
      <c r="F261" s="17" t="s">
        <v>887</v>
      </c>
      <c r="G261" s="17">
        <v>22.17127</v>
      </c>
      <c r="H261" s="17">
        <v>87.910030000000006</v>
      </c>
      <c r="I261" s="17"/>
      <c r="J261" s="17"/>
      <c r="K261" s="17"/>
      <c r="L261" s="17"/>
      <c r="M261" s="19" t="s">
        <v>306</v>
      </c>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row>
    <row r="262" hidden="1">
      <c r="A262" s="17">
        <v>260</v>
      </c>
      <c r="B262" s="17" t="s">
        <v>52</v>
      </c>
      <c r="C262" s="19" t="s">
        <v>888</v>
      </c>
      <c r="D262" s="19" t="s">
        <v>54</v>
      </c>
      <c r="E262" s="17" t="s">
        <v>889</v>
      </c>
      <c r="F262" s="17" t="s">
        <v>890</v>
      </c>
      <c r="G262" s="17">
        <v>22.277888999999998</v>
      </c>
      <c r="H262" s="17">
        <v>87.865994999999998</v>
      </c>
      <c r="I262" s="17"/>
      <c r="J262" s="17"/>
      <c r="K262" s="17"/>
      <c r="L262" s="17"/>
      <c r="M262" s="19" t="s">
        <v>122</v>
      </c>
      <c r="N262" s="17">
        <v>8420984799</v>
      </c>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row>
    <row r="263" hidden="1">
      <c r="A263" s="17">
        <v>261</v>
      </c>
      <c r="B263" s="17" t="s">
        <v>52</v>
      </c>
      <c r="C263" s="19" t="s">
        <v>891</v>
      </c>
      <c r="D263" s="19" t="s">
        <v>54</v>
      </c>
      <c r="E263" s="17" t="s">
        <v>892</v>
      </c>
      <c r="F263" s="17" t="s">
        <v>893</v>
      </c>
      <c r="G263" s="17">
        <v>22.409469000000001</v>
      </c>
      <c r="H263" s="17">
        <v>87.869304999999997</v>
      </c>
      <c r="I263" s="17"/>
      <c r="J263" s="17"/>
      <c r="K263" s="17"/>
      <c r="L263" s="17"/>
      <c r="M263" s="19" t="s">
        <v>894</v>
      </c>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row>
    <row r="264" hidden="1">
      <c r="A264" s="17">
        <v>262</v>
      </c>
      <c r="B264" s="17" t="s">
        <v>52</v>
      </c>
      <c r="C264" s="19" t="s">
        <v>895</v>
      </c>
      <c r="D264" s="19" t="s">
        <v>54</v>
      </c>
      <c r="E264" s="17" t="s">
        <v>896</v>
      </c>
      <c r="F264" s="17" t="s">
        <v>897</v>
      </c>
      <c r="G264" s="17">
        <v>22.277964000000001</v>
      </c>
      <c r="H264" s="17">
        <v>87.773111999999998</v>
      </c>
      <c r="I264" s="17"/>
      <c r="J264" s="17"/>
      <c r="K264" s="17"/>
      <c r="L264" s="17"/>
      <c r="M264" s="19" t="s">
        <v>122</v>
      </c>
      <c r="N264" s="17">
        <v>8420984799</v>
      </c>
      <c r="O264" s="17">
        <v>17</v>
      </c>
      <c r="P264" s="17">
        <v>100</v>
      </c>
      <c r="Q264" s="17" t="s">
        <v>413</v>
      </c>
      <c r="R264" s="17" t="s">
        <v>898</v>
      </c>
      <c r="S264" s="17" t="s">
        <v>75</v>
      </c>
      <c r="T264" s="17"/>
      <c r="U264" s="17" t="s">
        <v>76</v>
      </c>
      <c r="V264" s="17" t="s">
        <v>77</v>
      </c>
      <c r="W264" s="17" t="s">
        <v>443</v>
      </c>
      <c r="X264" s="17">
        <v>3</v>
      </c>
      <c r="Y264" s="17">
        <v>0</v>
      </c>
      <c r="Z264" s="17" t="s">
        <v>109</v>
      </c>
      <c r="AA264" s="17" t="s">
        <v>413</v>
      </c>
      <c r="AB264" s="17" t="s">
        <v>79</v>
      </c>
      <c r="AC264" s="17">
        <v>5</v>
      </c>
      <c r="AD264" s="17">
        <v>0</v>
      </c>
      <c r="AE264" s="17">
        <v>0</v>
      </c>
      <c r="AF264" s="17"/>
      <c r="AG264" s="17" t="s">
        <v>414</v>
      </c>
      <c r="AH264" s="17" t="s">
        <v>415</v>
      </c>
      <c r="AI264" s="17" t="s">
        <v>414</v>
      </c>
      <c r="AJ264" s="17" t="s">
        <v>416</v>
      </c>
      <c r="AK264" s="17" t="s">
        <v>137</v>
      </c>
      <c r="AL264" s="17" t="s">
        <v>137</v>
      </c>
      <c r="AM264" s="17" t="s">
        <v>137</v>
      </c>
      <c r="AN264" s="17" t="s">
        <v>84</v>
      </c>
      <c r="AO264" s="17" t="s">
        <v>137</v>
      </c>
      <c r="AP264" s="17"/>
      <c r="AQ264" s="17"/>
      <c r="AR264" s="17"/>
      <c r="AS264" s="17"/>
      <c r="AT264" s="17" t="s">
        <v>899</v>
      </c>
      <c r="AU264" s="17" t="s">
        <v>900</v>
      </c>
    </row>
    <row r="265" hidden="1">
      <c r="A265" s="17">
        <v>263</v>
      </c>
      <c r="B265" s="17" t="s">
        <v>52</v>
      </c>
      <c r="C265" s="19" t="s">
        <v>901</v>
      </c>
      <c r="D265" s="19" t="s">
        <v>54</v>
      </c>
      <c r="E265" s="17" t="s">
        <v>902</v>
      </c>
      <c r="F265" s="17" t="s">
        <v>903</v>
      </c>
      <c r="G265" s="17">
        <v>22.298532999999999</v>
      </c>
      <c r="H265" s="17">
        <v>87.76679</v>
      </c>
      <c r="I265" s="17"/>
      <c r="J265" s="17"/>
      <c r="K265" s="17"/>
      <c r="L265" s="17"/>
      <c r="M265" s="19" t="s">
        <v>166</v>
      </c>
      <c r="N265" s="17">
        <v>9064976019</v>
      </c>
      <c r="O265" s="17">
        <v>16</v>
      </c>
      <c r="P265" s="17">
        <v>100</v>
      </c>
      <c r="Q265" s="17" t="s">
        <v>73</v>
      </c>
      <c r="R265" s="17" t="s">
        <v>74</v>
      </c>
      <c r="S265" s="17" t="s">
        <v>75</v>
      </c>
      <c r="T265" s="17"/>
      <c r="U265" s="17" t="s">
        <v>160</v>
      </c>
      <c r="V265" s="17" t="s">
        <v>77</v>
      </c>
      <c r="W265" s="17" t="s">
        <v>454</v>
      </c>
      <c r="X265" s="17">
        <v>4</v>
      </c>
      <c r="Y265" s="17">
        <v>1</v>
      </c>
      <c r="Z265" s="17"/>
      <c r="AA265" s="17" t="s">
        <v>73</v>
      </c>
      <c r="AB265" s="17" t="s">
        <v>79</v>
      </c>
      <c r="AC265" s="17">
        <v>2</v>
      </c>
      <c r="AD265" s="17">
        <v>0</v>
      </c>
      <c r="AE265" s="17">
        <v>0</v>
      </c>
      <c r="AF265" s="17"/>
      <c r="AG265" s="17" t="s">
        <v>81</v>
      </c>
      <c r="AH265" s="17" t="s">
        <v>82</v>
      </c>
      <c r="AI265" s="17" t="s">
        <v>107</v>
      </c>
      <c r="AJ265" s="17"/>
      <c r="AK265" s="17" t="s">
        <v>75</v>
      </c>
      <c r="AL265" s="17" t="s">
        <v>75</v>
      </c>
      <c r="AM265" s="17" t="s">
        <v>75</v>
      </c>
      <c r="AN265" s="17" t="s">
        <v>84</v>
      </c>
      <c r="AO265" s="17" t="s">
        <v>75</v>
      </c>
      <c r="AP265" s="17"/>
      <c r="AQ265" s="17"/>
      <c r="AR265" s="17"/>
      <c r="AS265" s="17"/>
      <c r="AT265" s="17" t="s">
        <v>904</v>
      </c>
      <c r="AU265" s="17" t="s">
        <v>111</v>
      </c>
    </row>
    <row r="266" hidden="1">
      <c r="A266" s="17">
        <v>264</v>
      </c>
      <c r="B266" s="17" t="s">
        <v>52</v>
      </c>
      <c r="C266" s="19" t="s">
        <v>905</v>
      </c>
      <c r="D266" s="19" t="s">
        <v>54</v>
      </c>
      <c r="E266" s="17" t="s">
        <v>906</v>
      </c>
      <c r="F266" s="17" t="s">
        <v>907</v>
      </c>
      <c r="G266" s="17">
        <v>22.065449000000001</v>
      </c>
      <c r="H266" s="17">
        <v>88.096870999999993</v>
      </c>
      <c r="I266" s="17"/>
      <c r="J266" s="17"/>
      <c r="K266" s="17"/>
      <c r="L266" s="17"/>
      <c r="M266" s="19" t="s">
        <v>59</v>
      </c>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row>
    <row r="267" hidden="1">
      <c r="A267" s="17">
        <v>265</v>
      </c>
      <c r="B267" s="17" t="s">
        <v>52</v>
      </c>
      <c r="C267" s="19" t="s">
        <v>908</v>
      </c>
      <c r="D267" s="19" t="s">
        <v>54</v>
      </c>
      <c r="E267" s="17" t="s">
        <v>909</v>
      </c>
      <c r="F267" s="17" t="s">
        <v>910</v>
      </c>
      <c r="G267" s="17">
        <v>22.077472</v>
      </c>
      <c r="H267" s="17">
        <v>88.113535999999996</v>
      </c>
      <c r="I267" s="17"/>
      <c r="J267" s="17"/>
      <c r="K267" s="17"/>
      <c r="L267" s="17"/>
      <c r="M267" s="19" t="s">
        <v>59</v>
      </c>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row>
    <row r="268" hidden="1">
      <c r="A268" s="17">
        <v>266</v>
      </c>
      <c r="B268" s="17" t="s">
        <v>52</v>
      </c>
      <c r="C268" s="19" t="s">
        <v>911</v>
      </c>
      <c r="D268" s="19" t="s">
        <v>54</v>
      </c>
      <c r="E268" s="17" t="s">
        <v>912</v>
      </c>
      <c r="F268" s="17" t="s">
        <v>913</v>
      </c>
      <c r="G268" s="17">
        <v>22.133724999999998</v>
      </c>
      <c r="H268" s="17">
        <v>88.082012000000006</v>
      </c>
      <c r="I268" s="17"/>
      <c r="J268" s="17"/>
      <c r="K268" s="17"/>
      <c r="L268" s="17"/>
      <c r="M268" s="19" t="s">
        <v>150</v>
      </c>
      <c r="N268" s="17">
        <v>6289903920</v>
      </c>
      <c r="O268" s="17">
        <v>20</v>
      </c>
      <c r="P268" s="17">
        <v>70</v>
      </c>
      <c r="Q268" s="17" t="s">
        <v>73</v>
      </c>
      <c r="R268" s="17" t="s">
        <v>74</v>
      </c>
      <c r="S268" s="17" t="s">
        <v>75</v>
      </c>
      <c r="T268" s="17"/>
      <c r="U268" s="17" t="s">
        <v>76</v>
      </c>
      <c r="V268" s="17" t="s">
        <v>340</v>
      </c>
      <c r="W268" s="17" t="s">
        <v>914</v>
      </c>
      <c r="X268" s="17">
        <v>5</v>
      </c>
      <c r="Y268" s="17">
        <v>0</v>
      </c>
      <c r="Z268" s="17"/>
      <c r="AA268" s="17" t="s">
        <v>73</v>
      </c>
      <c r="AB268" s="17" t="s">
        <v>79</v>
      </c>
      <c r="AC268" s="17">
        <v>2</v>
      </c>
      <c r="AD268" s="17">
        <v>0</v>
      </c>
      <c r="AE268" s="17">
        <v>0</v>
      </c>
      <c r="AF268" s="17"/>
      <c r="AG268" s="17" t="s">
        <v>915</v>
      </c>
      <c r="AH268" s="17"/>
      <c r="AI268" s="17"/>
      <c r="AJ268" s="17"/>
      <c r="AK268" s="17"/>
      <c r="AL268" s="17"/>
      <c r="AM268" s="17"/>
      <c r="AN268" s="17"/>
      <c r="AO268" s="17"/>
      <c r="AP268" s="17"/>
      <c r="AQ268" s="17"/>
      <c r="AR268" s="17"/>
      <c r="AS268" s="17"/>
      <c r="AT268" s="17"/>
      <c r="AU268" s="17" t="s">
        <v>111</v>
      </c>
    </row>
    <row r="269" hidden="1">
      <c r="A269" s="17">
        <v>267</v>
      </c>
      <c r="B269" s="17" t="s">
        <v>52</v>
      </c>
      <c r="C269" s="19" t="s">
        <v>916</v>
      </c>
      <c r="D269" s="19" t="s">
        <v>54</v>
      </c>
      <c r="E269" s="17" t="s">
        <v>917</v>
      </c>
      <c r="F269" s="17" t="s">
        <v>918</v>
      </c>
      <c r="G269" s="17">
        <v>22.097183999999999</v>
      </c>
      <c r="H269" s="17">
        <v>88.031717</v>
      </c>
      <c r="I269" s="17"/>
      <c r="J269" s="17"/>
      <c r="K269" s="17"/>
      <c r="L269" s="17"/>
      <c r="M269" s="19" t="s">
        <v>150</v>
      </c>
      <c r="N269" s="17">
        <v>6289903920</v>
      </c>
      <c r="O269" s="17">
        <v>20</v>
      </c>
      <c r="P269" s="17">
        <v>70</v>
      </c>
      <c r="Q269" s="17" t="s">
        <v>413</v>
      </c>
      <c r="R269" s="17" t="s">
        <v>339</v>
      </c>
      <c r="S269" s="17" t="s">
        <v>75</v>
      </c>
      <c r="T269" s="17"/>
      <c r="U269" s="17" t="s">
        <v>105</v>
      </c>
      <c r="V269" s="17" t="s">
        <v>77</v>
      </c>
      <c r="W269" s="17" t="s">
        <v>161</v>
      </c>
      <c r="X269" s="17">
        <v>5</v>
      </c>
      <c r="Y269" s="17">
        <v>0</v>
      </c>
      <c r="Z269" s="17"/>
      <c r="AA269" s="17" t="s">
        <v>413</v>
      </c>
      <c r="AB269" s="17" t="s">
        <v>79</v>
      </c>
      <c r="AC269" s="17">
        <v>1</v>
      </c>
      <c r="AD269" s="17">
        <v>0</v>
      </c>
      <c r="AE269" s="17">
        <v>0</v>
      </c>
      <c r="AF269" s="17"/>
      <c r="AG269" s="17" t="s">
        <v>915</v>
      </c>
      <c r="AH269" s="17"/>
      <c r="AI269" s="17"/>
      <c r="AJ269" s="17"/>
      <c r="AK269" s="17"/>
      <c r="AL269" s="17"/>
      <c r="AM269" s="17"/>
      <c r="AN269" s="17"/>
      <c r="AO269" s="17"/>
      <c r="AP269" s="17"/>
      <c r="AQ269" s="17"/>
      <c r="AR269" s="17"/>
      <c r="AS269" s="17"/>
      <c r="AT269" s="17" t="s">
        <v>919</v>
      </c>
      <c r="AU269" s="17" t="s">
        <v>127</v>
      </c>
    </row>
    <row r="270" hidden="1">
      <c r="A270" s="17">
        <v>268</v>
      </c>
      <c r="B270" s="17" t="s">
        <v>52</v>
      </c>
      <c r="C270" s="19" t="s">
        <v>920</v>
      </c>
      <c r="D270" s="19" t="s">
        <v>54</v>
      </c>
      <c r="E270" s="17" t="s">
        <v>921</v>
      </c>
      <c r="F270" s="17" t="s">
        <v>922</v>
      </c>
      <c r="G270" s="17">
        <v>22.112183999999999</v>
      </c>
      <c r="H270" s="17">
        <v>88.012908999999993</v>
      </c>
      <c r="I270" s="17"/>
      <c r="J270" s="17"/>
      <c r="K270" s="17"/>
      <c r="L270" s="17"/>
      <c r="M270" s="19" t="s">
        <v>150</v>
      </c>
      <c r="N270" s="17">
        <v>6289903920</v>
      </c>
      <c r="O270" s="17">
        <v>22</v>
      </c>
      <c r="P270" s="17">
        <v>80</v>
      </c>
      <c r="Q270" s="17" t="s">
        <v>73</v>
      </c>
      <c r="R270" s="17" t="s">
        <v>74</v>
      </c>
      <c r="S270" s="17" t="s">
        <v>75</v>
      </c>
      <c r="T270" s="17"/>
      <c r="U270" s="17" t="s">
        <v>76</v>
      </c>
      <c r="V270" s="17" t="s">
        <v>77</v>
      </c>
      <c r="W270" s="17" t="s">
        <v>252</v>
      </c>
      <c r="X270" s="17">
        <v>5</v>
      </c>
      <c r="Y270" s="17">
        <v>0</v>
      </c>
      <c r="Z270" s="17"/>
      <c r="AA270" s="17" t="s">
        <v>73</v>
      </c>
      <c r="AB270" s="17" t="s">
        <v>79</v>
      </c>
      <c r="AC270" s="17">
        <v>2</v>
      </c>
      <c r="AD270" s="17">
        <v>0</v>
      </c>
      <c r="AE270" s="17">
        <v>0</v>
      </c>
      <c r="AF270" s="17"/>
      <c r="AG270" s="17" t="s">
        <v>124</v>
      </c>
      <c r="AH270" s="17" t="s">
        <v>162</v>
      </c>
      <c r="AI270" s="17" t="s">
        <v>83</v>
      </c>
      <c r="AJ270" s="17" t="s">
        <v>923</v>
      </c>
      <c r="AK270" s="17" t="s">
        <v>75</v>
      </c>
      <c r="AL270" s="17" t="s">
        <v>75</v>
      </c>
      <c r="AM270" s="17" t="s">
        <v>75</v>
      </c>
      <c r="AN270" s="17" t="s">
        <v>125</v>
      </c>
      <c r="AO270" s="17" t="s">
        <v>75</v>
      </c>
      <c r="AP270" s="17"/>
      <c r="AQ270" s="17"/>
      <c r="AR270" s="17"/>
      <c r="AS270" s="17"/>
      <c r="AT270" s="17"/>
      <c r="AU270" s="17" t="s">
        <v>127</v>
      </c>
    </row>
    <row r="271" hidden="1">
      <c r="A271" s="17">
        <v>269</v>
      </c>
      <c r="B271" s="17" t="s">
        <v>52</v>
      </c>
      <c r="C271" s="19" t="s">
        <v>924</v>
      </c>
      <c r="D271" s="19" t="s">
        <v>54</v>
      </c>
      <c r="E271" s="17" t="s">
        <v>925</v>
      </c>
      <c r="F271" s="17" t="s">
        <v>926</v>
      </c>
      <c r="G271" s="17">
        <v>22.085887</v>
      </c>
      <c r="H271" s="17">
        <v>88.076141000000007</v>
      </c>
      <c r="I271" s="17"/>
      <c r="J271" s="17"/>
      <c r="K271" s="17"/>
      <c r="L271" s="17"/>
      <c r="M271" s="19" t="s">
        <v>59</v>
      </c>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row>
    <row r="272" hidden="1">
      <c r="A272" s="17">
        <v>270</v>
      </c>
      <c r="B272" s="17" t="s">
        <v>52</v>
      </c>
      <c r="C272" s="19" t="s">
        <v>927</v>
      </c>
      <c r="D272" s="19" t="s">
        <v>54</v>
      </c>
      <c r="E272" s="17" t="s">
        <v>928</v>
      </c>
      <c r="F272" s="17" t="s">
        <v>929</v>
      </c>
      <c r="G272" s="17">
        <v>22.145116999999999</v>
      </c>
      <c r="H272" s="17">
        <v>88.045249999999996</v>
      </c>
      <c r="I272" s="17"/>
      <c r="J272" s="17"/>
      <c r="K272" s="17"/>
      <c r="L272" s="17"/>
      <c r="M272" s="19" t="s">
        <v>150</v>
      </c>
      <c r="N272" s="17">
        <v>6289903920</v>
      </c>
      <c r="O272" s="17">
        <v>20</v>
      </c>
      <c r="P272" s="17">
        <v>80</v>
      </c>
      <c r="Q272" s="17" t="s">
        <v>187</v>
      </c>
      <c r="R272" s="17" t="s">
        <v>74</v>
      </c>
      <c r="S272" s="17" t="s">
        <v>75</v>
      </c>
      <c r="T272" s="17"/>
      <c r="U272" s="17" t="s">
        <v>930</v>
      </c>
      <c r="V272" s="17" t="s">
        <v>77</v>
      </c>
      <c r="W272" s="17" t="s">
        <v>252</v>
      </c>
      <c r="X272" s="17">
        <v>5</v>
      </c>
      <c r="Y272" s="17">
        <v>0</v>
      </c>
      <c r="Z272" s="17"/>
      <c r="AA272" s="17" t="s">
        <v>187</v>
      </c>
      <c r="AB272" s="17" t="s">
        <v>79</v>
      </c>
      <c r="AC272" s="17">
        <v>2</v>
      </c>
      <c r="AD272" s="17">
        <v>0</v>
      </c>
      <c r="AE272" s="17">
        <v>0</v>
      </c>
      <c r="AF272" s="17"/>
      <c r="AG272" s="17" t="s">
        <v>124</v>
      </c>
      <c r="AH272" s="17" t="s">
        <v>82</v>
      </c>
      <c r="AI272" s="17" t="s">
        <v>83</v>
      </c>
      <c r="AJ272" s="17" t="s">
        <v>341</v>
      </c>
      <c r="AK272" s="17" t="s">
        <v>75</v>
      </c>
      <c r="AL272" s="17" t="s">
        <v>75</v>
      </c>
      <c r="AM272" s="17" t="s">
        <v>75</v>
      </c>
      <c r="AN272" s="17" t="s">
        <v>84</v>
      </c>
      <c r="AO272" s="17" t="s">
        <v>75</v>
      </c>
      <c r="AP272" s="17"/>
      <c r="AQ272" s="17"/>
      <c r="AR272" s="17"/>
      <c r="AS272" s="17"/>
      <c r="AT272" s="17"/>
      <c r="AU272" s="17" t="s">
        <v>127</v>
      </c>
    </row>
    <row r="273" hidden="1">
      <c r="A273" s="17">
        <v>271</v>
      </c>
      <c r="B273" s="17" t="s">
        <v>52</v>
      </c>
      <c r="C273" s="19" t="s">
        <v>931</v>
      </c>
      <c r="D273" s="19" t="s">
        <v>54</v>
      </c>
      <c r="E273" s="17" t="s">
        <v>932</v>
      </c>
      <c r="F273" s="17" t="s">
        <v>933</v>
      </c>
      <c r="G273" s="17">
        <v>22.082538</v>
      </c>
      <c r="H273" s="17">
        <v>88.052860999999993</v>
      </c>
      <c r="I273" s="17"/>
      <c r="J273" s="17"/>
      <c r="K273" s="17"/>
      <c r="L273" s="17"/>
      <c r="M273" s="19" t="s">
        <v>59</v>
      </c>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row>
    <row r="274" hidden="1">
      <c r="A274" s="17">
        <v>272</v>
      </c>
      <c r="B274" s="17" t="s">
        <v>52</v>
      </c>
      <c r="C274" s="19" t="s">
        <v>934</v>
      </c>
      <c r="D274" s="19" t="s">
        <v>54</v>
      </c>
      <c r="E274" s="17" t="s">
        <v>935</v>
      </c>
      <c r="F274" s="17" t="s">
        <v>936</v>
      </c>
      <c r="G274" s="17">
        <v>22.085463000000001</v>
      </c>
      <c r="H274" s="17">
        <v>88.093377000000004</v>
      </c>
      <c r="I274" s="17"/>
      <c r="J274" s="17"/>
      <c r="K274" s="17"/>
      <c r="L274" s="17"/>
      <c r="M274" s="19" t="s">
        <v>59</v>
      </c>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row>
    <row r="275" hidden="1">
      <c r="A275" s="17">
        <v>273</v>
      </c>
      <c r="B275" s="17" t="s">
        <v>52</v>
      </c>
      <c r="C275" s="19" t="s">
        <v>937</v>
      </c>
      <c r="D275" s="19" t="s">
        <v>54</v>
      </c>
      <c r="E275" s="17" t="s">
        <v>938</v>
      </c>
      <c r="F275" s="17" t="s">
        <v>939</v>
      </c>
      <c r="G275" s="17">
        <v>22.116852999999999</v>
      </c>
      <c r="H275" s="17">
        <v>88.081733</v>
      </c>
      <c r="I275" s="17"/>
      <c r="J275" s="17"/>
      <c r="K275" s="17"/>
      <c r="L275" s="17"/>
      <c r="M275" s="19" t="s">
        <v>150</v>
      </c>
      <c r="N275" s="17">
        <v>6289903920</v>
      </c>
      <c r="O275" s="17">
        <v>22</v>
      </c>
      <c r="P275" s="17">
        <v>80</v>
      </c>
      <c r="Q275" s="17" t="s">
        <v>187</v>
      </c>
      <c r="R275" s="17" t="s">
        <v>339</v>
      </c>
      <c r="S275" s="17" t="s">
        <v>75</v>
      </c>
      <c r="T275" s="17"/>
      <c r="U275" s="17" t="s">
        <v>76</v>
      </c>
      <c r="V275" s="17" t="s">
        <v>940</v>
      </c>
      <c r="W275" s="17" t="s">
        <v>161</v>
      </c>
      <c r="X275" s="17">
        <v>5</v>
      </c>
      <c r="Y275" s="17">
        <v>1</v>
      </c>
      <c r="Z275" s="17"/>
      <c r="AA275" s="17" t="s">
        <v>187</v>
      </c>
      <c r="AB275" s="17" t="s">
        <v>79</v>
      </c>
      <c r="AC275" s="17">
        <v>2</v>
      </c>
      <c r="AD275" s="17">
        <v>0</v>
      </c>
      <c r="AE275" s="17">
        <v>0</v>
      </c>
      <c r="AF275" s="17"/>
      <c r="AG275" s="17" t="s">
        <v>124</v>
      </c>
      <c r="AH275" s="17" t="s">
        <v>82</v>
      </c>
      <c r="AI275" s="17" t="s">
        <v>83</v>
      </c>
      <c r="AJ275" s="17" t="s">
        <v>341</v>
      </c>
      <c r="AK275" s="17" t="s">
        <v>75</v>
      </c>
      <c r="AL275" s="17" t="s">
        <v>75</v>
      </c>
      <c r="AM275" s="17" t="s">
        <v>75</v>
      </c>
      <c r="AN275" s="17" t="s">
        <v>84</v>
      </c>
      <c r="AO275" s="17" t="s">
        <v>75</v>
      </c>
      <c r="AP275" s="17"/>
      <c r="AQ275" s="17"/>
      <c r="AR275" s="17"/>
      <c r="AS275" s="17"/>
      <c r="AT275" s="17"/>
      <c r="AU275" s="17" t="s">
        <v>111</v>
      </c>
    </row>
    <row r="276" hidden="1">
      <c r="A276" s="17">
        <v>274</v>
      </c>
      <c r="B276" s="17" t="s">
        <v>52</v>
      </c>
      <c r="C276" s="19" t="s">
        <v>941</v>
      </c>
      <c r="D276" s="19" t="s">
        <v>54</v>
      </c>
      <c r="E276" s="17" t="s">
        <v>942</v>
      </c>
      <c r="F276" s="17" t="s">
        <v>943</v>
      </c>
      <c r="G276" s="17">
        <v>22.127208</v>
      </c>
      <c r="H276" s="17">
        <v>88.054738999999998</v>
      </c>
      <c r="I276" s="17"/>
      <c r="J276" s="17"/>
      <c r="K276" s="17"/>
      <c r="L276" s="17"/>
      <c r="M276" s="19" t="s">
        <v>150</v>
      </c>
      <c r="N276" s="17">
        <v>6289903920</v>
      </c>
      <c r="O276" s="17">
        <v>20</v>
      </c>
      <c r="P276" s="17">
        <v>70</v>
      </c>
      <c r="Q276" s="17" t="s">
        <v>73</v>
      </c>
      <c r="R276" s="17" t="s">
        <v>74</v>
      </c>
      <c r="S276" s="17" t="s">
        <v>75</v>
      </c>
      <c r="T276" s="17"/>
      <c r="U276" s="17" t="s">
        <v>160</v>
      </c>
      <c r="V276" s="17" t="s">
        <v>77</v>
      </c>
      <c r="W276" s="17" t="s">
        <v>161</v>
      </c>
      <c r="X276" s="17">
        <v>5</v>
      </c>
      <c r="Y276" s="17">
        <v>0</v>
      </c>
      <c r="Z276" s="17"/>
      <c r="AA276" s="17" t="s">
        <v>73</v>
      </c>
      <c r="AB276" s="17" t="s">
        <v>79</v>
      </c>
      <c r="AC276" s="17">
        <v>2</v>
      </c>
      <c r="AD276" s="17">
        <v>0</v>
      </c>
      <c r="AE276" s="17">
        <v>0</v>
      </c>
      <c r="AF276" s="17"/>
      <c r="AG276" s="17" t="s">
        <v>81</v>
      </c>
      <c r="AH276" s="17" t="s">
        <v>82</v>
      </c>
      <c r="AI276" s="17" t="s">
        <v>107</v>
      </c>
      <c r="AJ276" s="17" t="s">
        <v>261</v>
      </c>
      <c r="AK276" s="17" t="s">
        <v>75</v>
      </c>
      <c r="AL276" s="17" t="s">
        <v>75</v>
      </c>
      <c r="AM276" s="17" t="s">
        <v>75</v>
      </c>
      <c r="AN276" s="17" t="s">
        <v>84</v>
      </c>
      <c r="AO276" s="17" t="s">
        <v>75</v>
      </c>
      <c r="AP276" s="17"/>
      <c r="AQ276" s="17"/>
      <c r="AR276" s="17"/>
      <c r="AS276" s="17"/>
      <c r="AT276" s="17"/>
      <c r="AU276" s="17" t="s">
        <v>127</v>
      </c>
    </row>
    <row r="277" hidden="1">
      <c r="A277" s="17">
        <v>275</v>
      </c>
      <c r="B277" s="17" t="s">
        <v>52</v>
      </c>
      <c r="C277" s="19" t="s">
        <v>944</v>
      </c>
      <c r="D277" s="19" t="s">
        <v>54</v>
      </c>
      <c r="E277" s="17" t="s">
        <v>945</v>
      </c>
      <c r="F277" s="17" t="s">
        <v>946</v>
      </c>
      <c r="G277" s="17">
        <v>22.119177000000001</v>
      </c>
      <c r="H277" s="17">
        <v>87.997300999999993</v>
      </c>
      <c r="I277" s="17"/>
      <c r="J277" s="17"/>
      <c r="K277" s="17"/>
      <c r="L277" s="17"/>
      <c r="M277" s="19" t="s">
        <v>150</v>
      </c>
      <c r="N277" s="17">
        <v>6289903920</v>
      </c>
      <c r="O277" s="17">
        <v>20</v>
      </c>
      <c r="P277" s="17">
        <v>80</v>
      </c>
      <c r="Q277" s="17" t="s">
        <v>73</v>
      </c>
      <c r="R277" s="17" t="s">
        <v>74</v>
      </c>
      <c r="S277" s="17" t="s">
        <v>947</v>
      </c>
      <c r="T277" s="17"/>
      <c r="U277" s="17" t="s">
        <v>105</v>
      </c>
      <c r="V277" s="17" t="s">
        <v>77</v>
      </c>
      <c r="W277" s="17" t="s">
        <v>161</v>
      </c>
      <c r="X277" s="17">
        <v>6</v>
      </c>
      <c r="Y277" s="17">
        <v>0</v>
      </c>
      <c r="Z277" s="17"/>
      <c r="AA277" s="17" t="s">
        <v>73</v>
      </c>
      <c r="AB277" s="17"/>
      <c r="AC277" s="17">
        <v>2</v>
      </c>
      <c r="AD277" s="17">
        <v>0</v>
      </c>
      <c r="AE277" s="17">
        <v>0</v>
      </c>
      <c r="AF277" s="17"/>
      <c r="AG277" s="17" t="s">
        <v>124</v>
      </c>
      <c r="AH277" s="17" t="s">
        <v>82</v>
      </c>
      <c r="AI277" s="17" t="s">
        <v>83</v>
      </c>
      <c r="AJ277" s="17">
        <v>2111</v>
      </c>
      <c r="AK277" s="17" t="s">
        <v>137</v>
      </c>
      <c r="AL277" s="17" t="s">
        <v>75</v>
      </c>
      <c r="AM277" s="17" t="s">
        <v>137</v>
      </c>
      <c r="AN277" s="17" t="s">
        <v>84</v>
      </c>
      <c r="AO277" s="17" t="s">
        <v>75</v>
      </c>
      <c r="AP277" s="17" t="s">
        <v>73</v>
      </c>
      <c r="AQ277" s="17" t="s">
        <v>154</v>
      </c>
      <c r="AR277" s="17">
        <v>3</v>
      </c>
      <c r="AS277" s="17">
        <v>0</v>
      </c>
      <c r="AT277" s="17" t="s">
        <v>127</v>
      </c>
      <c r="AU277" s="17" t="s">
        <v>127</v>
      </c>
    </row>
    <row r="278" hidden="1">
      <c r="A278" s="17">
        <v>276</v>
      </c>
      <c r="B278" s="17" t="s">
        <v>52</v>
      </c>
      <c r="C278" s="19" t="s">
        <v>948</v>
      </c>
      <c r="D278" s="19" t="s">
        <v>54</v>
      </c>
      <c r="E278" s="17" t="s">
        <v>949</v>
      </c>
      <c r="F278" s="17" t="s">
        <v>950</v>
      </c>
      <c r="G278" s="17">
        <v>22.138531</v>
      </c>
      <c r="H278" s="17">
        <v>88.016431999999995</v>
      </c>
      <c r="I278" s="17"/>
      <c r="J278" s="17"/>
      <c r="K278" s="17"/>
      <c r="L278" s="17"/>
      <c r="M278" s="19" t="s">
        <v>150</v>
      </c>
      <c r="N278" s="17">
        <v>6289903920</v>
      </c>
      <c r="O278" s="17">
        <v>18</v>
      </c>
      <c r="P278" s="17">
        <v>65</v>
      </c>
      <c r="Q278" s="17" t="s">
        <v>105</v>
      </c>
      <c r="R278" s="17" t="s">
        <v>339</v>
      </c>
      <c r="S278" s="17" t="s">
        <v>75</v>
      </c>
      <c r="T278" s="17"/>
      <c r="U278" s="17" t="s">
        <v>105</v>
      </c>
      <c r="V278" s="17" t="s">
        <v>77</v>
      </c>
      <c r="W278" s="17" t="s">
        <v>593</v>
      </c>
      <c r="X278" s="17">
        <v>7</v>
      </c>
      <c r="Y278" s="17">
        <v>0</v>
      </c>
      <c r="Z278" s="17"/>
      <c r="AA278" s="17"/>
      <c r="AB278" s="17"/>
      <c r="AC278" s="17">
        <v>3</v>
      </c>
      <c r="AD278" s="17">
        <v>0</v>
      </c>
      <c r="AE278" s="17">
        <v>0</v>
      </c>
      <c r="AF278" s="17"/>
      <c r="AG278" s="17" t="s">
        <v>81</v>
      </c>
      <c r="AH278" s="17" t="s">
        <v>82</v>
      </c>
      <c r="AI278" s="17" t="s">
        <v>83</v>
      </c>
      <c r="AJ278" s="17">
        <v>2111</v>
      </c>
      <c r="AK278" s="17" t="s">
        <v>75</v>
      </c>
      <c r="AL278" s="17" t="s">
        <v>75</v>
      </c>
      <c r="AM278" s="17" t="s">
        <v>75</v>
      </c>
      <c r="AN278" s="17" t="s">
        <v>84</v>
      </c>
      <c r="AO278" s="17" t="s">
        <v>75</v>
      </c>
      <c r="AP278" s="17" t="s">
        <v>105</v>
      </c>
      <c r="AQ278" s="17" t="s">
        <v>154</v>
      </c>
      <c r="AR278" s="17">
        <v>2</v>
      </c>
      <c r="AS278" s="17">
        <v>0</v>
      </c>
      <c r="AT278" s="17" t="s">
        <v>127</v>
      </c>
      <c r="AU278" s="17" t="s">
        <v>127</v>
      </c>
    </row>
    <row r="279" hidden="1">
      <c r="A279" s="17">
        <v>277</v>
      </c>
      <c r="B279" s="17" t="s">
        <v>52</v>
      </c>
      <c r="C279" s="19" t="s">
        <v>951</v>
      </c>
      <c r="D279" s="19" t="s">
        <v>54</v>
      </c>
      <c r="E279" s="17" t="s">
        <v>952</v>
      </c>
      <c r="F279" s="17" t="s">
        <v>953</v>
      </c>
      <c r="G279" s="17">
        <v>22.078809</v>
      </c>
      <c r="H279" s="17">
        <v>88.101517999999999</v>
      </c>
      <c r="I279" s="17"/>
      <c r="J279" s="17"/>
      <c r="K279" s="17"/>
      <c r="L279" s="17"/>
      <c r="M279" s="19" t="s">
        <v>59</v>
      </c>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row>
    <row r="280" hidden="1">
      <c r="A280" s="17">
        <v>278</v>
      </c>
      <c r="B280" s="17" t="s">
        <v>52</v>
      </c>
      <c r="C280" s="19" t="s">
        <v>954</v>
      </c>
      <c r="D280" s="19" t="s">
        <v>54</v>
      </c>
      <c r="E280" s="17" t="s">
        <v>955</v>
      </c>
      <c r="F280" s="17" t="s">
        <v>956</v>
      </c>
      <c r="G280" s="17">
        <v>22.098157</v>
      </c>
      <c r="H280" s="17">
        <v>88.021144000000007</v>
      </c>
      <c r="I280" s="17"/>
      <c r="J280" s="17"/>
      <c r="K280" s="17"/>
      <c r="L280" s="17"/>
      <c r="M280" s="19" t="s">
        <v>150</v>
      </c>
      <c r="N280" s="17">
        <v>6289903920</v>
      </c>
      <c r="O280" s="17">
        <v>20</v>
      </c>
      <c r="P280" s="17">
        <v>70</v>
      </c>
      <c r="Q280" s="17" t="s">
        <v>73</v>
      </c>
      <c r="R280" s="17" t="s">
        <v>74</v>
      </c>
      <c r="S280" s="17" t="s">
        <v>75</v>
      </c>
      <c r="T280" s="17"/>
      <c r="U280" s="17" t="s">
        <v>160</v>
      </c>
      <c r="V280" s="17" t="s">
        <v>77</v>
      </c>
      <c r="W280" s="17" t="s">
        <v>161</v>
      </c>
      <c r="X280" s="17">
        <v>5</v>
      </c>
      <c r="Y280" s="17">
        <v>0</v>
      </c>
      <c r="Z280" s="17"/>
      <c r="AA280" s="17" t="s">
        <v>73</v>
      </c>
      <c r="AB280" s="17" t="s">
        <v>79</v>
      </c>
      <c r="AC280" s="17">
        <v>2</v>
      </c>
      <c r="AD280" s="17">
        <v>0</v>
      </c>
      <c r="AE280" s="17">
        <v>0</v>
      </c>
      <c r="AF280" s="17"/>
      <c r="AG280" s="17" t="s">
        <v>81</v>
      </c>
      <c r="AH280" s="17" t="s">
        <v>82</v>
      </c>
      <c r="AI280" s="17" t="s">
        <v>107</v>
      </c>
      <c r="AJ280" s="17"/>
      <c r="AK280" s="17" t="s">
        <v>75</v>
      </c>
      <c r="AL280" s="17" t="s">
        <v>75</v>
      </c>
      <c r="AM280" s="17" t="s">
        <v>75</v>
      </c>
      <c r="AN280" s="17" t="s">
        <v>84</v>
      </c>
      <c r="AO280" s="17" t="s">
        <v>75</v>
      </c>
      <c r="AP280" s="17"/>
      <c r="AQ280" s="17"/>
      <c r="AR280" s="17"/>
      <c r="AS280" s="17"/>
      <c r="AT280" s="17"/>
      <c r="AU280" s="17" t="s">
        <v>127</v>
      </c>
    </row>
    <row r="281" hidden="1">
      <c r="A281" s="17">
        <v>279</v>
      </c>
      <c r="B281" s="17" t="s">
        <v>52</v>
      </c>
      <c r="C281" s="19" t="s">
        <v>957</v>
      </c>
      <c r="D281" s="19" t="s">
        <v>54</v>
      </c>
      <c r="E281" s="17" t="s">
        <v>958</v>
      </c>
      <c r="F281" s="17" t="s">
        <v>959</v>
      </c>
      <c r="G281" s="17">
        <v>22.049962000000001</v>
      </c>
      <c r="H281" s="17">
        <v>88.038707000000002</v>
      </c>
      <c r="I281" s="17"/>
      <c r="J281" s="17"/>
      <c r="K281" s="17"/>
      <c r="L281" s="17"/>
      <c r="M281" s="19" t="s">
        <v>59</v>
      </c>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row>
    <row r="282" hidden="1">
      <c r="A282" s="17">
        <v>280</v>
      </c>
      <c r="B282" s="17" t="s">
        <v>52</v>
      </c>
      <c r="C282" s="19" t="s">
        <v>960</v>
      </c>
      <c r="D282" s="19" t="s">
        <v>54</v>
      </c>
      <c r="E282" s="17" t="s">
        <v>961</v>
      </c>
      <c r="F282" s="17" t="s">
        <v>962</v>
      </c>
      <c r="G282" s="17">
        <v>22.111843</v>
      </c>
      <c r="H282" s="17">
        <v>88.055650999999997</v>
      </c>
      <c r="I282" s="17"/>
      <c r="J282" s="17"/>
      <c r="K282" s="17"/>
      <c r="L282" s="17"/>
      <c r="M282" s="19" t="s">
        <v>150</v>
      </c>
      <c r="N282" s="17">
        <v>6289903920</v>
      </c>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row>
    <row r="283" hidden="1">
      <c r="A283" s="17">
        <v>281</v>
      </c>
      <c r="B283" s="17" t="s">
        <v>52</v>
      </c>
      <c r="C283" s="19" t="s">
        <v>963</v>
      </c>
      <c r="D283" s="19" t="s">
        <v>54</v>
      </c>
      <c r="E283" s="17" t="s">
        <v>964</v>
      </c>
      <c r="F283" s="17" t="s">
        <v>965</v>
      </c>
      <c r="G283" s="17">
        <v>22.088269</v>
      </c>
      <c r="H283" s="17">
        <v>88.040436999999997</v>
      </c>
      <c r="I283" s="17"/>
      <c r="J283" s="17"/>
      <c r="K283" s="17"/>
      <c r="L283" s="17"/>
      <c r="M283" s="19" t="s">
        <v>59</v>
      </c>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row>
    <row r="284" hidden="1">
      <c r="A284" s="17">
        <v>282</v>
      </c>
      <c r="B284" s="17" t="s">
        <v>52</v>
      </c>
      <c r="C284" s="19" t="s">
        <v>966</v>
      </c>
      <c r="D284" s="19" t="s">
        <v>54</v>
      </c>
      <c r="E284" s="17" t="s">
        <v>967</v>
      </c>
      <c r="F284" s="17" t="s">
        <v>968</v>
      </c>
      <c r="G284" s="17">
        <v>22.131005999999999</v>
      </c>
      <c r="H284" s="17">
        <v>88.039223000000007</v>
      </c>
      <c r="I284" s="17"/>
      <c r="J284" s="17"/>
      <c r="K284" s="17"/>
      <c r="L284" s="17"/>
      <c r="M284" s="19" t="s">
        <v>150</v>
      </c>
      <c r="N284" s="17">
        <v>6289903920</v>
      </c>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row>
    <row r="285" hidden="1">
      <c r="A285" s="17">
        <v>283</v>
      </c>
      <c r="B285" s="17" t="s">
        <v>52</v>
      </c>
      <c r="C285" s="19" t="s">
        <v>969</v>
      </c>
      <c r="D285" s="19" t="s">
        <v>54</v>
      </c>
      <c r="E285" s="17" t="s">
        <v>970</v>
      </c>
      <c r="F285" s="17" t="s">
        <v>971</v>
      </c>
      <c r="G285" s="17">
        <v>22.056121000000001</v>
      </c>
      <c r="H285" s="17">
        <v>88.046110999999996</v>
      </c>
      <c r="I285" s="17"/>
      <c r="J285" s="17"/>
      <c r="K285" s="17"/>
      <c r="L285" s="17"/>
      <c r="M285" s="19" t="s">
        <v>59</v>
      </c>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row>
    <row r="286" hidden="1">
      <c r="A286" s="17">
        <v>284</v>
      </c>
      <c r="B286" s="17" t="s">
        <v>52</v>
      </c>
      <c r="C286" s="19" t="s">
        <v>972</v>
      </c>
      <c r="D286" s="19" t="s">
        <v>54</v>
      </c>
      <c r="E286" s="17" t="s">
        <v>973</v>
      </c>
      <c r="F286" s="17" t="s">
        <v>974</v>
      </c>
      <c r="G286" s="17">
        <v>22.105194000000001</v>
      </c>
      <c r="H286" s="17">
        <v>88.094739000000004</v>
      </c>
      <c r="I286" s="17"/>
      <c r="J286" s="17"/>
      <c r="K286" s="17"/>
      <c r="L286" s="17"/>
      <c r="M286" s="19" t="s">
        <v>59</v>
      </c>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row>
    <row r="287" hidden="1">
      <c r="A287" s="17">
        <v>285</v>
      </c>
      <c r="B287" s="17" t="s">
        <v>52</v>
      </c>
      <c r="C287" s="19" t="s">
        <v>975</v>
      </c>
      <c r="D287" s="19" t="s">
        <v>54</v>
      </c>
      <c r="E287" s="17" t="s">
        <v>976</v>
      </c>
      <c r="F287" s="17" t="s">
        <v>977</v>
      </c>
      <c r="G287" s="17">
        <v>22.063158000000001</v>
      </c>
      <c r="H287" s="17">
        <v>88.040389000000005</v>
      </c>
      <c r="I287" s="17"/>
      <c r="J287" s="17"/>
      <c r="K287" s="17"/>
      <c r="L287" s="17"/>
      <c r="M287" s="19" t="s">
        <v>59</v>
      </c>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row>
    <row r="288" hidden="1">
      <c r="A288" s="17">
        <v>286</v>
      </c>
      <c r="B288" s="17" t="s">
        <v>52</v>
      </c>
      <c r="C288" s="18" t="s">
        <v>978</v>
      </c>
      <c r="D288" s="19" t="s">
        <v>54</v>
      </c>
      <c r="E288" s="17"/>
      <c r="F288" s="17"/>
      <c r="G288" s="17"/>
      <c r="H288" s="17"/>
      <c r="I288" s="17"/>
      <c r="J288" s="17"/>
      <c r="K288" s="17"/>
      <c r="L288" s="17"/>
      <c r="M288" s="20"/>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row>
    <row r="289" hidden="1">
      <c r="A289" s="17">
        <v>287</v>
      </c>
      <c r="B289" s="17" t="s">
        <v>52</v>
      </c>
      <c r="C289" s="20" t="s">
        <v>979</v>
      </c>
      <c r="D289" s="19" t="s">
        <v>54</v>
      </c>
      <c r="E289" s="17"/>
      <c r="F289" s="17"/>
      <c r="G289" s="17"/>
      <c r="H289" s="17"/>
      <c r="I289" s="17"/>
      <c r="J289" s="17"/>
      <c r="K289" s="17"/>
      <c r="L289" s="17"/>
      <c r="M289" s="20"/>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row>
    <row r="290" hidden="1">
      <c r="A290" s="17">
        <v>288</v>
      </c>
      <c r="B290" s="17" t="s">
        <v>52</v>
      </c>
      <c r="C290" s="20" t="s">
        <v>980</v>
      </c>
      <c r="D290" s="19" t="s">
        <v>54</v>
      </c>
      <c r="E290" s="17"/>
      <c r="F290" s="17"/>
      <c r="G290" s="17"/>
      <c r="H290" s="17"/>
      <c r="I290" s="17"/>
      <c r="J290" s="17"/>
      <c r="K290" s="17"/>
      <c r="L290" s="17"/>
      <c r="M290" s="20"/>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row>
    <row r="291" hidden="1">
      <c r="A291" s="17">
        <v>289</v>
      </c>
      <c r="B291" s="17" t="s">
        <v>52</v>
      </c>
      <c r="C291" s="19" t="s">
        <v>981</v>
      </c>
      <c r="D291" s="19" t="s">
        <v>54</v>
      </c>
      <c r="E291" s="17" t="s">
        <v>982</v>
      </c>
      <c r="F291" s="17" t="s">
        <v>983</v>
      </c>
      <c r="G291" s="17">
        <v>22.119346</v>
      </c>
      <c r="H291" s="17">
        <v>88.109269999999995</v>
      </c>
      <c r="I291" s="17"/>
      <c r="J291" s="17"/>
      <c r="K291" s="17"/>
      <c r="L291" s="17"/>
      <c r="M291" s="19" t="s">
        <v>150</v>
      </c>
      <c r="N291" s="17">
        <v>6289903920</v>
      </c>
      <c r="O291" s="17">
        <v>21</v>
      </c>
      <c r="P291" s="17">
        <v>70</v>
      </c>
      <c r="Q291" s="17" t="s">
        <v>187</v>
      </c>
      <c r="R291" s="17" t="s">
        <v>339</v>
      </c>
      <c r="S291" s="17" t="s">
        <v>75</v>
      </c>
      <c r="T291" s="17"/>
      <c r="U291" s="17" t="s">
        <v>160</v>
      </c>
      <c r="V291" s="17" t="s">
        <v>77</v>
      </c>
      <c r="W291" s="17" t="s">
        <v>161</v>
      </c>
      <c r="X291" s="17">
        <v>5</v>
      </c>
      <c r="Y291" s="17">
        <v>0</v>
      </c>
      <c r="Z291" s="17"/>
      <c r="AA291" s="17" t="s">
        <v>187</v>
      </c>
      <c r="AB291" s="17" t="s">
        <v>79</v>
      </c>
      <c r="AC291" s="17">
        <v>2</v>
      </c>
      <c r="AD291" s="17">
        <v>0</v>
      </c>
      <c r="AE291" s="17">
        <v>0</v>
      </c>
      <c r="AF291" s="17"/>
      <c r="AG291" s="17" t="s">
        <v>124</v>
      </c>
      <c r="AH291" s="17" t="s">
        <v>82</v>
      </c>
      <c r="AI291" s="17" t="s">
        <v>83</v>
      </c>
      <c r="AJ291" s="17">
        <v>2111</v>
      </c>
      <c r="AK291" s="17" t="s">
        <v>75</v>
      </c>
      <c r="AL291" s="17" t="s">
        <v>75</v>
      </c>
      <c r="AM291" s="17" t="s">
        <v>75</v>
      </c>
      <c r="AN291" s="17" t="s">
        <v>84</v>
      </c>
      <c r="AO291" s="17" t="s">
        <v>75</v>
      </c>
      <c r="AP291" s="17"/>
      <c r="AQ291" s="17"/>
      <c r="AR291" s="17"/>
      <c r="AS291" s="17"/>
      <c r="AT291" s="17"/>
      <c r="AU291" s="17" t="s">
        <v>127</v>
      </c>
    </row>
    <row r="292" hidden="1">
      <c r="A292" s="17">
        <v>290</v>
      </c>
      <c r="B292" s="17" t="s">
        <v>52</v>
      </c>
      <c r="C292" s="19" t="s">
        <v>984</v>
      </c>
      <c r="D292" s="19" t="s">
        <v>54</v>
      </c>
      <c r="E292" s="17" t="s">
        <v>985</v>
      </c>
      <c r="F292" s="17" t="s">
        <v>986</v>
      </c>
      <c r="G292" s="17">
        <v>22.138494000000001</v>
      </c>
      <c r="H292" s="17">
        <v>88.085009999999997</v>
      </c>
      <c r="I292" s="17"/>
      <c r="J292" s="17"/>
      <c r="K292" s="17"/>
      <c r="L292" s="17"/>
      <c r="M292" s="19" t="s">
        <v>150</v>
      </c>
      <c r="N292" s="17">
        <v>6289903920</v>
      </c>
      <c r="O292" s="17">
        <v>22</v>
      </c>
      <c r="P292" s="17">
        <v>65</v>
      </c>
      <c r="Q292" s="17" t="s">
        <v>187</v>
      </c>
      <c r="R292" s="17" t="s">
        <v>339</v>
      </c>
      <c r="S292" s="17" t="s">
        <v>75</v>
      </c>
      <c r="T292" s="17"/>
      <c r="U292" s="17" t="s">
        <v>160</v>
      </c>
      <c r="V292" s="17" t="s">
        <v>77</v>
      </c>
      <c r="W292" s="17" t="s">
        <v>161</v>
      </c>
      <c r="X292" s="17">
        <v>5</v>
      </c>
      <c r="Y292" s="17">
        <v>0</v>
      </c>
      <c r="Z292" s="17"/>
      <c r="AA292" s="17" t="s">
        <v>187</v>
      </c>
      <c r="AB292" s="17" t="s">
        <v>79</v>
      </c>
      <c r="AC292" s="17">
        <v>2</v>
      </c>
      <c r="AD292" s="17">
        <v>0</v>
      </c>
      <c r="AE292" s="17">
        <v>0</v>
      </c>
      <c r="AF292" s="17"/>
      <c r="AG292" s="17" t="s">
        <v>724</v>
      </c>
      <c r="AH292" s="17"/>
      <c r="AI292" s="17"/>
      <c r="AJ292" s="17"/>
      <c r="AK292" s="17"/>
      <c r="AL292" s="17"/>
      <c r="AM292" s="17"/>
      <c r="AN292" s="17"/>
      <c r="AO292" s="17"/>
      <c r="AP292" s="17"/>
      <c r="AQ292" s="17"/>
      <c r="AR292" s="17"/>
      <c r="AS292" s="17"/>
      <c r="AT292" s="17"/>
      <c r="AU292" s="17" t="s">
        <v>127</v>
      </c>
    </row>
    <row r="293" hidden="1">
      <c r="A293" s="17">
        <v>291</v>
      </c>
      <c r="B293" s="17" t="s">
        <v>52</v>
      </c>
      <c r="C293" s="19" t="s">
        <v>987</v>
      </c>
      <c r="D293" s="19" t="s">
        <v>54</v>
      </c>
      <c r="E293" s="17" t="s">
        <v>988</v>
      </c>
      <c r="F293" s="17" t="s">
        <v>989</v>
      </c>
      <c r="G293" s="17">
        <v>22.085127</v>
      </c>
      <c r="H293" s="17">
        <v>88.132284999999996</v>
      </c>
      <c r="I293" s="17"/>
      <c r="J293" s="17"/>
      <c r="K293" s="17"/>
      <c r="L293" s="17"/>
      <c r="M293" s="19" t="s">
        <v>150</v>
      </c>
      <c r="N293" s="17">
        <v>6289903920</v>
      </c>
      <c r="O293" s="17">
        <v>22</v>
      </c>
      <c r="P293" s="17">
        <v>110</v>
      </c>
      <c r="Q293" s="17" t="s">
        <v>73</v>
      </c>
      <c r="R293" s="17" t="s">
        <v>74</v>
      </c>
      <c r="S293" s="17" t="s">
        <v>75</v>
      </c>
      <c r="T293" s="17"/>
      <c r="U293" s="17" t="s">
        <v>76</v>
      </c>
      <c r="V293" s="17" t="s">
        <v>77</v>
      </c>
      <c r="W293" s="17" t="s">
        <v>78</v>
      </c>
      <c r="X293" s="17">
        <v>5</v>
      </c>
      <c r="Y293" s="17">
        <v>0</v>
      </c>
      <c r="Z293" s="17"/>
      <c r="AA293" s="17" t="s">
        <v>73</v>
      </c>
      <c r="AB293" s="17" t="s">
        <v>79</v>
      </c>
      <c r="AC293" s="17">
        <v>2</v>
      </c>
      <c r="AD293" s="17">
        <v>0</v>
      </c>
      <c r="AE293" s="17">
        <v>0</v>
      </c>
      <c r="AF293" s="17"/>
      <c r="AG293" s="17" t="s">
        <v>124</v>
      </c>
      <c r="AH293" s="17" t="s">
        <v>162</v>
      </c>
      <c r="AI293" s="17" t="s">
        <v>83</v>
      </c>
      <c r="AJ293" s="17">
        <v>2112</v>
      </c>
      <c r="AK293" s="17" t="s">
        <v>75</v>
      </c>
      <c r="AL293" s="17" t="s">
        <v>75</v>
      </c>
      <c r="AM293" s="17" t="s">
        <v>75</v>
      </c>
      <c r="AN293" s="17" t="s">
        <v>84</v>
      </c>
      <c r="AO293" s="17" t="s">
        <v>75</v>
      </c>
      <c r="AP293" s="17"/>
      <c r="AQ293" s="17"/>
      <c r="AR293" s="17"/>
      <c r="AS293" s="17"/>
      <c r="AT293" s="17"/>
      <c r="AU293" s="17" t="s">
        <v>127</v>
      </c>
    </row>
    <row r="294" hidden="1">
      <c r="A294" s="17">
        <v>292</v>
      </c>
      <c r="B294" s="17" t="s">
        <v>52</v>
      </c>
      <c r="C294" s="19" t="s">
        <v>990</v>
      </c>
      <c r="D294" s="19" t="s">
        <v>54</v>
      </c>
      <c r="E294" s="17" t="s">
        <v>991</v>
      </c>
      <c r="F294" s="17" t="s">
        <v>992</v>
      </c>
      <c r="G294" s="17">
        <v>22.093122999999999</v>
      </c>
      <c r="H294" s="17">
        <v>88.150333000000003</v>
      </c>
      <c r="I294" s="17"/>
      <c r="J294" s="17"/>
      <c r="K294" s="17"/>
      <c r="L294" s="17"/>
      <c r="M294" s="19" t="s">
        <v>59</v>
      </c>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row>
    <row r="295" hidden="1">
      <c r="A295" s="17">
        <v>293</v>
      </c>
      <c r="B295" s="17" t="s">
        <v>52</v>
      </c>
      <c r="C295" s="19" t="s">
        <v>993</v>
      </c>
      <c r="D295" s="19" t="s">
        <v>54</v>
      </c>
      <c r="E295" s="17" t="s">
        <v>994</v>
      </c>
      <c r="F295" s="17" t="s">
        <v>995</v>
      </c>
      <c r="G295" s="17">
        <v>22.172274000000002</v>
      </c>
      <c r="H295" s="17">
        <v>88.128494000000003</v>
      </c>
      <c r="I295" s="17"/>
      <c r="J295" s="17"/>
      <c r="K295" s="17"/>
      <c r="L295" s="17"/>
      <c r="M295" s="19" t="s">
        <v>150</v>
      </c>
      <c r="N295" s="17">
        <v>6289903920</v>
      </c>
      <c r="O295" s="17">
        <v>15</v>
      </c>
      <c r="P295" s="17">
        <v>115</v>
      </c>
      <c r="Q295" s="17" t="s">
        <v>413</v>
      </c>
      <c r="R295" s="17" t="s">
        <v>339</v>
      </c>
      <c r="S295" s="17"/>
      <c r="T295" s="17"/>
      <c r="U295" s="17" t="s">
        <v>76</v>
      </c>
      <c r="V295" s="17" t="s">
        <v>77</v>
      </c>
      <c r="W295" s="17" t="s">
        <v>252</v>
      </c>
      <c r="X295" s="17">
        <v>5</v>
      </c>
      <c r="Y295" s="17">
        <v>0</v>
      </c>
      <c r="Z295" s="17"/>
      <c r="AA295" s="17" t="s">
        <v>413</v>
      </c>
      <c r="AB295" s="17" t="s">
        <v>79</v>
      </c>
      <c r="AC295" s="17">
        <v>2</v>
      </c>
      <c r="AD295" s="17">
        <v>0</v>
      </c>
      <c r="AE295" s="17">
        <v>0</v>
      </c>
      <c r="AF295" s="17"/>
      <c r="AG295" s="17" t="s">
        <v>573</v>
      </c>
      <c r="AH295" s="17" t="s">
        <v>162</v>
      </c>
      <c r="AI295" s="17" t="s">
        <v>107</v>
      </c>
      <c r="AJ295" s="17"/>
      <c r="AK295" s="17" t="s">
        <v>75</v>
      </c>
      <c r="AL295" s="17" t="s">
        <v>75</v>
      </c>
      <c r="AM295" s="17" t="s">
        <v>75</v>
      </c>
      <c r="AN295" s="17" t="s">
        <v>84</v>
      </c>
      <c r="AO295" s="17" t="s">
        <v>75</v>
      </c>
      <c r="AP295" s="17"/>
      <c r="AQ295" s="17"/>
      <c r="AR295" s="17"/>
      <c r="AS295" s="17"/>
      <c r="AT295" s="17"/>
      <c r="AU295" s="17" t="s">
        <v>127</v>
      </c>
    </row>
    <row r="296" hidden="1">
      <c r="A296" s="17">
        <v>294</v>
      </c>
      <c r="B296" s="17" t="s">
        <v>52</v>
      </c>
      <c r="C296" s="19" t="s">
        <v>996</v>
      </c>
      <c r="D296" s="19" t="s">
        <v>54</v>
      </c>
      <c r="E296" s="17" t="s">
        <v>997</v>
      </c>
      <c r="F296" s="17" t="s">
        <v>998</v>
      </c>
      <c r="G296" s="17">
        <v>22.180543</v>
      </c>
      <c r="H296" s="17">
        <v>88.117752999999993</v>
      </c>
      <c r="I296" s="17"/>
      <c r="J296" s="17"/>
      <c r="K296" s="17"/>
      <c r="L296" s="17"/>
      <c r="M296" s="19" t="s">
        <v>150</v>
      </c>
      <c r="N296" s="17">
        <v>6289903920</v>
      </c>
      <c r="O296" s="17">
        <v>20</v>
      </c>
      <c r="P296" s="17">
        <v>80</v>
      </c>
      <c r="Q296" s="17" t="s">
        <v>73</v>
      </c>
      <c r="R296" s="17" t="s">
        <v>74</v>
      </c>
      <c r="S296" s="17" t="s">
        <v>75</v>
      </c>
      <c r="T296" s="17"/>
      <c r="U296" s="17" t="s">
        <v>160</v>
      </c>
      <c r="V296" s="17" t="s">
        <v>77</v>
      </c>
      <c r="W296" s="17" t="s">
        <v>161</v>
      </c>
      <c r="X296" s="17">
        <v>5</v>
      </c>
      <c r="Y296" s="17">
        <v>0</v>
      </c>
      <c r="Z296" s="17"/>
      <c r="AA296" s="17" t="s">
        <v>73</v>
      </c>
      <c r="AB296" s="17" t="s">
        <v>79</v>
      </c>
      <c r="AC296" s="17">
        <v>2</v>
      </c>
      <c r="AD296" s="17">
        <v>0</v>
      </c>
      <c r="AE296" s="17">
        <v>0</v>
      </c>
      <c r="AF296" s="17"/>
      <c r="AG296" s="17" t="s">
        <v>573</v>
      </c>
      <c r="AH296" s="17" t="s">
        <v>162</v>
      </c>
      <c r="AI296" s="17" t="s">
        <v>107</v>
      </c>
      <c r="AJ296" s="17">
        <v>2112</v>
      </c>
      <c r="AK296" s="17" t="s">
        <v>137</v>
      </c>
      <c r="AL296" s="17" t="s">
        <v>75</v>
      </c>
      <c r="AM296" s="17" t="s">
        <v>75</v>
      </c>
      <c r="AN296" s="17" t="s">
        <v>125</v>
      </c>
      <c r="AO296" s="17" t="s">
        <v>75</v>
      </c>
      <c r="AP296" s="17"/>
      <c r="AQ296" s="17"/>
      <c r="AR296" s="17"/>
      <c r="AS296" s="17"/>
      <c r="AT296" s="17" t="s">
        <v>383</v>
      </c>
      <c r="AU296" s="17" t="s">
        <v>127</v>
      </c>
    </row>
    <row r="297" hidden="1">
      <c r="A297" s="17">
        <v>295</v>
      </c>
      <c r="B297" s="17" t="s">
        <v>52</v>
      </c>
      <c r="C297" s="19" t="s">
        <v>999</v>
      </c>
      <c r="D297" s="19" t="s">
        <v>54</v>
      </c>
      <c r="E297" s="17" t="s">
        <v>1000</v>
      </c>
      <c r="F297" s="17" t="s">
        <v>1001</v>
      </c>
      <c r="G297" s="17">
        <v>22.143927999999999</v>
      </c>
      <c r="H297" s="17">
        <v>88.098871000000003</v>
      </c>
      <c r="I297" s="17"/>
      <c r="J297" s="17"/>
      <c r="K297" s="17"/>
      <c r="L297" s="17"/>
      <c r="M297" s="19" t="s">
        <v>150</v>
      </c>
      <c r="N297" s="17">
        <v>6289903920</v>
      </c>
      <c r="O297" s="17">
        <v>20</v>
      </c>
      <c r="P297" s="17">
        <v>80</v>
      </c>
      <c r="Q297" s="17" t="s">
        <v>73</v>
      </c>
      <c r="R297" s="17" t="s">
        <v>74</v>
      </c>
      <c r="S297" s="17" t="s">
        <v>75</v>
      </c>
      <c r="T297" s="17"/>
      <c r="U297" s="17" t="s">
        <v>160</v>
      </c>
      <c r="V297" s="17" t="s">
        <v>77</v>
      </c>
      <c r="W297" s="17" t="s">
        <v>161</v>
      </c>
      <c r="X297" s="17">
        <v>5</v>
      </c>
      <c r="Y297" s="17">
        <v>0</v>
      </c>
      <c r="Z297" s="17"/>
      <c r="AA297" s="17" t="s">
        <v>73</v>
      </c>
      <c r="AB297" s="17" t="s">
        <v>79</v>
      </c>
      <c r="AC297" s="17">
        <v>2</v>
      </c>
      <c r="AD297" s="17">
        <v>0</v>
      </c>
      <c r="AE297" s="17">
        <v>0</v>
      </c>
      <c r="AF297" s="17"/>
      <c r="AG297" s="17" t="s">
        <v>573</v>
      </c>
      <c r="AH297" s="17" t="s">
        <v>162</v>
      </c>
      <c r="AI297" s="17" t="s">
        <v>107</v>
      </c>
      <c r="AJ297" s="17">
        <v>2112</v>
      </c>
      <c r="AK297" s="17" t="s">
        <v>137</v>
      </c>
      <c r="AL297" s="17" t="s">
        <v>75</v>
      </c>
      <c r="AM297" s="17" t="s">
        <v>75</v>
      </c>
      <c r="AN297" s="17" t="s">
        <v>125</v>
      </c>
      <c r="AO297" s="17" t="s">
        <v>75</v>
      </c>
      <c r="AP297" s="17"/>
      <c r="AQ297" s="17"/>
      <c r="AR297" s="17"/>
      <c r="AS297" s="17"/>
      <c r="AT297" s="17" t="s">
        <v>383</v>
      </c>
      <c r="AU297" s="17" t="s">
        <v>127</v>
      </c>
    </row>
    <row r="298" hidden="1">
      <c r="A298" s="17">
        <v>296</v>
      </c>
      <c r="B298" s="17" t="s">
        <v>52</v>
      </c>
      <c r="C298" s="19" t="s">
        <v>1002</v>
      </c>
      <c r="D298" s="19" t="s">
        <v>54</v>
      </c>
      <c r="E298" s="17" t="s">
        <v>1003</v>
      </c>
      <c r="F298" s="17" t="s">
        <v>1004</v>
      </c>
      <c r="G298" s="17">
        <v>22.115639000000002</v>
      </c>
      <c r="H298" s="17">
        <v>88.129333000000003</v>
      </c>
      <c r="I298" s="17"/>
      <c r="J298" s="17"/>
      <c r="K298" s="17"/>
      <c r="L298" s="17"/>
      <c r="M298" s="19" t="s">
        <v>150</v>
      </c>
      <c r="N298" s="17">
        <v>6289903920</v>
      </c>
      <c r="O298" s="17">
        <v>20</v>
      </c>
      <c r="P298" s="17">
        <v>100</v>
      </c>
      <c r="Q298" s="17" t="s">
        <v>73</v>
      </c>
      <c r="R298" s="17" t="s">
        <v>74</v>
      </c>
      <c r="S298" s="17" t="s">
        <v>75</v>
      </c>
      <c r="T298" s="17"/>
      <c r="U298" s="17" t="s">
        <v>160</v>
      </c>
      <c r="V298" s="17" t="s">
        <v>77</v>
      </c>
      <c r="W298" s="17" t="s">
        <v>252</v>
      </c>
      <c r="X298" s="17">
        <v>5</v>
      </c>
      <c r="Y298" s="17">
        <v>0</v>
      </c>
      <c r="Z298" s="17"/>
      <c r="AA298" s="17" t="s">
        <v>73</v>
      </c>
      <c r="AB298" s="17" t="s">
        <v>79</v>
      </c>
      <c r="AC298" s="17">
        <v>3</v>
      </c>
      <c r="AD298" s="17">
        <v>0</v>
      </c>
      <c r="AE298" s="17">
        <v>0</v>
      </c>
      <c r="AF298" s="17"/>
      <c r="AG298" s="17" t="s">
        <v>124</v>
      </c>
      <c r="AH298" s="17" t="s">
        <v>162</v>
      </c>
      <c r="AI298" s="17" t="s">
        <v>83</v>
      </c>
      <c r="AJ298" s="17">
        <v>2112</v>
      </c>
      <c r="AK298" s="17" t="s">
        <v>137</v>
      </c>
      <c r="AL298" s="17" t="s">
        <v>75</v>
      </c>
      <c r="AM298" s="17" t="s">
        <v>137</v>
      </c>
      <c r="AN298" s="17" t="s">
        <v>125</v>
      </c>
      <c r="AO298" s="17" t="s">
        <v>75</v>
      </c>
      <c r="AP298" s="17"/>
      <c r="AQ298" s="17"/>
      <c r="AR298" s="17"/>
      <c r="AS298" s="17"/>
      <c r="AT298" s="17"/>
      <c r="AU298" s="17" t="s">
        <v>127</v>
      </c>
    </row>
    <row r="299" hidden="1">
      <c r="A299" s="17">
        <v>297</v>
      </c>
      <c r="B299" s="17" t="s">
        <v>52</v>
      </c>
      <c r="C299" s="19" t="s">
        <v>1005</v>
      </c>
      <c r="D299" s="19" t="s">
        <v>54</v>
      </c>
      <c r="E299" s="17" t="s">
        <v>1006</v>
      </c>
      <c r="F299" s="17" t="s">
        <v>1007</v>
      </c>
      <c r="G299" s="17">
        <v>22.148078999999999</v>
      </c>
      <c r="H299" s="17">
        <v>88.079295999999999</v>
      </c>
      <c r="I299" s="17"/>
      <c r="J299" s="17"/>
      <c r="K299" s="17"/>
      <c r="L299" s="17"/>
      <c r="M299" s="19" t="s">
        <v>150</v>
      </c>
      <c r="N299" s="17">
        <v>6289903920</v>
      </c>
      <c r="O299" s="17">
        <v>20</v>
      </c>
      <c r="P299" s="17">
        <v>60</v>
      </c>
      <c r="Q299" s="17" t="s">
        <v>73</v>
      </c>
      <c r="R299" s="17" t="s">
        <v>74</v>
      </c>
      <c r="S299" s="17"/>
      <c r="T299" s="17"/>
      <c r="U299" s="17" t="s">
        <v>160</v>
      </c>
      <c r="V299" s="17" t="s">
        <v>77</v>
      </c>
      <c r="W299" s="17">
        <v>0</v>
      </c>
      <c r="X299" s="17">
        <v>3</v>
      </c>
      <c r="Y299" s="17">
        <v>0</v>
      </c>
      <c r="Z299" s="17"/>
      <c r="AA299" s="17" t="s">
        <v>73</v>
      </c>
      <c r="AB299" s="17" t="s">
        <v>79</v>
      </c>
      <c r="AC299" s="17">
        <v>1</v>
      </c>
      <c r="AD299" s="17">
        <v>0</v>
      </c>
      <c r="AE299" s="17">
        <v>0</v>
      </c>
      <c r="AF299" s="17"/>
      <c r="AG299" s="17" t="s">
        <v>81</v>
      </c>
      <c r="AH299" s="17" t="s">
        <v>82</v>
      </c>
      <c r="AI299" s="17" t="s">
        <v>107</v>
      </c>
      <c r="AJ299" s="17"/>
      <c r="AK299" s="17" t="s">
        <v>75</v>
      </c>
      <c r="AL299" s="17" t="s">
        <v>75</v>
      </c>
      <c r="AM299" s="17" t="s">
        <v>75</v>
      </c>
      <c r="AN299" s="17" t="s">
        <v>84</v>
      </c>
      <c r="AO299" s="17" t="s">
        <v>75</v>
      </c>
      <c r="AP299" s="17"/>
      <c r="AQ299" s="17"/>
      <c r="AR299" s="17"/>
      <c r="AS299" s="17"/>
      <c r="AT299" s="17" t="s">
        <v>919</v>
      </c>
      <c r="AU299" s="17" t="s">
        <v>127</v>
      </c>
    </row>
    <row r="300" hidden="1">
      <c r="A300" s="17">
        <v>298</v>
      </c>
      <c r="B300" s="17" t="s">
        <v>52</v>
      </c>
      <c r="C300" s="19" t="s">
        <v>1008</v>
      </c>
      <c r="D300" s="19" t="s">
        <v>54</v>
      </c>
      <c r="E300" s="17" t="s">
        <v>1009</v>
      </c>
      <c r="F300" s="17" t="s">
        <v>1010</v>
      </c>
      <c r="G300" s="17">
        <v>22.157367000000001</v>
      </c>
      <c r="H300" s="17">
        <v>88.099063999999998</v>
      </c>
      <c r="I300" s="17"/>
      <c r="J300" s="17"/>
      <c r="K300" s="17"/>
      <c r="L300" s="17"/>
      <c r="M300" s="19" t="s">
        <v>150</v>
      </c>
      <c r="N300" s="17">
        <v>6289903920</v>
      </c>
      <c r="O300" s="17">
        <v>22</v>
      </c>
      <c r="P300" s="17">
        <v>100</v>
      </c>
      <c r="Q300" s="17" t="s">
        <v>187</v>
      </c>
      <c r="R300" s="17" t="s">
        <v>339</v>
      </c>
      <c r="S300" s="17"/>
      <c r="T300" s="17"/>
      <c r="U300" s="17" t="s">
        <v>160</v>
      </c>
      <c r="V300" s="17" t="s">
        <v>77</v>
      </c>
      <c r="W300" s="17" t="s">
        <v>161</v>
      </c>
      <c r="X300" s="17">
        <v>5</v>
      </c>
      <c r="Y300" s="17">
        <v>0</v>
      </c>
      <c r="Z300" s="17"/>
      <c r="AA300" s="17"/>
      <c r="AB300" s="17"/>
      <c r="AC300" s="17">
        <v>2</v>
      </c>
      <c r="AD300" s="17">
        <v>0</v>
      </c>
      <c r="AE300" s="17">
        <v>0</v>
      </c>
      <c r="AF300" s="17"/>
      <c r="AG300" s="17" t="s">
        <v>724</v>
      </c>
      <c r="AH300" s="17"/>
      <c r="AI300" s="17"/>
      <c r="AJ300" s="17"/>
      <c r="AK300" s="17"/>
      <c r="AL300" s="17"/>
      <c r="AM300" s="17"/>
      <c r="AN300" s="17"/>
      <c r="AO300" s="17"/>
      <c r="AP300" s="17"/>
      <c r="AQ300" s="17"/>
      <c r="AR300" s="17"/>
      <c r="AS300" s="17"/>
      <c r="AT300" s="17"/>
      <c r="AU300" s="17"/>
    </row>
    <row r="301" hidden="1">
      <c r="A301" s="17">
        <v>299</v>
      </c>
      <c r="B301" s="17" t="s">
        <v>52</v>
      </c>
      <c r="C301" s="19" t="s">
        <v>1011</v>
      </c>
      <c r="D301" s="19" t="s">
        <v>54</v>
      </c>
      <c r="E301" s="17" t="s">
        <v>1012</v>
      </c>
      <c r="F301" s="17" t="s">
        <v>1013</v>
      </c>
      <c r="G301" s="17">
        <v>22.103375</v>
      </c>
      <c r="H301" s="17">
        <v>88.158396999999994</v>
      </c>
      <c r="I301" s="17"/>
      <c r="J301" s="17"/>
      <c r="K301" s="17"/>
      <c r="L301" s="17"/>
      <c r="M301" s="19" t="s">
        <v>150</v>
      </c>
      <c r="N301" s="17">
        <v>6289903920</v>
      </c>
      <c r="O301" s="17">
        <v>20</v>
      </c>
      <c r="P301" s="17">
        <v>80</v>
      </c>
      <c r="Q301" s="17" t="s">
        <v>73</v>
      </c>
      <c r="R301" s="17" t="s">
        <v>74</v>
      </c>
      <c r="S301" s="17" t="s">
        <v>75</v>
      </c>
      <c r="T301" s="17"/>
      <c r="U301" s="17" t="s">
        <v>76</v>
      </c>
      <c r="V301" s="17" t="s">
        <v>77</v>
      </c>
      <c r="W301" s="17" t="s">
        <v>161</v>
      </c>
      <c r="X301" s="17">
        <v>5</v>
      </c>
      <c r="Y301" s="17">
        <v>0</v>
      </c>
      <c r="Z301" s="17"/>
      <c r="AA301" s="17"/>
      <c r="AB301" s="17"/>
      <c r="AC301" s="17">
        <v>2</v>
      </c>
      <c r="AD301" s="17">
        <v>0</v>
      </c>
      <c r="AE301" s="17">
        <v>0</v>
      </c>
      <c r="AF301" s="17"/>
      <c r="AG301" s="17" t="s">
        <v>724</v>
      </c>
      <c r="AH301" s="17"/>
      <c r="AI301" s="17"/>
      <c r="AJ301" s="17"/>
      <c r="AK301" s="17"/>
      <c r="AL301" s="17"/>
      <c r="AM301" s="17"/>
      <c r="AN301" s="17"/>
      <c r="AO301" s="17"/>
      <c r="AP301" s="17"/>
      <c r="AQ301" s="17"/>
      <c r="AR301" s="17"/>
      <c r="AS301" s="17"/>
      <c r="AT301" s="17"/>
      <c r="AU301" s="17"/>
    </row>
    <row r="302" hidden="1">
      <c r="A302" s="17">
        <v>300</v>
      </c>
      <c r="B302" s="17" t="s">
        <v>52</v>
      </c>
      <c r="C302" s="19" t="s">
        <v>1014</v>
      </c>
      <c r="D302" s="19" t="s">
        <v>54</v>
      </c>
      <c r="E302" s="17" t="s">
        <v>1015</v>
      </c>
      <c r="F302" s="17" t="s">
        <v>1016</v>
      </c>
      <c r="G302" s="17">
        <v>22.103359999999999</v>
      </c>
      <c r="H302" s="17">
        <v>88.112020000000001</v>
      </c>
      <c r="I302" s="17"/>
      <c r="J302" s="17"/>
      <c r="K302" s="17"/>
      <c r="L302" s="17"/>
      <c r="M302" s="19" t="s">
        <v>150</v>
      </c>
      <c r="N302" s="17">
        <v>6289903920</v>
      </c>
      <c r="O302" s="17">
        <v>20</v>
      </c>
      <c r="P302" s="17">
        <v>60</v>
      </c>
      <c r="Q302" s="17" t="s">
        <v>187</v>
      </c>
      <c r="R302" s="17" t="s">
        <v>74</v>
      </c>
      <c r="S302" s="17" t="s">
        <v>75</v>
      </c>
      <c r="T302" s="17"/>
      <c r="U302" s="17" t="s">
        <v>160</v>
      </c>
      <c r="V302" s="17" t="s">
        <v>77</v>
      </c>
      <c r="W302" s="17" t="s">
        <v>252</v>
      </c>
      <c r="X302" s="17">
        <v>3</v>
      </c>
      <c r="Y302" s="17">
        <v>0</v>
      </c>
      <c r="Z302" s="17"/>
      <c r="AA302" s="17"/>
      <c r="AB302" s="17"/>
      <c r="AC302" s="17">
        <v>1</v>
      </c>
      <c r="AD302" s="17">
        <v>0</v>
      </c>
      <c r="AE302" s="17">
        <v>0</v>
      </c>
      <c r="AF302" s="17"/>
      <c r="AG302" s="17" t="s">
        <v>124</v>
      </c>
      <c r="AH302" s="17" t="s">
        <v>162</v>
      </c>
      <c r="AI302" s="17" t="s">
        <v>1017</v>
      </c>
      <c r="AJ302" s="17">
        <v>2112</v>
      </c>
      <c r="AK302" s="17" t="s">
        <v>137</v>
      </c>
      <c r="AL302" s="17" t="s">
        <v>75</v>
      </c>
      <c r="AM302" s="17" t="s">
        <v>137</v>
      </c>
      <c r="AN302" s="17" t="s">
        <v>125</v>
      </c>
      <c r="AO302" s="17" t="s">
        <v>75</v>
      </c>
      <c r="AP302" s="17"/>
      <c r="AQ302" s="17"/>
      <c r="AR302" s="17"/>
      <c r="AS302" s="17"/>
      <c r="AT302" s="17"/>
      <c r="AU302" s="17" t="s">
        <v>111</v>
      </c>
    </row>
    <row r="303" hidden="1">
      <c r="A303" s="17">
        <v>301</v>
      </c>
      <c r="B303" s="17" t="s">
        <v>52</v>
      </c>
      <c r="C303" s="19" t="s">
        <v>1018</v>
      </c>
      <c r="D303" s="19" t="s">
        <v>54</v>
      </c>
      <c r="E303" s="17" t="s">
        <v>1019</v>
      </c>
      <c r="F303" s="17">
        <v>0</v>
      </c>
      <c r="G303" s="17">
        <v>22.12893</v>
      </c>
      <c r="H303" s="17">
        <v>88.138729999999995</v>
      </c>
      <c r="I303" s="17"/>
      <c r="J303" s="17"/>
      <c r="K303" s="17"/>
      <c r="L303" s="17"/>
      <c r="M303" s="19" t="s">
        <v>150</v>
      </c>
      <c r="N303" s="17">
        <v>6289903920</v>
      </c>
      <c r="O303" s="17">
        <v>22</v>
      </c>
      <c r="P303" s="17">
        <v>60</v>
      </c>
      <c r="Q303" s="17" t="s">
        <v>105</v>
      </c>
      <c r="R303" s="17" t="s">
        <v>339</v>
      </c>
      <c r="S303" s="17" t="s">
        <v>75</v>
      </c>
      <c r="T303" s="17"/>
      <c r="U303" s="17" t="s">
        <v>160</v>
      </c>
      <c r="V303" s="17" t="s">
        <v>77</v>
      </c>
      <c r="W303" s="17" t="s">
        <v>161</v>
      </c>
      <c r="X303" s="17">
        <v>5</v>
      </c>
      <c r="Y303" s="17">
        <v>0</v>
      </c>
      <c r="Z303" s="17"/>
      <c r="AA303" s="17"/>
      <c r="AB303" s="17"/>
      <c r="AC303" s="17">
        <v>2</v>
      </c>
      <c r="AD303" s="17">
        <v>0</v>
      </c>
      <c r="AE303" s="17">
        <v>0</v>
      </c>
      <c r="AF303" s="17"/>
      <c r="AG303" s="17" t="s">
        <v>124</v>
      </c>
      <c r="AH303" s="17" t="s">
        <v>82</v>
      </c>
      <c r="AI303" s="17" t="s">
        <v>83</v>
      </c>
      <c r="AJ303" s="17">
        <v>2111</v>
      </c>
      <c r="AK303" s="17" t="s">
        <v>75</v>
      </c>
      <c r="AL303" s="17" t="s">
        <v>75</v>
      </c>
      <c r="AM303" s="17" t="s">
        <v>75</v>
      </c>
      <c r="AN303" s="17" t="s">
        <v>125</v>
      </c>
      <c r="AO303" s="17" t="s">
        <v>75</v>
      </c>
      <c r="AP303" s="17"/>
      <c r="AQ303" s="17"/>
      <c r="AR303" s="17"/>
      <c r="AS303" s="17"/>
      <c r="AT303" s="17"/>
      <c r="AU303" s="17" t="s">
        <v>127</v>
      </c>
    </row>
    <row r="304" hidden="1">
      <c r="A304" s="17">
        <v>302</v>
      </c>
      <c r="B304" s="17" t="s">
        <v>52</v>
      </c>
      <c r="C304" s="19" t="s">
        <v>1020</v>
      </c>
      <c r="D304" s="19" t="s">
        <v>54</v>
      </c>
      <c r="E304" s="17"/>
      <c r="F304" s="17" t="s">
        <v>1021</v>
      </c>
      <c r="G304" s="17">
        <v>22.145849999999999</v>
      </c>
      <c r="H304" s="17">
        <v>88.135000000000005</v>
      </c>
      <c r="I304" s="17"/>
      <c r="J304" s="17"/>
      <c r="K304" s="17"/>
      <c r="L304" s="17"/>
      <c r="M304" s="19" t="s">
        <v>150</v>
      </c>
      <c r="N304" s="17">
        <v>6289903920</v>
      </c>
      <c r="O304" s="17">
        <v>22</v>
      </c>
      <c r="P304" s="17">
        <v>110</v>
      </c>
      <c r="Q304" s="17" t="s">
        <v>73</v>
      </c>
      <c r="R304" s="17" t="s">
        <v>74</v>
      </c>
      <c r="S304" s="17" t="s">
        <v>75</v>
      </c>
      <c r="T304" s="17"/>
      <c r="U304" s="17" t="s">
        <v>76</v>
      </c>
      <c r="V304" s="17" t="s">
        <v>77</v>
      </c>
      <c r="W304" s="17" t="s">
        <v>78</v>
      </c>
      <c r="X304" s="17">
        <v>5</v>
      </c>
      <c r="Y304" s="17">
        <v>0</v>
      </c>
      <c r="Z304" s="17"/>
      <c r="AA304" s="17" t="s">
        <v>73</v>
      </c>
      <c r="AB304" s="17" t="s">
        <v>79</v>
      </c>
      <c r="AC304" s="17">
        <v>2</v>
      </c>
      <c r="AD304" s="17">
        <v>0</v>
      </c>
      <c r="AE304" s="17">
        <v>0</v>
      </c>
      <c r="AF304" s="17"/>
      <c r="AG304" s="17" t="s">
        <v>124</v>
      </c>
      <c r="AH304" s="17" t="s">
        <v>162</v>
      </c>
      <c r="AI304" s="17" t="s">
        <v>83</v>
      </c>
      <c r="AJ304" s="17">
        <v>2112</v>
      </c>
      <c r="AK304" s="17" t="s">
        <v>75</v>
      </c>
      <c r="AL304" s="17" t="s">
        <v>75</v>
      </c>
      <c r="AM304" s="17" t="s">
        <v>75</v>
      </c>
      <c r="AN304" s="17" t="s">
        <v>84</v>
      </c>
      <c r="AO304" s="17" t="s">
        <v>75</v>
      </c>
      <c r="AP304" s="17"/>
      <c r="AQ304" s="17"/>
      <c r="AR304" s="17"/>
      <c r="AS304" s="17"/>
      <c r="AT304" s="17"/>
      <c r="AU304" s="17" t="s">
        <v>127</v>
      </c>
    </row>
    <row r="305" hidden="1">
      <c r="A305" s="17">
        <v>303</v>
      </c>
      <c r="B305" s="17" t="s">
        <v>52</v>
      </c>
      <c r="C305" s="19" t="s">
        <v>1022</v>
      </c>
      <c r="D305" s="19" t="s">
        <v>54</v>
      </c>
      <c r="E305" s="17"/>
      <c r="F305" s="17"/>
      <c r="G305" s="17"/>
      <c r="H305" s="17"/>
      <c r="I305" s="17"/>
      <c r="J305" s="17"/>
      <c r="K305" s="17"/>
      <c r="L305" s="17"/>
      <c r="M305" s="19" t="s">
        <v>150</v>
      </c>
      <c r="N305" s="17">
        <v>6289903920</v>
      </c>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row>
    <row r="306" hidden="1">
      <c r="A306" s="17">
        <v>304</v>
      </c>
      <c r="B306" s="17" t="s">
        <v>52</v>
      </c>
      <c r="C306" s="19" t="s">
        <v>1023</v>
      </c>
      <c r="D306" s="19" t="s">
        <v>54</v>
      </c>
      <c r="E306" s="17" t="s">
        <v>1024</v>
      </c>
      <c r="F306" s="17" t="s">
        <v>1025</v>
      </c>
      <c r="G306" s="17">
        <v>22.135159999999999</v>
      </c>
      <c r="H306" s="17">
        <v>88.070548000000002</v>
      </c>
      <c r="I306" s="17"/>
      <c r="J306" s="17"/>
      <c r="K306" s="17"/>
      <c r="L306" s="17"/>
      <c r="M306" s="19" t="s">
        <v>150</v>
      </c>
      <c r="N306" s="17">
        <v>6289903920</v>
      </c>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row>
    <row r="307" hidden="1">
      <c r="A307" s="17">
        <v>305</v>
      </c>
      <c r="B307" s="17" t="s">
        <v>52</v>
      </c>
      <c r="C307" s="19" t="s">
        <v>1026</v>
      </c>
      <c r="D307" s="19" t="s">
        <v>54</v>
      </c>
      <c r="E307" s="17" t="s">
        <v>1027</v>
      </c>
      <c r="F307" s="17" t="s">
        <v>1028</v>
      </c>
      <c r="G307" s="17">
        <v>22.146718</v>
      </c>
      <c r="H307" s="17">
        <v>88.114936</v>
      </c>
      <c r="I307" s="17"/>
      <c r="J307" s="17"/>
      <c r="K307" s="17"/>
      <c r="L307" s="17"/>
      <c r="M307" s="19" t="s">
        <v>150</v>
      </c>
      <c r="N307" s="17">
        <v>6289903920</v>
      </c>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row>
    <row r="308" hidden="1">
      <c r="A308" s="17">
        <v>306</v>
      </c>
      <c r="B308" s="17" t="s">
        <v>52</v>
      </c>
      <c r="C308" s="19" t="s">
        <v>1029</v>
      </c>
      <c r="D308" s="19" t="s">
        <v>54</v>
      </c>
      <c r="E308" s="17" t="s">
        <v>1030</v>
      </c>
      <c r="F308" s="17" t="s">
        <v>1031</v>
      </c>
      <c r="G308" s="17">
        <v>22.090131</v>
      </c>
      <c r="H308" s="17">
        <v>88.135842999999994</v>
      </c>
      <c r="I308" s="17"/>
      <c r="J308" s="17"/>
      <c r="K308" s="17"/>
      <c r="L308" s="17"/>
      <c r="M308" s="19" t="s">
        <v>59</v>
      </c>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row>
    <row r="309" hidden="1">
      <c r="A309" s="17">
        <v>307</v>
      </c>
      <c r="B309" s="17" t="s">
        <v>52</v>
      </c>
      <c r="C309" s="19" t="s">
        <v>1032</v>
      </c>
      <c r="D309" s="19" t="s">
        <v>54</v>
      </c>
      <c r="E309" s="17" t="s">
        <v>1033</v>
      </c>
      <c r="F309" s="17" t="s">
        <v>1034</v>
      </c>
      <c r="G309" s="17">
        <v>22.127068999999999</v>
      </c>
      <c r="H309" s="17">
        <v>88.159996000000007</v>
      </c>
      <c r="I309" s="17"/>
      <c r="J309" s="17"/>
      <c r="K309" s="17"/>
      <c r="L309" s="17"/>
      <c r="M309" s="19" t="s">
        <v>150</v>
      </c>
      <c r="N309" s="17">
        <v>6289903920</v>
      </c>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row>
    <row r="310" hidden="1">
      <c r="A310" s="17">
        <v>308</v>
      </c>
      <c r="B310" s="17" t="s">
        <v>52</v>
      </c>
      <c r="C310" s="19" t="s">
        <v>1035</v>
      </c>
      <c r="D310" s="19" t="s">
        <v>54</v>
      </c>
      <c r="E310" s="17" t="s">
        <v>1036</v>
      </c>
      <c r="F310" s="17" t="s">
        <v>1037</v>
      </c>
      <c r="G310" s="17">
        <v>22.172021000000001</v>
      </c>
      <c r="H310" s="17">
        <v>88.109345000000005</v>
      </c>
      <c r="I310" s="17"/>
      <c r="J310" s="17"/>
      <c r="K310" s="17"/>
      <c r="L310" s="17"/>
      <c r="M310" s="19" t="s">
        <v>150</v>
      </c>
      <c r="N310" s="17">
        <v>6289903920</v>
      </c>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row>
    <row r="311" hidden="1">
      <c r="A311" s="17">
        <v>309</v>
      </c>
      <c r="B311" s="17" t="s">
        <v>52</v>
      </c>
      <c r="C311" s="19" t="s">
        <v>1038</v>
      </c>
      <c r="D311" s="19" t="s">
        <v>54</v>
      </c>
      <c r="E311" s="17" t="s">
        <v>1039</v>
      </c>
      <c r="F311" s="17" t="s">
        <v>1040</v>
      </c>
      <c r="G311" s="17">
        <v>22.164508999999999</v>
      </c>
      <c r="H311" s="17">
        <v>88.117441999999997</v>
      </c>
      <c r="I311" s="17"/>
      <c r="J311" s="17"/>
      <c r="K311" s="17"/>
      <c r="L311" s="17"/>
      <c r="M311" s="19" t="s">
        <v>150</v>
      </c>
      <c r="N311" s="17">
        <v>6289903920</v>
      </c>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row>
    <row r="312" hidden="1">
      <c r="A312" s="17">
        <v>310</v>
      </c>
      <c r="B312" s="17" t="s">
        <v>52</v>
      </c>
      <c r="C312" s="19" t="s">
        <v>1041</v>
      </c>
      <c r="D312" s="19" t="s">
        <v>54</v>
      </c>
      <c r="E312" s="17" t="s">
        <v>54</v>
      </c>
      <c r="F312" s="17" t="s">
        <v>1042</v>
      </c>
      <c r="G312" s="17">
        <v>22.092234000000001</v>
      </c>
      <c r="H312" s="17">
        <v>88.164636000000002</v>
      </c>
      <c r="I312" s="17"/>
      <c r="J312" s="17"/>
      <c r="K312" s="17"/>
      <c r="L312" s="17"/>
      <c r="M312" s="19" t="s">
        <v>150</v>
      </c>
      <c r="N312" s="17">
        <v>6289903920</v>
      </c>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row>
    <row r="313" hidden="1">
      <c r="A313" s="17">
        <v>311</v>
      </c>
      <c r="B313" s="17" t="s">
        <v>52</v>
      </c>
      <c r="C313" s="19" t="s">
        <v>1043</v>
      </c>
      <c r="D313" s="19" t="s">
        <v>54</v>
      </c>
      <c r="E313" s="17"/>
      <c r="F313" s="17"/>
      <c r="G313" s="17"/>
      <c r="H313" s="17"/>
      <c r="I313" s="17"/>
      <c r="J313" s="17"/>
      <c r="K313" s="17"/>
      <c r="L313" s="17"/>
      <c r="M313" s="19" t="s">
        <v>150</v>
      </c>
      <c r="N313" s="17">
        <v>6289903920</v>
      </c>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row>
    <row r="314" hidden="1">
      <c r="A314" s="17">
        <v>312</v>
      </c>
      <c r="B314" s="17" t="s">
        <v>52</v>
      </c>
      <c r="C314" s="19" t="s">
        <v>1044</v>
      </c>
      <c r="D314" s="19" t="s">
        <v>54</v>
      </c>
      <c r="E314" s="17" t="s">
        <v>54</v>
      </c>
      <c r="F314" s="17" t="s">
        <v>1045</v>
      </c>
      <c r="G314" s="17">
        <v>22.111460000000001</v>
      </c>
      <c r="H314" s="17">
        <v>88.139583000000002</v>
      </c>
      <c r="I314" s="17"/>
      <c r="J314" s="17"/>
      <c r="K314" s="17"/>
      <c r="L314" s="17"/>
      <c r="M314" s="19" t="s">
        <v>59</v>
      </c>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row>
    <row r="315" hidden="1">
      <c r="A315" s="17">
        <v>313</v>
      </c>
      <c r="B315" s="17" t="s">
        <v>52</v>
      </c>
      <c r="C315" s="19" t="s">
        <v>1046</v>
      </c>
      <c r="D315" s="19" t="s">
        <v>54</v>
      </c>
      <c r="E315" s="17" t="s">
        <v>54</v>
      </c>
      <c r="F315" s="17" t="s">
        <v>1047</v>
      </c>
      <c r="G315" s="17">
        <v>22.132995999999999</v>
      </c>
      <c r="H315" s="17">
        <v>88.095991999999995</v>
      </c>
      <c r="I315" s="17"/>
      <c r="J315" s="17"/>
      <c r="K315" s="17"/>
      <c r="L315" s="17"/>
      <c r="M315" s="19" t="s">
        <v>150</v>
      </c>
      <c r="N315" s="17">
        <v>6289903920</v>
      </c>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row>
    <row r="316" hidden="1">
      <c r="A316" s="17">
        <v>314</v>
      </c>
      <c r="B316" s="17" t="s">
        <v>52</v>
      </c>
      <c r="C316" s="18" t="s">
        <v>1048</v>
      </c>
      <c r="D316" s="19" t="s">
        <v>54</v>
      </c>
      <c r="E316" s="17"/>
      <c r="F316" s="17"/>
      <c r="G316" s="17"/>
      <c r="H316" s="17"/>
      <c r="I316" s="17"/>
      <c r="J316" s="17"/>
      <c r="K316" s="17"/>
      <c r="L316" s="17"/>
      <c r="M316" s="20"/>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row>
    <row r="317" hidden="1">
      <c r="A317" s="17">
        <v>315</v>
      </c>
      <c r="B317" s="17" t="s">
        <v>52</v>
      </c>
      <c r="C317" s="18" t="s">
        <v>1049</v>
      </c>
      <c r="D317" s="19" t="s">
        <v>54</v>
      </c>
      <c r="E317" s="17"/>
      <c r="F317" s="17"/>
      <c r="G317" s="17"/>
      <c r="H317" s="17"/>
      <c r="I317" s="17"/>
      <c r="J317" s="17"/>
      <c r="K317" s="17"/>
      <c r="L317" s="17"/>
      <c r="M317" s="20"/>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row>
    <row r="318" hidden="1">
      <c r="A318" s="17">
        <v>316</v>
      </c>
      <c r="B318" s="17" t="s">
        <v>52</v>
      </c>
      <c r="C318" s="18" t="s">
        <v>1050</v>
      </c>
      <c r="D318" s="19" t="s">
        <v>54</v>
      </c>
      <c r="E318" s="17"/>
      <c r="F318" s="17"/>
      <c r="G318" s="17"/>
      <c r="H318" s="17"/>
      <c r="I318" s="17"/>
      <c r="J318" s="17"/>
      <c r="K318" s="17"/>
      <c r="L318" s="17"/>
      <c r="M318" s="20"/>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row>
    <row r="319" hidden="1">
      <c r="A319" s="17">
        <v>317</v>
      </c>
      <c r="B319" s="17" t="s">
        <v>52</v>
      </c>
      <c r="C319" s="20" t="s">
        <v>1051</v>
      </c>
      <c r="D319" s="19" t="s">
        <v>54</v>
      </c>
      <c r="E319" s="17"/>
      <c r="F319" s="17"/>
      <c r="G319" s="17"/>
      <c r="H319" s="17"/>
      <c r="I319" s="17"/>
      <c r="J319" s="17"/>
      <c r="K319" s="17"/>
      <c r="L319" s="17"/>
      <c r="M319" s="20"/>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row>
    <row r="320" hidden="1">
      <c r="A320" s="17">
        <v>318</v>
      </c>
      <c r="B320" s="17" t="s">
        <v>52</v>
      </c>
      <c r="C320" s="19" t="s">
        <v>1052</v>
      </c>
      <c r="D320" s="19" t="s">
        <v>54</v>
      </c>
      <c r="E320" s="17" t="s">
        <v>1053</v>
      </c>
      <c r="F320" s="17" t="s">
        <v>1054</v>
      </c>
      <c r="G320" s="17">
        <v>22.322572999999998</v>
      </c>
      <c r="H320" s="17">
        <v>87.829114000000004</v>
      </c>
      <c r="I320" s="17"/>
      <c r="J320" s="17"/>
      <c r="K320" s="17"/>
      <c r="L320" s="17"/>
      <c r="M320" s="19" t="s">
        <v>122</v>
      </c>
      <c r="N320" s="17">
        <v>8420984799</v>
      </c>
      <c r="O320" s="17">
        <v>18</v>
      </c>
      <c r="P320" s="17">
        <v>100</v>
      </c>
      <c r="Q320" s="17" t="s">
        <v>413</v>
      </c>
      <c r="R320" s="17" t="s">
        <v>74</v>
      </c>
      <c r="S320" s="17" t="s">
        <v>75</v>
      </c>
      <c r="T320" s="17"/>
      <c r="U320" s="17" t="s">
        <v>105</v>
      </c>
      <c r="V320" s="17" t="s">
        <v>77</v>
      </c>
      <c r="W320" s="17" t="s">
        <v>443</v>
      </c>
      <c r="X320" s="17">
        <v>5</v>
      </c>
      <c r="Y320" s="17">
        <v>0</v>
      </c>
      <c r="Z320" s="17"/>
      <c r="AA320" s="17" t="s">
        <v>413</v>
      </c>
      <c r="AB320" s="17" t="s">
        <v>79</v>
      </c>
      <c r="AC320" s="17">
        <v>4</v>
      </c>
      <c r="AD320" s="17">
        <v>0</v>
      </c>
      <c r="AE320" s="17">
        <v>0</v>
      </c>
      <c r="AF320" s="17"/>
      <c r="AG320" s="17" t="s">
        <v>414</v>
      </c>
      <c r="AH320" s="17" t="s">
        <v>415</v>
      </c>
      <c r="AI320" s="17" t="s">
        <v>414</v>
      </c>
      <c r="AJ320" s="17" t="s">
        <v>416</v>
      </c>
      <c r="AK320" s="17" t="s">
        <v>75</v>
      </c>
      <c r="AL320" s="17" t="s">
        <v>137</v>
      </c>
      <c r="AM320" s="17" t="s">
        <v>75</v>
      </c>
      <c r="AN320" s="17" t="s">
        <v>84</v>
      </c>
      <c r="AO320" s="17" t="s">
        <v>75</v>
      </c>
      <c r="AP320" s="17"/>
      <c r="AQ320" s="17"/>
      <c r="AR320" s="17"/>
      <c r="AS320" s="17"/>
      <c r="AT320" s="17" t="s">
        <v>1055</v>
      </c>
      <c r="AU320" s="17" t="s">
        <v>430</v>
      </c>
    </row>
    <row r="321" hidden="1">
      <c r="A321" s="17">
        <v>319</v>
      </c>
      <c r="B321" s="17" t="s">
        <v>52</v>
      </c>
      <c r="C321" s="19" t="s">
        <v>1056</v>
      </c>
      <c r="D321" s="19" t="s">
        <v>54</v>
      </c>
      <c r="E321" s="17" t="s">
        <v>1057</v>
      </c>
      <c r="F321" s="17" t="s">
        <v>1058</v>
      </c>
      <c r="G321" s="17">
        <v>22.272500999999998</v>
      </c>
      <c r="H321" s="17">
        <v>87.895066</v>
      </c>
      <c r="I321" s="17"/>
      <c r="J321" s="17"/>
      <c r="K321" s="17"/>
      <c r="L321" s="17"/>
      <c r="M321" s="19" t="s">
        <v>122</v>
      </c>
      <c r="N321" s="17">
        <v>8420984799</v>
      </c>
      <c r="O321" s="17">
        <v>22</v>
      </c>
      <c r="P321" s="17">
        <v>100</v>
      </c>
      <c r="Q321" s="17" t="s">
        <v>73</v>
      </c>
      <c r="R321" s="17" t="s">
        <v>74</v>
      </c>
      <c r="S321" s="17" t="s">
        <v>75</v>
      </c>
      <c r="T321" s="17"/>
      <c r="U321" s="17" t="s">
        <v>160</v>
      </c>
      <c r="V321" s="17" t="s">
        <v>77</v>
      </c>
      <c r="W321" s="17" t="s">
        <v>252</v>
      </c>
      <c r="X321" s="17">
        <v>5</v>
      </c>
      <c r="Y321" s="17">
        <v>0</v>
      </c>
      <c r="Z321" s="17"/>
      <c r="AA321" s="17" t="s">
        <v>73</v>
      </c>
      <c r="AB321" s="17" t="s">
        <v>79</v>
      </c>
      <c r="AC321" s="17">
        <v>2</v>
      </c>
      <c r="AD321" s="17">
        <v>0</v>
      </c>
      <c r="AE321" s="17">
        <v>0</v>
      </c>
      <c r="AF321" s="17"/>
      <c r="AG321" s="17" t="s">
        <v>1059</v>
      </c>
      <c r="AH321" s="17" t="s">
        <v>415</v>
      </c>
      <c r="AI321" s="17"/>
      <c r="AJ321" s="17"/>
      <c r="AK321" s="17" t="s">
        <v>137</v>
      </c>
      <c r="AL321" s="17" t="s">
        <v>137</v>
      </c>
      <c r="AM321" s="17" t="s">
        <v>163</v>
      </c>
      <c r="AN321" s="17" t="s">
        <v>84</v>
      </c>
      <c r="AO321" s="17" t="s">
        <v>1060</v>
      </c>
      <c r="AP321" s="17"/>
      <c r="AQ321" s="17"/>
      <c r="AR321" s="17"/>
      <c r="AS321" s="17"/>
      <c r="AT321" s="17" t="s">
        <v>1061</v>
      </c>
      <c r="AU321" s="17" t="s">
        <v>127</v>
      </c>
    </row>
    <row r="322" hidden="1">
      <c r="A322" s="17">
        <v>320</v>
      </c>
      <c r="B322" s="17" t="s">
        <v>52</v>
      </c>
      <c r="C322" s="19" t="s">
        <v>1062</v>
      </c>
      <c r="D322" s="19" t="s">
        <v>54</v>
      </c>
      <c r="E322" s="17" t="s">
        <v>1063</v>
      </c>
      <c r="F322" s="17">
        <v>0</v>
      </c>
      <c r="G322" s="17">
        <v>22.284579999999998</v>
      </c>
      <c r="H322" s="17">
        <v>87.856409999999997</v>
      </c>
      <c r="I322" s="17"/>
      <c r="J322" s="17"/>
      <c r="K322" s="17"/>
      <c r="L322" s="17"/>
      <c r="M322" s="19" t="s">
        <v>122</v>
      </c>
      <c r="N322" s="17">
        <v>8420984799</v>
      </c>
      <c r="O322" s="17">
        <v>22</v>
      </c>
      <c r="P322" s="17">
        <v>45</v>
      </c>
      <c r="Q322" s="17" t="s">
        <v>73</v>
      </c>
      <c r="R322" s="17" t="s">
        <v>74</v>
      </c>
      <c r="S322" s="17" t="s">
        <v>75</v>
      </c>
      <c r="T322" s="17"/>
      <c r="U322" s="17" t="s">
        <v>105</v>
      </c>
      <c r="V322" s="17" t="s">
        <v>77</v>
      </c>
      <c r="W322" s="17" t="s">
        <v>330</v>
      </c>
      <c r="X322" s="17">
        <v>2</v>
      </c>
      <c r="Y322" s="17">
        <v>0</v>
      </c>
      <c r="Z322" s="17"/>
      <c r="AA322" s="17" t="s">
        <v>73</v>
      </c>
      <c r="AB322" s="17" t="s">
        <v>79</v>
      </c>
      <c r="AC322" s="17">
        <v>2</v>
      </c>
      <c r="AD322" s="17">
        <v>0</v>
      </c>
      <c r="AE322" s="17">
        <v>0</v>
      </c>
      <c r="AF322" s="17"/>
      <c r="AG322" s="17" t="s">
        <v>124</v>
      </c>
      <c r="AH322" s="17" t="s">
        <v>82</v>
      </c>
      <c r="AI322" s="17" t="s">
        <v>83</v>
      </c>
      <c r="AJ322" s="17">
        <v>2111</v>
      </c>
      <c r="AK322" s="17" t="s">
        <v>75</v>
      </c>
      <c r="AL322" s="17" t="s">
        <v>75</v>
      </c>
      <c r="AM322" s="17" t="s">
        <v>75</v>
      </c>
      <c r="AN322" s="17" t="s">
        <v>84</v>
      </c>
      <c r="AO322" s="17" t="s">
        <v>75</v>
      </c>
      <c r="AP322" s="17"/>
      <c r="AQ322" s="17"/>
      <c r="AR322" s="17"/>
      <c r="AS322" s="17"/>
      <c r="AT322" s="17" t="s">
        <v>1055</v>
      </c>
      <c r="AU322" s="17" t="s">
        <v>111</v>
      </c>
    </row>
    <row r="323" hidden="1">
      <c r="A323" s="17">
        <v>321</v>
      </c>
      <c r="B323" s="17" t="s">
        <v>52</v>
      </c>
      <c r="C323" s="19" t="s">
        <v>1064</v>
      </c>
      <c r="D323" s="19" t="s">
        <v>54</v>
      </c>
      <c r="E323" s="17" t="s">
        <v>1065</v>
      </c>
      <c r="F323" s="17" t="s">
        <v>1066</v>
      </c>
      <c r="G323" s="17">
        <v>22.298888999999999</v>
      </c>
      <c r="H323" s="17">
        <v>87.906389000000004</v>
      </c>
      <c r="I323" s="17"/>
      <c r="J323" s="17"/>
      <c r="K323" s="17"/>
      <c r="L323" s="17"/>
      <c r="M323" s="19" t="s">
        <v>122</v>
      </c>
      <c r="N323" s="17">
        <v>8420984799</v>
      </c>
      <c r="O323" s="17">
        <v>22</v>
      </c>
      <c r="P323" s="17">
        <v>90</v>
      </c>
      <c r="Q323" s="17" t="s">
        <v>73</v>
      </c>
      <c r="R323" s="17" t="s">
        <v>74</v>
      </c>
      <c r="S323" s="17" t="s">
        <v>75</v>
      </c>
      <c r="T323" s="17"/>
      <c r="U323" s="17" t="s">
        <v>105</v>
      </c>
      <c r="V323" s="17" t="s">
        <v>77</v>
      </c>
      <c r="W323" s="17" t="s">
        <v>252</v>
      </c>
      <c r="X323" s="17">
        <v>3</v>
      </c>
      <c r="Y323" s="17">
        <v>0</v>
      </c>
      <c r="Z323" s="17"/>
      <c r="AA323" s="17" t="s">
        <v>73</v>
      </c>
      <c r="AB323" s="17" t="s">
        <v>79</v>
      </c>
      <c r="AC323" s="17">
        <v>2</v>
      </c>
      <c r="AD323" s="17">
        <v>0</v>
      </c>
      <c r="AE323" s="17">
        <v>0</v>
      </c>
      <c r="AF323" s="17"/>
      <c r="AG323" s="17" t="s">
        <v>124</v>
      </c>
      <c r="AH323" s="17" t="s">
        <v>1067</v>
      </c>
      <c r="AI323" s="17" t="s">
        <v>83</v>
      </c>
      <c r="AJ323" s="17">
        <v>2112</v>
      </c>
      <c r="AK323" s="17" t="s">
        <v>137</v>
      </c>
      <c r="AL323" s="17" t="s">
        <v>75</v>
      </c>
      <c r="AM323" s="17" t="s">
        <v>163</v>
      </c>
      <c r="AN323" s="17" t="s">
        <v>84</v>
      </c>
      <c r="AO323" s="17" t="s">
        <v>75</v>
      </c>
      <c r="AP323" s="17"/>
      <c r="AQ323" s="17"/>
      <c r="AR323" s="17"/>
      <c r="AS323" s="17"/>
      <c r="AT323" s="17"/>
      <c r="AU323" s="17" t="s">
        <v>127</v>
      </c>
    </row>
    <row r="324" hidden="1">
      <c r="A324" s="17">
        <v>322</v>
      </c>
      <c r="B324" s="17" t="s">
        <v>52</v>
      </c>
      <c r="C324" s="19" t="s">
        <v>1068</v>
      </c>
      <c r="D324" s="19" t="s">
        <v>54</v>
      </c>
      <c r="E324" s="17" t="s">
        <v>1069</v>
      </c>
      <c r="F324" s="17" t="s">
        <v>1070</v>
      </c>
      <c r="G324" s="17">
        <v>22.300763</v>
      </c>
      <c r="H324" s="17">
        <v>87.879790999999997</v>
      </c>
      <c r="I324" s="17"/>
      <c r="J324" s="17"/>
      <c r="K324" s="17"/>
      <c r="L324" s="17"/>
      <c r="M324" s="19" t="s">
        <v>296</v>
      </c>
      <c r="N324" s="17">
        <v>7003188452</v>
      </c>
      <c r="O324" s="17">
        <v>21</v>
      </c>
      <c r="P324" s="17">
        <v>110</v>
      </c>
      <c r="Q324" s="17" t="s">
        <v>187</v>
      </c>
      <c r="R324" s="17" t="s">
        <v>339</v>
      </c>
      <c r="S324" s="17" t="s">
        <v>75</v>
      </c>
      <c r="T324" s="17"/>
      <c r="U324" s="17" t="s">
        <v>76</v>
      </c>
      <c r="V324" s="17" t="s">
        <v>77</v>
      </c>
      <c r="W324" s="17" t="s">
        <v>252</v>
      </c>
      <c r="X324" s="17">
        <v>5</v>
      </c>
      <c r="Y324" s="17">
        <v>0</v>
      </c>
      <c r="Z324" s="17"/>
      <c r="AA324" s="17" t="s">
        <v>187</v>
      </c>
      <c r="AB324" s="17" t="s">
        <v>79</v>
      </c>
      <c r="AC324" s="17">
        <v>2</v>
      </c>
      <c r="AD324" s="17">
        <v>0</v>
      </c>
      <c r="AE324" s="17">
        <v>0</v>
      </c>
      <c r="AF324" s="17"/>
      <c r="AG324" s="17" t="s">
        <v>124</v>
      </c>
      <c r="AH324" s="17" t="s">
        <v>82</v>
      </c>
      <c r="AI324" s="17" t="s">
        <v>83</v>
      </c>
      <c r="AJ324" s="17">
        <v>2111</v>
      </c>
      <c r="AK324" s="17" t="s">
        <v>75</v>
      </c>
      <c r="AL324" s="17" t="s">
        <v>75</v>
      </c>
      <c r="AM324" s="17" t="s">
        <v>75</v>
      </c>
      <c r="AN324" s="17" t="s">
        <v>84</v>
      </c>
      <c r="AO324" s="17" t="s">
        <v>75</v>
      </c>
      <c r="AP324" s="17"/>
      <c r="AQ324" s="17"/>
      <c r="AR324" s="17"/>
      <c r="AS324" s="17"/>
      <c r="AT324" s="17" t="s">
        <v>1071</v>
      </c>
      <c r="AU324" s="17" t="s">
        <v>127</v>
      </c>
    </row>
    <row r="325" hidden="1">
      <c r="A325" s="17">
        <v>323</v>
      </c>
      <c r="B325" s="17" t="s">
        <v>52</v>
      </c>
      <c r="C325" s="19" t="s">
        <v>1072</v>
      </c>
      <c r="D325" s="19" t="s">
        <v>54</v>
      </c>
      <c r="E325" s="17" t="s">
        <v>1073</v>
      </c>
      <c r="F325" s="17" t="s">
        <v>1074</v>
      </c>
      <c r="G325" s="17">
        <v>22.306218000000001</v>
      </c>
      <c r="H325" s="17">
        <v>87.911323999999993</v>
      </c>
      <c r="I325" s="17"/>
      <c r="J325" s="17"/>
      <c r="K325" s="17"/>
      <c r="L325" s="17"/>
      <c r="M325" s="19" t="s">
        <v>296</v>
      </c>
      <c r="N325" s="17">
        <v>7003188452</v>
      </c>
      <c r="O325" s="17">
        <v>21</v>
      </c>
      <c r="P325" s="17">
        <v>100</v>
      </c>
      <c r="Q325" s="17" t="s">
        <v>73</v>
      </c>
      <c r="R325" s="17" t="s">
        <v>74</v>
      </c>
      <c r="S325" s="17" t="s">
        <v>75</v>
      </c>
      <c r="T325" s="17"/>
      <c r="U325" s="17" t="s">
        <v>76</v>
      </c>
      <c r="V325" s="17" t="s">
        <v>77</v>
      </c>
      <c r="W325" s="17" t="s">
        <v>78</v>
      </c>
      <c r="X325" s="17">
        <v>5</v>
      </c>
      <c r="Y325" s="17">
        <v>2</v>
      </c>
      <c r="Z325" s="17" t="s">
        <v>1075</v>
      </c>
      <c r="AA325" s="17" t="s">
        <v>73</v>
      </c>
      <c r="AB325" s="17" t="s">
        <v>79</v>
      </c>
      <c r="AC325" s="17">
        <v>3</v>
      </c>
      <c r="AD325" s="17">
        <v>0</v>
      </c>
      <c r="AE325" s="17">
        <v>0</v>
      </c>
      <c r="AF325" s="17"/>
      <c r="AG325" s="17" t="s">
        <v>124</v>
      </c>
      <c r="AH325" s="17" t="s">
        <v>82</v>
      </c>
      <c r="AI325" s="17" t="s">
        <v>83</v>
      </c>
      <c r="AJ325" s="17">
        <v>2111</v>
      </c>
      <c r="AK325" s="17" t="s">
        <v>75</v>
      </c>
      <c r="AL325" s="17" t="s">
        <v>75</v>
      </c>
      <c r="AM325" s="17" t="s">
        <v>75</v>
      </c>
      <c r="AN325" s="17" t="s">
        <v>84</v>
      </c>
      <c r="AO325" s="17" t="s">
        <v>75</v>
      </c>
      <c r="AP325" s="17"/>
      <c r="AQ325" s="17"/>
      <c r="AR325" s="17"/>
      <c r="AS325" s="17"/>
      <c r="AT325" s="17" t="s">
        <v>1076</v>
      </c>
      <c r="AU325" s="17" t="s">
        <v>127</v>
      </c>
    </row>
    <row r="326" hidden="1">
      <c r="A326" s="17">
        <v>324</v>
      </c>
      <c r="B326" s="17" t="s">
        <v>52</v>
      </c>
      <c r="C326" s="19" t="s">
        <v>1077</v>
      </c>
      <c r="D326" s="19" t="s">
        <v>54</v>
      </c>
      <c r="E326" s="17" t="s">
        <v>1078</v>
      </c>
      <c r="F326" s="17" t="s">
        <v>1079</v>
      </c>
      <c r="G326" s="17">
        <v>22.276888</v>
      </c>
      <c r="H326" s="17">
        <v>87.927002999999999</v>
      </c>
      <c r="I326" s="17"/>
      <c r="J326" s="17"/>
      <c r="K326" s="17"/>
      <c r="L326" s="17"/>
      <c r="M326" s="19" t="s">
        <v>296</v>
      </c>
      <c r="N326" s="17">
        <v>7003188452</v>
      </c>
      <c r="O326" s="17">
        <v>21</v>
      </c>
      <c r="P326" s="17">
        <v>180</v>
      </c>
      <c r="Q326" s="17" t="s">
        <v>73</v>
      </c>
      <c r="R326" s="17" t="s">
        <v>74</v>
      </c>
      <c r="S326" s="17" t="s">
        <v>75</v>
      </c>
      <c r="T326" s="17"/>
      <c r="U326" s="17" t="s">
        <v>76</v>
      </c>
      <c r="V326" s="17" t="s">
        <v>77</v>
      </c>
      <c r="W326" s="17" t="s">
        <v>78</v>
      </c>
      <c r="X326" s="17">
        <v>5</v>
      </c>
      <c r="Y326" s="17">
        <v>0</v>
      </c>
      <c r="Z326" s="17"/>
      <c r="AA326" s="17" t="s">
        <v>73</v>
      </c>
      <c r="AB326" s="17" t="s">
        <v>79</v>
      </c>
      <c r="AC326" s="17">
        <v>2</v>
      </c>
      <c r="AD326" s="17">
        <v>0</v>
      </c>
      <c r="AE326" s="17">
        <v>0</v>
      </c>
      <c r="AF326" s="17" t="s">
        <v>194</v>
      </c>
      <c r="AG326" s="17" t="s">
        <v>124</v>
      </c>
      <c r="AH326" s="17" t="s">
        <v>162</v>
      </c>
      <c r="AI326" s="17" t="s">
        <v>83</v>
      </c>
      <c r="AJ326" s="17">
        <v>2112</v>
      </c>
      <c r="AK326" s="17" t="s">
        <v>75</v>
      </c>
      <c r="AL326" s="17" t="s">
        <v>75</v>
      </c>
      <c r="AM326" s="17" t="s">
        <v>75</v>
      </c>
      <c r="AN326" s="17" t="s">
        <v>84</v>
      </c>
      <c r="AO326" s="17" t="s">
        <v>75</v>
      </c>
      <c r="AP326" s="17"/>
      <c r="AQ326" s="17"/>
      <c r="AR326" s="17"/>
      <c r="AS326" s="17"/>
      <c r="AT326" s="17" t="s">
        <v>1080</v>
      </c>
      <c r="AU326" s="17" t="s">
        <v>127</v>
      </c>
    </row>
    <row r="327" hidden="1">
      <c r="A327" s="17">
        <v>325</v>
      </c>
      <c r="B327" s="17" t="s">
        <v>52</v>
      </c>
      <c r="C327" s="19" t="s">
        <v>1081</v>
      </c>
      <c r="D327" s="19" t="s">
        <v>54</v>
      </c>
      <c r="E327" s="17" t="s">
        <v>1082</v>
      </c>
      <c r="F327" s="17" t="s">
        <v>1083</v>
      </c>
      <c r="G327" s="17">
        <v>22.338681000000001</v>
      </c>
      <c r="H327" s="17">
        <v>87.817006000000006</v>
      </c>
      <c r="I327" s="17"/>
      <c r="J327" s="17"/>
      <c r="K327" s="17"/>
      <c r="L327" s="17"/>
      <c r="M327" s="19" t="s">
        <v>159</v>
      </c>
      <c r="N327" s="17">
        <v>9064976020</v>
      </c>
      <c r="O327" s="17">
        <v>18</v>
      </c>
      <c r="P327" s="17">
        <v>45</v>
      </c>
      <c r="Q327" s="17" t="s">
        <v>73</v>
      </c>
      <c r="R327" s="17" t="s">
        <v>74</v>
      </c>
      <c r="S327" s="17" t="s">
        <v>137</v>
      </c>
      <c r="T327" s="17" t="s">
        <v>947</v>
      </c>
      <c r="U327" s="17" t="s">
        <v>160</v>
      </c>
      <c r="V327" s="17" t="s">
        <v>77</v>
      </c>
      <c r="W327" s="17" t="s">
        <v>78</v>
      </c>
      <c r="X327" s="17">
        <v>3</v>
      </c>
      <c r="Y327" s="17">
        <v>1</v>
      </c>
      <c r="Z327" s="17"/>
      <c r="AA327" s="17" t="s">
        <v>73</v>
      </c>
      <c r="AB327" s="17" t="s">
        <v>79</v>
      </c>
      <c r="AC327" s="17">
        <v>2</v>
      </c>
      <c r="AD327" s="17">
        <v>0</v>
      </c>
      <c r="AE327" s="17">
        <v>0</v>
      </c>
      <c r="AF327" s="17"/>
      <c r="AG327" s="17" t="s">
        <v>81</v>
      </c>
      <c r="AH327" s="17" t="s">
        <v>82</v>
      </c>
      <c r="AI327" s="17" t="s">
        <v>107</v>
      </c>
      <c r="AJ327" s="17"/>
      <c r="AK327" s="17" t="s">
        <v>75</v>
      </c>
      <c r="AL327" s="17" t="s">
        <v>75</v>
      </c>
      <c r="AM327" s="17" t="s">
        <v>75</v>
      </c>
      <c r="AN327" s="17" t="s">
        <v>84</v>
      </c>
      <c r="AO327" s="17" t="s">
        <v>75</v>
      </c>
      <c r="AP327" s="17"/>
      <c r="AQ327" s="17"/>
      <c r="AR327" s="17"/>
      <c r="AS327" s="17"/>
      <c r="AT327" s="17"/>
      <c r="AU327" s="17" t="s">
        <v>111</v>
      </c>
    </row>
    <row r="328" hidden="1">
      <c r="A328" s="17">
        <v>326</v>
      </c>
      <c r="B328" s="17" t="s">
        <v>52</v>
      </c>
      <c r="C328" s="19" t="s">
        <v>1084</v>
      </c>
      <c r="D328" s="19" t="s">
        <v>54</v>
      </c>
      <c r="E328" s="17" t="s">
        <v>1085</v>
      </c>
      <c r="F328" s="17" t="s">
        <v>1086</v>
      </c>
      <c r="G328" s="17">
        <v>22.262635</v>
      </c>
      <c r="H328" s="17">
        <v>87.811892</v>
      </c>
      <c r="I328" s="17"/>
      <c r="J328" s="17"/>
      <c r="K328" s="17"/>
      <c r="L328" s="17"/>
      <c r="M328" s="19" t="s">
        <v>122</v>
      </c>
      <c r="N328" s="17">
        <v>8420984799</v>
      </c>
      <c r="O328" s="17">
        <v>18</v>
      </c>
      <c r="P328" s="17">
        <v>90</v>
      </c>
      <c r="Q328" s="17" t="s">
        <v>73</v>
      </c>
      <c r="R328" s="17" t="s">
        <v>74</v>
      </c>
      <c r="S328" s="17" t="s">
        <v>75</v>
      </c>
      <c r="T328" s="17"/>
      <c r="U328" s="17" t="s">
        <v>160</v>
      </c>
      <c r="V328" s="17" t="s">
        <v>77</v>
      </c>
      <c r="W328" s="17" t="s">
        <v>330</v>
      </c>
      <c r="X328" s="17">
        <v>5</v>
      </c>
      <c r="Y328" s="17">
        <v>0</v>
      </c>
      <c r="Z328" s="17" t="s">
        <v>1087</v>
      </c>
      <c r="AA328" s="17" t="s">
        <v>73</v>
      </c>
      <c r="AB328" s="17" t="s">
        <v>79</v>
      </c>
      <c r="AC328" s="17">
        <v>3</v>
      </c>
      <c r="AD328" s="17">
        <v>0</v>
      </c>
      <c r="AE328" s="17">
        <v>0</v>
      </c>
      <c r="AF328" s="17"/>
      <c r="AG328" s="17" t="s">
        <v>124</v>
      </c>
      <c r="AH328" s="17" t="s">
        <v>82</v>
      </c>
      <c r="AI328" s="17" t="s">
        <v>83</v>
      </c>
      <c r="AJ328" s="17">
        <v>2111</v>
      </c>
      <c r="AK328" s="17" t="s">
        <v>75</v>
      </c>
      <c r="AL328" s="17" t="s">
        <v>75</v>
      </c>
      <c r="AM328" s="17" t="s">
        <v>75</v>
      </c>
      <c r="AN328" s="17" t="s">
        <v>125</v>
      </c>
      <c r="AO328" s="17" t="s">
        <v>75</v>
      </c>
      <c r="AP328" s="17"/>
      <c r="AQ328" s="17"/>
      <c r="AR328" s="17"/>
      <c r="AS328" s="17"/>
      <c r="AT328" s="17"/>
      <c r="AU328" s="17" t="s">
        <v>430</v>
      </c>
    </row>
    <row r="329" hidden="1">
      <c r="A329" s="17">
        <v>327</v>
      </c>
      <c r="B329" s="17" t="s">
        <v>52</v>
      </c>
      <c r="C329" s="19" t="s">
        <v>1088</v>
      </c>
      <c r="D329" s="19" t="s">
        <v>54</v>
      </c>
      <c r="E329" s="17" t="s">
        <v>1089</v>
      </c>
      <c r="F329" s="17" t="s">
        <v>1090</v>
      </c>
      <c r="G329" s="17">
        <v>22.286026</v>
      </c>
      <c r="H329" s="17">
        <v>87.925439999999995</v>
      </c>
      <c r="I329" s="17"/>
      <c r="J329" s="17"/>
      <c r="K329" s="17"/>
      <c r="L329" s="17"/>
      <c r="M329" s="19" t="s">
        <v>296</v>
      </c>
      <c r="N329" s="17">
        <v>7003188452</v>
      </c>
      <c r="O329" s="17">
        <v>21</v>
      </c>
      <c r="P329" s="17">
        <v>125</v>
      </c>
      <c r="Q329" s="17" t="s">
        <v>187</v>
      </c>
      <c r="R329" s="17" t="s">
        <v>339</v>
      </c>
      <c r="S329" s="17" t="s">
        <v>75</v>
      </c>
      <c r="T329" s="17"/>
      <c r="U329" s="17" t="s">
        <v>76</v>
      </c>
      <c r="V329" s="17" t="s">
        <v>77</v>
      </c>
      <c r="W329" s="17" t="s">
        <v>454</v>
      </c>
      <c r="X329" s="17">
        <v>4</v>
      </c>
      <c r="Y329" s="17">
        <v>0</v>
      </c>
      <c r="Z329" s="17"/>
      <c r="AA329" s="17" t="s">
        <v>187</v>
      </c>
      <c r="AB329" s="17" t="s">
        <v>79</v>
      </c>
      <c r="AC329" s="17">
        <v>5</v>
      </c>
      <c r="AD329" s="17">
        <v>0</v>
      </c>
      <c r="AE329" s="17">
        <v>0</v>
      </c>
      <c r="AF329" s="17"/>
      <c r="AG329" s="17" t="s">
        <v>124</v>
      </c>
      <c r="AH329" s="17" t="s">
        <v>82</v>
      </c>
      <c r="AI329" s="17" t="s">
        <v>83</v>
      </c>
      <c r="AJ329" s="17">
        <v>2111</v>
      </c>
      <c r="AK329" s="17" t="s">
        <v>75</v>
      </c>
      <c r="AL329" s="17" t="s">
        <v>75</v>
      </c>
      <c r="AM329" s="17" t="s">
        <v>75</v>
      </c>
      <c r="AN329" s="17" t="s">
        <v>84</v>
      </c>
      <c r="AO329" s="17" t="s">
        <v>75</v>
      </c>
      <c r="AP329" s="17"/>
      <c r="AQ329" s="17"/>
      <c r="AR329" s="17"/>
      <c r="AS329" s="17"/>
      <c r="AT329" s="17"/>
      <c r="AU329" s="17" t="s">
        <v>127</v>
      </c>
    </row>
    <row r="330" hidden="1">
      <c r="A330" s="17">
        <v>328</v>
      </c>
      <c r="B330" s="17" t="s">
        <v>52</v>
      </c>
      <c r="C330" s="19" t="s">
        <v>1091</v>
      </c>
      <c r="D330" s="19" t="s">
        <v>54</v>
      </c>
      <c r="E330" s="17" t="s">
        <v>1092</v>
      </c>
      <c r="F330" s="17" t="s">
        <v>1093</v>
      </c>
      <c r="G330" s="17">
        <v>22.292321000000001</v>
      </c>
      <c r="H330" s="17">
        <v>87.926193999999995</v>
      </c>
      <c r="I330" s="17"/>
      <c r="J330" s="17"/>
      <c r="K330" s="17"/>
      <c r="L330" s="17"/>
      <c r="M330" s="19" t="s">
        <v>296</v>
      </c>
      <c r="N330" s="17">
        <v>7003188452</v>
      </c>
      <c r="O330" s="17">
        <v>21</v>
      </c>
      <c r="P330" s="17">
        <v>110</v>
      </c>
      <c r="Q330" s="17" t="s">
        <v>187</v>
      </c>
      <c r="R330" s="17" t="s">
        <v>74</v>
      </c>
      <c r="S330" s="17"/>
      <c r="T330" s="17"/>
      <c r="U330" s="17" t="s">
        <v>105</v>
      </c>
      <c r="V330" s="17" t="s">
        <v>340</v>
      </c>
      <c r="W330" s="17" t="s">
        <v>1094</v>
      </c>
      <c r="X330" s="17">
        <v>8</v>
      </c>
      <c r="Y330" s="17">
        <v>2</v>
      </c>
      <c r="Z330" s="17"/>
      <c r="AA330" s="17" t="s">
        <v>187</v>
      </c>
      <c r="AB330" s="17" t="s">
        <v>79</v>
      </c>
      <c r="AC330" s="17">
        <v>3</v>
      </c>
      <c r="AD330" s="17">
        <v>0</v>
      </c>
      <c r="AE330" s="17">
        <v>0</v>
      </c>
      <c r="AF330" s="17"/>
      <c r="AG330" s="17" t="s">
        <v>724</v>
      </c>
      <c r="AH330" s="17"/>
      <c r="AI330" s="17"/>
      <c r="AJ330" s="17"/>
      <c r="AK330" s="17"/>
      <c r="AL330" s="17"/>
      <c r="AM330" s="17"/>
      <c r="AN330" s="17"/>
      <c r="AO330" s="17"/>
      <c r="AP330" s="17"/>
      <c r="AQ330" s="17"/>
      <c r="AR330" s="17"/>
      <c r="AS330" s="17"/>
      <c r="AT330" s="17" t="s">
        <v>1095</v>
      </c>
      <c r="AU330" s="17" t="s">
        <v>127</v>
      </c>
    </row>
    <row r="331" hidden="1">
      <c r="A331" s="17">
        <v>329</v>
      </c>
      <c r="B331" s="17" t="s">
        <v>52</v>
      </c>
      <c r="C331" s="19" t="s">
        <v>1096</v>
      </c>
      <c r="D331" s="19" t="s">
        <v>54</v>
      </c>
      <c r="E331" s="17" t="s">
        <v>1097</v>
      </c>
      <c r="F331" s="17" t="s">
        <v>1098</v>
      </c>
      <c r="G331" s="17">
        <v>22.319469999999999</v>
      </c>
      <c r="H331" s="17">
        <v>87.846310000000003</v>
      </c>
      <c r="I331" s="17"/>
      <c r="J331" s="17"/>
      <c r="K331" s="17"/>
      <c r="L331" s="17"/>
      <c r="M331" s="19" t="s">
        <v>296</v>
      </c>
      <c r="N331" s="17">
        <v>7003188452</v>
      </c>
      <c r="O331" s="17">
        <v>16</v>
      </c>
      <c r="P331" s="17">
        <v>260</v>
      </c>
      <c r="Q331" s="17" t="s">
        <v>187</v>
      </c>
      <c r="R331" s="17" t="s">
        <v>74</v>
      </c>
      <c r="S331" s="17"/>
      <c r="T331" s="17"/>
      <c r="U331" s="17" t="s">
        <v>160</v>
      </c>
      <c r="V331" s="17" t="s">
        <v>77</v>
      </c>
      <c r="W331" s="17" t="s">
        <v>123</v>
      </c>
      <c r="X331" s="17">
        <v>5</v>
      </c>
      <c r="Y331" s="17">
        <v>0</v>
      </c>
      <c r="Z331" s="17"/>
      <c r="AA331" s="17" t="s">
        <v>187</v>
      </c>
      <c r="AB331" s="17" t="s">
        <v>79</v>
      </c>
      <c r="AC331" s="17">
        <v>5</v>
      </c>
      <c r="AD331" s="17">
        <v>0</v>
      </c>
      <c r="AE331" s="17">
        <v>0</v>
      </c>
      <c r="AF331" s="17"/>
      <c r="AG331" s="17" t="s">
        <v>124</v>
      </c>
      <c r="AH331" s="17" t="s">
        <v>162</v>
      </c>
      <c r="AI331" s="17" t="s">
        <v>83</v>
      </c>
      <c r="AJ331" s="17">
        <v>2112</v>
      </c>
      <c r="AK331" s="17" t="s">
        <v>75</v>
      </c>
      <c r="AL331" s="17" t="s">
        <v>137</v>
      </c>
      <c r="AM331" s="17" t="s">
        <v>75</v>
      </c>
      <c r="AN331" s="17" t="s">
        <v>84</v>
      </c>
      <c r="AO331" s="17" t="s">
        <v>75</v>
      </c>
      <c r="AP331" s="17"/>
      <c r="AQ331" s="17"/>
      <c r="AR331" s="17"/>
      <c r="AS331" s="17"/>
      <c r="AT331" s="17" t="s">
        <v>1099</v>
      </c>
      <c r="AU331" s="17" t="s">
        <v>111</v>
      </c>
    </row>
    <row r="332" hidden="1">
      <c r="A332" s="17">
        <v>330</v>
      </c>
      <c r="B332" s="17" t="s">
        <v>52</v>
      </c>
      <c r="C332" s="19" t="s">
        <v>1100</v>
      </c>
      <c r="D332" s="19" t="s">
        <v>54</v>
      </c>
      <c r="E332" s="17" t="s">
        <v>1101</v>
      </c>
      <c r="F332" s="17" t="s">
        <v>1102</v>
      </c>
      <c r="G332" s="17">
        <v>22.248405000000002</v>
      </c>
      <c r="H332" s="17">
        <v>87.813875999999993</v>
      </c>
      <c r="I332" s="17"/>
      <c r="J332" s="17"/>
      <c r="K332" s="17"/>
      <c r="L332" s="17"/>
      <c r="M332" s="19" t="s">
        <v>122</v>
      </c>
      <c r="N332" s="17">
        <v>8420984799</v>
      </c>
      <c r="O332" s="17">
        <v>22</v>
      </c>
      <c r="P332" s="17">
        <v>90</v>
      </c>
      <c r="Q332" s="17" t="s">
        <v>73</v>
      </c>
      <c r="R332" s="17" t="s">
        <v>898</v>
      </c>
      <c r="S332" s="17" t="s">
        <v>75</v>
      </c>
      <c r="T332" s="17"/>
      <c r="U332" s="17" t="s">
        <v>160</v>
      </c>
      <c r="V332" s="17" t="s">
        <v>77</v>
      </c>
      <c r="W332" s="17" t="s">
        <v>78</v>
      </c>
      <c r="X332" s="17">
        <v>3</v>
      </c>
      <c r="Y332" s="17">
        <v>0</v>
      </c>
      <c r="Z332" s="17"/>
      <c r="AA332" s="17" t="s">
        <v>73</v>
      </c>
      <c r="AB332" s="17" t="s">
        <v>79</v>
      </c>
      <c r="AC332" s="17">
        <v>2</v>
      </c>
      <c r="AD332" s="17">
        <v>0</v>
      </c>
      <c r="AE332" s="17">
        <v>0</v>
      </c>
      <c r="AF332" s="17"/>
      <c r="AG332" s="17" t="s">
        <v>81</v>
      </c>
      <c r="AH332" s="17" t="s">
        <v>82</v>
      </c>
      <c r="AI332" s="17" t="s">
        <v>83</v>
      </c>
      <c r="AJ332" s="17">
        <v>2111</v>
      </c>
      <c r="AK332" s="17" t="s">
        <v>75</v>
      </c>
      <c r="AL332" s="17" t="s">
        <v>75</v>
      </c>
      <c r="AM332" s="17" t="s">
        <v>75</v>
      </c>
      <c r="AN332" s="17" t="s">
        <v>84</v>
      </c>
      <c r="AO332" s="17" t="s">
        <v>75</v>
      </c>
      <c r="AP332" s="17"/>
      <c r="AQ332" s="17"/>
      <c r="AR332" s="17"/>
      <c r="AS332" s="17"/>
      <c r="AT332" s="17"/>
      <c r="AU332" s="17" t="s">
        <v>127</v>
      </c>
    </row>
    <row r="333" hidden="1">
      <c r="A333" s="17">
        <v>331</v>
      </c>
      <c r="B333" s="17" t="s">
        <v>52</v>
      </c>
      <c r="C333" s="19" t="s">
        <v>1103</v>
      </c>
      <c r="D333" s="19" t="s">
        <v>54</v>
      </c>
      <c r="E333" s="17" t="s">
        <v>1104</v>
      </c>
      <c r="F333" s="17" t="s">
        <v>1105</v>
      </c>
      <c r="G333" s="17">
        <v>22.308111</v>
      </c>
      <c r="H333" s="17">
        <v>87.822044000000005</v>
      </c>
      <c r="I333" s="17"/>
      <c r="J333" s="17"/>
      <c r="K333" s="17"/>
      <c r="L333" s="17"/>
      <c r="M333" s="19" t="s">
        <v>159</v>
      </c>
      <c r="N333" s="17">
        <v>9064976020</v>
      </c>
      <c r="O333" s="17">
        <v>18</v>
      </c>
      <c r="P333" s="17">
        <v>90</v>
      </c>
      <c r="Q333" s="17" t="s">
        <v>73</v>
      </c>
      <c r="R333" s="17" t="s">
        <v>74</v>
      </c>
      <c r="S333" s="17" t="s">
        <v>137</v>
      </c>
      <c r="T333" s="17" t="s">
        <v>947</v>
      </c>
      <c r="U333" s="17" t="s">
        <v>105</v>
      </c>
      <c r="V333" s="17" t="s">
        <v>77</v>
      </c>
      <c r="W333" s="17" t="s">
        <v>454</v>
      </c>
      <c r="X333" s="17">
        <v>3</v>
      </c>
      <c r="Y333" s="17">
        <v>1</v>
      </c>
      <c r="Z333" s="17"/>
      <c r="AA333" s="17" t="s">
        <v>73</v>
      </c>
      <c r="AB333" s="17" t="s">
        <v>79</v>
      </c>
      <c r="AC333" s="17">
        <v>2</v>
      </c>
      <c r="AD333" s="17">
        <v>0</v>
      </c>
      <c r="AE333" s="17">
        <v>0</v>
      </c>
      <c r="AF333" s="17"/>
      <c r="AG333" s="17" t="s">
        <v>124</v>
      </c>
      <c r="AH333" s="17" t="s">
        <v>82</v>
      </c>
      <c r="AI333" s="17" t="s">
        <v>83</v>
      </c>
      <c r="AJ333" s="17">
        <v>2111</v>
      </c>
      <c r="AK333" s="17" t="s">
        <v>75</v>
      </c>
      <c r="AL333" s="17" t="s">
        <v>75</v>
      </c>
      <c r="AM333" s="17" t="s">
        <v>75</v>
      </c>
      <c r="AN333" s="17" t="s">
        <v>84</v>
      </c>
      <c r="AO333" s="17" t="s">
        <v>75</v>
      </c>
      <c r="AP333" s="17" t="s">
        <v>73</v>
      </c>
      <c r="AQ333" s="17" t="s">
        <v>741</v>
      </c>
      <c r="AR333" s="17">
        <v>2</v>
      </c>
      <c r="AS333" s="17">
        <v>0</v>
      </c>
      <c r="AT333" s="17" t="s">
        <v>1106</v>
      </c>
      <c r="AU333" s="17" t="s">
        <v>111</v>
      </c>
    </row>
    <row r="334" hidden="1">
      <c r="A334" s="17">
        <v>332</v>
      </c>
      <c r="B334" s="17" t="s">
        <v>52</v>
      </c>
      <c r="C334" s="19" t="s">
        <v>1107</v>
      </c>
      <c r="D334" s="19" t="s">
        <v>54</v>
      </c>
      <c r="E334" s="17" t="s">
        <v>1108</v>
      </c>
      <c r="F334" s="17" t="s">
        <v>1109</v>
      </c>
      <c r="G334" s="17">
        <v>22.288295999999999</v>
      </c>
      <c r="H334" s="17">
        <v>87.897729999999996</v>
      </c>
      <c r="I334" s="17"/>
      <c r="J334" s="17"/>
      <c r="K334" s="17"/>
      <c r="L334" s="17"/>
      <c r="M334" s="19" t="s">
        <v>296</v>
      </c>
      <c r="N334" s="17">
        <v>7003188452</v>
      </c>
      <c r="O334" s="17">
        <v>21</v>
      </c>
      <c r="P334" s="17">
        <v>155</v>
      </c>
      <c r="Q334" s="17" t="s">
        <v>73</v>
      </c>
      <c r="R334" s="17" t="s">
        <v>74</v>
      </c>
      <c r="S334" s="17"/>
      <c r="T334" s="17"/>
      <c r="U334" s="17" t="s">
        <v>160</v>
      </c>
      <c r="V334" s="17" t="s">
        <v>77</v>
      </c>
      <c r="W334" s="17" t="s">
        <v>78</v>
      </c>
      <c r="X334" s="17">
        <v>5</v>
      </c>
      <c r="Y334" s="17">
        <v>0</v>
      </c>
      <c r="Z334" s="17"/>
      <c r="AA334" s="17" t="s">
        <v>73</v>
      </c>
      <c r="AB334" s="17" t="s">
        <v>79</v>
      </c>
      <c r="AC334" s="17">
        <v>2</v>
      </c>
      <c r="AD334" s="17">
        <v>0</v>
      </c>
      <c r="AE334" s="17">
        <v>0</v>
      </c>
      <c r="AF334" s="17"/>
      <c r="AG334" s="17" t="s">
        <v>81</v>
      </c>
      <c r="AH334" s="17" t="s">
        <v>82</v>
      </c>
      <c r="AI334" s="17" t="s">
        <v>107</v>
      </c>
      <c r="AJ334" s="17"/>
      <c r="AK334" s="17" t="s">
        <v>75</v>
      </c>
      <c r="AL334" s="17" t="s">
        <v>75</v>
      </c>
      <c r="AM334" s="17" t="s">
        <v>137</v>
      </c>
      <c r="AN334" s="17" t="s">
        <v>84</v>
      </c>
      <c r="AO334" s="17" t="s">
        <v>75</v>
      </c>
      <c r="AP334" s="17"/>
      <c r="AQ334" s="17"/>
      <c r="AR334" s="17"/>
      <c r="AS334" s="17"/>
      <c r="AT334" s="17" t="s">
        <v>1110</v>
      </c>
      <c r="AU334" s="17" t="s">
        <v>127</v>
      </c>
    </row>
    <row r="335" hidden="1">
      <c r="A335" s="17">
        <v>333</v>
      </c>
      <c r="B335" s="17" t="s">
        <v>52</v>
      </c>
      <c r="C335" s="19" t="s">
        <v>1111</v>
      </c>
      <c r="D335" s="19" t="s">
        <v>54</v>
      </c>
      <c r="E335" s="17" t="s">
        <v>1112</v>
      </c>
      <c r="F335" s="17" t="s">
        <v>1113</v>
      </c>
      <c r="G335" s="17">
        <v>22.267735999999999</v>
      </c>
      <c r="H335" s="17">
        <v>87.906880999999998</v>
      </c>
      <c r="I335" s="17"/>
      <c r="J335" s="17"/>
      <c r="K335" s="17"/>
      <c r="L335" s="17"/>
      <c r="M335" s="19" t="s">
        <v>296</v>
      </c>
      <c r="N335" s="17">
        <v>7003188452</v>
      </c>
      <c r="O335" s="17">
        <v>18</v>
      </c>
      <c r="P335" s="17">
        <v>105</v>
      </c>
      <c r="Q335" s="17" t="s">
        <v>73</v>
      </c>
      <c r="R335" s="17" t="s">
        <v>104</v>
      </c>
      <c r="S335" s="17" t="s">
        <v>137</v>
      </c>
      <c r="T335" s="17" t="s">
        <v>1114</v>
      </c>
      <c r="U335" s="17" t="s">
        <v>76</v>
      </c>
      <c r="V335" s="17" t="s">
        <v>77</v>
      </c>
      <c r="W335" s="17" t="s">
        <v>78</v>
      </c>
      <c r="X335" s="17">
        <v>5</v>
      </c>
      <c r="Y335" s="17">
        <v>0</v>
      </c>
      <c r="Z335" s="17"/>
      <c r="AA335" s="17" t="s">
        <v>73</v>
      </c>
      <c r="AB335" s="17" t="s">
        <v>79</v>
      </c>
      <c r="AC335" s="17">
        <v>2</v>
      </c>
      <c r="AD335" s="17">
        <v>0</v>
      </c>
      <c r="AE335" s="17">
        <v>0</v>
      </c>
      <c r="AF335" s="17"/>
      <c r="AG335" s="17" t="s">
        <v>124</v>
      </c>
      <c r="AH335" s="17" t="s">
        <v>162</v>
      </c>
      <c r="AI335" s="17" t="s">
        <v>83</v>
      </c>
      <c r="AJ335" s="17">
        <v>2112</v>
      </c>
      <c r="AK335" s="17" t="s">
        <v>75</v>
      </c>
      <c r="AL335" s="17" t="s">
        <v>75</v>
      </c>
      <c r="AM335" s="17" t="s">
        <v>75</v>
      </c>
      <c r="AN335" s="17" t="s">
        <v>125</v>
      </c>
      <c r="AO335" s="17" t="s">
        <v>75</v>
      </c>
      <c r="AP335" s="17"/>
      <c r="AQ335" s="17"/>
      <c r="AR335" s="17"/>
      <c r="AS335" s="17"/>
      <c r="AT335" s="17" t="s">
        <v>1115</v>
      </c>
      <c r="AU335" s="17" t="s">
        <v>111</v>
      </c>
    </row>
    <row r="336" hidden="1">
      <c r="A336" s="17">
        <v>334</v>
      </c>
      <c r="B336" s="17" t="s">
        <v>52</v>
      </c>
      <c r="C336" s="19" t="s">
        <v>1116</v>
      </c>
      <c r="D336" s="19" t="s">
        <v>54</v>
      </c>
      <c r="E336" s="17" t="s">
        <v>1117</v>
      </c>
      <c r="F336" s="17" t="s">
        <v>1118</v>
      </c>
      <c r="G336" s="17">
        <v>22.313389999999998</v>
      </c>
      <c r="H336" s="17">
        <v>87.902540000000002</v>
      </c>
      <c r="I336" s="17"/>
      <c r="J336" s="17"/>
      <c r="K336" s="17"/>
      <c r="L336" s="17"/>
      <c r="M336" s="19" t="s">
        <v>296</v>
      </c>
      <c r="N336" s="17">
        <v>7003188452</v>
      </c>
      <c r="O336" s="17">
        <v>16</v>
      </c>
      <c r="P336" s="17">
        <v>140</v>
      </c>
      <c r="Q336" s="17" t="s">
        <v>105</v>
      </c>
      <c r="R336" s="17" t="s">
        <v>1119</v>
      </c>
      <c r="S336" s="17"/>
      <c r="T336" s="17"/>
      <c r="U336" s="17" t="s">
        <v>160</v>
      </c>
      <c r="V336" s="17" t="s">
        <v>77</v>
      </c>
      <c r="W336" s="17" t="s">
        <v>123</v>
      </c>
      <c r="X336" s="17">
        <v>4</v>
      </c>
      <c r="Y336" s="17">
        <v>1</v>
      </c>
      <c r="Z336" s="17"/>
      <c r="AA336" s="17" t="s">
        <v>105</v>
      </c>
      <c r="AB336" s="17" t="s">
        <v>239</v>
      </c>
      <c r="AC336" s="17">
        <v>3</v>
      </c>
      <c r="AD336" s="17">
        <v>0</v>
      </c>
      <c r="AE336" s="17">
        <v>0</v>
      </c>
      <c r="AF336" s="17"/>
      <c r="AG336" s="17" t="s">
        <v>124</v>
      </c>
      <c r="AH336" s="17" t="s">
        <v>82</v>
      </c>
      <c r="AI336" s="17" t="s">
        <v>83</v>
      </c>
      <c r="AJ336" s="17">
        <v>2111</v>
      </c>
      <c r="AK336" s="17" t="s">
        <v>75</v>
      </c>
      <c r="AL336" s="17" t="s">
        <v>75</v>
      </c>
      <c r="AM336" s="17" t="s">
        <v>75</v>
      </c>
      <c r="AN336" s="17" t="s">
        <v>84</v>
      </c>
      <c r="AO336" s="17" t="s">
        <v>75</v>
      </c>
      <c r="AP336" s="17"/>
      <c r="AQ336" s="17"/>
      <c r="AR336" s="17"/>
      <c r="AS336" s="17"/>
      <c r="AT336" s="17" t="s">
        <v>80</v>
      </c>
      <c r="AU336" s="17" t="s">
        <v>111</v>
      </c>
    </row>
    <row r="337" hidden="1">
      <c r="A337" s="17">
        <v>335</v>
      </c>
      <c r="B337" s="17" t="s">
        <v>52</v>
      </c>
      <c r="C337" s="19" t="s">
        <v>1120</v>
      </c>
      <c r="D337" s="19" t="s">
        <v>54</v>
      </c>
      <c r="E337" s="17" t="s">
        <v>1121</v>
      </c>
      <c r="F337" s="17" t="s">
        <v>1122</v>
      </c>
      <c r="G337" s="17">
        <v>22.320959999999999</v>
      </c>
      <c r="H337" s="17">
        <v>87.855950000000007</v>
      </c>
      <c r="I337" s="17"/>
      <c r="J337" s="17"/>
      <c r="K337" s="17"/>
      <c r="L337" s="17"/>
      <c r="M337" s="19" t="s">
        <v>296</v>
      </c>
      <c r="N337" s="17">
        <v>7003188452</v>
      </c>
      <c r="O337" s="17">
        <v>21</v>
      </c>
      <c r="P337" s="17">
        <v>85</v>
      </c>
      <c r="Q337" s="17" t="s">
        <v>187</v>
      </c>
      <c r="R337" s="17" t="s">
        <v>74</v>
      </c>
      <c r="S337" s="17"/>
      <c r="T337" s="17"/>
      <c r="U337" s="17" t="s">
        <v>160</v>
      </c>
      <c r="V337" s="17" t="s">
        <v>77</v>
      </c>
      <c r="W337" s="17" t="s">
        <v>252</v>
      </c>
      <c r="X337" s="17">
        <v>5</v>
      </c>
      <c r="Y337" s="17">
        <v>0</v>
      </c>
      <c r="Z337" s="17"/>
      <c r="AA337" s="17" t="s">
        <v>187</v>
      </c>
      <c r="AB337" s="17" t="s">
        <v>79</v>
      </c>
      <c r="AC337" s="17">
        <v>1</v>
      </c>
      <c r="AD337" s="17">
        <v>0</v>
      </c>
      <c r="AE337" s="17">
        <v>0</v>
      </c>
      <c r="AF337" s="17"/>
      <c r="AG337" s="17" t="s">
        <v>124</v>
      </c>
      <c r="AH337" s="17" t="s">
        <v>82</v>
      </c>
      <c r="AI337" s="17" t="s">
        <v>83</v>
      </c>
      <c r="AJ337" s="17">
        <v>2111</v>
      </c>
      <c r="AK337" s="17" t="s">
        <v>75</v>
      </c>
      <c r="AL337" s="17" t="s">
        <v>75</v>
      </c>
      <c r="AM337" s="17" t="s">
        <v>75</v>
      </c>
      <c r="AN337" s="17" t="s">
        <v>84</v>
      </c>
      <c r="AO337" s="17" t="s">
        <v>75</v>
      </c>
      <c r="AP337" s="17"/>
      <c r="AQ337" s="17"/>
      <c r="AR337" s="17"/>
      <c r="AS337" s="17"/>
      <c r="AT337" s="17" t="s">
        <v>80</v>
      </c>
      <c r="AU337" s="17" t="s">
        <v>111</v>
      </c>
    </row>
    <row r="338" hidden="1">
      <c r="A338" s="17">
        <v>336</v>
      </c>
      <c r="B338" s="17" t="s">
        <v>52</v>
      </c>
      <c r="C338" s="19" t="s">
        <v>1123</v>
      </c>
      <c r="D338" s="19" t="s">
        <v>54</v>
      </c>
      <c r="E338" s="17" t="s">
        <v>1124</v>
      </c>
      <c r="F338" s="17" t="s">
        <v>1125</v>
      </c>
      <c r="G338" s="17">
        <v>22.28192</v>
      </c>
      <c r="H338" s="17">
        <v>87.808899999999994</v>
      </c>
      <c r="I338" s="17"/>
      <c r="J338" s="17"/>
      <c r="K338" s="17"/>
      <c r="L338" s="17"/>
      <c r="M338" s="19" t="s">
        <v>166</v>
      </c>
      <c r="N338" s="17">
        <v>9064976019</v>
      </c>
      <c r="O338" s="17">
        <v>15</v>
      </c>
      <c r="P338" s="17">
        <v>95</v>
      </c>
      <c r="Q338" s="17" t="s">
        <v>105</v>
      </c>
      <c r="R338" s="17" t="s">
        <v>238</v>
      </c>
      <c r="S338" s="17" t="s">
        <v>75</v>
      </c>
      <c r="T338" s="17"/>
      <c r="U338" s="17" t="s">
        <v>160</v>
      </c>
      <c r="V338" s="17" t="s">
        <v>77</v>
      </c>
      <c r="W338" s="17" t="s">
        <v>252</v>
      </c>
      <c r="X338" s="17">
        <v>5</v>
      </c>
      <c r="Y338" s="17">
        <v>0</v>
      </c>
      <c r="Z338" s="17"/>
      <c r="AA338" s="17" t="s">
        <v>105</v>
      </c>
      <c r="AB338" s="17" t="s">
        <v>239</v>
      </c>
      <c r="AC338" s="17">
        <v>4</v>
      </c>
      <c r="AD338" s="17">
        <v>0</v>
      </c>
      <c r="AE338" s="17">
        <v>2</v>
      </c>
      <c r="AF338" s="17"/>
      <c r="AG338" s="17" t="s">
        <v>124</v>
      </c>
      <c r="AH338" s="17" t="s">
        <v>162</v>
      </c>
      <c r="AI338" s="17" t="s">
        <v>83</v>
      </c>
      <c r="AJ338" s="17">
        <v>2112</v>
      </c>
      <c r="AK338" s="17" t="s">
        <v>75</v>
      </c>
      <c r="AL338" s="17" t="s">
        <v>75</v>
      </c>
      <c r="AM338" s="17" t="s">
        <v>75</v>
      </c>
      <c r="AN338" s="17" t="s">
        <v>84</v>
      </c>
      <c r="AO338" s="17" t="s">
        <v>75</v>
      </c>
      <c r="AP338" s="17"/>
      <c r="AQ338" s="17"/>
      <c r="AR338" s="17"/>
      <c r="AS338" s="17"/>
      <c r="AT338" s="17" t="s">
        <v>18</v>
      </c>
      <c r="AU338" s="17" t="s">
        <v>127</v>
      </c>
    </row>
    <row r="339" hidden="1">
      <c r="A339" s="17">
        <v>337</v>
      </c>
      <c r="B339" s="17" t="s">
        <v>52</v>
      </c>
      <c r="C339" s="19" t="s">
        <v>1126</v>
      </c>
      <c r="D339" s="19" t="s">
        <v>54</v>
      </c>
      <c r="E339" s="17" t="s">
        <v>1127</v>
      </c>
      <c r="F339" s="17" t="s">
        <v>1128</v>
      </c>
      <c r="G339" s="17">
        <v>22.29176</v>
      </c>
      <c r="H339" s="17">
        <v>87.788730000000001</v>
      </c>
      <c r="I339" s="17"/>
      <c r="J339" s="17"/>
      <c r="K339" s="17"/>
      <c r="L339" s="17"/>
      <c r="M339" s="19" t="s">
        <v>166</v>
      </c>
      <c r="N339" s="17">
        <v>9064976019</v>
      </c>
      <c r="O339" s="17">
        <v>15</v>
      </c>
      <c r="P339" s="17">
        <v>90</v>
      </c>
      <c r="Q339" s="17" t="s">
        <v>73</v>
      </c>
      <c r="R339" s="17" t="s">
        <v>74</v>
      </c>
      <c r="S339" s="17" t="s">
        <v>75</v>
      </c>
      <c r="T339" s="17"/>
      <c r="U339" s="17" t="s">
        <v>160</v>
      </c>
      <c r="V339" s="17" t="s">
        <v>77</v>
      </c>
      <c r="W339" s="17" t="s">
        <v>252</v>
      </c>
      <c r="X339" s="17">
        <v>5</v>
      </c>
      <c r="Y339" s="17">
        <v>0</v>
      </c>
      <c r="Z339" s="17"/>
      <c r="AA339" s="17" t="s">
        <v>73</v>
      </c>
      <c r="AB339" s="17" t="s">
        <v>79</v>
      </c>
      <c r="AC339" s="17">
        <v>2</v>
      </c>
      <c r="AD339" s="17">
        <v>0</v>
      </c>
      <c r="AE339" s="17">
        <v>0</v>
      </c>
      <c r="AF339" s="17"/>
      <c r="AG339" s="17" t="s">
        <v>124</v>
      </c>
      <c r="AH339" s="17" t="s">
        <v>82</v>
      </c>
      <c r="AI339" s="17" t="s">
        <v>83</v>
      </c>
      <c r="AJ339" s="17">
        <v>2111</v>
      </c>
      <c r="AK339" s="17" t="s">
        <v>75</v>
      </c>
      <c r="AL339" s="17" t="s">
        <v>75</v>
      </c>
      <c r="AM339" s="17" t="s">
        <v>75</v>
      </c>
      <c r="AN339" s="17" t="s">
        <v>84</v>
      </c>
      <c r="AO339" s="17" t="s">
        <v>75</v>
      </c>
      <c r="AP339" s="17"/>
      <c r="AQ339" s="17"/>
      <c r="AR339" s="17"/>
      <c r="AS339" s="17"/>
      <c r="AT339" s="17"/>
      <c r="AU339" s="17" t="s">
        <v>111</v>
      </c>
    </row>
    <row r="340" hidden="1">
      <c r="A340" s="17">
        <v>338</v>
      </c>
      <c r="B340" s="17" t="s">
        <v>52</v>
      </c>
      <c r="C340" s="19" t="s">
        <v>1129</v>
      </c>
      <c r="D340" s="19" t="s">
        <v>54</v>
      </c>
      <c r="E340" s="17" t="s">
        <v>1130</v>
      </c>
      <c r="F340" s="17" t="s">
        <v>1131</v>
      </c>
      <c r="G340" s="17">
        <v>22.271509999999999</v>
      </c>
      <c r="H340" s="17">
        <v>87.847830000000002</v>
      </c>
      <c r="I340" s="17"/>
      <c r="J340" s="17"/>
      <c r="K340" s="17"/>
      <c r="L340" s="17"/>
      <c r="M340" s="19" t="s">
        <v>296</v>
      </c>
      <c r="N340" s="17">
        <v>7003188452</v>
      </c>
      <c r="O340" s="17" t="s">
        <v>1132</v>
      </c>
      <c r="P340" s="17">
        <v>65</v>
      </c>
      <c r="Q340" s="17" t="s">
        <v>187</v>
      </c>
      <c r="R340" s="17" t="s">
        <v>74</v>
      </c>
      <c r="S340" s="17"/>
      <c r="T340" s="17"/>
      <c r="U340" s="17" t="s">
        <v>160</v>
      </c>
      <c r="V340" s="17" t="s">
        <v>77</v>
      </c>
      <c r="W340" s="17" t="s">
        <v>252</v>
      </c>
      <c r="X340" s="17">
        <v>4</v>
      </c>
      <c r="Y340" s="17">
        <v>2</v>
      </c>
      <c r="Z340" s="17"/>
      <c r="AA340" s="17" t="s">
        <v>187</v>
      </c>
      <c r="AB340" s="17" t="s">
        <v>79</v>
      </c>
      <c r="AC340" s="17">
        <v>4</v>
      </c>
      <c r="AD340" s="17">
        <v>0</v>
      </c>
      <c r="AE340" s="17">
        <v>0</v>
      </c>
      <c r="AF340" s="17"/>
      <c r="AG340" s="17" t="s">
        <v>124</v>
      </c>
      <c r="AH340" s="17" t="s">
        <v>162</v>
      </c>
      <c r="AI340" s="17" t="s">
        <v>83</v>
      </c>
      <c r="AJ340" s="17">
        <v>2112</v>
      </c>
      <c r="AK340" s="17" t="s">
        <v>75</v>
      </c>
      <c r="AL340" s="17" t="s">
        <v>75</v>
      </c>
      <c r="AM340" s="17" t="s">
        <v>75</v>
      </c>
      <c r="AN340" s="17" t="s">
        <v>84</v>
      </c>
      <c r="AO340" s="17" t="s">
        <v>109</v>
      </c>
      <c r="AP340" s="17"/>
      <c r="AQ340" s="17"/>
      <c r="AR340" s="17"/>
      <c r="AS340" s="17"/>
      <c r="AT340" s="17"/>
      <c r="AU340" s="17" t="s">
        <v>111</v>
      </c>
    </row>
    <row r="341" hidden="1">
      <c r="A341" s="17">
        <v>339</v>
      </c>
      <c r="B341" s="17" t="s">
        <v>52</v>
      </c>
      <c r="C341" s="19" t="s">
        <v>1133</v>
      </c>
      <c r="D341" s="19" t="s">
        <v>54</v>
      </c>
      <c r="E341" s="17" t="s">
        <v>1134</v>
      </c>
      <c r="F341" s="17" t="s">
        <v>1135</v>
      </c>
      <c r="G341" s="17">
        <v>22.263750999999999</v>
      </c>
      <c r="H341" s="17">
        <v>87.927599999999998</v>
      </c>
      <c r="I341" s="17"/>
      <c r="J341" s="17"/>
      <c r="K341" s="17"/>
      <c r="L341" s="17"/>
      <c r="M341" s="19" t="s">
        <v>296</v>
      </c>
      <c r="N341" s="17">
        <v>7003188452</v>
      </c>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row>
    <row r="342" hidden="1">
      <c r="A342" s="17">
        <v>340</v>
      </c>
      <c r="B342" s="17" t="s">
        <v>52</v>
      </c>
      <c r="C342" s="19" t="s">
        <v>1136</v>
      </c>
      <c r="D342" s="19" t="s">
        <v>54</v>
      </c>
      <c r="E342" s="17" t="s">
        <v>1137</v>
      </c>
      <c r="F342" s="17" t="s">
        <v>1138</v>
      </c>
      <c r="G342" s="17">
        <v>22.297097000000001</v>
      </c>
      <c r="H342" s="17">
        <v>87.912683999999999</v>
      </c>
      <c r="I342" s="17"/>
      <c r="J342" s="17"/>
      <c r="K342" s="17"/>
      <c r="L342" s="17"/>
      <c r="M342" s="19" t="s">
        <v>296</v>
      </c>
      <c r="N342" s="17">
        <v>7003188452</v>
      </c>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row>
    <row r="343" hidden="1">
      <c r="A343" s="17">
        <v>341</v>
      </c>
      <c r="B343" s="17" t="s">
        <v>52</v>
      </c>
      <c r="C343" s="19" t="s">
        <v>1139</v>
      </c>
      <c r="D343" s="19" t="s">
        <v>54</v>
      </c>
      <c r="E343" s="17" t="s">
        <v>1140</v>
      </c>
      <c r="F343" s="17" t="s">
        <v>1141</v>
      </c>
      <c r="G343" s="17">
        <v>22.291288999999999</v>
      </c>
      <c r="H343" s="17">
        <v>87.917331000000004</v>
      </c>
      <c r="I343" s="17"/>
      <c r="J343" s="17"/>
      <c r="K343" s="17"/>
      <c r="L343" s="17"/>
      <c r="M343" s="19" t="s">
        <v>296</v>
      </c>
      <c r="N343" s="17">
        <v>7003188452</v>
      </c>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row>
    <row r="344" hidden="1">
      <c r="A344" s="17">
        <v>342</v>
      </c>
      <c r="B344" s="17" t="s">
        <v>52</v>
      </c>
      <c r="C344" s="19" t="s">
        <v>1142</v>
      </c>
      <c r="D344" s="19" t="s">
        <v>54</v>
      </c>
      <c r="E344" s="17" t="s">
        <v>1143</v>
      </c>
      <c r="F344" s="17" t="s">
        <v>1144</v>
      </c>
      <c r="G344" s="17">
        <v>22.264447000000001</v>
      </c>
      <c r="H344" s="17">
        <v>87.890214</v>
      </c>
      <c r="I344" s="17"/>
      <c r="J344" s="17"/>
      <c r="K344" s="17"/>
      <c r="L344" s="17"/>
      <c r="M344" s="19" t="s">
        <v>296</v>
      </c>
      <c r="N344" s="17">
        <v>7003188452</v>
      </c>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row>
    <row r="345" hidden="1">
      <c r="A345" s="17">
        <v>343</v>
      </c>
      <c r="B345" s="17" t="s">
        <v>52</v>
      </c>
      <c r="C345" s="19" t="s">
        <v>1145</v>
      </c>
      <c r="D345" s="19" t="s">
        <v>54</v>
      </c>
      <c r="E345" s="17" t="s">
        <v>1146</v>
      </c>
      <c r="F345" s="17" t="s">
        <v>1147</v>
      </c>
      <c r="G345" s="17">
        <v>22.354279999999999</v>
      </c>
      <c r="H345" s="17">
        <v>87.839652999999998</v>
      </c>
      <c r="I345" s="17"/>
      <c r="J345" s="17"/>
      <c r="K345" s="17"/>
      <c r="L345" s="17"/>
      <c r="M345" s="19" t="s">
        <v>296</v>
      </c>
      <c r="N345" s="17">
        <v>7003188452</v>
      </c>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row>
    <row r="346" hidden="1">
      <c r="A346" s="17">
        <v>344</v>
      </c>
      <c r="B346" s="17" t="s">
        <v>52</v>
      </c>
      <c r="C346" s="19" t="s">
        <v>1148</v>
      </c>
      <c r="D346" s="19" t="s">
        <v>54</v>
      </c>
      <c r="E346" s="17" t="s">
        <v>1149</v>
      </c>
      <c r="F346" s="17" t="s">
        <v>1150</v>
      </c>
      <c r="G346" s="17">
        <v>22.339924</v>
      </c>
      <c r="H346" s="17">
        <v>87.847735999999998</v>
      </c>
      <c r="I346" s="17"/>
      <c r="J346" s="17"/>
      <c r="K346" s="17"/>
      <c r="L346" s="17"/>
      <c r="M346" s="19" t="s">
        <v>296</v>
      </c>
      <c r="N346" s="17">
        <v>7003188452</v>
      </c>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row>
    <row r="347" hidden="1">
      <c r="A347" s="17">
        <v>345</v>
      </c>
      <c r="B347" s="17" t="s">
        <v>52</v>
      </c>
      <c r="C347" s="19" t="s">
        <v>1151</v>
      </c>
      <c r="D347" s="19" t="s">
        <v>54</v>
      </c>
      <c r="E347" s="17" t="s">
        <v>1152</v>
      </c>
      <c r="F347" s="17" t="s">
        <v>1153</v>
      </c>
      <c r="G347" s="17">
        <v>22.301062999999999</v>
      </c>
      <c r="H347" s="17">
        <v>87.858891</v>
      </c>
      <c r="I347" s="17"/>
      <c r="J347" s="17"/>
      <c r="K347" s="17"/>
      <c r="L347" s="17"/>
      <c r="M347" s="19" t="s">
        <v>122</v>
      </c>
      <c r="N347" s="17">
        <v>8420984799</v>
      </c>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row>
    <row r="348" hidden="1">
      <c r="A348" s="17">
        <v>346</v>
      </c>
      <c r="B348" s="17" t="s">
        <v>52</v>
      </c>
      <c r="C348" s="19" t="s">
        <v>1154</v>
      </c>
      <c r="D348" s="19" t="s">
        <v>54</v>
      </c>
      <c r="E348" s="17"/>
      <c r="F348" s="17"/>
      <c r="G348" s="17"/>
      <c r="H348" s="17"/>
      <c r="I348" s="17"/>
      <c r="J348" s="17"/>
      <c r="K348" s="17"/>
      <c r="L348" s="17"/>
      <c r="M348" s="19" t="s">
        <v>122</v>
      </c>
      <c r="N348" s="17">
        <v>8420984799</v>
      </c>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row>
    <row r="349" hidden="1">
      <c r="A349" s="17">
        <v>347</v>
      </c>
      <c r="B349" s="17" t="s">
        <v>52</v>
      </c>
      <c r="C349" s="19" t="s">
        <v>1155</v>
      </c>
      <c r="D349" s="19" t="s">
        <v>54</v>
      </c>
      <c r="E349" s="17" t="s">
        <v>1156</v>
      </c>
      <c r="F349" s="17">
        <v>0</v>
      </c>
      <c r="G349" s="17">
        <v>22.282419999999998</v>
      </c>
      <c r="H349" s="17">
        <v>87.92022</v>
      </c>
      <c r="I349" s="17"/>
      <c r="J349" s="17"/>
      <c r="K349" s="17"/>
      <c r="L349" s="17"/>
      <c r="M349" s="19" t="s">
        <v>296</v>
      </c>
      <c r="N349" s="17">
        <v>7003188452</v>
      </c>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row>
    <row r="350" hidden="1">
      <c r="A350" s="17">
        <v>348</v>
      </c>
      <c r="B350" s="17" t="s">
        <v>52</v>
      </c>
      <c r="C350" s="19" t="s">
        <v>1157</v>
      </c>
      <c r="D350" s="19" t="s">
        <v>54</v>
      </c>
      <c r="E350" s="17" t="s">
        <v>1158</v>
      </c>
      <c r="F350" s="17" t="s">
        <v>1159</v>
      </c>
      <c r="G350" s="17">
        <v>22.283408000000001</v>
      </c>
      <c r="H350" s="17">
        <v>87.840553999999997</v>
      </c>
      <c r="I350" s="17"/>
      <c r="J350" s="17"/>
      <c r="K350" s="17"/>
      <c r="L350" s="17"/>
      <c r="M350" s="19" t="s">
        <v>296</v>
      </c>
      <c r="N350" s="17">
        <v>7003188452</v>
      </c>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row>
    <row r="351" hidden="1">
      <c r="A351" s="17">
        <v>349</v>
      </c>
      <c r="B351" s="17" t="s">
        <v>52</v>
      </c>
      <c r="C351" s="19" t="s">
        <v>1160</v>
      </c>
      <c r="D351" s="19" t="s">
        <v>54</v>
      </c>
      <c r="E351" s="17" t="s">
        <v>1161</v>
      </c>
      <c r="F351" s="17" t="s">
        <v>1162</v>
      </c>
      <c r="G351" s="17">
        <v>22.301227999999998</v>
      </c>
      <c r="H351" s="17">
        <v>87.923804000000004</v>
      </c>
      <c r="I351" s="17"/>
      <c r="J351" s="17"/>
      <c r="K351" s="17"/>
      <c r="L351" s="17"/>
      <c r="M351" s="19" t="s">
        <v>296</v>
      </c>
      <c r="N351" s="17">
        <v>7003188452</v>
      </c>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row>
    <row r="352" hidden="1">
      <c r="A352" s="17">
        <v>350</v>
      </c>
      <c r="B352" s="17" t="s">
        <v>52</v>
      </c>
      <c r="C352" s="19" t="s">
        <v>1163</v>
      </c>
      <c r="D352" s="19" t="s">
        <v>54</v>
      </c>
      <c r="E352" s="17" t="s">
        <v>1065</v>
      </c>
      <c r="F352" s="17" t="s">
        <v>1164</v>
      </c>
      <c r="G352" s="17">
        <v>22.295238999999999</v>
      </c>
      <c r="H352" s="17">
        <v>87.922483999999997</v>
      </c>
      <c r="I352" s="17"/>
      <c r="J352" s="17"/>
      <c r="K352" s="17"/>
      <c r="L352" s="17"/>
      <c r="M352" s="19" t="s">
        <v>296</v>
      </c>
      <c r="N352" s="17">
        <v>7003188452</v>
      </c>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row>
    <row r="353" hidden="1">
      <c r="A353" s="17">
        <v>351</v>
      </c>
      <c r="B353" s="17" t="s">
        <v>52</v>
      </c>
      <c r="C353" s="19" t="s">
        <v>1165</v>
      </c>
      <c r="D353" s="19" t="s">
        <v>54</v>
      </c>
      <c r="E353" s="17" t="s">
        <v>1065</v>
      </c>
      <c r="F353" s="17" t="s">
        <v>1166</v>
      </c>
      <c r="G353" s="17">
        <v>22.283982999999999</v>
      </c>
      <c r="H353" s="17">
        <v>87.913522</v>
      </c>
      <c r="I353" s="17"/>
      <c r="J353" s="17"/>
      <c r="K353" s="17"/>
      <c r="L353" s="17"/>
      <c r="M353" s="19" t="s">
        <v>296</v>
      </c>
      <c r="N353" s="17">
        <v>7003188452</v>
      </c>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row>
    <row r="354" hidden="1">
      <c r="A354" s="17">
        <v>352</v>
      </c>
      <c r="B354" s="17" t="s">
        <v>52</v>
      </c>
      <c r="C354" s="18" t="s">
        <v>1167</v>
      </c>
      <c r="D354" s="19" t="s">
        <v>54</v>
      </c>
      <c r="E354" s="17"/>
      <c r="F354" s="17"/>
      <c r="G354" s="17"/>
      <c r="H354" s="17"/>
      <c r="I354" s="17"/>
      <c r="J354" s="17"/>
      <c r="K354" s="17"/>
      <c r="L354" s="17"/>
      <c r="M354" s="20"/>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row>
    <row r="355" hidden="1">
      <c r="A355" s="17">
        <v>353</v>
      </c>
      <c r="B355" s="17" t="s">
        <v>52</v>
      </c>
      <c r="C355" s="20" t="s">
        <v>1168</v>
      </c>
      <c r="D355" s="19" t="s">
        <v>54</v>
      </c>
      <c r="E355" s="17"/>
      <c r="F355" s="17"/>
      <c r="G355" s="17"/>
      <c r="H355" s="17"/>
      <c r="I355" s="17"/>
      <c r="J355" s="17"/>
      <c r="K355" s="17"/>
      <c r="L355" s="17"/>
      <c r="M355" s="20"/>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row>
    <row r="356" hidden="1">
      <c r="A356" s="17">
        <v>354</v>
      </c>
      <c r="B356" s="17" t="s">
        <v>52</v>
      </c>
      <c r="C356" s="20" t="s">
        <v>1169</v>
      </c>
      <c r="D356" s="19" t="s">
        <v>54</v>
      </c>
      <c r="E356" s="17"/>
      <c r="F356" s="17"/>
      <c r="G356" s="17"/>
      <c r="H356" s="17"/>
      <c r="I356" s="17"/>
      <c r="J356" s="17"/>
      <c r="K356" s="17"/>
      <c r="L356" s="17"/>
      <c r="M356" s="20"/>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row>
    <row r="357" hidden="1">
      <c r="A357" s="17">
        <v>355</v>
      </c>
      <c r="B357" s="17" t="s">
        <v>52</v>
      </c>
      <c r="C357" s="25" t="s">
        <v>1170</v>
      </c>
      <c r="D357" s="25" t="s">
        <v>1171</v>
      </c>
      <c r="E357" s="17" t="s">
        <v>1172</v>
      </c>
      <c r="F357" s="17" t="s">
        <v>1173</v>
      </c>
      <c r="G357" s="17">
        <v>22.425979999999999</v>
      </c>
      <c r="H357" s="17">
        <v>87.957939999999994</v>
      </c>
      <c r="I357" s="17"/>
      <c r="J357" s="17"/>
      <c r="K357" s="17"/>
      <c r="L357" s="17"/>
      <c r="M357" s="25" t="s">
        <v>1174</v>
      </c>
      <c r="N357" s="17">
        <v>7003922106</v>
      </c>
      <c r="O357" s="17">
        <v>18</v>
      </c>
      <c r="P357" s="17">
        <v>100</v>
      </c>
      <c r="Q357" s="17" t="s">
        <v>187</v>
      </c>
      <c r="R357" s="17" t="s">
        <v>74</v>
      </c>
      <c r="S357" s="17" t="s">
        <v>75</v>
      </c>
      <c r="T357" s="17"/>
      <c r="U357" s="17" t="s">
        <v>160</v>
      </c>
      <c r="V357" s="17" t="s">
        <v>77</v>
      </c>
      <c r="W357" s="17" t="s">
        <v>1175</v>
      </c>
      <c r="X357" s="17">
        <v>5</v>
      </c>
      <c r="Y357" s="17">
        <v>1</v>
      </c>
      <c r="Z357" s="17"/>
      <c r="AA357" s="17" t="s">
        <v>1176</v>
      </c>
      <c r="AB357" s="17" t="s">
        <v>79</v>
      </c>
      <c r="AC357" s="17">
        <v>4</v>
      </c>
      <c r="AD357" s="17">
        <v>0</v>
      </c>
      <c r="AE357" s="17">
        <v>0</v>
      </c>
      <c r="AF357" s="17"/>
      <c r="AG357" s="17" t="s">
        <v>124</v>
      </c>
      <c r="AH357" s="17" t="s">
        <v>162</v>
      </c>
      <c r="AI357" s="17" t="s">
        <v>83</v>
      </c>
      <c r="AJ357" s="17" t="s">
        <v>923</v>
      </c>
      <c r="AK357" s="17" t="s">
        <v>75</v>
      </c>
      <c r="AL357" s="17" t="s">
        <v>137</v>
      </c>
      <c r="AM357" s="17" t="s">
        <v>75</v>
      </c>
      <c r="AN357" s="17" t="s">
        <v>84</v>
      </c>
      <c r="AO357" s="17" t="s">
        <v>75</v>
      </c>
      <c r="AP357" s="17"/>
      <c r="AQ357" s="17"/>
      <c r="AR357" s="17"/>
      <c r="AS357" s="17"/>
      <c r="AT357" s="17"/>
      <c r="AU357" s="17" t="s">
        <v>127</v>
      </c>
    </row>
    <row r="358" hidden="1">
      <c r="A358" s="17">
        <v>356</v>
      </c>
      <c r="B358" s="17" t="s">
        <v>52</v>
      </c>
      <c r="C358" s="25" t="s">
        <v>1177</v>
      </c>
      <c r="D358" s="25" t="s">
        <v>1171</v>
      </c>
      <c r="E358" s="17" t="s">
        <v>1178</v>
      </c>
      <c r="F358" s="17" t="s">
        <v>1179</v>
      </c>
      <c r="G358" s="17">
        <v>22.347031999999999</v>
      </c>
      <c r="H358" s="17">
        <v>88.074213</v>
      </c>
      <c r="I358" s="17"/>
      <c r="J358" s="17"/>
      <c r="K358" s="17"/>
      <c r="L358" s="17"/>
      <c r="M358" s="25" t="s">
        <v>1174</v>
      </c>
      <c r="N358" s="17">
        <v>7003922106</v>
      </c>
      <c r="O358" s="17">
        <v>18</v>
      </c>
      <c r="P358" s="17">
        <v>65</v>
      </c>
      <c r="Q358" s="17" t="s">
        <v>73</v>
      </c>
      <c r="R358" s="17" t="s">
        <v>1180</v>
      </c>
      <c r="S358" s="17" t="s">
        <v>75</v>
      </c>
      <c r="T358" s="17" t="s">
        <v>1181</v>
      </c>
      <c r="U358" s="17" t="s">
        <v>76</v>
      </c>
      <c r="V358" s="17" t="s">
        <v>340</v>
      </c>
      <c r="W358" s="17" t="s">
        <v>1182</v>
      </c>
      <c r="X358" s="17">
        <v>4</v>
      </c>
      <c r="Y358" s="17">
        <v>4</v>
      </c>
      <c r="Z358" s="17" t="s">
        <v>1183</v>
      </c>
      <c r="AA358" s="17"/>
      <c r="AB358" s="17" t="s">
        <v>79</v>
      </c>
      <c r="AC358" s="17">
        <v>3</v>
      </c>
      <c r="AD358" s="17">
        <v>0</v>
      </c>
      <c r="AE358" s="17">
        <v>0</v>
      </c>
      <c r="AF358" s="17" t="s">
        <v>1184</v>
      </c>
      <c r="AG358" s="17" t="s">
        <v>124</v>
      </c>
      <c r="AH358" s="17" t="s">
        <v>82</v>
      </c>
      <c r="AI358" s="17" t="s">
        <v>83</v>
      </c>
      <c r="AJ358" s="17" t="s">
        <v>341</v>
      </c>
      <c r="AK358" s="17" t="s">
        <v>75</v>
      </c>
      <c r="AL358" s="17" t="s">
        <v>75</v>
      </c>
      <c r="AM358" s="17" t="s">
        <v>75</v>
      </c>
      <c r="AN358" s="17" t="s">
        <v>84</v>
      </c>
      <c r="AO358" s="17" t="s">
        <v>109</v>
      </c>
      <c r="AP358" s="17"/>
      <c r="AQ358" s="17"/>
      <c r="AR358" s="17"/>
      <c r="AS358" s="17"/>
      <c r="AT358" s="17" t="s">
        <v>1185</v>
      </c>
      <c r="AU358" s="17" t="s">
        <v>127</v>
      </c>
    </row>
    <row r="359" hidden="1">
      <c r="A359" s="17">
        <v>357</v>
      </c>
      <c r="B359" s="17" t="s">
        <v>52</v>
      </c>
      <c r="C359" s="25" t="s">
        <v>1186</v>
      </c>
      <c r="D359" s="25" t="s">
        <v>1171</v>
      </c>
      <c r="E359" s="17" t="s">
        <v>1187</v>
      </c>
      <c r="F359" s="17" t="s">
        <v>1188</v>
      </c>
      <c r="G359" s="17">
        <v>22.467172999999999</v>
      </c>
      <c r="H359" s="17">
        <v>87.973843000000002</v>
      </c>
      <c r="I359" s="17"/>
      <c r="J359" s="17"/>
      <c r="K359" s="17"/>
      <c r="L359" s="17"/>
      <c r="M359" s="25" t="s">
        <v>1174</v>
      </c>
      <c r="N359" s="17">
        <v>7003922106</v>
      </c>
      <c r="O359" s="17">
        <v>18</v>
      </c>
      <c r="P359" s="17">
        <v>75</v>
      </c>
      <c r="Q359" s="17" t="s">
        <v>413</v>
      </c>
      <c r="R359" s="17" t="s">
        <v>74</v>
      </c>
      <c r="S359" s="17" t="s">
        <v>75</v>
      </c>
      <c r="T359" s="17"/>
      <c r="U359" s="17" t="s">
        <v>76</v>
      </c>
      <c r="V359" s="17" t="s">
        <v>340</v>
      </c>
      <c r="W359" s="17" t="s">
        <v>454</v>
      </c>
      <c r="X359" s="17">
        <v>4</v>
      </c>
      <c r="Y359" s="17">
        <v>1</v>
      </c>
      <c r="Z359" s="17"/>
      <c r="AA359" s="17" t="s">
        <v>413</v>
      </c>
      <c r="AB359" s="17" t="s">
        <v>79</v>
      </c>
      <c r="AC359" s="17">
        <v>5</v>
      </c>
      <c r="AD359" s="17">
        <v>0</v>
      </c>
      <c r="AE359" s="17">
        <v>0</v>
      </c>
      <c r="AF359" s="17"/>
      <c r="AG359" s="17" t="s">
        <v>724</v>
      </c>
      <c r="AH359" s="17"/>
      <c r="AI359" s="17"/>
      <c r="AJ359" s="17"/>
      <c r="AK359" s="17"/>
      <c r="AL359" s="17"/>
      <c r="AM359" s="17"/>
      <c r="AN359" s="17"/>
      <c r="AO359" s="17"/>
      <c r="AP359" s="17"/>
      <c r="AQ359" s="17"/>
      <c r="AR359" s="17"/>
      <c r="AS359" s="17"/>
      <c r="AT359" s="17" t="s">
        <v>1189</v>
      </c>
      <c r="AU359" s="17" t="s">
        <v>1190</v>
      </c>
    </row>
    <row r="360" hidden="1">
      <c r="A360" s="17">
        <v>358</v>
      </c>
      <c r="B360" s="17" t="s">
        <v>52</v>
      </c>
      <c r="C360" s="25" t="s">
        <v>1191</v>
      </c>
      <c r="D360" s="25" t="s">
        <v>1171</v>
      </c>
      <c r="E360" s="17" t="s">
        <v>1192</v>
      </c>
      <c r="F360" s="17" t="s">
        <v>1193</v>
      </c>
      <c r="G360" s="17">
        <v>22.438901999999999</v>
      </c>
      <c r="H360" s="17">
        <v>87.972919000000005</v>
      </c>
      <c r="I360" s="17"/>
      <c r="J360" s="17"/>
      <c r="K360" s="17"/>
      <c r="L360" s="17"/>
      <c r="M360" s="25" t="s">
        <v>1174</v>
      </c>
      <c r="N360" s="17">
        <v>7003922106</v>
      </c>
      <c r="O360" s="17">
        <v>18</v>
      </c>
      <c r="P360" s="17">
        <v>102</v>
      </c>
      <c r="Q360" s="17" t="s">
        <v>413</v>
      </c>
      <c r="R360" s="17" t="s">
        <v>1194</v>
      </c>
      <c r="S360" s="17" t="s">
        <v>75</v>
      </c>
      <c r="T360" s="17"/>
      <c r="U360" s="17" t="s">
        <v>160</v>
      </c>
      <c r="V360" s="17" t="s">
        <v>77</v>
      </c>
      <c r="W360" s="17" t="s">
        <v>1195</v>
      </c>
      <c r="X360" s="17">
        <v>5</v>
      </c>
      <c r="Y360" s="17">
        <v>0</v>
      </c>
      <c r="Z360" s="17"/>
      <c r="AA360" s="17" t="s">
        <v>413</v>
      </c>
      <c r="AB360" s="17" t="s">
        <v>79</v>
      </c>
      <c r="AC360" s="17">
        <v>5</v>
      </c>
      <c r="AD360" s="17">
        <v>0</v>
      </c>
      <c r="AE360" s="17">
        <v>0</v>
      </c>
      <c r="AF360" s="17"/>
      <c r="AG360" s="17" t="s">
        <v>124</v>
      </c>
      <c r="AH360" s="17" t="s">
        <v>82</v>
      </c>
      <c r="AI360" s="17" t="s">
        <v>83</v>
      </c>
      <c r="AJ360" s="17" t="s">
        <v>341</v>
      </c>
      <c r="AK360" s="17" t="s">
        <v>75</v>
      </c>
      <c r="AL360" s="17" t="s">
        <v>75</v>
      </c>
      <c r="AM360" s="17" t="s">
        <v>75</v>
      </c>
      <c r="AN360" s="17" t="s">
        <v>84</v>
      </c>
      <c r="AO360" s="17" t="s">
        <v>75</v>
      </c>
      <c r="AP360" s="17"/>
      <c r="AQ360" s="17"/>
      <c r="AR360" s="17"/>
      <c r="AS360" s="17"/>
      <c r="AT360" s="17" t="s">
        <v>1196</v>
      </c>
      <c r="AU360" s="17" t="s">
        <v>1197</v>
      </c>
    </row>
    <row r="361" hidden="1">
      <c r="A361" s="17">
        <v>359</v>
      </c>
      <c r="B361" s="17" t="s">
        <v>52</v>
      </c>
      <c r="C361" s="25" t="s">
        <v>1198</v>
      </c>
      <c r="D361" s="25" t="s">
        <v>1171</v>
      </c>
      <c r="E361" s="17" t="s">
        <v>1199</v>
      </c>
      <c r="F361" s="17" t="s">
        <v>1200</v>
      </c>
      <c r="G361" s="17">
        <v>22.406618999999999</v>
      </c>
      <c r="H361" s="17">
        <v>87.976562000000001</v>
      </c>
      <c r="I361" s="17"/>
      <c r="J361" s="17"/>
      <c r="K361" s="17"/>
      <c r="L361" s="17"/>
      <c r="M361" s="25" t="s">
        <v>1201</v>
      </c>
      <c r="N361" s="17">
        <v>6289035354</v>
      </c>
      <c r="O361" s="17">
        <v>24</v>
      </c>
      <c r="P361" s="17">
        <v>103</v>
      </c>
      <c r="Q361" s="17" t="s">
        <v>413</v>
      </c>
      <c r="R361" s="17" t="s">
        <v>142</v>
      </c>
      <c r="S361" s="17" t="s">
        <v>75</v>
      </c>
      <c r="T361" s="17"/>
      <c r="U361" s="17" t="s">
        <v>105</v>
      </c>
      <c r="V361" s="17" t="s">
        <v>77</v>
      </c>
      <c r="W361" s="17" t="s">
        <v>123</v>
      </c>
      <c r="X361" s="17">
        <v>5</v>
      </c>
      <c r="Y361" s="17">
        <v>3</v>
      </c>
      <c r="Z361" s="17"/>
      <c r="AA361" s="17" t="s">
        <v>413</v>
      </c>
      <c r="AB361" s="17" t="s">
        <v>79</v>
      </c>
      <c r="AC361" s="17">
        <v>5</v>
      </c>
      <c r="AD361" s="17">
        <v>0</v>
      </c>
      <c r="AE361" s="17">
        <v>0</v>
      </c>
      <c r="AF361" s="17"/>
      <c r="AG361" s="17" t="s">
        <v>414</v>
      </c>
      <c r="AH361" s="17" t="s">
        <v>415</v>
      </c>
      <c r="AI361" s="17" t="s">
        <v>1202</v>
      </c>
      <c r="AJ361" s="17"/>
      <c r="AK361" s="17" t="s">
        <v>1203</v>
      </c>
      <c r="AL361" s="17" t="s">
        <v>1203</v>
      </c>
      <c r="AM361" s="17" t="s">
        <v>137</v>
      </c>
      <c r="AN361" s="17" t="s">
        <v>125</v>
      </c>
      <c r="AO361" s="17" t="s">
        <v>137</v>
      </c>
      <c r="AP361" s="17"/>
      <c r="AQ361" s="17"/>
      <c r="AR361" s="17"/>
      <c r="AS361" s="17"/>
      <c r="AT361" s="17" t="s">
        <v>1204</v>
      </c>
      <c r="AU361" s="17" t="s">
        <v>111</v>
      </c>
    </row>
    <row r="362" hidden="1">
      <c r="A362" s="17">
        <v>360</v>
      </c>
      <c r="B362" s="17" t="s">
        <v>52</v>
      </c>
      <c r="C362" s="25" t="s">
        <v>1205</v>
      </c>
      <c r="D362" s="25" t="s">
        <v>1171</v>
      </c>
      <c r="E362" s="17" t="s">
        <v>1206</v>
      </c>
      <c r="F362" s="17" t="s">
        <v>1207</v>
      </c>
      <c r="G362" s="17">
        <v>22.425736000000001</v>
      </c>
      <c r="H362" s="17">
        <v>87.974979000000005</v>
      </c>
      <c r="I362" s="17"/>
      <c r="J362" s="17"/>
      <c r="K362" s="17"/>
      <c r="L362" s="17"/>
      <c r="M362" s="25" t="s">
        <v>1174</v>
      </c>
      <c r="N362" s="17">
        <v>7003922106</v>
      </c>
      <c r="O362" s="17">
        <v>18</v>
      </c>
      <c r="P362" s="17">
        <v>95</v>
      </c>
      <c r="Q362" s="17" t="s">
        <v>73</v>
      </c>
      <c r="R362" s="17" t="s">
        <v>339</v>
      </c>
      <c r="S362" s="17" t="s">
        <v>75</v>
      </c>
      <c r="T362" s="17"/>
      <c r="U362" s="17" t="s">
        <v>160</v>
      </c>
      <c r="V362" s="17" t="s">
        <v>77</v>
      </c>
      <c r="W362" s="17" t="s">
        <v>252</v>
      </c>
      <c r="X362" s="17">
        <v>5</v>
      </c>
      <c r="Y362" s="17">
        <v>0</v>
      </c>
      <c r="Z362" s="17"/>
      <c r="AA362" s="17" t="s">
        <v>73</v>
      </c>
      <c r="AB362" s="17" t="s">
        <v>79</v>
      </c>
      <c r="AC362" s="17">
        <v>3</v>
      </c>
      <c r="AD362" s="17">
        <v>0</v>
      </c>
      <c r="AE362" s="17">
        <v>0</v>
      </c>
      <c r="AF362" s="17"/>
      <c r="AG362" s="17" t="s">
        <v>124</v>
      </c>
      <c r="AH362" s="17" t="s">
        <v>162</v>
      </c>
      <c r="AI362" s="17" t="s">
        <v>83</v>
      </c>
      <c r="AJ362" s="17" t="s">
        <v>923</v>
      </c>
      <c r="AK362" s="17" t="s">
        <v>75</v>
      </c>
      <c r="AL362" s="17" t="s">
        <v>75</v>
      </c>
      <c r="AM362" s="17" t="s">
        <v>75</v>
      </c>
      <c r="AN362" s="17" t="s">
        <v>125</v>
      </c>
      <c r="AO362" s="17" t="s">
        <v>75</v>
      </c>
      <c r="AP362" s="17"/>
      <c r="AQ362" s="17"/>
      <c r="AR362" s="17"/>
      <c r="AS362" s="17"/>
      <c r="AT362" s="17" t="s">
        <v>1208</v>
      </c>
      <c r="AU362" s="17" t="s">
        <v>127</v>
      </c>
    </row>
    <row r="363" hidden="1">
      <c r="A363" s="17">
        <v>361</v>
      </c>
      <c r="B363" s="17" t="s">
        <v>52</v>
      </c>
      <c r="C363" s="25" t="s">
        <v>1209</v>
      </c>
      <c r="D363" s="25" t="s">
        <v>1171</v>
      </c>
      <c r="E363" s="17"/>
      <c r="F363" s="17"/>
      <c r="G363" s="17"/>
      <c r="H363" s="17"/>
      <c r="I363" s="17"/>
      <c r="J363" s="17"/>
      <c r="K363" s="17"/>
      <c r="L363" s="17"/>
      <c r="M363" s="25" t="s">
        <v>1174</v>
      </c>
      <c r="N363" s="17">
        <v>7003922106</v>
      </c>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row>
    <row r="364" hidden="1">
      <c r="A364" s="17">
        <v>362</v>
      </c>
      <c r="B364" s="17" t="s">
        <v>52</v>
      </c>
      <c r="C364" s="25" t="s">
        <v>1210</v>
      </c>
      <c r="D364" s="25" t="s">
        <v>1171</v>
      </c>
      <c r="E364" s="17" t="s">
        <v>1211</v>
      </c>
      <c r="F364" s="17" t="s">
        <v>1212</v>
      </c>
      <c r="G364" s="17">
        <v>22.281610000000001</v>
      </c>
      <c r="H364" s="17">
        <v>88.056510000000003</v>
      </c>
      <c r="I364" s="17"/>
      <c r="J364" s="17"/>
      <c r="K364" s="17"/>
      <c r="L364" s="17"/>
      <c r="M364" s="25" t="s">
        <v>1174</v>
      </c>
      <c r="N364" s="17">
        <v>7003922106</v>
      </c>
      <c r="O364" s="17">
        <v>16</v>
      </c>
      <c r="P364" s="17">
        <v>95</v>
      </c>
      <c r="Q364" s="17" t="s">
        <v>73</v>
      </c>
      <c r="R364" s="17" t="s">
        <v>74</v>
      </c>
      <c r="S364" s="17" t="s">
        <v>137</v>
      </c>
      <c r="T364" s="17" t="s">
        <v>1213</v>
      </c>
      <c r="U364" s="17" t="s">
        <v>503</v>
      </c>
      <c r="V364" s="17" t="s">
        <v>504</v>
      </c>
      <c r="W364" s="17" t="s">
        <v>161</v>
      </c>
      <c r="X364" s="17">
        <v>2</v>
      </c>
      <c r="Y364" s="17">
        <v>0</v>
      </c>
      <c r="Z364" s="17"/>
      <c r="AA364" s="17" t="s">
        <v>73</v>
      </c>
      <c r="AB364" s="17" t="s">
        <v>79</v>
      </c>
      <c r="AC364" s="17">
        <v>3</v>
      </c>
      <c r="AD364" s="17">
        <v>0</v>
      </c>
      <c r="AE364" s="17">
        <v>0</v>
      </c>
      <c r="AF364" s="17"/>
      <c r="AG364" s="17" t="s">
        <v>124</v>
      </c>
      <c r="AH364" s="17" t="s">
        <v>82</v>
      </c>
      <c r="AI364" s="17" t="s">
        <v>83</v>
      </c>
      <c r="AJ364" s="17" t="s">
        <v>341</v>
      </c>
      <c r="AK364" s="17" t="s">
        <v>75</v>
      </c>
      <c r="AL364" s="17" t="s">
        <v>75</v>
      </c>
      <c r="AM364" s="17" t="s">
        <v>75</v>
      </c>
      <c r="AN364" s="17" t="s">
        <v>84</v>
      </c>
      <c r="AO364" s="17" t="s">
        <v>75</v>
      </c>
      <c r="AP364" s="17"/>
      <c r="AQ364" s="17"/>
      <c r="AR364" s="17"/>
      <c r="AS364" s="17"/>
      <c r="AT364" s="17"/>
      <c r="AU364" s="17" t="s">
        <v>111</v>
      </c>
    </row>
    <row r="365" hidden="1">
      <c r="A365" s="17">
        <v>363</v>
      </c>
      <c r="B365" s="17" t="s">
        <v>52</v>
      </c>
      <c r="C365" s="25" t="s">
        <v>1214</v>
      </c>
      <c r="D365" s="25" t="s">
        <v>1171</v>
      </c>
      <c r="E365" s="17" t="s">
        <v>1215</v>
      </c>
      <c r="F365" s="17" t="s">
        <v>1216</v>
      </c>
      <c r="G365" s="17">
        <v>22.354953999999999</v>
      </c>
      <c r="H365" s="17">
        <v>88.046561999999994</v>
      </c>
      <c r="I365" s="17"/>
      <c r="J365" s="17"/>
      <c r="K365" s="17"/>
      <c r="L365" s="17"/>
      <c r="M365" s="25" t="s">
        <v>1174</v>
      </c>
      <c r="N365" s="17">
        <v>7003922106</v>
      </c>
      <c r="O365" s="17">
        <v>17</v>
      </c>
      <c r="P365" s="17">
        <v>100</v>
      </c>
      <c r="Q365" s="17" t="s">
        <v>413</v>
      </c>
      <c r="R365" s="17" t="s">
        <v>1194</v>
      </c>
      <c r="S365" s="17" t="s">
        <v>1217</v>
      </c>
      <c r="T365" s="17"/>
      <c r="U365" s="17" t="s">
        <v>105</v>
      </c>
      <c r="V365" s="17" t="s">
        <v>77</v>
      </c>
      <c r="W365" s="17" t="s">
        <v>454</v>
      </c>
      <c r="X365" s="17">
        <v>4</v>
      </c>
      <c r="Y365" s="17">
        <v>0</v>
      </c>
      <c r="Z365" s="17"/>
      <c r="AA365" s="17" t="s">
        <v>413</v>
      </c>
      <c r="AB365" s="17" t="s">
        <v>79</v>
      </c>
      <c r="AC365" s="17">
        <v>5</v>
      </c>
      <c r="AD365" s="17">
        <v>0</v>
      </c>
      <c r="AE365" s="17">
        <v>0</v>
      </c>
      <c r="AF365" s="17"/>
      <c r="AG365" s="17" t="s">
        <v>81</v>
      </c>
      <c r="AH365" s="17" t="s">
        <v>82</v>
      </c>
      <c r="AI365" s="17" t="s">
        <v>107</v>
      </c>
      <c r="AJ365" s="17" t="s">
        <v>261</v>
      </c>
      <c r="AK365" s="17" t="s">
        <v>75</v>
      </c>
      <c r="AL365" s="17" t="s">
        <v>75</v>
      </c>
      <c r="AM365" s="17" t="s">
        <v>137</v>
      </c>
      <c r="AN365" s="17" t="s">
        <v>84</v>
      </c>
      <c r="AO365" s="17" t="s">
        <v>137</v>
      </c>
      <c r="AP365" s="17"/>
      <c r="AQ365" s="17"/>
      <c r="AR365" s="17"/>
      <c r="AS365" s="17"/>
      <c r="AT365" s="17"/>
      <c r="AU365" s="17" t="s">
        <v>111</v>
      </c>
    </row>
    <row r="366" hidden="1">
      <c r="A366" s="17">
        <v>364</v>
      </c>
      <c r="B366" s="17" t="s">
        <v>52</v>
      </c>
      <c r="C366" s="25" t="s">
        <v>1218</v>
      </c>
      <c r="D366" s="25" t="s">
        <v>1171</v>
      </c>
      <c r="E366" s="17" t="s">
        <v>1219</v>
      </c>
      <c r="F366" s="17" t="s">
        <v>1220</v>
      </c>
      <c r="G366" s="17">
        <v>22.334571</v>
      </c>
      <c r="H366" s="17">
        <v>87.971767999999997</v>
      </c>
      <c r="I366" s="17"/>
      <c r="J366" s="17"/>
      <c r="K366" s="17"/>
      <c r="L366" s="17"/>
      <c r="M366" s="25" t="s">
        <v>1174</v>
      </c>
      <c r="N366" s="17">
        <v>7003922106</v>
      </c>
      <c r="O366" s="17">
        <v>16</v>
      </c>
      <c r="P366" s="17">
        <v>145</v>
      </c>
      <c r="Q366" s="17" t="s">
        <v>413</v>
      </c>
      <c r="R366" s="17" t="s">
        <v>1194</v>
      </c>
      <c r="S366" s="17" t="s">
        <v>137</v>
      </c>
      <c r="T366" s="17" t="s">
        <v>947</v>
      </c>
      <c r="U366" s="17" t="s">
        <v>105</v>
      </c>
      <c r="V366" s="17" t="s">
        <v>77</v>
      </c>
      <c r="W366" s="17" t="s">
        <v>449</v>
      </c>
      <c r="X366" s="17">
        <v>5</v>
      </c>
      <c r="Y366" s="17">
        <v>1</v>
      </c>
      <c r="Z366" s="17" t="s">
        <v>1221</v>
      </c>
      <c r="AA366" s="17" t="s">
        <v>413</v>
      </c>
      <c r="AB366" s="17" t="s">
        <v>79</v>
      </c>
      <c r="AC366" s="17">
        <v>5</v>
      </c>
      <c r="AD366" s="17">
        <v>0</v>
      </c>
      <c r="AE366" s="17">
        <v>0</v>
      </c>
      <c r="AF366" s="17"/>
      <c r="AG366" s="17" t="s">
        <v>124</v>
      </c>
      <c r="AH366" s="17" t="s">
        <v>82</v>
      </c>
      <c r="AI366" s="17" t="s">
        <v>83</v>
      </c>
      <c r="AJ366" s="17" t="s">
        <v>341</v>
      </c>
      <c r="AK366" s="17" t="s">
        <v>75</v>
      </c>
      <c r="AL366" s="17" t="s">
        <v>137</v>
      </c>
      <c r="AM366" s="17" t="s">
        <v>75</v>
      </c>
      <c r="AN366" s="17" t="s">
        <v>125</v>
      </c>
      <c r="AO366" s="17" t="s">
        <v>75</v>
      </c>
      <c r="AP366" s="17"/>
      <c r="AQ366" s="17"/>
      <c r="AR366" s="17"/>
      <c r="AS366" s="17"/>
      <c r="AT366" s="17" t="s">
        <v>1222</v>
      </c>
      <c r="AU366" s="17" t="s">
        <v>111</v>
      </c>
    </row>
    <row r="367" hidden="1">
      <c r="A367" s="17">
        <v>365</v>
      </c>
      <c r="B367" s="17" t="s">
        <v>52</v>
      </c>
      <c r="C367" s="25" t="s">
        <v>1223</v>
      </c>
      <c r="D367" s="25" t="s">
        <v>1171</v>
      </c>
      <c r="E367" s="17" t="s">
        <v>1224</v>
      </c>
      <c r="F367" s="17" t="s">
        <v>1225</v>
      </c>
      <c r="G367" s="17">
        <v>22.35453</v>
      </c>
      <c r="H367" s="17">
        <v>88.012339999999995</v>
      </c>
      <c r="I367" s="17"/>
      <c r="J367" s="17"/>
      <c r="K367" s="17"/>
      <c r="L367" s="17"/>
      <c r="M367" s="25" t="s">
        <v>1174</v>
      </c>
      <c r="N367" s="17">
        <v>7003922106</v>
      </c>
      <c r="O367" s="17">
        <v>16</v>
      </c>
      <c r="P367" s="17">
        <v>140</v>
      </c>
      <c r="Q367" s="17" t="s">
        <v>73</v>
      </c>
      <c r="R367" s="17" t="s">
        <v>104</v>
      </c>
      <c r="S367" s="17" t="s">
        <v>137</v>
      </c>
      <c r="T367" s="17" t="s">
        <v>1226</v>
      </c>
      <c r="U367" s="17" t="s">
        <v>160</v>
      </c>
      <c r="V367" s="17" t="s">
        <v>77</v>
      </c>
      <c r="W367" s="17" t="s">
        <v>449</v>
      </c>
      <c r="X367" s="17">
        <v>5</v>
      </c>
      <c r="Y367" s="17">
        <v>1</v>
      </c>
      <c r="Z367" s="17" t="s">
        <v>1221</v>
      </c>
      <c r="AA367" s="17" t="s">
        <v>73</v>
      </c>
      <c r="AB367" s="17" t="s">
        <v>79</v>
      </c>
      <c r="AC367" s="17">
        <v>4</v>
      </c>
      <c r="AD367" s="17">
        <v>0</v>
      </c>
      <c r="AE367" s="17">
        <v>0</v>
      </c>
      <c r="AF367" s="17"/>
      <c r="AG367" s="17" t="s">
        <v>81</v>
      </c>
      <c r="AH367" s="17" t="s">
        <v>162</v>
      </c>
      <c r="AI367" s="17" t="s">
        <v>107</v>
      </c>
      <c r="AJ367" s="17" t="s">
        <v>163</v>
      </c>
      <c r="AK367" s="17" t="s">
        <v>75</v>
      </c>
      <c r="AL367" s="17" t="s">
        <v>75</v>
      </c>
      <c r="AM367" s="17" t="s">
        <v>1227</v>
      </c>
      <c r="AN367" s="17" t="s">
        <v>84</v>
      </c>
      <c r="AO367" s="17" t="s">
        <v>75</v>
      </c>
      <c r="AP367" s="17"/>
      <c r="AQ367" s="17"/>
      <c r="AR367" s="17"/>
      <c r="AS367" s="17"/>
      <c r="AT367" s="17" t="s">
        <v>1228</v>
      </c>
      <c r="AU367" s="17" t="s">
        <v>1229</v>
      </c>
    </row>
    <row r="368" hidden="1">
      <c r="A368" s="17">
        <v>366</v>
      </c>
      <c r="B368" s="17" t="s">
        <v>52</v>
      </c>
      <c r="C368" s="25" t="s">
        <v>1230</v>
      </c>
      <c r="D368" s="25" t="s">
        <v>1171</v>
      </c>
      <c r="E368" s="17" t="s">
        <v>1231</v>
      </c>
      <c r="F368" s="17" t="s">
        <v>1232</v>
      </c>
      <c r="G368" s="17">
        <v>22.33567</v>
      </c>
      <c r="H368" s="17">
        <v>88.033680000000004</v>
      </c>
      <c r="I368" s="17"/>
      <c r="J368" s="17"/>
      <c r="K368" s="17"/>
      <c r="L368" s="17"/>
      <c r="M368" s="25" t="s">
        <v>1174</v>
      </c>
      <c r="N368" s="17">
        <v>7003922106</v>
      </c>
      <c r="O368" s="17">
        <v>16</v>
      </c>
      <c r="P368" s="17">
        <v>140</v>
      </c>
      <c r="Q368" s="17" t="s">
        <v>73</v>
      </c>
      <c r="R368" s="17" t="s">
        <v>104</v>
      </c>
      <c r="S368" s="17" t="s">
        <v>137</v>
      </c>
      <c r="T368" s="17" t="s">
        <v>1233</v>
      </c>
      <c r="U368" s="17" t="s">
        <v>105</v>
      </c>
      <c r="V368" s="17" t="s">
        <v>77</v>
      </c>
      <c r="W368" s="17" t="s">
        <v>1234</v>
      </c>
      <c r="X368" s="17">
        <v>5</v>
      </c>
      <c r="Y368" s="17">
        <v>1</v>
      </c>
      <c r="Z368" s="17" t="s">
        <v>1235</v>
      </c>
      <c r="AA368" s="17" t="s">
        <v>73</v>
      </c>
      <c r="AB368" s="17" t="s">
        <v>79</v>
      </c>
      <c r="AC368" s="17">
        <v>3</v>
      </c>
      <c r="AD368" s="17">
        <v>0</v>
      </c>
      <c r="AE368" s="17">
        <v>0</v>
      </c>
      <c r="AF368" s="17"/>
      <c r="AG368" s="17" t="s">
        <v>81</v>
      </c>
      <c r="AH368" s="17" t="s">
        <v>82</v>
      </c>
      <c r="AI368" s="17" t="s">
        <v>107</v>
      </c>
      <c r="AJ368" s="17" t="s">
        <v>163</v>
      </c>
      <c r="AK368" s="17" t="s">
        <v>75</v>
      </c>
      <c r="AL368" s="17" t="s">
        <v>75</v>
      </c>
      <c r="AM368" s="17" t="s">
        <v>75</v>
      </c>
      <c r="AN368" s="17" t="s">
        <v>84</v>
      </c>
      <c r="AO368" s="17" t="s">
        <v>75</v>
      </c>
      <c r="AP368" s="17"/>
      <c r="AQ368" s="17"/>
      <c r="AR368" s="17"/>
      <c r="AS368" s="17"/>
      <c r="AT368" s="17" t="s">
        <v>1236</v>
      </c>
      <c r="AU368" s="17" t="s">
        <v>111</v>
      </c>
    </row>
    <row r="369" hidden="1">
      <c r="A369" s="17">
        <v>367</v>
      </c>
      <c r="B369" s="17" t="s">
        <v>52</v>
      </c>
      <c r="C369" s="25" t="s">
        <v>1237</v>
      </c>
      <c r="D369" s="25" t="s">
        <v>1171</v>
      </c>
      <c r="E369" s="17" t="s">
        <v>1238</v>
      </c>
      <c r="F369" s="17" t="s">
        <v>1239</v>
      </c>
      <c r="G369" s="17">
        <v>22.375143000000001</v>
      </c>
      <c r="H369" s="17">
        <v>87.957460999999995</v>
      </c>
      <c r="I369" s="17"/>
      <c r="J369" s="17"/>
      <c r="K369" s="17"/>
      <c r="L369" s="17"/>
      <c r="M369" s="25" t="s">
        <v>1174</v>
      </c>
      <c r="N369" s="17">
        <v>7003922106</v>
      </c>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row>
    <row r="370" hidden="1">
      <c r="A370" s="17">
        <v>368</v>
      </c>
      <c r="B370" s="17" t="s">
        <v>52</v>
      </c>
      <c r="C370" s="25" t="s">
        <v>1240</v>
      </c>
      <c r="D370" s="25" t="s">
        <v>1171</v>
      </c>
      <c r="E370" s="17" t="s">
        <v>1241</v>
      </c>
      <c r="F370" s="17" t="s">
        <v>1242</v>
      </c>
      <c r="G370" s="17">
        <v>22.321617</v>
      </c>
      <c r="H370" s="17">
        <v>88.017590999999996</v>
      </c>
      <c r="I370" s="17"/>
      <c r="J370" s="17"/>
      <c r="K370" s="17"/>
      <c r="L370" s="17"/>
      <c r="M370" s="25" t="s">
        <v>1174</v>
      </c>
      <c r="N370" s="17">
        <v>7003922106</v>
      </c>
      <c r="O370" s="17">
        <v>17</v>
      </c>
      <c r="P370" s="17">
        <v>95</v>
      </c>
      <c r="Q370" s="17" t="s">
        <v>105</v>
      </c>
      <c r="R370" s="17" t="s">
        <v>74</v>
      </c>
      <c r="S370" s="17" t="s">
        <v>75</v>
      </c>
      <c r="T370" s="17"/>
      <c r="U370" s="17" t="s">
        <v>160</v>
      </c>
      <c r="V370" s="17" t="s">
        <v>77</v>
      </c>
      <c r="W370" s="17" t="s">
        <v>78</v>
      </c>
      <c r="X370" s="17">
        <v>5</v>
      </c>
      <c r="Y370" s="17">
        <v>2</v>
      </c>
      <c r="Z370" s="17"/>
      <c r="AA370" s="17" t="s">
        <v>105</v>
      </c>
      <c r="AB370" s="17" t="s">
        <v>79</v>
      </c>
      <c r="AC370" s="17">
        <v>4</v>
      </c>
      <c r="AD370" s="17">
        <v>0</v>
      </c>
      <c r="AE370" s="17">
        <v>0</v>
      </c>
      <c r="AF370" s="17"/>
      <c r="AG370" s="17" t="s">
        <v>124</v>
      </c>
      <c r="AH370" s="17" t="s">
        <v>162</v>
      </c>
      <c r="AI370" s="17" t="s">
        <v>107</v>
      </c>
      <c r="AJ370" s="17" t="s">
        <v>261</v>
      </c>
      <c r="AK370" s="17" t="s">
        <v>75</v>
      </c>
      <c r="AL370" s="17" t="s">
        <v>75</v>
      </c>
      <c r="AM370" s="17" t="s">
        <v>75</v>
      </c>
      <c r="AN370" s="17" t="s">
        <v>125</v>
      </c>
      <c r="AO370" s="17" t="s">
        <v>75</v>
      </c>
      <c r="AP370" s="17"/>
      <c r="AQ370" s="17"/>
      <c r="AR370" s="17"/>
      <c r="AS370" s="17"/>
      <c r="AT370" s="17"/>
      <c r="AU370" s="17" t="s">
        <v>1197</v>
      </c>
    </row>
    <row r="371" hidden="1">
      <c r="A371" s="17">
        <v>369</v>
      </c>
      <c r="B371" s="17" t="s">
        <v>52</v>
      </c>
      <c r="C371" s="25" t="s">
        <v>1243</v>
      </c>
      <c r="D371" s="25" t="s">
        <v>1171</v>
      </c>
      <c r="E371" s="17" t="s">
        <v>1244</v>
      </c>
      <c r="F371" s="17" t="s">
        <v>1245</v>
      </c>
      <c r="G371" s="17">
        <v>22.343076</v>
      </c>
      <c r="H371" s="17">
        <v>88.004689999999997</v>
      </c>
      <c r="I371" s="17"/>
      <c r="J371" s="17"/>
      <c r="K371" s="17"/>
      <c r="L371" s="17"/>
      <c r="M371" s="25" t="s">
        <v>1174</v>
      </c>
      <c r="N371" s="17">
        <v>7003922106</v>
      </c>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row>
    <row r="372" hidden="1">
      <c r="A372" s="17">
        <v>370</v>
      </c>
      <c r="B372" s="17" t="s">
        <v>52</v>
      </c>
      <c r="C372" s="25" t="s">
        <v>1246</v>
      </c>
      <c r="D372" s="25" t="s">
        <v>1171</v>
      </c>
      <c r="E372" s="17" t="s">
        <v>1247</v>
      </c>
      <c r="F372" s="17" t="s">
        <v>1248</v>
      </c>
      <c r="G372" s="17">
        <v>22.314941000000001</v>
      </c>
      <c r="H372" s="17">
        <v>87.999382999999995</v>
      </c>
      <c r="I372" s="17"/>
      <c r="J372" s="17"/>
      <c r="K372" s="17"/>
      <c r="L372" s="17"/>
      <c r="M372" s="25" t="s">
        <v>1174</v>
      </c>
      <c r="N372" s="27">
        <v>7003922106</v>
      </c>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row>
    <row r="373" hidden="1">
      <c r="A373" s="17">
        <v>371</v>
      </c>
      <c r="B373" s="17" t="s">
        <v>52</v>
      </c>
      <c r="C373" s="25" t="s">
        <v>1249</v>
      </c>
      <c r="D373" s="25" t="s">
        <v>1171</v>
      </c>
      <c r="E373" s="17" t="s">
        <v>1250</v>
      </c>
      <c r="F373" s="17" t="s">
        <v>1251</v>
      </c>
      <c r="G373" s="17">
        <v>22.370902999999998</v>
      </c>
      <c r="H373" s="17">
        <v>88.019638</v>
      </c>
      <c r="I373" s="17"/>
      <c r="J373" s="17"/>
      <c r="K373" s="17"/>
      <c r="L373" s="17"/>
      <c r="M373" s="25" t="s">
        <v>1174</v>
      </c>
      <c r="N373" s="17">
        <v>7003922106</v>
      </c>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row>
    <row r="374" hidden="1">
      <c r="A374" s="17">
        <v>372</v>
      </c>
      <c r="B374" s="17" t="s">
        <v>52</v>
      </c>
      <c r="C374" s="25" t="s">
        <v>1252</v>
      </c>
      <c r="D374" s="25" t="s">
        <v>1171</v>
      </c>
      <c r="E374" s="17"/>
      <c r="F374" s="17"/>
      <c r="G374" s="17"/>
      <c r="H374" s="17"/>
      <c r="I374" s="17"/>
      <c r="J374" s="17"/>
      <c r="K374" s="17"/>
      <c r="L374" s="17"/>
      <c r="M374" s="25" t="s">
        <v>1174</v>
      </c>
      <c r="N374" s="17">
        <v>7003922106</v>
      </c>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row>
    <row r="375" hidden="1">
      <c r="A375" s="17">
        <v>373</v>
      </c>
      <c r="B375" s="17" t="s">
        <v>52</v>
      </c>
      <c r="C375" s="25" t="s">
        <v>1253</v>
      </c>
      <c r="D375" s="25" t="s">
        <v>1171</v>
      </c>
      <c r="E375" s="17"/>
      <c r="F375" s="17"/>
      <c r="G375" s="17"/>
      <c r="H375" s="17"/>
      <c r="I375" s="17"/>
      <c r="J375" s="17"/>
      <c r="K375" s="17"/>
      <c r="L375" s="17"/>
      <c r="M375" s="25" t="s">
        <v>1174</v>
      </c>
      <c r="N375" s="17">
        <v>7003922106</v>
      </c>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row>
    <row r="376" hidden="1">
      <c r="A376" s="17">
        <v>374</v>
      </c>
      <c r="B376" s="17" t="s">
        <v>52</v>
      </c>
      <c r="C376" s="25" t="s">
        <v>1254</v>
      </c>
      <c r="D376" s="25" t="s">
        <v>1171</v>
      </c>
      <c r="E376" s="17"/>
      <c r="F376" s="17"/>
      <c r="G376" s="17"/>
      <c r="H376" s="17"/>
      <c r="I376" s="17"/>
      <c r="J376" s="17"/>
      <c r="K376" s="17"/>
      <c r="L376" s="17"/>
      <c r="M376" s="25" t="s">
        <v>1174</v>
      </c>
      <c r="N376" s="17">
        <v>7003922106</v>
      </c>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row>
    <row r="377" hidden="1">
      <c r="A377" s="17">
        <v>375</v>
      </c>
      <c r="B377" s="17" t="s">
        <v>52</v>
      </c>
      <c r="C377" s="25" t="s">
        <v>1255</v>
      </c>
      <c r="D377" s="25" t="s">
        <v>1171</v>
      </c>
      <c r="E377" s="17"/>
      <c r="F377" s="17"/>
      <c r="G377" s="17"/>
      <c r="H377" s="17"/>
      <c r="I377" s="17"/>
      <c r="J377" s="17"/>
      <c r="K377" s="17"/>
      <c r="L377" s="17"/>
      <c r="M377" s="25" t="s">
        <v>1174</v>
      </c>
      <c r="N377" s="17">
        <v>7003922106</v>
      </c>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row>
    <row r="378" hidden="1">
      <c r="A378" s="17">
        <v>376</v>
      </c>
      <c r="B378" s="17" t="s">
        <v>52</v>
      </c>
      <c r="C378" s="25" t="s">
        <v>1256</v>
      </c>
      <c r="D378" s="25" t="s">
        <v>1171</v>
      </c>
      <c r="E378" s="17"/>
      <c r="F378" s="17"/>
      <c r="G378" s="17"/>
      <c r="H378" s="17"/>
      <c r="I378" s="17"/>
      <c r="J378" s="17"/>
      <c r="K378" s="17"/>
      <c r="L378" s="17"/>
      <c r="M378" s="25" t="s">
        <v>1174</v>
      </c>
      <c r="N378" s="17">
        <v>7003922106</v>
      </c>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row>
    <row r="379" hidden="1">
      <c r="A379" s="17">
        <v>377</v>
      </c>
      <c r="B379" s="17" t="s">
        <v>52</v>
      </c>
      <c r="C379" s="25" t="s">
        <v>1257</v>
      </c>
      <c r="D379" s="25" t="s">
        <v>1171</v>
      </c>
      <c r="E379" s="17"/>
      <c r="F379" s="17"/>
      <c r="G379" s="17"/>
      <c r="H379" s="17"/>
      <c r="I379" s="17"/>
      <c r="J379" s="17"/>
      <c r="K379" s="17"/>
      <c r="L379" s="17"/>
      <c r="M379" s="25" t="s">
        <v>1174</v>
      </c>
      <c r="N379" s="17">
        <v>7003922106</v>
      </c>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row>
    <row r="380" hidden="1">
      <c r="A380" s="17">
        <v>378</v>
      </c>
      <c r="B380" s="17" t="s">
        <v>52</v>
      </c>
      <c r="C380" s="25" t="s">
        <v>1258</v>
      </c>
      <c r="D380" s="25" t="s">
        <v>1171</v>
      </c>
      <c r="E380" s="17"/>
      <c r="F380" s="17"/>
      <c r="G380" s="17"/>
      <c r="H380" s="17"/>
      <c r="I380" s="17"/>
      <c r="J380" s="17"/>
      <c r="K380" s="17"/>
      <c r="L380" s="17"/>
      <c r="M380" s="25" t="s">
        <v>1174</v>
      </c>
      <c r="N380" s="17">
        <v>7003922106</v>
      </c>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row>
    <row r="381" hidden="1">
      <c r="A381" s="17">
        <v>379</v>
      </c>
      <c r="B381" s="17" t="s">
        <v>52</v>
      </c>
      <c r="C381" s="25" t="s">
        <v>1259</v>
      </c>
      <c r="D381" s="25" t="s">
        <v>1171</v>
      </c>
      <c r="E381" s="17" t="s">
        <v>1260</v>
      </c>
      <c r="F381" s="17" t="s">
        <v>1261</v>
      </c>
      <c r="G381" s="17">
        <v>22.320881</v>
      </c>
      <c r="H381" s="17">
        <v>88.069085999999999</v>
      </c>
      <c r="I381" s="17"/>
      <c r="J381" s="17"/>
      <c r="K381" s="17"/>
      <c r="L381" s="17"/>
      <c r="M381" s="25" t="s">
        <v>1174</v>
      </c>
      <c r="N381" s="17">
        <v>7003922106</v>
      </c>
      <c r="O381" s="17">
        <v>18</v>
      </c>
      <c r="P381" s="17">
        <v>96</v>
      </c>
      <c r="Q381" s="17" t="s">
        <v>73</v>
      </c>
      <c r="R381" s="17" t="s">
        <v>104</v>
      </c>
      <c r="S381" s="17" t="s">
        <v>75</v>
      </c>
      <c r="T381" s="17"/>
      <c r="U381" s="17" t="s">
        <v>76</v>
      </c>
      <c r="V381" s="17" t="s">
        <v>77</v>
      </c>
      <c r="W381" s="17" t="s">
        <v>252</v>
      </c>
      <c r="X381" s="17">
        <v>5</v>
      </c>
      <c r="Y381" s="17">
        <v>0</v>
      </c>
      <c r="Z381" s="17"/>
      <c r="AA381" s="17" t="s">
        <v>73</v>
      </c>
      <c r="AB381" s="17" t="s">
        <v>79</v>
      </c>
      <c r="AC381" s="17">
        <v>2</v>
      </c>
      <c r="AD381" s="17">
        <v>0</v>
      </c>
      <c r="AE381" s="17">
        <v>0</v>
      </c>
      <c r="AF381" s="17"/>
      <c r="AG381" s="17" t="s">
        <v>81</v>
      </c>
      <c r="AH381" s="17" t="s">
        <v>82</v>
      </c>
      <c r="AI381" s="17" t="s">
        <v>83</v>
      </c>
      <c r="AJ381" s="17">
        <v>2111</v>
      </c>
      <c r="AK381" s="17" t="s">
        <v>75</v>
      </c>
      <c r="AL381" s="17" t="s">
        <v>75</v>
      </c>
      <c r="AM381" s="17" t="s">
        <v>137</v>
      </c>
      <c r="AN381" s="17" t="s">
        <v>84</v>
      </c>
      <c r="AO381" s="17" t="s">
        <v>75</v>
      </c>
      <c r="AP381" s="17"/>
      <c r="AQ381" s="17"/>
      <c r="AR381" s="17"/>
      <c r="AS381" s="17"/>
      <c r="AT381" s="17" t="s">
        <v>1262</v>
      </c>
      <c r="AU381" s="17" t="s">
        <v>111</v>
      </c>
    </row>
    <row r="382" hidden="1">
      <c r="A382" s="17">
        <v>380</v>
      </c>
      <c r="B382" s="17" t="s">
        <v>52</v>
      </c>
      <c r="C382" s="25" t="s">
        <v>1263</v>
      </c>
      <c r="D382" s="25" t="s">
        <v>1171</v>
      </c>
      <c r="E382" s="17" t="s">
        <v>1264</v>
      </c>
      <c r="F382" s="17" t="s">
        <v>1265</v>
      </c>
      <c r="G382" s="17">
        <v>22.337501</v>
      </c>
      <c r="H382" s="17">
        <v>88.080219</v>
      </c>
      <c r="I382" s="17"/>
      <c r="J382" s="17"/>
      <c r="K382" s="17"/>
      <c r="L382" s="17"/>
      <c r="M382" s="25" t="s">
        <v>1174</v>
      </c>
      <c r="N382" s="17">
        <v>7003922106</v>
      </c>
      <c r="O382" s="17">
        <v>15</v>
      </c>
      <c r="P382" s="17">
        <v>95</v>
      </c>
      <c r="Q382" s="17" t="s">
        <v>105</v>
      </c>
      <c r="R382" s="17" t="s">
        <v>1194</v>
      </c>
      <c r="S382" s="17" t="s">
        <v>947</v>
      </c>
      <c r="T382" s="17"/>
      <c r="U382" s="17" t="s">
        <v>105</v>
      </c>
      <c r="V382" s="17" t="s">
        <v>77</v>
      </c>
      <c r="W382" s="17" t="s">
        <v>1182</v>
      </c>
      <c r="X382" s="17">
        <v>5</v>
      </c>
      <c r="Y382" s="17">
        <v>2</v>
      </c>
      <c r="Z382" s="17"/>
      <c r="AA382" s="17" t="s">
        <v>105</v>
      </c>
      <c r="AB382" s="17" t="s">
        <v>79</v>
      </c>
      <c r="AC382" s="17">
        <v>4</v>
      </c>
      <c r="AD382" s="17">
        <v>0</v>
      </c>
      <c r="AE382" s="17">
        <v>0</v>
      </c>
      <c r="AF382" s="17"/>
      <c r="AG382" s="17" t="s">
        <v>81</v>
      </c>
      <c r="AH382" s="17" t="s">
        <v>82</v>
      </c>
      <c r="AI382" s="17" t="s">
        <v>107</v>
      </c>
      <c r="AJ382" s="17"/>
      <c r="AK382" s="17" t="s">
        <v>137</v>
      </c>
      <c r="AL382" s="17" t="s">
        <v>75</v>
      </c>
      <c r="AM382" s="17" t="s">
        <v>137</v>
      </c>
      <c r="AN382" s="17" t="s">
        <v>125</v>
      </c>
      <c r="AO382" s="17" t="s">
        <v>137</v>
      </c>
      <c r="AP382" s="17"/>
      <c r="AQ382" s="17"/>
      <c r="AR382" s="17"/>
      <c r="AS382" s="17"/>
      <c r="AT382" s="17" t="s">
        <v>1266</v>
      </c>
      <c r="AU382" s="17" t="s">
        <v>111</v>
      </c>
    </row>
    <row r="383" hidden="1">
      <c r="A383" s="17">
        <v>381</v>
      </c>
      <c r="B383" s="17" t="s">
        <v>52</v>
      </c>
      <c r="C383" s="25" t="s">
        <v>1267</v>
      </c>
      <c r="D383" s="25" t="s">
        <v>1171</v>
      </c>
      <c r="E383" s="17" t="s">
        <v>1268</v>
      </c>
      <c r="F383" s="17" t="s">
        <v>1269</v>
      </c>
      <c r="G383" s="17">
        <v>22.27862</v>
      </c>
      <c r="H383" s="17">
        <v>88.02467</v>
      </c>
      <c r="I383" s="17"/>
      <c r="J383" s="17"/>
      <c r="K383" s="17"/>
      <c r="L383" s="17"/>
      <c r="M383" s="25" t="s">
        <v>1174</v>
      </c>
      <c r="N383" s="17">
        <v>7003922106</v>
      </c>
      <c r="O383" s="17">
        <v>17</v>
      </c>
      <c r="P383" s="17">
        <v>120</v>
      </c>
      <c r="Q383" s="17" t="s">
        <v>105</v>
      </c>
      <c r="R383" s="17" t="s">
        <v>142</v>
      </c>
      <c r="S383" s="17" t="s">
        <v>75</v>
      </c>
      <c r="T383" s="17"/>
      <c r="U383" s="17" t="s">
        <v>105</v>
      </c>
      <c r="V383" s="17" t="s">
        <v>77</v>
      </c>
      <c r="W383" s="17" t="s">
        <v>454</v>
      </c>
      <c r="X383" s="17">
        <v>4</v>
      </c>
      <c r="Y383" s="17">
        <v>0</v>
      </c>
      <c r="Z383" s="17"/>
      <c r="AA383" s="17" t="s">
        <v>105</v>
      </c>
      <c r="AB383" s="17" t="s">
        <v>79</v>
      </c>
      <c r="AC383" s="17">
        <v>6</v>
      </c>
      <c r="AD383" s="17">
        <v>0</v>
      </c>
      <c r="AE383" s="17">
        <v>0</v>
      </c>
      <c r="AF383" s="17"/>
      <c r="AG383" s="17" t="s">
        <v>124</v>
      </c>
      <c r="AH383" s="17" t="s">
        <v>82</v>
      </c>
      <c r="AI383" s="17" t="s">
        <v>83</v>
      </c>
      <c r="AJ383" s="17">
        <v>2111</v>
      </c>
      <c r="AK383" s="17" t="s">
        <v>75</v>
      </c>
      <c r="AL383" s="17" t="s">
        <v>75</v>
      </c>
      <c r="AM383" s="17" t="s">
        <v>75</v>
      </c>
      <c r="AN383" s="17" t="s">
        <v>84</v>
      </c>
      <c r="AO383" s="17" t="s">
        <v>75</v>
      </c>
      <c r="AP383" s="17"/>
      <c r="AQ383" s="17"/>
      <c r="AR383" s="17"/>
      <c r="AS383" s="17"/>
      <c r="AT383" s="17"/>
      <c r="AU383" s="17" t="s">
        <v>127</v>
      </c>
    </row>
    <row r="384" hidden="1">
      <c r="A384" s="17">
        <v>382</v>
      </c>
      <c r="B384" s="17" t="s">
        <v>52</v>
      </c>
      <c r="C384" s="25" t="s">
        <v>1270</v>
      </c>
      <c r="D384" s="25" t="s">
        <v>1171</v>
      </c>
      <c r="E384" s="17" t="s">
        <v>1271</v>
      </c>
      <c r="F384" s="17" t="s">
        <v>1272</v>
      </c>
      <c r="G384" s="17">
        <v>22.245491000000001</v>
      </c>
      <c r="H384" s="17">
        <v>88.023437999999999</v>
      </c>
      <c r="I384" s="17"/>
      <c r="J384" s="17"/>
      <c r="K384" s="17"/>
      <c r="L384" s="17"/>
      <c r="M384" s="25" t="s">
        <v>1174</v>
      </c>
      <c r="N384" s="17">
        <v>7003922106</v>
      </c>
      <c r="O384" s="17">
        <v>16</v>
      </c>
      <c r="P384" s="17">
        <v>150</v>
      </c>
      <c r="Q384" s="17" t="s">
        <v>73</v>
      </c>
      <c r="R384" s="17" t="s">
        <v>1194</v>
      </c>
      <c r="S384" s="17" t="s">
        <v>75</v>
      </c>
      <c r="T384" s="17"/>
      <c r="U384" s="17" t="s">
        <v>160</v>
      </c>
      <c r="V384" s="17" t="s">
        <v>77</v>
      </c>
      <c r="W384" s="17" t="s">
        <v>1182</v>
      </c>
      <c r="X384" s="17">
        <v>5</v>
      </c>
      <c r="Y384" s="17">
        <v>0</v>
      </c>
      <c r="Z384" s="17"/>
      <c r="AA384" s="17" t="s">
        <v>73</v>
      </c>
      <c r="AB384" s="17" t="s">
        <v>79</v>
      </c>
      <c r="AC384" s="17">
        <v>2</v>
      </c>
      <c r="AD384" s="17">
        <v>0</v>
      </c>
      <c r="AE384" s="17">
        <v>0</v>
      </c>
      <c r="AF384" s="17"/>
      <c r="AG384" s="17" t="s">
        <v>124</v>
      </c>
      <c r="AH384" s="17" t="s">
        <v>82</v>
      </c>
      <c r="AI384" s="17" t="s">
        <v>83</v>
      </c>
      <c r="AJ384" s="17">
        <v>2111</v>
      </c>
      <c r="AK384" s="17" t="s">
        <v>75</v>
      </c>
      <c r="AL384" s="17" t="s">
        <v>75</v>
      </c>
      <c r="AM384" s="17" t="s">
        <v>75</v>
      </c>
      <c r="AN384" s="17" t="s">
        <v>84</v>
      </c>
      <c r="AO384" s="17" t="s">
        <v>75</v>
      </c>
      <c r="AP384" s="17"/>
      <c r="AQ384" s="17"/>
      <c r="AR384" s="17"/>
      <c r="AS384" s="17"/>
      <c r="AT384" s="17" t="s">
        <v>919</v>
      </c>
      <c r="AU384" s="17" t="s">
        <v>111</v>
      </c>
    </row>
    <row r="385" hidden="1">
      <c r="A385" s="17">
        <v>383</v>
      </c>
      <c r="B385" s="17" t="s">
        <v>52</v>
      </c>
      <c r="C385" s="25" t="s">
        <v>1273</v>
      </c>
      <c r="D385" s="25" t="s">
        <v>1171</v>
      </c>
      <c r="E385" s="17" t="s">
        <v>1274</v>
      </c>
      <c r="F385" s="17" t="s">
        <v>1275</v>
      </c>
      <c r="G385" s="17">
        <v>22.297727999999999</v>
      </c>
      <c r="H385" s="17">
        <v>88.004896000000002</v>
      </c>
      <c r="I385" s="17"/>
      <c r="J385" s="17"/>
      <c r="K385" s="17"/>
      <c r="L385" s="17"/>
      <c r="M385" s="25" t="s">
        <v>1174</v>
      </c>
      <c r="N385" s="17">
        <v>7003922106</v>
      </c>
      <c r="O385" s="17">
        <v>17</v>
      </c>
      <c r="P385" s="17">
        <v>105</v>
      </c>
      <c r="Q385" s="17" t="s">
        <v>105</v>
      </c>
      <c r="R385" s="17" t="s">
        <v>238</v>
      </c>
      <c r="S385" s="17" t="s">
        <v>75</v>
      </c>
      <c r="T385" s="17"/>
      <c r="U385" s="17" t="s">
        <v>160</v>
      </c>
      <c r="V385" s="17" t="s">
        <v>77</v>
      </c>
      <c r="W385" s="17" t="s">
        <v>454</v>
      </c>
      <c r="X385" s="17">
        <v>5</v>
      </c>
      <c r="Y385" s="17">
        <v>0</v>
      </c>
      <c r="Z385" s="17"/>
      <c r="AA385" s="17" t="s">
        <v>105</v>
      </c>
      <c r="AB385" s="17" t="s">
        <v>239</v>
      </c>
      <c r="AC385" s="17">
        <v>4</v>
      </c>
      <c r="AD385" s="17">
        <v>0</v>
      </c>
      <c r="AE385" s="17">
        <v>0</v>
      </c>
      <c r="AF385" s="17"/>
      <c r="AG385" s="17" t="s">
        <v>124</v>
      </c>
      <c r="AH385" s="17" t="s">
        <v>82</v>
      </c>
      <c r="AI385" s="17" t="s">
        <v>83</v>
      </c>
      <c r="AJ385" s="17">
        <v>2111</v>
      </c>
      <c r="AK385" s="17" t="s">
        <v>75</v>
      </c>
      <c r="AL385" s="17" t="s">
        <v>75</v>
      </c>
      <c r="AM385" s="17" t="s">
        <v>75</v>
      </c>
      <c r="AN385" s="17" t="s">
        <v>84</v>
      </c>
      <c r="AO385" s="17" t="s">
        <v>75</v>
      </c>
      <c r="AP385" s="17"/>
      <c r="AQ385" s="17"/>
      <c r="AR385" s="17"/>
      <c r="AS385" s="17"/>
      <c r="AT385" s="17"/>
      <c r="AU385" s="17" t="s">
        <v>111</v>
      </c>
    </row>
    <row r="386" hidden="1">
      <c r="A386" s="17">
        <v>384</v>
      </c>
      <c r="B386" s="17" t="s">
        <v>52</v>
      </c>
      <c r="C386" s="25" t="s">
        <v>1276</v>
      </c>
      <c r="D386" s="25" t="s">
        <v>1171</v>
      </c>
      <c r="E386" s="17" t="s">
        <v>1277</v>
      </c>
      <c r="F386" s="17" t="s">
        <v>1278</v>
      </c>
      <c r="G386" s="17">
        <v>22.298439999999999</v>
      </c>
      <c r="H386" s="17">
        <v>88.039299999999997</v>
      </c>
      <c r="I386" s="17"/>
      <c r="J386" s="17"/>
      <c r="K386" s="17"/>
      <c r="L386" s="17"/>
      <c r="M386" s="25" t="s">
        <v>1174</v>
      </c>
      <c r="N386" s="17">
        <v>7003922106</v>
      </c>
      <c r="O386" s="17">
        <v>16</v>
      </c>
      <c r="P386" s="17">
        <v>65</v>
      </c>
      <c r="Q386" s="17" t="s">
        <v>187</v>
      </c>
      <c r="R386" s="17" t="s">
        <v>1194</v>
      </c>
      <c r="S386" s="17" t="s">
        <v>75</v>
      </c>
      <c r="T386" s="17"/>
      <c r="U386" s="17" t="s">
        <v>105</v>
      </c>
      <c r="V386" s="17" t="s">
        <v>77</v>
      </c>
      <c r="W386" s="17" t="s">
        <v>454</v>
      </c>
      <c r="X386" s="17">
        <v>3</v>
      </c>
      <c r="Y386" s="17">
        <v>1</v>
      </c>
      <c r="Z386" s="17"/>
      <c r="AA386" s="17" t="s">
        <v>187</v>
      </c>
      <c r="AB386" s="17" t="s">
        <v>79</v>
      </c>
      <c r="AC386" s="17">
        <v>4</v>
      </c>
      <c r="AD386" s="17">
        <v>0</v>
      </c>
      <c r="AE386" s="17">
        <v>0</v>
      </c>
      <c r="AF386" s="17"/>
      <c r="AG386" s="17" t="s">
        <v>124</v>
      </c>
      <c r="AH386" s="17" t="s">
        <v>82</v>
      </c>
      <c r="AI386" s="17" t="s">
        <v>83</v>
      </c>
      <c r="AJ386" s="17">
        <v>2111</v>
      </c>
      <c r="AK386" s="17" t="s">
        <v>75</v>
      </c>
      <c r="AL386" s="17" t="s">
        <v>75</v>
      </c>
      <c r="AM386" s="17" t="s">
        <v>75</v>
      </c>
      <c r="AN386" s="17" t="s">
        <v>84</v>
      </c>
      <c r="AO386" s="17" t="s">
        <v>75</v>
      </c>
      <c r="AP386" s="17"/>
      <c r="AQ386" s="17"/>
      <c r="AR386" s="17"/>
      <c r="AS386" s="17"/>
      <c r="AT386" s="17"/>
      <c r="AU386" s="17" t="s">
        <v>111</v>
      </c>
    </row>
    <row r="387" hidden="1">
      <c r="A387" s="17">
        <v>385</v>
      </c>
      <c r="B387" s="17" t="s">
        <v>52</v>
      </c>
      <c r="C387" s="25" t="s">
        <v>1279</v>
      </c>
      <c r="D387" s="25" t="s">
        <v>1171</v>
      </c>
      <c r="E387" s="17" t="s">
        <v>1280</v>
      </c>
      <c r="F387" s="17" t="s">
        <v>1281</v>
      </c>
      <c r="G387" s="17">
        <v>22.260245999999999</v>
      </c>
      <c r="H387" s="17">
        <v>87.990589</v>
      </c>
      <c r="I387" s="17"/>
      <c r="J387" s="17"/>
      <c r="K387" s="17"/>
      <c r="L387" s="17"/>
      <c r="M387" s="25" t="s">
        <v>1174</v>
      </c>
      <c r="N387" s="17">
        <v>7003922106</v>
      </c>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row>
    <row r="388" hidden="1">
      <c r="A388" s="17">
        <v>386</v>
      </c>
      <c r="B388" s="17" t="s">
        <v>52</v>
      </c>
      <c r="C388" s="25" t="s">
        <v>1282</v>
      </c>
      <c r="D388" s="25" t="s">
        <v>1171</v>
      </c>
      <c r="E388" s="17" t="s">
        <v>1283</v>
      </c>
      <c r="F388" s="17" t="s">
        <v>1284</v>
      </c>
      <c r="G388" s="17">
        <v>22.26191</v>
      </c>
      <c r="H388" s="17">
        <v>88.012677999999994</v>
      </c>
      <c r="I388" s="17"/>
      <c r="J388" s="17"/>
      <c r="K388" s="17"/>
      <c r="L388" s="17"/>
      <c r="M388" s="25" t="s">
        <v>1174</v>
      </c>
      <c r="N388" s="17">
        <v>7003922106</v>
      </c>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row>
    <row r="389" hidden="1">
      <c r="A389" s="17">
        <v>387</v>
      </c>
      <c r="B389" s="17" t="s">
        <v>52</v>
      </c>
      <c r="C389" s="25" t="s">
        <v>1285</v>
      </c>
      <c r="D389" s="25" t="s">
        <v>1171</v>
      </c>
      <c r="E389" s="17" t="s">
        <v>1286</v>
      </c>
      <c r="F389" s="17" t="s">
        <v>1287</v>
      </c>
      <c r="G389" s="17">
        <v>22.282288999999999</v>
      </c>
      <c r="H389" s="17">
        <v>87.980585000000005</v>
      </c>
      <c r="I389" s="17"/>
      <c r="J389" s="17"/>
      <c r="K389" s="17"/>
      <c r="L389" s="17"/>
      <c r="M389" s="25" t="s">
        <v>1174</v>
      </c>
      <c r="N389" s="17">
        <v>7003922106</v>
      </c>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row>
    <row r="390" hidden="1">
      <c r="A390" s="17">
        <v>388</v>
      </c>
      <c r="B390" s="17" t="s">
        <v>52</v>
      </c>
      <c r="C390" s="25" t="s">
        <v>1288</v>
      </c>
      <c r="D390" s="25" t="s">
        <v>1171</v>
      </c>
      <c r="E390" s="17" t="s">
        <v>1289</v>
      </c>
      <c r="F390" s="17" t="s">
        <v>1290</v>
      </c>
      <c r="G390" s="17">
        <v>22.228373999999999</v>
      </c>
      <c r="H390" s="17">
        <v>88.039012</v>
      </c>
      <c r="I390" s="17"/>
      <c r="J390" s="17"/>
      <c r="K390" s="17"/>
      <c r="L390" s="17"/>
      <c r="M390" s="25" t="s">
        <v>1174</v>
      </c>
      <c r="N390" s="17">
        <v>7003922106</v>
      </c>
      <c r="O390" s="17">
        <v>16</v>
      </c>
      <c r="P390" s="17">
        <v>95</v>
      </c>
      <c r="Q390" s="17" t="s">
        <v>73</v>
      </c>
      <c r="R390" s="17" t="s">
        <v>339</v>
      </c>
      <c r="S390" s="17" t="s">
        <v>75</v>
      </c>
      <c r="T390" s="17"/>
      <c r="U390" s="17" t="s">
        <v>160</v>
      </c>
      <c r="V390" s="17" t="s">
        <v>77</v>
      </c>
      <c r="W390" s="17" t="s">
        <v>252</v>
      </c>
      <c r="X390" s="17">
        <v>5</v>
      </c>
      <c r="Y390" s="17">
        <v>0</v>
      </c>
      <c r="Z390" s="17"/>
      <c r="AA390" s="17" t="s">
        <v>73</v>
      </c>
      <c r="AB390" s="17" t="s">
        <v>79</v>
      </c>
      <c r="AC390" s="17">
        <v>2</v>
      </c>
      <c r="AD390" s="17">
        <v>0</v>
      </c>
      <c r="AE390" s="17">
        <v>0</v>
      </c>
      <c r="AF390" s="17"/>
      <c r="AG390" s="17" t="s">
        <v>124</v>
      </c>
      <c r="AH390" s="17" t="s">
        <v>162</v>
      </c>
      <c r="AI390" s="17" t="s">
        <v>83</v>
      </c>
      <c r="AJ390" s="17">
        <v>2112</v>
      </c>
      <c r="AK390" s="17" t="s">
        <v>75</v>
      </c>
      <c r="AL390" s="17" t="s">
        <v>75</v>
      </c>
      <c r="AM390" s="17" t="s">
        <v>75</v>
      </c>
      <c r="AN390" s="17" t="s">
        <v>125</v>
      </c>
      <c r="AO390" s="17" t="s">
        <v>75</v>
      </c>
      <c r="AP390" s="17"/>
      <c r="AQ390" s="17"/>
      <c r="AR390" s="17"/>
      <c r="AS390" s="17"/>
      <c r="AT390" s="17" t="s">
        <v>1291</v>
      </c>
      <c r="AU390" s="17" t="s">
        <v>127</v>
      </c>
    </row>
    <row r="391" hidden="1">
      <c r="A391" s="17">
        <v>389</v>
      </c>
      <c r="B391" s="17" t="s">
        <v>52</v>
      </c>
      <c r="C391" s="25" t="s">
        <v>1292</v>
      </c>
      <c r="D391" s="25" t="s">
        <v>1171</v>
      </c>
      <c r="E391" s="17" t="s">
        <v>1293</v>
      </c>
      <c r="F391" s="17" t="s">
        <v>1294</v>
      </c>
      <c r="G391" s="17">
        <v>22.270492000000001</v>
      </c>
      <c r="H391" s="17">
        <v>88.048292000000004</v>
      </c>
      <c r="I391" s="17"/>
      <c r="J391" s="17"/>
      <c r="K391" s="17"/>
      <c r="L391" s="17"/>
      <c r="M391" s="25" t="s">
        <v>1174</v>
      </c>
      <c r="N391" s="17">
        <v>7003922106</v>
      </c>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row>
    <row r="392" hidden="1">
      <c r="A392" s="17">
        <v>390</v>
      </c>
      <c r="B392" s="17" t="s">
        <v>52</v>
      </c>
      <c r="C392" s="25" t="s">
        <v>1295</v>
      </c>
      <c r="D392" s="25" t="s">
        <v>1171</v>
      </c>
      <c r="E392" s="17" t="s">
        <v>1296</v>
      </c>
      <c r="F392" s="17" t="s">
        <v>1297</v>
      </c>
      <c r="G392" s="17">
        <v>22.262644000000002</v>
      </c>
      <c r="H392" s="17">
        <v>88.071645000000004</v>
      </c>
      <c r="I392" s="17"/>
      <c r="J392" s="17"/>
      <c r="K392" s="17"/>
      <c r="L392" s="17"/>
      <c r="M392" s="25" t="s">
        <v>1174</v>
      </c>
      <c r="N392" s="17">
        <v>7003922106</v>
      </c>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row>
    <row r="393" hidden="1">
      <c r="A393" s="17">
        <v>391</v>
      </c>
      <c r="B393" s="17" t="s">
        <v>52</v>
      </c>
      <c r="C393" s="25" t="s">
        <v>1298</v>
      </c>
      <c r="D393" s="25" t="s">
        <v>1171</v>
      </c>
      <c r="E393" s="17" t="s">
        <v>1299</v>
      </c>
      <c r="F393" s="17" t="s">
        <v>1300</v>
      </c>
      <c r="G393" s="17">
        <v>22.318663000000001</v>
      </c>
      <c r="H393" s="17">
        <v>88.044113999999993</v>
      </c>
      <c r="I393" s="17"/>
      <c r="J393" s="17"/>
      <c r="K393" s="17"/>
      <c r="L393" s="17"/>
      <c r="M393" s="25" t="s">
        <v>1174</v>
      </c>
      <c r="N393" s="17">
        <v>7003922106</v>
      </c>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row>
    <row r="394" hidden="1">
      <c r="A394" s="17">
        <v>392</v>
      </c>
      <c r="B394" s="17" t="s">
        <v>52</v>
      </c>
      <c r="C394" s="25" t="s">
        <v>1301</v>
      </c>
      <c r="D394" s="25" t="s">
        <v>1171</v>
      </c>
      <c r="E394" s="17" t="s">
        <v>1302</v>
      </c>
      <c r="F394" s="17" t="s">
        <v>1303</v>
      </c>
      <c r="G394" s="17">
        <v>22.294877</v>
      </c>
      <c r="H394" s="17">
        <v>88.060867999999999</v>
      </c>
      <c r="I394" s="17"/>
      <c r="J394" s="17"/>
      <c r="K394" s="17"/>
      <c r="L394" s="17"/>
      <c r="M394" s="25" t="s">
        <v>1174</v>
      </c>
      <c r="N394" s="17">
        <v>7003922106</v>
      </c>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row>
    <row r="395" hidden="1">
      <c r="A395" s="17">
        <v>393</v>
      </c>
      <c r="B395" s="17" t="s">
        <v>52</v>
      </c>
      <c r="C395" s="25" t="s">
        <v>1304</v>
      </c>
      <c r="D395" s="25" t="s">
        <v>1171</v>
      </c>
      <c r="E395" s="17" t="s">
        <v>1305</v>
      </c>
      <c r="F395" s="17" t="s">
        <v>1306</v>
      </c>
      <c r="G395" s="17">
        <v>22.239557000000001</v>
      </c>
      <c r="H395" s="17">
        <v>88.058318</v>
      </c>
      <c r="I395" s="17"/>
      <c r="J395" s="17"/>
      <c r="K395" s="17"/>
      <c r="L395" s="17"/>
      <c r="M395" s="25" t="s">
        <v>1174</v>
      </c>
      <c r="N395" s="17">
        <v>7003922106</v>
      </c>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row>
    <row r="396" hidden="1">
      <c r="A396" s="17">
        <v>394</v>
      </c>
      <c r="B396" s="17" t="s">
        <v>52</v>
      </c>
      <c r="C396" s="25" t="s">
        <v>1307</v>
      </c>
      <c r="D396" s="25" t="s">
        <v>1171</v>
      </c>
      <c r="E396" s="17" t="s">
        <v>1308</v>
      </c>
      <c r="F396" s="17" t="s">
        <v>1309</v>
      </c>
      <c r="G396" s="17">
        <v>22.295010000000001</v>
      </c>
      <c r="H396" s="17">
        <v>88.025875999999997</v>
      </c>
      <c r="I396" s="17"/>
      <c r="J396" s="17"/>
      <c r="K396" s="17"/>
      <c r="L396" s="17"/>
      <c r="M396" s="25" t="s">
        <v>1174</v>
      </c>
      <c r="N396" s="17">
        <v>7003922106</v>
      </c>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row>
    <row r="397" hidden="1">
      <c r="A397" s="17">
        <v>395</v>
      </c>
      <c r="B397" s="17" t="s">
        <v>52</v>
      </c>
      <c r="C397" s="25" t="s">
        <v>1310</v>
      </c>
      <c r="D397" s="25" t="s">
        <v>1171</v>
      </c>
      <c r="E397" s="17" t="s">
        <v>1171</v>
      </c>
      <c r="F397" s="17" t="s">
        <v>1311</v>
      </c>
      <c r="G397" s="17">
        <v>22.310732999999999</v>
      </c>
      <c r="H397" s="17">
        <v>88.053562999999997</v>
      </c>
      <c r="I397" s="17"/>
      <c r="J397" s="17"/>
      <c r="K397" s="17"/>
      <c r="L397" s="17"/>
      <c r="M397" s="25" t="s">
        <v>1174</v>
      </c>
      <c r="N397" s="17">
        <v>7003922106</v>
      </c>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row>
    <row r="398" hidden="1">
      <c r="A398" s="17">
        <v>396</v>
      </c>
      <c r="B398" s="17" t="s">
        <v>52</v>
      </c>
      <c r="C398" s="25" t="s">
        <v>1312</v>
      </c>
      <c r="D398" s="25" t="s">
        <v>1171</v>
      </c>
      <c r="E398" s="17" t="s">
        <v>1171</v>
      </c>
      <c r="F398" s="17" t="s">
        <v>1313</v>
      </c>
      <c r="G398" s="17">
        <v>22.305101000000001</v>
      </c>
      <c r="H398" s="17">
        <v>88.080060000000003</v>
      </c>
      <c r="I398" s="17"/>
      <c r="J398" s="17"/>
      <c r="K398" s="17"/>
      <c r="L398" s="17"/>
      <c r="M398" s="25" t="s">
        <v>1174</v>
      </c>
      <c r="N398" s="17">
        <v>7003922106</v>
      </c>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row>
    <row r="399" hidden="1">
      <c r="A399" s="17">
        <v>397</v>
      </c>
      <c r="B399" s="17" t="s">
        <v>52</v>
      </c>
      <c r="C399" s="25" t="s">
        <v>1314</v>
      </c>
      <c r="D399" s="25" t="s">
        <v>1171</v>
      </c>
      <c r="E399" s="17" t="s">
        <v>1171</v>
      </c>
      <c r="F399" s="17" t="s">
        <v>1315</v>
      </c>
      <c r="G399" s="17">
        <v>22.221879000000001</v>
      </c>
      <c r="H399" s="17">
        <v>88.047770999999997</v>
      </c>
      <c r="I399" s="17"/>
      <c r="J399" s="17"/>
      <c r="K399" s="17"/>
      <c r="L399" s="17"/>
      <c r="M399" s="25" t="s">
        <v>1174</v>
      </c>
      <c r="N399" s="17">
        <v>7003922106</v>
      </c>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row>
    <row r="400" hidden="1">
      <c r="A400" s="17">
        <v>398</v>
      </c>
      <c r="B400" s="17" t="s">
        <v>52</v>
      </c>
      <c r="C400" s="25" t="s">
        <v>1316</v>
      </c>
      <c r="D400" s="25" t="s">
        <v>1171</v>
      </c>
      <c r="E400" s="17"/>
      <c r="F400" s="17"/>
      <c r="G400" s="17"/>
      <c r="H400" s="17"/>
      <c r="I400" s="17"/>
      <c r="J400" s="17"/>
      <c r="K400" s="17"/>
      <c r="L400" s="17"/>
      <c r="M400" s="25" t="s">
        <v>1174</v>
      </c>
      <c r="N400" s="17">
        <v>7003922106</v>
      </c>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row>
    <row r="401" hidden="1">
      <c r="A401" s="17">
        <v>399</v>
      </c>
      <c r="B401" s="17" t="s">
        <v>52</v>
      </c>
      <c r="C401" s="25" t="s">
        <v>1317</v>
      </c>
      <c r="D401" s="25" t="s">
        <v>1171</v>
      </c>
      <c r="E401" s="17"/>
      <c r="F401" s="17"/>
      <c r="G401" s="17"/>
      <c r="H401" s="17"/>
      <c r="I401" s="17"/>
      <c r="J401" s="17"/>
      <c r="K401" s="17"/>
      <c r="L401" s="17"/>
      <c r="M401" s="25" t="s">
        <v>1174</v>
      </c>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row>
    <row r="402" hidden="1">
      <c r="A402" s="17">
        <v>400</v>
      </c>
      <c r="B402" s="17" t="s">
        <v>52</v>
      </c>
      <c r="C402" s="25" t="s">
        <v>1318</v>
      </c>
      <c r="D402" s="25" t="s">
        <v>1171</v>
      </c>
      <c r="E402" s="17"/>
      <c r="F402" s="17"/>
      <c r="G402" s="17"/>
      <c r="H402" s="17"/>
      <c r="I402" s="17"/>
      <c r="J402" s="17"/>
      <c r="K402" s="17"/>
      <c r="L402" s="17"/>
      <c r="M402" s="25" t="s">
        <v>1174</v>
      </c>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row>
    <row r="403" hidden="1">
      <c r="A403" s="17">
        <v>401</v>
      </c>
      <c r="B403" s="17" t="s">
        <v>52</v>
      </c>
      <c r="C403" s="25" t="s">
        <v>1319</v>
      </c>
      <c r="D403" s="25" t="s">
        <v>1171</v>
      </c>
      <c r="E403" s="17"/>
      <c r="F403" s="17"/>
      <c r="G403" s="17"/>
      <c r="H403" s="17"/>
      <c r="I403" s="17"/>
      <c r="J403" s="17"/>
      <c r="K403" s="17"/>
      <c r="L403" s="17"/>
      <c r="M403" s="25" t="s">
        <v>1174</v>
      </c>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row>
    <row r="404" hidden="1">
      <c r="A404" s="17">
        <v>402</v>
      </c>
      <c r="B404" s="17" t="s">
        <v>52</v>
      </c>
      <c r="C404" s="25" t="s">
        <v>1320</v>
      </c>
      <c r="D404" s="25" t="s">
        <v>1171</v>
      </c>
      <c r="E404" s="17"/>
      <c r="F404" s="17"/>
      <c r="G404" s="17"/>
      <c r="H404" s="17"/>
      <c r="I404" s="17"/>
      <c r="J404" s="17"/>
      <c r="K404" s="17"/>
      <c r="L404" s="17"/>
      <c r="M404" s="25" t="s">
        <v>1174</v>
      </c>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row>
    <row r="405" hidden="1">
      <c r="A405" s="17">
        <v>403</v>
      </c>
      <c r="B405" s="17" t="s">
        <v>52</v>
      </c>
      <c r="C405" s="25" t="s">
        <v>1321</v>
      </c>
      <c r="D405" s="25" t="s">
        <v>1171</v>
      </c>
      <c r="E405" s="17"/>
      <c r="F405" s="17"/>
      <c r="G405" s="17"/>
      <c r="H405" s="17"/>
      <c r="I405" s="17"/>
      <c r="J405" s="17"/>
      <c r="K405" s="17"/>
      <c r="L405" s="17"/>
      <c r="M405" s="25" t="s">
        <v>1174</v>
      </c>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row>
    <row r="406" hidden="1">
      <c r="A406" s="17">
        <v>404</v>
      </c>
      <c r="B406" s="17" t="s">
        <v>52</v>
      </c>
      <c r="C406" s="25" t="s">
        <v>1322</v>
      </c>
      <c r="D406" s="25" t="s">
        <v>1171</v>
      </c>
      <c r="E406" s="17"/>
      <c r="F406" s="17"/>
      <c r="G406" s="17"/>
      <c r="H406" s="17"/>
      <c r="I406" s="17"/>
      <c r="J406" s="17"/>
      <c r="K406" s="17"/>
      <c r="L406" s="17"/>
      <c r="M406" s="25" t="s">
        <v>1174</v>
      </c>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row>
    <row r="407" hidden="1">
      <c r="A407" s="17">
        <v>405</v>
      </c>
      <c r="B407" s="17" t="s">
        <v>52</v>
      </c>
      <c r="C407" s="25" t="s">
        <v>1323</v>
      </c>
      <c r="D407" s="25" t="s">
        <v>1171</v>
      </c>
      <c r="E407" s="17"/>
      <c r="F407" s="17"/>
      <c r="G407" s="17"/>
      <c r="H407" s="17"/>
      <c r="I407" s="17"/>
      <c r="J407" s="17"/>
      <c r="K407" s="17"/>
      <c r="L407" s="17"/>
      <c r="M407" s="25" t="s">
        <v>1174</v>
      </c>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row>
    <row r="408" hidden="1">
      <c r="A408" s="17">
        <v>406</v>
      </c>
      <c r="B408" s="17" t="s">
        <v>52</v>
      </c>
      <c r="C408" s="25" t="s">
        <v>1324</v>
      </c>
      <c r="D408" s="25" t="s">
        <v>1171</v>
      </c>
      <c r="E408" s="17"/>
      <c r="F408" s="17"/>
      <c r="G408" s="17"/>
      <c r="H408" s="17"/>
      <c r="I408" s="17"/>
      <c r="J408" s="17"/>
      <c r="K408" s="17"/>
      <c r="L408" s="17"/>
      <c r="M408" s="25" t="s">
        <v>1174</v>
      </c>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row>
    <row r="409" hidden="1">
      <c r="A409" s="17">
        <v>407</v>
      </c>
      <c r="B409" s="17" t="s">
        <v>52</v>
      </c>
      <c r="C409" s="25" t="s">
        <v>1325</v>
      </c>
      <c r="D409" s="25" t="s">
        <v>1171</v>
      </c>
      <c r="E409" s="17"/>
      <c r="F409" s="17"/>
      <c r="G409" s="17"/>
      <c r="H409" s="17"/>
      <c r="I409" s="17"/>
      <c r="J409" s="17"/>
      <c r="K409" s="17"/>
      <c r="L409" s="17"/>
      <c r="M409" s="25" t="s">
        <v>1174</v>
      </c>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row>
    <row r="410" hidden="1">
      <c r="A410" s="17">
        <v>408</v>
      </c>
      <c r="B410" s="17" t="s">
        <v>52</v>
      </c>
      <c r="C410" s="25" t="s">
        <v>1326</v>
      </c>
      <c r="D410" s="25" t="s">
        <v>1171</v>
      </c>
      <c r="E410" s="17"/>
      <c r="F410" s="17"/>
      <c r="G410" s="17"/>
      <c r="H410" s="17"/>
      <c r="I410" s="17"/>
      <c r="J410" s="17"/>
      <c r="K410" s="17"/>
      <c r="L410" s="17"/>
      <c r="M410" s="25" t="s">
        <v>1174</v>
      </c>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row>
    <row r="411" hidden="1">
      <c r="A411" s="17">
        <v>409</v>
      </c>
      <c r="B411" s="17" t="s">
        <v>52</v>
      </c>
      <c r="C411" s="25" t="s">
        <v>1327</v>
      </c>
      <c r="D411" s="25" t="s">
        <v>1171</v>
      </c>
      <c r="E411" s="17"/>
      <c r="F411" s="17"/>
      <c r="G411" s="17"/>
      <c r="H411" s="17"/>
      <c r="I411" s="17"/>
      <c r="J411" s="17"/>
      <c r="K411" s="17"/>
      <c r="L411" s="17"/>
      <c r="M411" s="25" t="s">
        <v>1174</v>
      </c>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row>
    <row r="412" hidden="1">
      <c r="A412" s="17">
        <v>410</v>
      </c>
      <c r="B412" s="17" t="s">
        <v>52</v>
      </c>
      <c r="C412" s="25" t="s">
        <v>1328</v>
      </c>
      <c r="D412" s="25" t="s">
        <v>1171</v>
      </c>
      <c r="E412" s="17"/>
      <c r="F412" s="17"/>
      <c r="G412" s="17"/>
      <c r="H412" s="17"/>
      <c r="I412" s="17"/>
      <c r="J412" s="17"/>
      <c r="K412" s="17"/>
      <c r="L412" s="17"/>
      <c r="M412" s="25" t="s">
        <v>1174</v>
      </c>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row>
    <row r="413" hidden="1">
      <c r="A413" s="17">
        <v>411</v>
      </c>
      <c r="B413" s="17" t="s">
        <v>52</v>
      </c>
      <c r="C413" s="30" t="s">
        <v>1329</v>
      </c>
      <c r="D413" s="25" t="s">
        <v>1330</v>
      </c>
      <c r="E413" s="17"/>
      <c r="F413" s="17"/>
      <c r="G413" s="17"/>
      <c r="H413" s="17"/>
      <c r="I413" s="17"/>
      <c r="J413" s="17"/>
      <c r="K413" s="17"/>
      <c r="L413" s="17"/>
      <c r="M413" s="25" t="s">
        <v>1174</v>
      </c>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row>
    <row r="414" hidden="1">
      <c r="A414" s="17">
        <v>412</v>
      </c>
      <c r="B414" s="17" t="s">
        <v>52</v>
      </c>
      <c r="C414" s="30" t="s">
        <v>1331</v>
      </c>
      <c r="D414" s="25" t="s">
        <v>1330</v>
      </c>
      <c r="E414" s="17"/>
      <c r="F414" s="17"/>
      <c r="G414" s="17"/>
      <c r="H414" s="17"/>
      <c r="I414" s="17"/>
      <c r="J414" s="17"/>
      <c r="K414" s="17"/>
      <c r="L414" s="17"/>
      <c r="M414" s="25" t="s">
        <v>1174</v>
      </c>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row>
    <row r="415" hidden="1">
      <c r="A415" s="17">
        <v>413</v>
      </c>
      <c r="B415" s="17" t="s">
        <v>52</v>
      </c>
      <c r="C415" s="25" t="s">
        <v>1332</v>
      </c>
      <c r="D415" s="25" t="s">
        <v>1171</v>
      </c>
      <c r="E415" s="17" t="s">
        <v>1333</v>
      </c>
      <c r="F415" s="17" t="s">
        <v>1334</v>
      </c>
      <c r="G415" s="17">
        <v>22.466646000000001</v>
      </c>
      <c r="H415" s="17">
        <v>87.963746</v>
      </c>
      <c r="I415" s="17"/>
      <c r="J415" s="17"/>
      <c r="K415" s="17"/>
      <c r="L415" s="17"/>
      <c r="M415" s="25" t="s">
        <v>1201</v>
      </c>
      <c r="N415" s="17">
        <v>6289035354</v>
      </c>
      <c r="O415" s="17">
        <v>24</v>
      </c>
      <c r="P415" s="17">
        <v>103</v>
      </c>
      <c r="Q415" s="17" t="s">
        <v>187</v>
      </c>
      <c r="R415" s="17" t="s">
        <v>142</v>
      </c>
      <c r="S415" s="17" t="s">
        <v>75</v>
      </c>
      <c r="T415" s="17"/>
      <c r="U415" s="17" t="s">
        <v>105</v>
      </c>
      <c r="V415" s="17" t="s">
        <v>77</v>
      </c>
      <c r="W415" s="17" t="s">
        <v>330</v>
      </c>
      <c r="X415" s="17">
        <v>5</v>
      </c>
      <c r="Y415" s="17">
        <v>0</v>
      </c>
      <c r="Z415" s="17"/>
      <c r="AA415" s="17" t="s">
        <v>187</v>
      </c>
      <c r="AB415" s="17" t="s">
        <v>79</v>
      </c>
      <c r="AC415" s="17">
        <v>6</v>
      </c>
      <c r="AD415" s="17">
        <v>0</v>
      </c>
      <c r="AE415" s="17">
        <v>0</v>
      </c>
      <c r="AF415" s="17"/>
      <c r="AG415" s="17" t="s">
        <v>414</v>
      </c>
      <c r="AH415" s="17" t="s">
        <v>415</v>
      </c>
      <c r="AI415" s="17" t="s">
        <v>1335</v>
      </c>
      <c r="AJ415" s="17"/>
      <c r="AK415" s="17"/>
      <c r="AL415" s="17"/>
      <c r="AM415" s="17"/>
      <c r="AN415" s="17" t="s">
        <v>84</v>
      </c>
      <c r="AO415" s="17" t="s">
        <v>1336</v>
      </c>
      <c r="AP415" s="17"/>
      <c r="AQ415" s="17"/>
      <c r="AR415" s="17"/>
      <c r="AS415" s="17"/>
      <c r="AT415" s="17" t="s">
        <v>666</v>
      </c>
      <c r="AU415" s="17" t="s">
        <v>111</v>
      </c>
    </row>
    <row r="416" hidden="1">
      <c r="A416" s="17">
        <v>414</v>
      </c>
      <c r="B416" s="17" t="s">
        <v>52</v>
      </c>
      <c r="C416" s="25" t="s">
        <v>1337</v>
      </c>
      <c r="D416" s="25" t="s">
        <v>1171</v>
      </c>
      <c r="E416" s="17" t="s">
        <v>1338</v>
      </c>
      <c r="F416" s="17" t="s">
        <v>1339</v>
      </c>
      <c r="G416" s="17">
        <v>22.512508</v>
      </c>
      <c r="H416" s="17">
        <v>87.901805999999993</v>
      </c>
      <c r="I416" s="17"/>
      <c r="J416" s="17"/>
      <c r="K416" s="17"/>
      <c r="L416" s="17"/>
      <c r="M416" s="25" t="s">
        <v>1201</v>
      </c>
      <c r="N416" s="17">
        <v>6289035354</v>
      </c>
      <c r="O416" s="17">
        <v>24</v>
      </c>
      <c r="P416" s="17">
        <v>105</v>
      </c>
      <c r="Q416" s="17" t="s">
        <v>413</v>
      </c>
      <c r="R416" s="17" t="s">
        <v>74</v>
      </c>
      <c r="S416" s="17" t="s">
        <v>75</v>
      </c>
      <c r="T416" s="17"/>
      <c r="U416" s="17" t="s">
        <v>160</v>
      </c>
      <c r="V416" s="17" t="s">
        <v>77</v>
      </c>
      <c r="W416" s="17" t="s">
        <v>330</v>
      </c>
      <c r="X416" s="17">
        <v>5</v>
      </c>
      <c r="Y416" s="17">
        <v>0</v>
      </c>
      <c r="Z416" s="17"/>
      <c r="AA416" s="17" t="s">
        <v>413</v>
      </c>
      <c r="AB416" s="17" t="s">
        <v>79</v>
      </c>
      <c r="AC416" s="17">
        <v>5</v>
      </c>
      <c r="AD416" s="17">
        <v>0</v>
      </c>
      <c r="AE416" s="17">
        <v>0</v>
      </c>
      <c r="AF416" s="17"/>
      <c r="AG416" s="17" t="s">
        <v>414</v>
      </c>
      <c r="AH416" s="17" t="s">
        <v>415</v>
      </c>
      <c r="AI416" s="17" t="s">
        <v>1202</v>
      </c>
      <c r="AJ416" s="17"/>
      <c r="AK416" s="17" t="s">
        <v>1203</v>
      </c>
      <c r="AL416" s="17" t="s">
        <v>1203</v>
      </c>
      <c r="AM416" s="17" t="s">
        <v>163</v>
      </c>
      <c r="AN416" s="17" t="s">
        <v>84</v>
      </c>
      <c r="AO416" s="17" t="s">
        <v>75</v>
      </c>
      <c r="AP416" s="17"/>
      <c r="AQ416" s="17"/>
      <c r="AR416" s="17"/>
      <c r="AS416" s="17"/>
      <c r="AT416" s="17" t="s">
        <v>1340</v>
      </c>
      <c r="AU416" s="17" t="s">
        <v>111</v>
      </c>
    </row>
    <row r="417" hidden="1">
      <c r="A417" s="17">
        <v>415</v>
      </c>
      <c r="B417" s="17" t="s">
        <v>52</v>
      </c>
      <c r="C417" s="25" t="s">
        <v>1341</v>
      </c>
      <c r="D417" s="25" t="s">
        <v>1171</v>
      </c>
      <c r="E417" s="17" t="s">
        <v>1342</v>
      </c>
      <c r="F417" s="17" t="s">
        <v>1343</v>
      </c>
      <c r="G417" s="17">
        <v>22.499690999999999</v>
      </c>
      <c r="H417" s="17">
        <v>87.923772</v>
      </c>
      <c r="I417" s="17"/>
      <c r="J417" s="17"/>
      <c r="K417" s="17"/>
      <c r="L417" s="17"/>
      <c r="M417" s="25" t="s">
        <v>1201</v>
      </c>
      <c r="N417" s="17">
        <v>6289035354</v>
      </c>
      <c r="O417" s="17">
        <v>24</v>
      </c>
      <c r="P417" s="17">
        <v>103</v>
      </c>
      <c r="Q417" s="17" t="s">
        <v>413</v>
      </c>
      <c r="R417" s="17" t="s">
        <v>74</v>
      </c>
      <c r="S417" s="17" t="s">
        <v>75</v>
      </c>
      <c r="T417" s="17"/>
      <c r="U417" s="17" t="s">
        <v>105</v>
      </c>
      <c r="V417" s="17" t="s">
        <v>77</v>
      </c>
      <c r="W417" s="17" t="s">
        <v>78</v>
      </c>
      <c r="X417" s="17">
        <v>4</v>
      </c>
      <c r="Y417" s="17">
        <v>0</v>
      </c>
      <c r="Z417" s="17"/>
      <c r="AA417" s="17" t="s">
        <v>413</v>
      </c>
      <c r="AB417" s="17" t="s">
        <v>79</v>
      </c>
      <c r="AC417" s="17">
        <v>5</v>
      </c>
      <c r="AD417" s="17">
        <v>0</v>
      </c>
      <c r="AE417" s="17">
        <v>0</v>
      </c>
      <c r="AF417" s="17"/>
      <c r="AG417" s="17" t="s">
        <v>124</v>
      </c>
      <c r="AH417" s="17" t="s">
        <v>1344</v>
      </c>
      <c r="AI417" s="17" t="s">
        <v>83</v>
      </c>
      <c r="AJ417" s="17">
        <v>2111</v>
      </c>
      <c r="AK417" s="17" t="s">
        <v>75</v>
      </c>
      <c r="AL417" s="17" t="s">
        <v>75</v>
      </c>
      <c r="AM417" s="17" t="s">
        <v>75</v>
      </c>
      <c r="AN417" s="17" t="s">
        <v>84</v>
      </c>
      <c r="AO417" s="17" t="s">
        <v>75</v>
      </c>
      <c r="AP417" s="17"/>
      <c r="AQ417" s="17"/>
      <c r="AR417" s="17"/>
      <c r="AS417" s="17"/>
      <c r="AT417" s="17" t="s">
        <v>429</v>
      </c>
      <c r="AU417" s="17" t="s">
        <v>111</v>
      </c>
    </row>
    <row r="418" hidden="1">
      <c r="A418" s="17">
        <v>416</v>
      </c>
      <c r="B418" s="17" t="s">
        <v>52</v>
      </c>
      <c r="C418" s="25" t="s">
        <v>1345</v>
      </c>
      <c r="D418" s="25" t="s">
        <v>1171</v>
      </c>
      <c r="E418" s="17" t="s">
        <v>1346</v>
      </c>
      <c r="F418" s="17" t="s">
        <v>1347</v>
      </c>
      <c r="G418" s="17">
        <v>22.484855</v>
      </c>
      <c r="H418" s="17">
        <v>87.912574000000006</v>
      </c>
      <c r="I418" s="17"/>
      <c r="J418" s="17"/>
      <c r="K418" s="17"/>
      <c r="L418" s="17"/>
      <c r="M418" s="25" t="s">
        <v>1201</v>
      </c>
      <c r="N418" s="17">
        <v>6289035354</v>
      </c>
      <c r="O418" s="17">
        <v>24</v>
      </c>
      <c r="P418" s="17">
        <v>45</v>
      </c>
      <c r="Q418" s="17" t="s">
        <v>105</v>
      </c>
      <c r="R418" s="17" t="s">
        <v>142</v>
      </c>
      <c r="S418" s="17" t="s">
        <v>75</v>
      </c>
      <c r="T418" s="17"/>
      <c r="U418" s="17" t="s">
        <v>160</v>
      </c>
      <c r="V418" s="17" t="s">
        <v>77</v>
      </c>
      <c r="W418" s="17" t="s">
        <v>78</v>
      </c>
      <c r="X418" s="17">
        <v>4</v>
      </c>
      <c r="Y418" s="17">
        <v>0</v>
      </c>
      <c r="Z418" s="17"/>
      <c r="AA418" s="17" t="s">
        <v>105</v>
      </c>
      <c r="AB418" s="17" t="s">
        <v>79</v>
      </c>
      <c r="AC418" s="17">
        <v>5</v>
      </c>
      <c r="AD418" s="17">
        <v>0</v>
      </c>
      <c r="AE418" s="17">
        <v>0</v>
      </c>
      <c r="AF418" s="17"/>
      <c r="AG418" s="17" t="s">
        <v>414</v>
      </c>
      <c r="AH418" s="17" t="s">
        <v>415</v>
      </c>
      <c r="AI418" s="17" t="s">
        <v>1202</v>
      </c>
      <c r="AJ418" s="17"/>
      <c r="AK418" s="17" t="s">
        <v>1203</v>
      </c>
      <c r="AL418" s="17" t="s">
        <v>1203</v>
      </c>
      <c r="AM418" s="17" t="s">
        <v>163</v>
      </c>
      <c r="AN418" s="17" t="s">
        <v>125</v>
      </c>
      <c r="AO418" s="17" t="s">
        <v>75</v>
      </c>
      <c r="AP418" s="17"/>
      <c r="AQ418" s="17"/>
      <c r="AR418" s="17"/>
      <c r="AS418" s="17"/>
      <c r="AT418" s="17"/>
      <c r="AU418" s="17" t="s">
        <v>111</v>
      </c>
    </row>
    <row r="419" hidden="1">
      <c r="A419" s="17">
        <v>417</v>
      </c>
      <c r="B419" s="17" t="s">
        <v>52</v>
      </c>
      <c r="C419" s="25" t="s">
        <v>1348</v>
      </c>
      <c r="D419" s="25" t="s">
        <v>1171</v>
      </c>
      <c r="E419" s="17" t="s">
        <v>1349</v>
      </c>
      <c r="F419" s="17" t="s">
        <v>1350</v>
      </c>
      <c r="G419" s="17">
        <v>22.507812000000001</v>
      </c>
      <c r="H419" s="17">
        <v>87.950891999999996</v>
      </c>
      <c r="I419" s="17"/>
      <c r="J419" s="17"/>
      <c r="K419" s="17"/>
      <c r="L419" s="17"/>
      <c r="M419" s="25" t="s">
        <v>1201</v>
      </c>
      <c r="N419" s="17">
        <v>6289035354</v>
      </c>
      <c r="O419" s="17">
        <v>24</v>
      </c>
      <c r="P419" s="17">
        <v>45</v>
      </c>
      <c r="Q419" s="17" t="s">
        <v>105</v>
      </c>
      <c r="R419" s="17" t="s">
        <v>142</v>
      </c>
      <c r="S419" s="17" t="s">
        <v>75</v>
      </c>
      <c r="T419" s="17"/>
      <c r="U419" s="17" t="s">
        <v>105</v>
      </c>
      <c r="V419" s="17" t="s">
        <v>77</v>
      </c>
      <c r="W419" s="17" t="s">
        <v>123</v>
      </c>
      <c r="X419" s="17">
        <v>3</v>
      </c>
      <c r="Y419" s="17">
        <v>0</v>
      </c>
      <c r="Z419" s="17"/>
      <c r="AA419" s="17" t="s">
        <v>105</v>
      </c>
      <c r="AB419" s="17" t="s">
        <v>79</v>
      </c>
      <c r="AC419" s="17">
        <v>5</v>
      </c>
      <c r="AD419" s="17">
        <v>0</v>
      </c>
      <c r="AE419" s="17">
        <v>0</v>
      </c>
      <c r="AF419" s="17"/>
      <c r="AG419" s="17" t="s">
        <v>414</v>
      </c>
      <c r="AH419" s="17" t="s">
        <v>415</v>
      </c>
      <c r="AI419" s="17" t="s">
        <v>414</v>
      </c>
      <c r="AJ419" s="17" t="s">
        <v>416</v>
      </c>
      <c r="AK419" s="17" t="s">
        <v>75</v>
      </c>
      <c r="AL419" s="17" t="s">
        <v>75</v>
      </c>
      <c r="AM419" s="17" t="s">
        <v>75</v>
      </c>
      <c r="AN419" s="17" t="s">
        <v>84</v>
      </c>
      <c r="AO419" s="17" t="s">
        <v>75</v>
      </c>
      <c r="AP419" s="17"/>
      <c r="AQ419" s="17"/>
      <c r="AR419" s="17"/>
      <c r="AS419" s="17"/>
      <c r="AT419" s="17" t="s">
        <v>1351</v>
      </c>
      <c r="AU419" s="17" t="s">
        <v>111</v>
      </c>
    </row>
    <row r="420" hidden="1">
      <c r="A420" s="17">
        <v>418</v>
      </c>
      <c r="B420" s="17" t="s">
        <v>52</v>
      </c>
      <c r="C420" s="25" t="s">
        <v>1352</v>
      </c>
      <c r="D420" s="25" t="s">
        <v>1171</v>
      </c>
      <c r="E420" s="17" t="s">
        <v>1353</v>
      </c>
      <c r="F420" s="17" t="s">
        <v>1354</v>
      </c>
      <c r="G420" s="17">
        <v>22.519666000000001</v>
      </c>
      <c r="H420" s="17">
        <v>88.019513000000003</v>
      </c>
      <c r="I420" s="17"/>
      <c r="J420" s="17"/>
      <c r="K420" s="17"/>
      <c r="L420" s="17"/>
      <c r="M420" s="25" t="s">
        <v>1201</v>
      </c>
      <c r="N420" s="17">
        <v>6289035354</v>
      </c>
      <c r="O420" s="17">
        <v>24</v>
      </c>
      <c r="P420" s="17">
        <v>105</v>
      </c>
      <c r="Q420" s="17" t="s">
        <v>187</v>
      </c>
      <c r="R420" s="17" t="s">
        <v>142</v>
      </c>
      <c r="S420" s="17" t="s">
        <v>75</v>
      </c>
      <c r="T420" s="17"/>
      <c r="U420" s="17" t="s">
        <v>76</v>
      </c>
      <c r="V420" s="17" t="s">
        <v>77</v>
      </c>
      <c r="W420" s="17" t="s">
        <v>123</v>
      </c>
      <c r="X420" s="17">
        <v>5</v>
      </c>
      <c r="Y420" s="17">
        <v>3</v>
      </c>
      <c r="Z420" s="17"/>
      <c r="AA420" s="17" t="s">
        <v>187</v>
      </c>
      <c r="AB420" s="17" t="s">
        <v>79</v>
      </c>
      <c r="AC420" s="17">
        <v>6</v>
      </c>
      <c r="AD420" s="17">
        <v>0</v>
      </c>
      <c r="AE420" s="17">
        <v>0</v>
      </c>
      <c r="AF420" s="17"/>
      <c r="AG420" s="17" t="s">
        <v>414</v>
      </c>
      <c r="AH420" s="17" t="s">
        <v>415</v>
      </c>
      <c r="AI420" s="17" t="s">
        <v>1202</v>
      </c>
      <c r="AJ420" s="17"/>
      <c r="AK420" s="17" t="s">
        <v>1203</v>
      </c>
      <c r="AL420" s="17" t="s">
        <v>1203</v>
      </c>
      <c r="AM420" s="17" t="s">
        <v>163</v>
      </c>
      <c r="AN420" s="17" t="s">
        <v>125</v>
      </c>
      <c r="AO420" s="17" t="s">
        <v>75</v>
      </c>
      <c r="AP420" s="17"/>
      <c r="AQ420" s="17"/>
      <c r="AR420" s="17"/>
      <c r="AS420" s="17"/>
      <c r="AT420" s="17" t="s">
        <v>1355</v>
      </c>
      <c r="AU420" s="17" t="s">
        <v>111</v>
      </c>
    </row>
    <row r="421" hidden="1">
      <c r="A421" s="17">
        <v>419</v>
      </c>
      <c r="B421" s="17" t="s">
        <v>52</v>
      </c>
      <c r="C421" s="25" t="s">
        <v>1356</v>
      </c>
      <c r="D421" s="25" t="s">
        <v>1171</v>
      </c>
      <c r="E421" s="17"/>
      <c r="F421" s="17"/>
      <c r="G421" s="17"/>
      <c r="H421" s="17"/>
      <c r="I421" s="17"/>
      <c r="J421" s="17"/>
      <c r="K421" s="17"/>
      <c r="L421" s="17"/>
      <c r="M421" s="25" t="s">
        <v>1201</v>
      </c>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row>
    <row r="422" hidden="1">
      <c r="A422" s="17">
        <v>420</v>
      </c>
      <c r="B422" s="17" t="s">
        <v>52</v>
      </c>
      <c r="C422" s="25" t="s">
        <v>1357</v>
      </c>
      <c r="D422" s="25" t="s">
        <v>1330</v>
      </c>
      <c r="E422" s="17"/>
      <c r="F422" s="17"/>
      <c r="G422" s="17"/>
      <c r="H422" s="17"/>
      <c r="I422" s="17"/>
      <c r="J422" s="17"/>
      <c r="K422" s="17"/>
      <c r="L422" s="17"/>
      <c r="M422" s="25"/>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row>
    <row r="423" hidden="1">
      <c r="A423" s="17">
        <v>421</v>
      </c>
      <c r="B423" s="17" t="s">
        <v>52</v>
      </c>
      <c r="C423" s="30" t="s">
        <v>1358</v>
      </c>
      <c r="D423" s="25" t="s">
        <v>1330</v>
      </c>
      <c r="E423" s="17"/>
      <c r="F423" s="17"/>
      <c r="G423" s="17"/>
      <c r="H423" s="17"/>
      <c r="I423" s="17"/>
      <c r="J423" s="17"/>
      <c r="K423" s="17"/>
      <c r="L423" s="17"/>
      <c r="M423" s="25"/>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row>
    <row r="424" hidden="1">
      <c r="A424" s="17">
        <v>422</v>
      </c>
      <c r="B424" s="17" t="s">
        <v>52</v>
      </c>
      <c r="C424" s="30" t="s">
        <v>1359</v>
      </c>
      <c r="D424" s="25" t="s">
        <v>1330</v>
      </c>
      <c r="E424" s="17"/>
      <c r="F424" s="17"/>
      <c r="G424" s="17"/>
      <c r="H424" s="17"/>
      <c r="I424" s="17"/>
      <c r="J424" s="17"/>
      <c r="K424" s="17"/>
      <c r="L424" s="17"/>
      <c r="M424" s="25"/>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row>
    <row r="425" hidden="1">
      <c r="A425" s="17">
        <v>423</v>
      </c>
      <c r="B425" s="17" t="s">
        <v>52</v>
      </c>
      <c r="C425" s="25" t="s">
        <v>1360</v>
      </c>
      <c r="D425" s="25" t="s">
        <v>1171</v>
      </c>
      <c r="E425" s="17" t="s">
        <v>1361</v>
      </c>
      <c r="F425" s="17" t="s">
        <v>1362</v>
      </c>
      <c r="G425" s="17">
        <v>22.406590000000001</v>
      </c>
      <c r="H425" s="17">
        <v>87.951871999999995</v>
      </c>
      <c r="I425" s="17"/>
      <c r="J425" s="17"/>
      <c r="K425" s="17"/>
      <c r="L425" s="17"/>
      <c r="M425" s="25" t="s">
        <v>1201</v>
      </c>
      <c r="N425" s="17">
        <v>6289035354</v>
      </c>
      <c r="O425" s="17">
        <v>24</v>
      </c>
      <c r="P425" s="17">
        <v>105</v>
      </c>
      <c r="Q425" s="17" t="s">
        <v>413</v>
      </c>
      <c r="R425" s="17" t="s">
        <v>74</v>
      </c>
      <c r="S425" s="17" t="s">
        <v>75</v>
      </c>
      <c r="T425" s="17"/>
      <c r="U425" s="17" t="s">
        <v>105</v>
      </c>
      <c r="V425" s="17" t="s">
        <v>77</v>
      </c>
      <c r="W425" s="17" t="s">
        <v>330</v>
      </c>
      <c r="X425" s="17">
        <v>5</v>
      </c>
      <c r="Y425" s="17">
        <v>0</v>
      </c>
      <c r="Z425" s="17"/>
      <c r="AA425" s="17" t="s">
        <v>413</v>
      </c>
      <c r="AB425" s="17" t="s">
        <v>79</v>
      </c>
      <c r="AC425" s="17">
        <v>5</v>
      </c>
      <c r="AD425" s="17">
        <v>0</v>
      </c>
      <c r="AE425" s="17">
        <v>0</v>
      </c>
      <c r="AF425" s="17"/>
      <c r="AG425" s="17" t="s">
        <v>124</v>
      </c>
      <c r="AH425" s="17" t="s">
        <v>82</v>
      </c>
      <c r="AI425" s="17" t="s">
        <v>83</v>
      </c>
      <c r="AJ425" s="17">
        <v>2111</v>
      </c>
      <c r="AK425" s="17" t="s">
        <v>75</v>
      </c>
      <c r="AL425" s="17" t="s">
        <v>75</v>
      </c>
      <c r="AM425" s="17" t="s">
        <v>75</v>
      </c>
      <c r="AN425" s="17" t="s">
        <v>84</v>
      </c>
      <c r="AO425" s="17" t="s">
        <v>137</v>
      </c>
      <c r="AP425" s="17"/>
      <c r="AQ425" s="17"/>
      <c r="AR425" s="17"/>
      <c r="AS425" s="17"/>
      <c r="AT425" s="17" t="s">
        <v>1351</v>
      </c>
      <c r="AU425" s="17" t="s">
        <v>111</v>
      </c>
    </row>
    <row r="426" hidden="1">
      <c r="A426" s="17">
        <v>424</v>
      </c>
      <c r="B426" s="17" t="s">
        <v>52</v>
      </c>
      <c r="C426" s="25" t="s">
        <v>1363</v>
      </c>
      <c r="D426" s="25" t="s">
        <v>1171</v>
      </c>
      <c r="E426" s="17" t="s">
        <v>1364</v>
      </c>
      <c r="F426" s="17" t="s">
        <v>1365</v>
      </c>
      <c r="G426" s="17">
        <v>22.453737</v>
      </c>
      <c r="H426" s="17">
        <v>87.912554</v>
      </c>
      <c r="I426" s="17"/>
      <c r="J426" s="17"/>
      <c r="K426" s="17"/>
      <c r="L426" s="17"/>
      <c r="M426" s="25" t="s">
        <v>1201</v>
      </c>
      <c r="N426" s="17">
        <v>6289035354</v>
      </c>
      <c r="O426" s="17">
        <v>24</v>
      </c>
      <c r="P426" s="17">
        <v>103</v>
      </c>
      <c r="Q426" s="17" t="s">
        <v>187</v>
      </c>
      <c r="R426" s="17" t="s">
        <v>142</v>
      </c>
      <c r="S426" s="17" t="s">
        <v>75</v>
      </c>
      <c r="T426" s="17"/>
      <c r="U426" s="17" t="s">
        <v>105</v>
      </c>
      <c r="V426" s="17" t="s">
        <v>77</v>
      </c>
      <c r="W426" s="17" t="s">
        <v>330</v>
      </c>
      <c r="X426" s="17">
        <v>5</v>
      </c>
      <c r="Y426" s="17">
        <v>1</v>
      </c>
      <c r="Z426" s="17"/>
      <c r="AA426" s="17" t="s">
        <v>187</v>
      </c>
      <c r="AB426" s="17" t="s">
        <v>79</v>
      </c>
      <c r="AC426" s="17">
        <v>6</v>
      </c>
      <c r="AD426" s="17">
        <v>0</v>
      </c>
      <c r="AE426" s="17">
        <v>0</v>
      </c>
      <c r="AF426" s="17"/>
      <c r="AG426" s="17" t="s">
        <v>414</v>
      </c>
      <c r="AH426" s="17" t="s">
        <v>415</v>
      </c>
      <c r="AI426" s="17" t="s">
        <v>414</v>
      </c>
      <c r="AJ426" s="17" t="s">
        <v>416</v>
      </c>
      <c r="AK426" s="17" t="s">
        <v>75</v>
      </c>
      <c r="AL426" s="17" t="s">
        <v>75</v>
      </c>
      <c r="AM426" s="17" t="s">
        <v>75</v>
      </c>
      <c r="AN426" s="17" t="s">
        <v>84</v>
      </c>
      <c r="AO426" s="17" t="s">
        <v>75</v>
      </c>
      <c r="AP426" s="17"/>
      <c r="AQ426" s="17"/>
      <c r="AR426" s="17"/>
      <c r="AS426" s="17"/>
      <c r="AT426" s="17" t="s">
        <v>1366</v>
      </c>
      <c r="AU426" s="17" t="s">
        <v>111</v>
      </c>
    </row>
    <row r="427" hidden="1">
      <c r="A427" s="17">
        <v>425</v>
      </c>
      <c r="B427" s="17" t="s">
        <v>52</v>
      </c>
      <c r="C427" s="25" t="s">
        <v>1367</v>
      </c>
      <c r="D427" s="25" t="s">
        <v>1171</v>
      </c>
      <c r="E427" s="17" t="s">
        <v>1368</v>
      </c>
      <c r="F427" s="17" t="s">
        <v>1369</v>
      </c>
      <c r="G427" s="17">
        <v>22.466290000000001</v>
      </c>
      <c r="H427" s="17">
        <v>87.909249000000003</v>
      </c>
      <c r="I427" s="17"/>
      <c r="J427" s="17"/>
      <c r="K427" s="17"/>
      <c r="L427" s="17"/>
      <c r="M427" s="25" t="s">
        <v>1201</v>
      </c>
      <c r="N427" s="17">
        <v>6289035354</v>
      </c>
      <c r="O427" s="17">
        <v>24</v>
      </c>
      <c r="P427" s="17">
        <v>105</v>
      </c>
      <c r="Q427" s="17" t="s">
        <v>413</v>
      </c>
      <c r="R427" s="17" t="s">
        <v>339</v>
      </c>
      <c r="S427" s="17" t="s">
        <v>75</v>
      </c>
      <c r="T427" s="17"/>
      <c r="U427" s="17" t="s">
        <v>1370</v>
      </c>
      <c r="V427" s="17" t="s">
        <v>77</v>
      </c>
      <c r="W427" s="17" t="s">
        <v>123</v>
      </c>
      <c r="X427" s="17">
        <v>6</v>
      </c>
      <c r="Y427" s="17">
        <v>0</v>
      </c>
      <c r="Z427" s="17"/>
      <c r="AA427" s="17" t="s">
        <v>413</v>
      </c>
      <c r="AB427" s="17" t="s">
        <v>79</v>
      </c>
      <c r="AC427" s="17">
        <v>5</v>
      </c>
      <c r="AD427" s="17">
        <v>0</v>
      </c>
      <c r="AE427" s="17">
        <v>0</v>
      </c>
      <c r="AF427" s="17"/>
      <c r="AG427" s="17" t="s">
        <v>1371</v>
      </c>
      <c r="AH427" s="17"/>
      <c r="AI427" s="17"/>
      <c r="AJ427" s="17"/>
      <c r="AK427" s="17"/>
      <c r="AL427" s="17"/>
      <c r="AM427" s="17"/>
      <c r="AN427" s="17"/>
      <c r="AO427" s="17"/>
      <c r="AP427" s="17"/>
      <c r="AQ427" s="17"/>
      <c r="AR427" s="17"/>
      <c r="AS427" s="17"/>
      <c r="AT427" s="17" t="s">
        <v>666</v>
      </c>
      <c r="AU427" s="17" t="s">
        <v>111</v>
      </c>
    </row>
    <row r="428" hidden="1">
      <c r="A428" s="17">
        <v>426</v>
      </c>
      <c r="B428" s="17" t="s">
        <v>52</v>
      </c>
      <c r="C428" s="25" t="s">
        <v>1372</v>
      </c>
      <c r="D428" s="25" t="s">
        <v>1171</v>
      </c>
      <c r="E428" s="17"/>
      <c r="F428" s="17"/>
      <c r="G428" s="17"/>
      <c r="H428" s="17"/>
      <c r="I428" s="17"/>
      <c r="J428" s="17"/>
      <c r="K428" s="17"/>
      <c r="L428" s="17"/>
      <c r="M428" s="25" t="s">
        <v>1201</v>
      </c>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row>
    <row r="429" hidden="1">
      <c r="A429" s="17">
        <v>427</v>
      </c>
      <c r="B429" s="17" t="s">
        <v>52</v>
      </c>
      <c r="C429" s="25" t="s">
        <v>1373</v>
      </c>
      <c r="D429" s="25" t="s">
        <v>1171</v>
      </c>
      <c r="E429" s="17"/>
      <c r="F429" s="17"/>
      <c r="G429" s="17"/>
      <c r="H429" s="17"/>
      <c r="I429" s="17"/>
      <c r="J429" s="17"/>
      <c r="K429" s="17"/>
      <c r="L429" s="17"/>
      <c r="M429" s="25" t="s">
        <v>1201</v>
      </c>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row>
    <row r="430" hidden="1">
      <c r="A430" s="17">
        <v>428</v>
      </c>
      <c r="B430" s="17" t="s">
        <v>52</v>
      </c>
      <c r="C430" s="25" t="s">
        <v>1374</v>
      </c>
      <c r="D430" s="25" t="s">
        <v>1171</v>
      </c>
      <c r="E430" s="17"/>
      <c r="F430" s="17"/>
      <c r="G430" s="17"/>
      <c r="H430" s="17"/>
      <c r="I430" s="17"/>
      <c r="J430" s="17"/>
      <c r="K430" s="17"/>
      <c r="L430" s="17"/>
      <c r="M430" s="25" t="s">
        <v>1375</v>
      </c>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row>
    <row r="431" hidden="1">
      <c r="A431" s="17">
        <v>429</v>
      </c>
      <c r="B431" s="17" t="s">
        <v>52</v>
      </c>
      <c r="C431" s="25" t="s">
        <v>1376</v>
      </c>
      <c r="D431" s="25" t="s">
        <v>1171</v>
      </c>
      <c r="E431" s="17" t="s">
        <v>1377</v>
      </c>
      <c r="F431" s="17">
        <v>0</v>
      </c>
      <c r="G431" s="17">
        <v>22.472919999999998</v>
      </c>
      <c r="H431" s="17">
        <v>88.054169999999999</v>
      </c>
      <c r="I431" s="17"/>
      <c r="J431" s="17"/>
      <c r="K431" s="17"/>
      <c r="L431" s="17"/>
      <c r="M431" s="25" t="s">
        <v>1201</v>
      </c>
      <c r="N431" s="17">
        <v>6289035354</v>
      </c>
      <c r="O431" s="17">
        <v>24</v>
      </c>
      <c r="P431" s="17">
        <v>103</v>
      </c>
      <c r="Q431" s="17" t="s">
        <v>73</v>
      </c>
      <c r="R431" s="17" t="s">
        <v>74</v>
      </c>
      <c r="S431" s="17" t="s">
        <v>137</v>
      </c>
      <c r="T431" s="17" t="s">
        <v>1378</v>
      </c>
      <c r="U431" s="17" t="s">
        <v>105</v>
      </c>
      <c r="V431" s="17" t="s">
        <v>77</v>
      </c>
      <c r="W431" s="17" t="s">
        <v>454</v>
      </c>
      <c r="X431" s="17">
        <v>5</v>
      </c>
      <c r="Y431" s="17">
        <v>2</v>
      </c>
      <c r="Z431" s="17"/>
      <c r="AA431" s="17" t="s">
        <v>73</v>
      </c>
      <c r="AB431" s="17" t="s">
        <v>79</v>
      </c>
      <c r="AC431" s="17">
        <v>2</v>
      </c>
      <c r="AD431" s="17">
        <v>0</v>
      </c>
      <c r="AE431" s="17">
        <v>0</v>
      </c>
      <c r="AF431" s="17"/>
      <c r="AG431" s="17" t="s">
        <v>414</v>
      </c>
      <c r="AH431" s="17" t="s">
        <v>415</v>
      </c>
      <c r="AI431" s="17" t="s">
        <v>83</v>
      </c>
      <c r="AJ431" s="17">
        <v>2112</v>
      </c>
      <c r="AK431" s="17" t="s">
        <v>137</v>
      </c>
      <c r="AL431" s="17" t="s">
        <v>75</v>
      </c>
      <c r="AM431" s="17" t="s">
        <v>163</v>
      </c>
      <c r="AN431" s="17" t="s">
        <v>84</v>
      </c>
      <c r="AO431" s="17" t="s">
        <v>75</v>
      </c>
      <c r="AP431" s="17"/>
      <c r="AQ431" s="17"/>
      <c r="AR431" s="17"/>
      <c r="AS431" s="17"/>
      <c r="AT431" s="17"/>
      <c r="AU431" s="17" t="s">
        <v>111</v>
      </c>
    </row>
    <row r="432" hidden="1">
      <c r="A432" s="17">
        <v>430</v>
      </c>
      <c r="B432" s="17" t="s">
        <v>52</v>
      </c>
      <c r="C432" s="30" t="s">
        <v>1379</v>
      </c>
      <c r="D432" s="25" t="s">
        <v>1330</v>
      </c>
      <c r="E432" s="17"/>
      <c r="F432" s="17"/>
      <c r="G432" s="17"/>
      <c r="H432" s="17"/>
      <c r="I432" s="17"/>
      <c r="J432" s="17"/>
      <c r="K432" s="17"/>
      <c r="L432" s="17"/>
      <c r="M432" s="25"/>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row>
    <row r="433" hidden="1">
      <c r="A433" s="17">
        <v>431</v>
      </c>
      <c r="B433" s="17" t="s">
        <v>52</v>
      </c>
      <c r="C433" s="30" t="s">
        <v>1380</v>
      </c>
      <c r="D433" s="25" t="s">
        <v>1330</v>
      </c>
      <c r="E433" s="17"/>
      <c r="F433" s="17"/>
      <c r="G433" s="17"/>
      <c r="H433" s="17"/>
      <c r="I433" s="17"/>
      <c r="J433" s="17"/>
      <c r="K433" s="17"/>
      <c r="L433" s="17"/>
      <c r="M433" s="25"/>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row>
    <row r="434" hidden="1">
      <c r="A434" s="17">
        <v>432</v>
      </c>
      <c r="B434" s="17" t="s">
        <v>52</v>
      </c>
      <c r="C434" s="25" t="s">
        <v>1381</v>
      </c>
      <c r="D434" s="25" t="s">
        <v>1171</v>
      </c>
      <c r="E434" s="17" t="s">
        <v>1382</v>
      </c>
      <c r="F434" s="17" t="s">
        <v>1383</v>
      </c>
      <c r="G434" s="17">
        <v>22.504874000000001</v>
      </c>
      <c r="H434" s="17">
        <v>88.066145000000006</v>
      </c>
      <c r="I434" s="17"/>
      <c r="J434" s="17"/>
      <c r="K434" s="17"/>
      <c r="L434" s="17"/>
      <c r="M434" s="25" t="s">
        <v>1201</v>
      </c>
      <c r="N434" s="17">
        <v>6289035354</v>
      </c>
      <c r="O434" s="17">
        <v>24</v>
      </c>
      <c r="P434" s="17">
        <v>105</v>
      </c>
      <c r="Q434" s="17" t="s">
        <v>413</v>
      </c>
      <c r="R434" s="17" t="s">
        <v>339</v>
      </c>
      <c r="S434" s="17" t="s">
        <v>75</v>
      </c>
      <c r="T434" s="17"/>
      <c r="U434" s="17" t="s">
        <v>105</v>
      </c>
      <c r="V434" s="17" t="s">
        <v>77</v>
      </c>
      <c r="W434" s="17" t="s">
        <v>78</v>
      </c>
      <c r="X434" s="17">
        <v>4</v>
      </c>
      <c r="Y434" s="17">
        <v>0</v>
      </c>
      <c r="Z434" s="17"/>
      <c r="AA434" s="17" t="s">
        <v>413</v>
      </c>
      <c r="AB434" s="17" t="s">
        <v>79</v>
      </c>
      <c r="AC434" s="17">
        <v>5</v>
      </c>
      <c r="AD434" s="17">
        <v>0</v>
      </c>
      <c r="AE434" s="17">
        <v>0</v>
      </c>
      <c r="AF434" s="17"/>
      <c r="AG434" s="17" t="s">
        <v>414</v>
      </c>
      <c r="AH434" s="17" t="s">
        <v>415</v>
      </c>
      <c r="AI434" s="17" t="s">
        <v>83</v>
      </c>
      <c r="AJ434" s="17">
        <v>2112</v>
      </c>
      <c r="AK434" s="17" t="s">
        <v>75</v>
      </c>
      <c r="AL434" s="17" t="s">
        <v>75</v>
      </c>
      <c r="AM434" s="17" t="s">
        <v>75</v>
      </c>
      <c r="AN434" s="17" t="s">
        <v>84</v>
      </c>
      <c r="AO434" s="17" t="s">
        <v>75</v>
      </c>
      <c r="AP434" s="17"/>
      <c r="AQ434" s="17"/>
      <c r="AR434" s="17"/>
      <c r="AS434" s="17"/>
      <c r="AT434" s="17"/>
      <c r="AU434" s="17" t="s">
        <v>111</v>
      </c>
    </row>
    <row r="435" hidden="1">
      <c r="A435" s="17">
        <v>433</v>
      </c>
      <c r="B435" s="17" t="s">
        <v>52</v>
      </c>
      <c r="C435" s="25" t="s">
        <v>1384</v>
      </c>
      <c r="D435" s="25" t="s">
        <v>1171</v>
      </c>
      <c r="E435" s="17" t="s">
        <v>1385</v>
      </c>
      <c r="F435" s="17" t="s">
        <v>1386</v>
      </c>
      <c r="G435" s="17">
        <v>22.493597000000001</v>
      </c>
      <c r="H435" s="17">
        <v>88.041683000000006</v>
      </c>
      <c r="I435" s="17"/>
      <c r="J435" s="17"/>
      <c r="K435" s="17"/>
      <c r="L435" s="17"/>
      <c r="M435" s="25" t="s">
        <v>1201</v>
      </c>
      <c r="N435" s="17">
        <v>6289035354</v>
      </c>
      <c r="O435" s="17">
        <v>24</v>
      </c>
      <c r="P435" s="17">
        <v>45</v>
      </c>
      <c r="Q435" s="17" t="s">
        <v>413</v>
      </c>
      <c r="R435" s="17" t="s">
        <v>339</v>
      </c>
      <c r="S435" s="17" t="s">
        <v>75</v>
      </c>
      <c r="T435" s="17"/>
      <c r="U435" s="17" t="s">
        <v>105</v>
      </c>
      <c r="V435" s="17" t="s">
        <v>77</v>
      </c>
      <c r="W435" s="17" t="s">
        <v>454</v>
      </c>
      <c r="X435" s="17">
        <v>3</v>
      </c>
      <c r="Y435" s="17">
        <v>0</v>
      </c>
      <c r="Z435" s="17"/>
      <c r="AA435" s="17" t="s">
        <v>413</v>
      </c>
      <c r="AB435" s="17" t="s">
        <v>79</v>
      </c>
      <c r="AC435" s="17">
        <v>5</v>
      </c>
      <c r="AD435" s="17">
        <v>0</v>
      </c>
      <c r="AE435" s="17">
        <v>0</v>
      </c>
      <c r="AF435" s="17"/>
      <c r="AG435" s="17" t="s">
        <v>414</v>
      </c>
      <c r="AH435" s="17" t="s">
        <v>415</v>
      </c>
      <c r="AI435" s="17" t="s">
        <v>83</v>
      </c>
      <c r="AJ435" s="17">
        <v>2112</v>
      </c>
      <c r="AK435" s="17" t="s">
        <v>75</v>
      </c>
      <c r="AL435" s="17" t="s">
        <v>75</v>
      </c>
      <c r="AM435" s="17" t="s">
        <v>75</v>
      </c>
      <c r="AN435" s="17" t="s">
        <v>84</v>
      </c>
      <c r="AO435" s="17" t="s">
        <v>137</v>
      </c>
      <c r="AP435" s="17"/>
      <c r="AQ435" s="17"/>
      <c r="AR435" s="17"/>
      <c r="AS435" s="17"/>
      <c r="AT435" s="17"/>
      <c r="AU435" s="17" t="s">
        <v>111</v>
      </c>
    </row>
    <row r="436" hidden="1">
      <c r="A436" s="17">
        <v>434</v>
      </c>
      <c r="B436" s="17" t="s">
        <v>52</v>
      </c>
      <c r="C436" s="25" t="s">
        <v>1387</v>
      </c>
      <c r="D436" s="25" t="s">
        <v>1171</v>
      </c>
      <c r="E436" s="17" t="s">
        <v>1388</v>
      </c>
      <c r="F436" s="17" t="s">
        <v>1389</v>
      </c>
      <c r="G436" s="17">
        <v>22.49634</v>
      </c>
      <c r="H436" s="17">
        <v>88.013958000000002</v>
      </c>
      <c r="I436" s="17"/>
      <c r="J436" s="17"/>
      <c r="K436" s="17"/>
      <c r="L436" s="17"/>
      <c r="M436" s="25" t="s">
        <v>1201</v>
      </c>
      <c r="N436" s="17">
        <v>6289035354</v>
      </c>
      <c r="O436" s="17">
        <v>24</v>
      </c>
      <c r="P436" s="17">
        <v>45</v>
      </c>
      <c r="Q436" s="17" t="s">
        <v>105</v>
      </c>
      <c r="R436" s="17" t="s">
        <v>142</v>
      </c>
      <c r="S436" s="17" t="s">
        <v>75</v>
      </c>
      <c r="T436" s="17"/>
      <c r="U436" s="17" t="s">
        <v>160</v>
      </c>
      <c r="V436" s="17" t="s">
        <v>77</v>
      </c>
      <c r="W436" s="17" t="s">
        <v>78</v>
      </c>
      <c r="X436" s="17">
        <v>3</v>
      </c>
      <c r="Y436" s="17">
        <v>1</v>
      </c>
      <c r="Z436" s="17"/>
      <c r="AA436" s="17" t="s">
        <v>105</v>
      </c>
      <c r="AB436" s="17" t="s">
        <v>79</v>
      </c>
      <c r="AC436" s="17">
        <v>5</v>
      </c>
      <c r="AD436" s="17">
        <v>0</v>
      </c>
      <c r="AE436" s="17">
        <v>0</v>
      </c>
      <c r="AF436" s="17"/>
      <c r="AG436" s="17" t="s">
        <v>414</v>
      </c>
      <c r="AH436" s="17" t="s">
        <v>415</v>
      </c>
      <c r="AI436" s="17" t="s">
        <v>83</v>
      </c>
      <c r="AJ436" s="17">
        <v>2112</v>
      </c>
      <c r="AK436" s="17" t="s">
        <v>75</v>
      </c>
      <c r="AL436" s="17" t="s">
        <v>75</v>
      </c>
      <c r="AM436" s="17" t="s">
        <v>75</v>
      </c>
      <c r="AN436" s="17" t="s">
        <v>84</v>
      </c>
      <c r="AO436" s="17" t="s">
        <v>75</v>
      </c>
      <c r="AP436" s="17"/>
      <c r="AQ436" s="17"/>
      <c r="AR436" s="17"/>
      <c r="AS436" s="17"/>
      <c r="AT436" s="17"/>
      <c r="AU436" s="17" t="s">
        <v>111</v>
      </c>
    </row>
    <row r="437" hidden="1">
      <c r="A437" s="17">
        <v>435</v>
      </c>
      <c r="B437" s="17" t="s">
        <v>52</v>
      </c>
      <c r="C437" s="25" t="s">
        <v>1390</v>
      </c>
      <c r="D437" s="25" t="s">
        <v>1171</v>
      </c>
      <c r="E437" s="17" t="s">
        <v>1391</v>
      </c>
      <c r="F437" s="17" t="s">
        <v>1392</v>
      </c>
      <c r="G437" s="17">
        <v>22.472304000000001</v>
      </c>
      <c r="H437" s="17">
        <v>88.018591000000001</v>
      </c>
      <c r="I437" s="17"/>
      <c r="J437" s="17"/>
      <c r="K437" s="17"/>
      <c r="L437" s="17"/>
      <c r="M437" s="25" t="s">
        <v>1201</v>
      </c>
      <c r="N437" s="17">
        <v>6289035354</v>
      </c>
      <c r="O437" s="17">
        <v>24</v>
      </c>
      <c r="P437" s="17">
        <v>105</v>
      </c>
      <c r="Q437" s="17" t="s">
        <v>187</v>
      </c>
      <c r="R437" s="17" t="s">
        <v>142</v>
      </c>
      <c r="S437" s="17" t="s">
        <v>75</v>
      </c>
      <c r="T437" s="17"/>
      <c r="U437" s="17" t="s">
        <v>160</v>
      </c>
      <c r="V437" s="17" t="s">
        <v>77</v>
      </c>
      <c r="W437" s="17" t="s">
        <v>330</v>
      </c>
      <c r="X437" s="17">
        <v>5</v>
      </c>
      <c r="Y437" s="17">
        <v>0</v>
      </c>
      <c r="Z437" s="17"/>
      <c r="AA437" s="17" t="s">
        <v>187</v>
      </c>
      <c r="AB437" s="17" t="s">
        <v>79</v>
      </c>
      <c r="AC437" s="17">
        <v>3</v>
      </c>
      <c r="AD437" s="17">
        <v>0</v>
      </c>
      <c r="AE437" s="17">
        <v>0</v>
      </c>
      <c r="AF437" s="17"/>
      <c r="AG437" s="17" t="s">
        <v>666</v>
      </c>
      <c r="AH437" s="17"/>
      <c r="AI437" s="17"/>
      <c r="AJ437" s="17"/>
      <c r="AK437" s="17"/>
      <c r="AL437" s="17"/>
      <c r="AM437" s="17"/>
      <c r="AN437" s="17"/>
      <c r="AO437" s="17"/>
      <c r="AP437" s="17"/>
      <c r="AQ437" s="17"/>
      <c r="AR437" s="17"/>
      <c r="AS437" s="17"/>
      <c r="AT437" s="17"/>
      <c r="AU437" s="17" t="s">
        <v>111</v>
      </c>
    </row>
    <row r="438" hidden="1">
      <c r="A438" s="17">
        <v>436</v>
      </c>
      <c r="B438" s="17" t="s">
        <v>52</v>
      </c>
      <c r="C438" s="25" t="s">
        <v>1393</v>
      </c>
      <c r="D438" s="25" t="s">
        <v>1171</v>
      </c>
      <c r="E438" s="17" t="s">
        <v>1394</v>
      </c>
      <c r="F438" s="17" t="s">
        <v>1395</v>
      </c>
      <c r="G438" s="17">
        <v>22.489191000000002</v>
      </c>
      <c r="H438" s="17">
        <v>88.096436999999995</v>
      </c>
      <c r="I438" s="17"/>
      <c r="J438" s="17"/>
      <c r="K438" s="17"/>
      <c r="L438" s="17"/>
      <c r="M438" s="25" t="s">
        <v>1201</v>
      </c>
      <c r="N438" s="17">
        <v>6289035354</v>
      </c>
      <c r="O438" s="17">
        <v>24</v>
      </c>
      <c r="P438" s="17">
        <v>45</v>
      </c>
      <c r="Q438" s="17" t="s">
        <v>73</v>
      </c>
      <c r="R438" s="17" t="s">
        <v>104</v>
      </c>
      <c r="S438" s="17" t="s">
        <v>75</v>
      </c>
      <c r="T438" s="17"/>
      <c r="U438" s="17" t="s">
        <v>160</v>
      </c>
      <c r="V438" s="17" t="s">
        <v>77</v>
      </c>
      <c r="W438" s="17" t="s">
        <v>78</v>
      </c>
      <c r="X438" s="17">
        <v>3</v>
      </c>
      <c r="Y438" s="17">
        <v>0</v>
      </c>
      <c r="Z438" s="17"/>
      <c r="AA438" s="17" t="s">
        <v>73</v>
      </c>
      <c r="AB438" s="17" t="s">
        <v>79</v>
      </c>
      <c r="AC438" s="17">
        <v>1</v>
      </c>
      <c r="AD438" s="17">
        <v>0</v>
      </c>
      <c r="AE438" s="17">
        <v>0</v>
      </c>
      <c r="AF438" s="17"/>
      <c r="AG438" s="17" t="s">
        <v>414</v>
      </c>
      <c r="AH438" s="17" t="s">
        <v>415</v>
      </c>
      <c r="AI438" s="17" t="s">
        <v>414</v>
      </c>
      <c r="AJ438" s="17" t="s">
        <v>416</v>
      </c>
      <c r="AK438" s="17" t="s">
        <v>75</v>
      </c>
      <c r="AL438" s="17" t="s">
        <v>75</v>
      </c>
      <c r="AM438" s="17" t="s">
        <v>75</v>
      </c>
      <c r="AN438" s="17" t="s">
        <v>84</v>
      </c>
      <c r="AO438" s="17" t="s">
        <v>75</v>
      </c>
      <c r="AP438" s="17"/>
      <c r="AQ438" s="17"/>
      <c r="AR438" s="17"/>
      <c r="AS438" s="17"/>
      <c r="AT438" s="17"/>
      <c r="AU438" s="17" t="s">
        <v>111</v>
      </c>
    </row>
    <row r="439" hidden="1">
      <c r="A439" s="17">
        <v>437</v>
      </c>
      <c r="B439" s="17" t="s">
        <v>52</v>
      </c>
      <c r="C439" s="25" t="s">
        <v>1396</v>
      </c>
      <c r="D439" s="25" t="s">
        <v>1171</v>
      </c>
      <c r="E439" s="17"/>
      <c r="F439" s="17"/>
      <c r="G439" s="17"/>
      <c r="H439" s="17"/>
      <c r="I439" s="17"/>
      <c r="J439" s="17"/>
      <c r="K439" s="17"/>
      <c r="L439" s="17"/>
      <c r="M439" s="25" t="s">
        <v>1201</v>
      </c>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row>
    <row r="440" hidden="1">
      <c r="A440" s="17">
        <v>438</v>
      </c>
      <c r="B440" s="17" t="s">
        <v>52</v>
      </c>
      <c r="C440" s="25" t="s">
        <v>1397</v>
      </c>
      <c r="D440" s="25" t="s">
        <v>1171</v>
      </c>
      <c r="E440" s="17"/>
      <c r="F440" s="17"/>
      <c r="G440" s="17"/>
      <c r="H440" s="17"/>
      <c r="I440" s="17"/>
      <c r="J440" s="17"/>
      <c r="K440" s="17"/>
      <c r="L440" s="17"/>
      <c r="M440" s="25" t="s">
        <v>1201</v>
      </c>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row>
    <row r="441" hidden="1">
      <c r="A441" s="17">
        <v>439</v>
      </c>
      <c r="B441" s="17" t="s">
        <v>52</v>
      </c>
      <c r="C441" s="25" t="s">
        <v>1398</v>
      </c>
      <c r="D441" s="25" t="s">
        <v>1171</v>
      </c>
      <c r="E441" s="17" t="s">
        <v>1399</v>
      </c>
      <c r="F441" s="17" t="s">
        <v>1400</v>
      </c>
      <c r="G441" s="17">
        <v>22.492121000000001</v>
      </c>
      <c r="H441" s="17">
        <v>87.969710000000006</v>
      </c>
      <c r="I441" s="17"/>
      <c r="J441" s="17"/>
      <c r="K441" s="17"/>
      <c r="L441" s="17"/>
      <c r="M441" s="25" t="s">
        <v>1375</v>
      </c>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row>
    <row r="442" hidden="1">
      <c r="A442" s="17">
        <v>440</v>
      </c>
      <c r="B442" s="17" t="s">
        <v>52</v>
      </c>
      <c r="C442" s="25" t="s">
        <v>1401</v>
      </c>
      <c r="D442" s="25" t="s">
        <v>1171</v>
      </c>
      <c r="E442" s="17" t="s">
        <v>1402</v>
      </c>
      <c r="F442" s="17" t="s">
        <v>1403</v>
      </c>
      <c r="G442" s="17">
        <v>22.522303999999998</v>
      </c>
      <c r="H442" s="17">
        <v>87.916526000000005</v>
      </c>
      <c r="I442" s="17"/>
      <c r="J442" s="17"/>
      <c r="K442" s="17"/>
      <c r="L442" s="17"/>
      <c r="M442" s="25" t="s">
        <v>1375</v>
      </c>
      <c r="N442" s="17"/>
      <c r="O442" s="17">
        <v>20</v>
      </c>
      <c r="P442" s="17">
        <v>80</v>
      </c>
      <c r="Q442" s="17" t="s">
        <v>73</v>
      </c>
      <c r="R442" s="17" t="s">
        <v>74</v>
      </c>
      <c r="S442" s="17" t="s">
        <v>75</v>
      </c>
      <c r="T442" s="17"/>
      <c r="U442" s="17" t="s">
        <v>160</v>
      </c>
      <c r="V442" s="17" t="s">
        <v>77</v>
      </c>
      <c r="W442" s="17" t="s">
        <v>161</v>
      </c>
      <c r="X442" s="17">
        <v>5</v>
      </c>
      <c r="Y442" s="17">
        <v>0</v>
      </c>
      <c r="Z442" s="17"/>
      <c r="AA442" s="17" t="s">
        <v>73</v>
      </c>
      <c r="AB442" s="17" t="s">
        <v>79</v>
      </c>
      <c r="AC442" s="17">
        <v>2</v>
      </c>
      <c r="AD442" s="17">
        <v>0</v>
      </c>
      <c r="AE442" s="17">
        <v>0</v>
      </c>
      <c r="AF442" s="17"/>
      <c r="AG442" s="17" t="s">
        <v>81</v>
      </c>
      <c r="AH442" s="17" t="s">
        <v>82</v>
      </c>
      <c r="AI442" s="17" t="s">
        <v>107</v>
      </c>
      <c r="AJ442" s="17" t="s">
        <v>1404</v>
      </c>
      <c r="AK442" s="17" t="s">
        <v>75</v>
      </c>
      <c r="AL442" s="17" t="s">
        <v>75</v>
      </c>
      <c r="AM442" s="17" t="s">
        <v>75</v>
      </c>
      <c r="AN442" s="17" t="s">
        <v>84</v>
      </c>
      <c r="AO442" s="17" t="s">
        <v>75</v>
      </c>
      <c r="AP442" s="17"/>
      <c r="AQ442" s="17"/>
      <c r="AR442" s="17"/>
      <c r="AS442" s="17"/>
      <c r="AT442" s="17" t="s">
        <v>1405</v>
      </c>
      <c r="AU442" s="17" t="s">
        <v>111</v>
      </c>
    </row>
    <row r="443" hidden="1">
      <c r="A443" s="17">
        <v>441</v>
      </c>
      <c r="B443" s="17" t="s">
        <v>52</v>
      </c>
      <c r="C443" s="25" t="s">
        <v>1406</v>
      </c>
      <c r="D443" s="25" t="s">
        <v>1171</v>
      </c>
      <c r="E443" s="17" t="s">
        <v>1407</v>
      </c>
      <c r="F443" s="17" t="s">
        <v>1408</v>
      </c>
      <c r="G443" s="17">
        <v>22.467040000000001</v>
      </c>
      <c r="H443" s="17">
        <v>87.958330000000004</v>
      </c>
      <c r="I443" s="17"/>
      <c r="J443" s="17"/>
      <c r="K443" s="17"/>
      <c r="L443" s="17"/>
      <c r="M443" s="25" t="s">
        <v>1375</v>
      </c>
      <c r="N443" s="17"/>
      <c r="O443" s="17">
        <v>18</v>
      </c>
      <c r="P443" s="17">
        <v>120</v>
      </c>
      <c r="Q443" s="17" t="s">
        <v>187</v>
      </c>
      <c r="R443" s="17" t="s">
        <v>74</v>
      </c>
      <c r="S443" s="17" t="s">
        <v>75</v>
      </c>
      <c r="T443" s="17"/>
      <c r="U443" s="17" t="s">
        <v>160</v>
      </c>
      <c r="V443" s="17" t="s">
        <v>77</v>
      </c>
      <c r="W443" s="17" t="s">
        <v>252</v>
      </c>
      <c r="X443" s="17">
        <v>5</v>
      </c>
      <c r="Y443" s="17">
        <v>0</v>
      </c>
      <c r="Z443" s="17"/>
      <c r="AA443" s="17" t="s">
        <v>187</v>
      </c>
      <c r="AB443" s="17" t="s">
        <v>79</v>
      </c>
      <c r="AC443" s="17">
        <v>3</v>
      </c>
      <c r="AD443" s="17">
        <v>0</v>
      </c>
      <c r="AE443" s="17">
        <v>0</v>
      </c>
      <c r="AF443" s="17"/>
      <c r="AG443" s="17" t="s">
        <v>124</v>
      </c>
      <c r="AH443" s="17" t="s">
        <v>82</v>
      </c>
      <c r="AI443" s="17" t="s">
        <v>83</v>
      </c>
      <c r="AJ443" s="17" t="s">
        <v>221</v>
      </c>
      <c r="AK443" s="17" t="s">
        <v>137</v>
      </c>
      <c r="AL443" s="17" t="s">
        <v>75</v>
      </c>
      <c r="AM443" s="17" t="s">
        <v>137</v>
      </c>
      <c r="AN443" s="17" t="s">
        <v>84</v>
      </c>
      <c r="AO443" s="17" t="s">
        <v>75</v>
      </c>
      <c r="AP443" s="17"/>
      <c r="AQ443" s="17"/>
      <c r="AR443" s="17"/>
      <c r="AS443" s="17"/>
      <c r="AT443" s="17" t="s">
        <v>1409</v>
      </c>
      <c r="AU443" s="17" t="s">
        <v>127</v>
      </c>
    </row>
    <row r="444" hidden="1">
      <c r="A444" s="17">
        <v>442</v>
      </c>
      <c r="B444" s="17" t="s">
        <v>52</v>
      </c>
      <c r="C444" s="25" t="s">
        <v>1410</v>
      </c>
      <c r="D444" s="25" t="s">
        <v>1171</v>
      </c>
      <c r="E444" s="17" t="s">
        <v>1411</v>
      </c>
      <c r="F444" s="17" t="s">
        <v>1412</v>
      </c>
      <c r="G444" s="17">
        <v>22.470161999999998</v>
      </c>
      <c r="H444" s="17">
        <v>87.978675999999993</v>
      </c>
      <c r="I444" s="17"/>
      <c r="J444" s="17"/>
      <c r="K444" s="17"/>
      <c r="L444" s="17"/>
      <c r="M444" s="25" t="s">
        <v>1375</v>
      </c>
      <c r="N444" s="17"/>
      <c r="O444" s="17">
        <v>20</v>
      </c>
      <c r="P444" s="17">
        <v>90</v>
      </c>
      <c r="Q444" s="17" t="s">
        <v>73</v>
      </c>
      <c r="R444" s="17" t="s">
        <v>74</v>
      </c>
      <c r="S444" s="17" t="s">
        <v>75</v>
      </c>
      <c r="T444" s="17"/>
      <c r="U444" s="17" t="s">
        <v>160</v>
      </c>
      <c r="V444" s="17" t="s">
        <v>77</v>
      </c>
      <c r="W444" s="17" t="s">
        <v>252</v>
      </c>
      <c r="X444" s="17">
        <v>5</v>
      </c>
      <c r="Y444" s="17">
        <v>1</v>
      </c>
      <c r="Z444" s="17"/>
      <c r="AA444" s="17" t="s">
        <v>73</v>
      </c>
      <c r="AB444" s="17" t="s">
        <v>79</v>
      </c>
      <c r="AC444" s="17">
        <v>3</v>
      </c>
      <c r="AD444" s="17">
        <v>0</v>
      </c>
      <c r="AE444" s="17">
        <v>0</v>
      </c>
      <c r="AF444" s="17"/>
      <c r="AG444" s="17" t="s">
        <v>81</v>
      </c>
      <c r="AH444" s="17" t="s">
        <v>82</v>
      </c>
      <c r="AI444" s="17" t="s">
        <v>107</v>
      </c>
      <c r="AJ444" s="17" t="s">
        <v>1404</v>
      </c>
      <c r="AK444" s="17" t="s">
        <v>75</v>
      </c>
      <c r="AL444" s="17" t="s">
        <v>75</v>
      </c>
      <c r="AM444" s="17" t="s">
        <v>75</v>
      </c>
      <c r="AN444" s="17" t="s">
        <v>84</v>
      </c>
      <c r="AO444" s="17" t="s">
        <v>75</v>
      </c>
      <c r="AP444" s="17"/>
      <c r="AQ444" s="17"/>
      <c r="AR444" s="17"/>
      <c r="AS444" s="17"/>
      <c r="AT444" s="17" t="s">
        <v>1413</v>
      </c>
      <c r="AU444" s="17" t="s">
        <v>127</v>
      </c>
    </row>
    <row r="445" hidden="1">
      <c r="A445" s="17">
        <v>443</v>
      </c>
      <c r="B445" s="17" t="s">
        <v>52</v>
      </c>
      <c r="C445" s="25" t="s">
        <v>1414</v>
      </c>
      <c r="D445" s="25" t="s">
        <v>1171</v>
      </c>
      <c r="E445" s="17" t="s">
        <v>1415</v>
      </c>
      <c r="F445" s="17" t="s">
        <v>1416</v>
      </c>
      <c r="G445" s="17">
        <v>22.500346</v>
      </c>
      <c r="H445" s="17">
        <v>87.899086999999994</v>
      </c>
      <c r="I445" s="17"/>
      <c r="J445" s="17"/>
      <c r="K445" s="17"/>
      <c r="L445" s="17"/>
      <c r="M445" s="25" t="s">
        <v>1375</v>
      </c>
      <c r="N445" s="17"/>
      <c r="O445" s="17">
        <v>14</v>
      </c>
      <c r="P445" s="17">
        <v>100</v>
      </c>
      <c r="Q445" s="17" t="s">
        <v>73</v>
      </c>
      <c r="R445" s="17" t="s">
        <v>74</v>
      </c>
      <c r="S445" s="17" t="s">
        <v>75</v>
      </c>
      <c r="T445" s="17"/>
      <c r="U445" s="17" t="s">
        <v>160</v>
      </c>
      <c r="V445" s="17" t="s">
        <v>77</v>
      </c>
      <c r="W445" s="17" t="s">
        <v>1094</v>
      </c>
      <c r="X445" s="17">
        <v>5</v>
      </c>
      <c r="Y445" s="17">
        <v>0</v>
      </c>
      <c r="Z445" s="17"/>
      <c r="AA445" s="17" t="s">
        <v>73</v>
      </c>
      <c r="AB445" s="17" t="s">
        <v>79</v>
      </c>
      <c r="AC445" s="17">
        <v>4</v>
      </c>
      <c r="AD445" s="17">
        <v>0</v>
      </c>
      <c r="AE445" s="17">
        <v>2</v>
      </c>
      <c r="AF445" s="17"/>
      <c r="AG445" s="17" t="s">
        <v>124</v>
      </c>
      <c r="AH445" s="17" t="s">
        <v>82</v>
      </c>
      <c r="AI445" s="17" t="s">
        <v>83</v>
      </c>
      <c r="AJ445" s="17" t="s">
        <v>1417</v>
      </c>
      <c r="AK445" s="17" t="s">
        <v>75</v>
      </c>
      <c r="AL445" s="17" t="s">
        <v>75</v>
      </c>
      <c r="AM445" s="17" t="s">
        <v>137</v>
      </c>
      <c r="AN445" s="17" t="s">
        <v>84</v>
      </c>
      <c r="AO445" s="17" t="s">
        <v>137</v>
      </c>
      <c r="AP445" s="17"/>
      <c r="AQ445" s="17"/>
      <c r="AR445" s="17"/>
      <c r="AS445" s="17"/>
      <c r="AT445" s="17" t="s">
        <v>1418</v>
      </c>
      <c r="AU445" s="17" t="s">
        <v>111</v>
      </c>
    </row>
    <row r="446" hidden="1">
      <c r="A446" s="17">
        <v>444</v>
      </c>
      <c r="B446" s="17" t="s">
        <v>52</v>
      </c>
      <c r="C446" s="25" t="s">
        <v>1419</v>
      </c>
      <c r="D446" s="25" t="s">
        <v>1171</v>
      </c>
      <c r="E446" s="17" t="s">
        <v>1420</v>
      </c>
      <c r="F446" s="17" t="s">
        <v>1421</v>
      </c>
      <c r="G446" s="17">
        <v>22.462945999999999</v>
      </c>
      <c r="H446" s="17">
        <v>87.968104999999994</v>
      </c>
      <c r="I446" s="17"/>
      <c r="J446" s="17"/>
      <c r="K446" s="17"/>
      <c r="L446" s="17"/>
      <c r="M446" s="25" t="s">
        <v>1375</v>
      </c>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row>
    <row r="447" hidden="1">
      <c r="A447" s="17">
        <v>445</v>
      </c>
      <c r="B447" s="17" t="s">
        <v>52</v>
      </c>
      <c r="C447" s="25" t="s">
        <v>1422</v>
      </c>
      <c r="D447" s="25" t="s">
        <v>1171</v>
      </c>
      <c r="E447" s="17" t="s">
        <v>1423</v>
      </c>
      <c r="F447" s="17" t="s">
        <v>1424</v>
      </c>
      <c r="G447" s="17">
        <v>22.526335</v>
      </c>
      <c r="H447" s="17">
        <v>87.898270999999994</v>
      </c>
      <c r="I447" s="17"/>
      <c r="J447" s="17"/>
      <c r="K447" s="17"/>
      <c r="L447" s="17"/>
      <c r="M447" s="25" t="s">
        <v>1375</v>
      </c>
      <c r="N447" s="17"/>
      <c r="O447" s="17">
        <v>17</v>
      </c>
      <c r="P447" s="17">
        <v>60</v>
      </c>
      <c r="Q447" s="17" t="s">
        <v>73</v>
      </c>
      <c r="R447" s="17" t="s">
        <v>104</v>
      </c>
      <c r="S447" s="17" t="s">
        <v>1425</v>
      </c>
      <c r="T447" s="17"/>
      <c r="U447" s="17" t="s">
        <v>105</v>
      </c>
      <c r="V447" s="17" t="s">
        <v>77</v>
      </c>
      <c r="W447" s="17" t="s">
        <v>252</v>
      </c>
      <c r="X447" s="17">
        <v>3</v>
      </c>
      <c r="Y447" s="17">
        <v>0</v>
      </c>
      <c r="Z447" s="17"/>
      <c r="AA447" s="17" t="s">
        <v>73</v>
      </c>
      <c r="AB447" s="17" t="s">
        <v>79</v>
      </c>
      <c r="AC447" s="17">
        <v>3</v>
      </c>
      <c r="AD447" s="17">
        <v>0</v>
      </c>
      <c r="AE447" s="17">
        <v>1</v>
      </c>
      <c r="AF447" s="17"/>
      <c r="AG447" s="17" t="s">
        <v>724</v>
      </c>
      <c r="AH447" s="17"/>
      <c r="AI447" s="17"/>
      <c r="AJ447" s="17"/>
      <c r="AK447" s="17"/>
      <c r="AL447" s="17"/>
      <c r="AM447" s="17"/>
      <c r="AN447" s="17"/>
      <c r="AO447" s="17"/>
      <c r="AP447" s="17"/>
      <c r="AQ447" s="17"/>
      <c r="AR447" s="17"/>
      <c r="AS447" s="17"/>
      <c r="AT447" s="17"/>
      <c r="AU447" s="17" t="s">
        <v>111</v>
      </c>
    </row>
    <row r="448" hidden="1">
      <c r="A448" s="17">
        <v>446</v>
      </c>
      <c r="B448" s="17" t="s">
        <v>52</v>
      </c>
      <c r="C448" s="25" t="s">
        <v>1426</v>
      </c>
      <c r="D448" s="25" t="s">
        <v>1171</v>
      </c>
      <c r="E448" s="17" t="s">
        <v>1427</v>
      </c>
      <c r="F448" s="17" t="s">
        <v>1428</v>
      </c>
      <c r="G448" s="17">
        <v>22.515255</v>
      </c>
      <c r="H448" s="17">
        <v>87.992525000000001</v>
      </c>
      <c r="I448" s="17"/>
      <c r="J448" s="17"/>
      <c r="K448" s="17"/>
      <c r="L448" s="17"/>
      <c r="M448" s="25" t="s">
        <v>1375</v>
      </c>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row>
    <row r="449" hidden="1">
      <c r="A449" s="17">
        <v>447</v>
      </c>
      <c r="B449" s="17" t="s">
        <v>52</v>
      </c>
      <c r="C449" s="25" t="s">
        <v>1429</v>
      </c>
      <c r="D449" s="25" t="s">
        <v>1171</v>
      </c>
      <c r="E449" s="17" t="s">
        <v>1430</v>
      </c>
      <c r="F449" s="17" t="s">
        <v>1431</v>
      </c>
      <c r="G449" s="17">
        <v>22.503388999999999</v>
      </c>
      <c r="H449" s="17">
        <v>87.980003999999994</v>
      </c>
      <c r="I449" s="17"/>
      <c r="J449" s="17"/>
      <c r="K449" s="17"/>
      <c r="L449" s="17"/>
      <c r="M449" s="25" t="s">
        <v>1375</v>
      </c>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row>
    <row r="450" hidden="1">
      <c r="A450" s="17">
        <v>448</v>
      </c>
      <c r="B450" s="17" t="s">
        <v>52</v>
      </c>
      <c r="C450" s="25" t="s">
        <v>1432</v>
      </c>
      <c r="D450" s="25" t="s">
        <v>1171</v>
      </c>
      <c r="E450" s="17" t="s">
        <v>1433</v>
      </c>
      <c r="F450" s="17" t="s">
        <v>1434</v>
      </c>
      <c r="G450" s="17">
        <v>22.476693999999998</v>
      </c>
      <c r="H450" s="17">
        <v>87.949477000000002</v>
      </c>
      <c r="I450" s="17"/>
      <c r="J450" s="17"/>
      <c r="K450" s="17"/>
      <c r="L450" s="17"/>
      <c r="M450" s="25" t="s">
        <v>1375</v>
      </c>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row>
    <row r="451" hidden="1">
      <c r="A451" s="17">
        <v>449</v>
      </c>
      <c r="B451" s="17" t="s">
        <v>52</v>
      </c>
      <c r="C451" s="25" t="s">
        <v>1435</v>
      </c>
      <c r="D451" s="25" t="s">
        <v>1171</v>
      </c>
      <c r="E451" s="17"/>
      <c r="F451" s="17"/>
      <c r="G451" s="17"/>
      <c r="H451" s="17"/>
      <c r="I451" s="17"/>
      <c r="J451" s="17"/>
      <c r="K451" s="17"/>
      <c r="L451" s="17"/>
      <c r="M451" s="25" t="s">
        <v>1375</v>
      </c>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row>
    <row r="452" hidden="1">
      <c r="A452" s="17">
        <v>450</v>
      </c>
      <c r="B452" s="17" t="s">
        <v>52</v>
      </c>
      <c r="C452" s="25" t="s">
        <v>1436</v>
      </c>
      <c r="D452" s="25" t="s">
        <v>1171</v>
      </c>
      <c r="E452" s="17"/>
      <c r="F452" s="17"/>
      <c r="G452" s="17"/>
      <c r="H452" s="17"/>
      <c r="I452" s="17"/>
      <c r="J452" s="17"/>
      <c r="K452" s="17"/>
      <c r="L452" s="17"/>
      <c r="M452" s="25" t="s">
        <v>1375</v>
      </c>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row>
    <row r="453" hidden="1">
      <c r="A453" s="17">
        <v>451</v>
      </c>
      <c r="B453" s="17" t="s">
        <v>52</v>
      </c>
      <c r="C453" s="25" t="s">
        <v>1437</v>
      </c>
      <c r="D453" s="25" t="s">
        <v>1171</v>
      </c>
      <c r="E453" s="17"/>
      <c r="F453" s="17"/>
      <c r="G453" s="17"/>
      <c r="H453" s="17"/>
      <c r="I453" s="17"/>
      <c r="J453" s="17"/>
      <c r="K453" s="17"/>
      <c r="L453" s="17"/>
      <c r="M453" s="25" t="s">
        <v>1375</v>
      </c>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row>
    <row r="454" hidden="1">
      <c r="A454" s="17">
        <v>452</v>
      </c>
      <c r="B454" s="17" t="s">
        <v>52</v>
      </c>
      <c r="C454" s="25" t="s">
        <v>1438</v>
      </c>
      <c r="D454" s="25" t="s">
        <v>1171</v>
      </c>
      <c r="E454" s="17"/>
      <c r="F454" s="17"/>
      <c r="G454" s="17"/>
      <c r="H454" s="17"/>
      <c r="I454" s="17"/>
      <c r="J454" s="17"/>
      <c r="K454" s="17"/>
      <c r="L454" s="17"/>
      <c r="M454" s="25" t="s">
        <v>1375</v>
      </c>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row>
    <row r="455" hidden="1">
      <c r="A455" s="17">
        <v>453</v>
      </c>
      <c r="B455" s="17" t="s">
        <v>52</v>
      </c>
      <c r="C455" s="25" t="s">
        <v>1439</v>
      </c>
      <c r="D455" s="25" t="s">
        <v>1171</v>
      </c>
      <c r="E455" s="17" t="s">
        <v>1440</v>
      </c>
      <c r="F455" s="17" t="s">
        <v>1441</v>
      </c>
      <c r="G455" s="17">
        <v>22.46002</v>
      </c>
      <c r="H455" s="17">
        <v>87.921949999999995</v>
      </c>
      <c r="I455" s="17"/>
      <c r="J455" s="17"/>
      <c r="K455" s="17"/>
      <c r="L455" s="17"/>
      <c r="M455" s="25" t="s">
        <v>1375</v>
      </c>
      <c r="N455" s="17"/>
      <c r="O455" s="17">
        <v>18</v>
      </c>
      <c r="P455" s="17">
        <v>121</v>
      </c>
      <c r="Q455" s="17" t="s">
        <v>73</v>
      </c>
      <c r="R455" s="17" t="s">
        <v>74</v>
      </c>
      <c r="S455" s="17" t="s">
        <v>75</v>
      </c>
      <c r="T455" s="17"/>
      <c r="U455" s="17" t="s">
        <v>160</v>
      </c>
      <c r="V455" s="17" t="s">
        <v>77</v>
      </c>
      <c r="W455" s="17" t="s">
        <v>252</v>
      </c>
      <c r="X455" s="17">
        <v>5</v>
      </c>
      <c r="Y455" s="17">
        <v>0</v>
      </c>
      <c r="Z455" s="17"/>
      <c r="AA455" s="17" t="s">
        <v>73</v>
      </c>
      <c r="AB455" s="17" t="s">
        <v>79</v>
      </c>
      <c r="AC455" s="17">
        <v>4</v>
      </c>
      <c r="AD455" s="17">
        <v>0</v>
      </c>
      <c r="AE455" s="17">
        <v>2</v>
      </c>
      <c r="AF455" s="17"/>
      <c r="AG455" s="17" t="s">
        <v>124</v>
      </c>
      <c r="AH455" s="17" t="s">
        <v>82</v>
      </c>
      <c r="AI455" s="17" t="s">
        <v>83</v>
      </c>
      <c r="AJ455" s="17" t="s">
        <v>341</v>
      </c>
      <c r="AK455" s="17" t="s">
        <v>75</v>
      </c>
      <c r="AL455" s="17" t="s">
        <v>75</v>
      </c>
      <c r="AM455" s="17" t="s">
        <v>75</v>
      </c>
      <c r="AN455" s="17" t="s">
        <v>84</v>
      </c>
      <c r="AO455" s="17" t="s">
        <v>75</v>
      </c>
      <c r="AP455" s="17"/>
      <c r="AQ455" s="17"/>
      <c r="AR455" s="17"/>
      <c r="AS455" s="17"/>
      <c r="AT455" s="17" t="s">
        <v>1442</v>
      </c>
      <c r="AU455" s="17" t="s">
        <v>111</v>
      </c>
    </row>
    <row r="456" hidden="1">
      <c r="A456" s="17">
        <v>454</v>
      </c>
      <c r="B456" s="17" t="s">
        <v>52</v>
      </c>
      <c r="C456" s="25" t="s">
        <v>1443</v>
      </c>
      <c r="D456" s="25" t="s">
        <v>1171</v>
      </c>
      <c r="E456" s="17" t="s">
        <v>1444</v>
      </c>
      <c r="F456" s="17" t="s">
        <v>1445</v>
      </c>
      <c r="G456" s="17">
        <v>22.445906999999998</v>
      </c>
      <c r="H456" s="17">
        <v>87.930030000000002</v>
      </c>
      <c r="I456" s="17"/>
      <c r="J456" s="17"/>
      <c r="K456" s="17"/>
      <c r="L456" s="17"/>
      <c r="M456" s="25" t="s">
        <v>1375</v>
      </c>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row>
    <row r="457" hidden="1">
      <c r="A457" s="17">
        <v>455</v>
      </c>
      <c r="B457" s="17" t="s">
        <v>52</v>
      </c>
      <c r="C457" s="25" t="s">
        <v>1446</v>
      </c>
      <c r="D457" s="25" t="s">
        <v>1171</v>
      </c>
      <c r="E457" s="17" t="s">
        <v>1447</v>
      </c>
      <c r="F457" s="17" t="s">
        <v>1448</v>
      </c>
      <c r="G457" s="17">
        <v>22.458852</v>
      </c>
      <c r="H457" s="17">
        <v>87.942423000000005</v>
      </c>
      <c r="I457" s="17"/>
      <c r="J457" s="17"/>
      <c r="K457" s="17"/>
      <c r="L457" s="17"/>
      <c r="M457" s="25" t="s">
        <v>1375</v>
      </c>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row>
    <row r="458" hidden="1">
      <c r="A458" s="17">
        <v>456</v>
      </c>
      <c r="B458" s="17" t="s">
        <v>52</v>
      </c>
      <c r="C458" s="25" t="s">
        <v>1449</v>
      </c>
      <c r="D458" s="25" t="s">
        <v>1171</v>
      </c>
      <c r="E458" s="17"/>
      <c r="F458" s="17"/>
      <c r="G458" s="17"/>
      <c r="H458" s="17"/>
      <c r="I458" s="17"/>
      <c r="J458" s="17"/>
      <c r="K458" s="17"/>
      <c r="L458" s="17"/>
      <c r="M458" s="25" t="s">
        <v>1375</v>
      </c>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row>
    <row r="459" hidden="1">
      <c r="A459" s="17">
        <v>457</v>
      </c>
      <c r="B459" s="17" t="s">
        <v>52</v>
      </c>
      <c r="C459" s="25" t="s">
        <v>1450</v>
      </c>
      <c r="D459" s="25" t="s">
        <v>1171</v>
      </c>
      <c r="E459" s="17" t="s">
        <v>1451</v>
      </c>
      <c r="F459" s="17" t="s">
        <v>1452</v>
      </c>
      <c r="G459" s="17">
        <v>22.509205999999999</v>
      </c>
      <c r="H459" s="17">
        <v>88.099641000000005</v>
      </c>
      <c r="I459" s="17"/>
      <c r="J459" s="17"/>
      <c r="K459" s="17"/>
      <c r="L459" s="17"/>
      <c r="M459" s="25" t="s">
        <v>1375</v>
      </c>
      <c r="N459" s="17"/>
      <c r="O459" s="17">
        <v>16</v>
      </c>
      <c r="P459" s="17">
        <v>80</v>
      </c>
      <c r="Q459" s="17" t="s">
        <v>187</v>
      </c>
      <c r="R459" s="17" t="s">
        <v>74</v>
      </c>
      <c r="S459" s="17" t="s">
        <v>75</v>
      </c>
      <c r="T459" s="17"/>
      <c r="U459" s="17" t="s">
        <v>76</v>
      </c>
      <c r="V459" s="17" t="s">
        <v>77</v>
      </c>
      <c r="W459" s="17" t="s">
        <v>161</v>
      </c>
      <c r="X459" s="17">
        <v>5</v>
      </c>
      <c r="Y459" s="17">
        <v>0</v>
      </c>
      <c r="Z459" s="17"/>
      <c r="AA459" s="17" t="s">
        <v>187</v>
      </c>
      <c r="AB459" s="17" t="s">
        <v>79</v>
      </c>
      <c r="AC459" s="17">
        <v>3</v>
      </c>
      <c r="AD459" s="17">
        <v>0</v>
      </c>
      <c r="AE459" s="17">
        <v>0</v>
      </c>
      <c r="AF459" s="17"/>
      <c r="AG459" s="17" t="s">
        <v>124</v>
      </c>
      <c r="AH459" s="17" t="s">
        <v>82</v>
      </c>
      <c r="AI459" s="17" t="s">
        <v>83</v>
      </c>
      <c r="AJ459" s="17" t="s">
        <v>1453</v>
      </c>
      <c r="AK459" s="17" t="s">
        <v>137</v>
      </c>
      <c r="AL459" s="17" t="s">
        <v>75</v>
      </c>
      <c r="AM459" s="17" t="s">
        <v>137</v>
      </c>
      <c r="AN459" s="17" t="s">
        <v>1454</v>
      </c>
      <c r="AO459" s="17" t="s">
        <v>75</v>
      </c>
      <c r="AP459" s="17"/>
      <c r="AQ459" s="17"/>
      <c r="AR459" s="17"/>
      <c r="AS459" s="17"/>
      <c r="AT459" s="17" t="s">
        <v>1455</v>
      </c>
      <c r="AU459" s="17" t="s">
        <v>111</v>
      </c>
    </row>
    <row r="460" hidden="1">
      <c r="A460" s="17">
        <v>458</v>
      </c>
      <c r="B460" s="17" t="s">
        <v>52</v>
      </c>
      <c r="C460" s="25" t="s">
        <v>1456</v>
      </c>
      <c r="D460" s="25" t="s">
        <v>1171</v>
      </c>
      <c r="E460" s="17" t="s">
        <v>1457</v>
      </c>
      <c r="F460" s="17" t="s">
        <v>1458</v>
      </c>
      <c r="G460" s="17">
        <v>22.445170000000001</v>
      </c>
      <c r="H460" s="17">
        <v>87.914580000000001</v>
      </c>
      <c r="I460" s="17"/>
      <c r="J460" s="17"/>
      <c r="K460" s="17"/>
      <c r="L460" s="17"/>
      <c r="M460" s="25" t="s">
        <v>1375</v>
      </c>
      <c r="N460" s="17"/>
      <c r="O460" s="17">
        <v>18</v>
      </c>
      <c r="P460" s="17">
        <v>80</v>
      </c>
      <c r="Q460" s="17" t="s">
        <v>187</v>
      </c>
      <c r="R460" s="17" t="s">
        <v>74</v>
      </c>
      <c r="S460" s="17" t="s">
        <v>75</v>
      </c>
      <c r="T460" s="17"/>
      <c r="U460" s="17" t="s">
        <v>105</v>
      </c>
      <c r="V460" s="17" t="s">
        <v>77</v>
      </c>
      <c r="W460" s="17" t="s">
        <v>161</v>
      </c>
      <c r="X460" s="17">
        <v>5</v>
      </c>
      <c r="Y460" s="17">
        <v>0</v>
      </c>
      <c r="Z460" s="17"/>
      <c r="AA460" s="17" t="s">
        <v>187</v>
      </c>
      <c r="AB460" s="17" t="s">
        <v>79</v>
      </c>
      <c r="AC460" s="17">
        <v>3</v>
      </c>
      <c r="AD460" s="17">
        <v>0</v>
      </c>
      <c r="AE460" s="17">
        <v>0</v>
      </c>
      <c r="AF460" s="17"/>
      <c r="AG460" s="17" t="s">
        <v>124</v>
      </c>
      <c r="AH460" s="17" t="s">
        <v>82</v>
      </c>
      <c r="AI460" s="17" t="s">
        <v>83</v>
      </c>
      <c r="AJ460" s="17" t="s">
        <v>1417</v>
      </c>
      <c r="AK460" s="17" t="s">
        <v>75</v>
      </c>
      <c r="AL460" s="17" t="s">
        <v>75</v>
      </c>
      <c r="AM460" s="17" t="s">
        <v>75</v>
      </c>
      <c r="AN460" s="17" t="s">
        <v>84</v>
      </c>
      <c r="AO460" s="17" t="s">
        <v>75</v>
      </c>
      <c r="AP460" s="17"/>
      <c r="AQ460" s="17"/>
      <c r="AR460" s="17"/>
      <c r="AS460" s="17"/>
      <c r="AT460" s="17" t="s">
        <v>1455</v>
      </c>
      <c r="AU460" s="17" t="s">
        <v>111</v>
      </c>
    </row>
    <row r="461" hidden="1">
      <c r="A461" s="17">
        <v>459</v>
      </c>
      <c r="B461" s="17" t="s">
        <v>52</v>
      </c>
      <c r="C461" s="25" t="s">
        <v>1459</v>
      </c>
      <c r="D461" s="25" t="s">
        <v>1171</v>
      </c>
      <c r="E461" s="17" t="s">
        <v>1460</v>
      </c>
      <c r="F461" s="17" t="s">
        <v>1461</v>
      </c>
      <c r="G461" s="17">
        <v>22.440640999999999</v>
      </c>
      <c r="H461" s="17">
        <v>87.947951000000003</v>
      </c>
      <c r="I461" s="17"/>
      <c r="J461" s="17"/>
      <c r="K461" s="17"/>
      <c r="L461" s="17"/>
      <c r="M461" s="25" t="s">
        <v>1375</v>
      </c>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row>
    <row r="462" hidden="1">
      <c r="A462" s="17">
        <v>460</v>
      </c>
      <c r="B462" s="17" t="s">
        <v>52</v>
      </c>
      <c r="C462" s="25" t="s">
        <v>1462</v>
      </c>
      <c r="D462" s="25" t="s">
        <v>1171</v>
      </c>
      <c r="E462" s="17" t="s">
        <v>1463</v>
      </c>
      <c r="F462" s="17" t="s">
        <v>1464</v>
      </c>
      <c r="G462" s="17">
        <v>22.498289</v>
      </c>
      <c r="H462" s="17">
        <v>88.072686000000004</v>
      </c>
      <c r="I462" s="17"/>
      <c r="J462" s="17"/>
      <c r="K462" s="17"/>
      <c r="L462" s="17"/>
      <c r="M462" s="25" t="s">
        <v>1375</v>
      </c>
      <c r="N462" s="17"/>
      <c r="O462" s="17">
        <v>18</v>
      </c>
      <c r="P462" s="17">
        <v>100</v>
      </c>
      <c r="Q462" s="17" t="s">
        <v>73</v>
      </c>
      <c r="R462" s="17" t="s">
        <v>74</v>
      </c>
      <c r="S462" s="17" t="s">
        <v>75</v>
      </c>
      <c r="T462" s="17"/>
      <c r="U462" s="17" t="s">
        <v>105</v>
      </c>
      <c r="V462" s="17" t="s">
        <v>77</v>
      </c>
      <c r="W462" s="17" t="s">
        <v>161</v>
      </c>
      <c r="X462" s="17">
        <v>5</v>
      </c>
      <c r="Y462" s="17">
        <v>0</v>
      </c>
      <c r="Z462" s="17"/>
      <c r="AA462" s="17" t="s">
        <v>73</v>
      </c>
      <c r="AB462" s="17" t="s">
        <v>1465</v>
      </c>
      <c r="AC462" s="17">
        <v>2</v>
      </c>
      <c r="AD462" s="17">
        <v>0</v>
      </c>
      <c r="AE462" s="17">
        <v>0</v>
      </c>
      <c r="AF462" s="17"/>
      <c r="AG462" s="17" t="s">
        <v>124</v>
      </c>
      <c r="AH462" s="17" t="s">
        <v>162</v>
      </c>
      <c r="AI462" s="17" t="s">
        <v>83</v>
      </c>
      <c r="AJ462" s="17" t="s">
        <v>1466</v>
      </c>
      <c r="AK462" s="17" t="s">
        <v>75</v>
      </c>
      <c r="AL462" s="17" t="s">
        <v>75</v>
      </c>
      <c r="AM462" s="17" t="s">
        <v>75</v>
      </c>
      <c r="AN462" s="17" t="s">
        <v>84</v>
      </c>
      <c r="AO462" s="17" t="s">
        <v>75</v>
      </c>
      <c r="AP462" s="17"/>
      <c r="AQ462" s="17"/>
      <c r="AR462" s="17"/>
      <c r="AS462" s="17"/>
      <c r="AT462" s="17"/>
      <c r="AU462" s="17" t="s">
        <v>111</v>
      </c>
    </row>
    <row r="463" hidden="1">
      <c r="A463" s="17">
        <v>461</v>
      </c>
      <c r="B463" s="17" t="s">
        <v>52</v>
      </c>
      <c r="C463" s="25" t="s">
        <v>1467</v>
      </c>
      <c r="D463" s="25" t="s">
        <v>1171</v>
      </c>
      <c r="E463" s="17" t="s">
        <v>1468</v>
      </c>
      <c r="F463" s="17" t="s">
        <v>1469</v>
      </c>
      <c r="G463" s="17">
        <v>22.472275</v>
      </c>
      <c r="H463" s="17">
        <v>88.035194000000004</v>
      </c>
      <c r="I463" s="17"/>
      <c r="J463" s="17"/>
      <c r="K463" s="17"/>
      <c r="L463" s="17"/>
      <c r="M463" s="25" t="s">
        <v>1375</v>
      </c>
      <c r="N463" s="17"/>
      <c r="O463" s="17">
        <v>18</v>
      </c>
      <c r="P463" s="17">
        <v>120</v>
      </c>
      <c r="Q463" s="17" t="s">
        <v>187</v>
      </c>
      <c r="R463" s="17" t="s">
        <v>142</v>
      </c>
      <c r="S463" s="17" t="s">
        <v>75</v>
      </c>
      <c r="T463" s="17"/>
      <c r="U463" s="17" t="s">
        <v>160</v>
      </c>
      <c r="V463" s="17" t="s">
        <v>77</v>
      </c>
      <c r="W463" s="17" t="s">
        <v>252</v>
      </c>
      <c r="X463" s="17">
        <v>5</v>
      </c>
      <c r="Y463" s="17">
        <v>0</v>
      </c>
      <c r="Z463" s="17"/>
      <c r="AA463" s="17" t="s">
        <v>187</v>
      </c>
      <c r="AB463" s="17" t="s">
        <v>79</v>
      </c>
      <c r="AC463" s="17">
        <v>6</v>
      </c>
      <c r="AD463" s="17">
        <v>0</v>
      </c>
      <c r="AE463" s="17">
        <v>1</v>
      </c>
      <c r="AF463" s="17"/>
      <c r="AG463" s="17" t="s">
        <v>124</v>
      </c>
      <c r="AH463" s="17" t="s">
        <v>82</v>
      </c>
      <c r="AI463" s="17" t="s">
        <v>83</v>
      </c>
      <c r="AJ463" s="17" t="s">
        <v>1417</v>
      </c>
      <c r="AK463" s="17" t="s">
        <v>75</v>
      </c>
      <c r="AL463" s="17" t="s">
        <v>75</v>
      </c>
      <c r="AM463" s="17" t="s">
        <v>75</v>
      </c>
      <c r="AN463" s="17" t="s">
        <v>84</v>
      </c>
      <c r="AO463" s="17" t="s">
        <v>75</v>
      </c>
      <c r="AP463" s="17"/>
      <c r="AQ463" s="17"/>
      <c r="AR463" s="17"/>
      <c r="AS463" s="17"/>
      <c r="AT463" s="17" t="s">
        <v>1470</v>
      </c>
      <c r="AU463" s="17" t="s">
        <v>127</v>
      </c>
    </row>
    <row r="464" hidden="1">
      <c r="A464" s="17">
        <v>462</v>
      </c>
      <c r="B464" s="17" t="s">
        <v>52</v>
      </c>
      <c r="C464" s="25" t="s">
        <v>1471</v>
      </c>
      <c r="D464" s="25" t="s">
        <v>1171</v>
      </c>
      <c r="E464" s="17" t="s">
        <v>1472</v>
      </c>
      <c r="F464" s="17" t="s">
        <v>1473</v>
      </c>
      <c r="G464" s="17">
        <v>22.469194000000002</v>
      </c>
      <c r="H464" s="17">
        <v>88.050793999999996</v>
      </c>
      <c r="I464" s="17"/>
      <c r="J464" s="17"/>
      <c r="K464" s="17"/>
      <c r="L464" s="17"/>
      <c r="M464" s="25" t="s">
        <v>1375</v>
      </c>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row>
    <row r="465" hidden="1">
      <c r="A465" s="17">
        <v>463</v>
      </c>
      <c r="B465" s="17" t="s">
        <v>52</v>
      </c>
      <c r="C465" s="25" t="s">
        <v>1474</v>
      </c>
      <c r="D465" s="25" t="s">
        <v>1171</v>
      </c>
      <c r="E465" s="17"/>
      <c r="F465" s="17"/>
      <c r="G465" s="17"/>
      <c r="H465" s="17"/>
      <c r="I465" s="17"/>
      <c r="J465" s="17"/>
      <c r="K465" s="17"/>
      <c r="L465" s="17"/>
      <c r="M465" s="25" t="s">
        <v>1375</v>
      </c>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row>
    <row r="466" hidden="1">
      <c r="A466" s="17">
        <v>464</v>
      </c>
      <c r="B466" s="17" t="s">
        <v>52</v>
      </c>
      <c r="C466" s="25" t="s">
        <v>1475</v>
      </c>
      <c r="D466" s="25" t="s">
        <v>1171</v>
      </c>
      <c r="E466" s="17"/>
      <c r="F466" s="17"/>
      <c r="G466" s="17"/>
      <c r="H466" s="17"/>
      <c r="I466" s="17"/>
      <c r="J466" s="17"/>
      <c r="K466" s="17"/>
      <c r="L466" s="17"/>
      <c r="M466" s="25" t="s">
        <v>1375</v>
      </c>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row>
    <row r="467" hidden="1">
      <c r="A467" s="17">
        <v>465</v>
      </c>
      <c r="B467" s="17" t="s">
        <v>52</v>
      </c>
      <c r="C467" s="25" t="s">
        <v>1476</v>
      </c>
      <c r="D467" s="25" t="s">
        <v>1171</v>
      </c>
      <c r="E467" s="17" t="s">
        <v>1477</v>
      </c>
      <c r="F467" s="17" t="s">
        <v>1478</v>
      </c>
      <c r="G467" s="17">
        <v>22.474048</v>
      </c>
      <c r="H467" s="17">
        <v>87.969097000000005</v>
      </c>
      <c r="I467" s="17"/>
      <c r="J467" s="17"/>
      <c r="K467" s="17"/>
      <c r="L467" s="17"/>
      <c r="M467" s="25" t="s">
        <v>1375</v>
      </c>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row>
    <row r="468" hidden="1">
      <c r="A468" s="17">
        <v>466</v>
      </c>
      <c r="B468" s="17" t="s">
        <v>52</v>
      </c>
      <c r="C468" s="25" t="s">
        <v>1479</v>
      </c>
      <c r="D468" s="25" t="s">
        <v>1171</v>
      </c>
      <c r="E468" s="17"/>
      <c r="F468" s="17"/>
      <c r="G468" s="17"/>
      <c r="H468" s="17"/>
      <c r="I468" s="17"/>
      <c r="J468" s="17"/>
      <c r="K468" s="17"/>
      <c r="L468" s="17"/>
      <c r="M468" s="25" t="s">
        <v>1375</v>
      </c>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row>
    <row r="469" hidden="1">
      <c r="A469" s="17">
        <v>467</v>
      </c>
      <c r="B469" s="17" t="s">
        <v>52</v>
      </c>
      <c r="C469" s="25" t="s">
        <v>1480</v>
      </c>
      <c r="D469" s="25" t="s">
        <v>1171</v>
      </c>
      <c r="E469" s="17"/>
      <c r="F469" s="17"/>
      <c r="G469" s="17"/>
      <c r="H469" s="17"/>
      <c r="I469" s="17"/>
      <c r="J469" s="17"/>
      <c r="K469" s="17"/>
      <c r="L469" s="17"/>
      <c r="M469" s="25" t="s">
        <v>1375</v>
      </c>
      <c r="N469" s="17"/>
      <c r="O469" s="17">
        <v>16</v>
      </c>
      <c r="P469" s="17">
        <v>120</v>
      </c>
      <c r="Q469" s="17" t="s">
        <v>187</v>
      </c>
      <c r="R469" s="17" t="s">
        <v>74</v>
      </c>
      <c r="S469" s="17" t="s">
        <v>75</v>
      </c>
      <c r="T469" s="17"/>
      <c r="U469" s="17" t="s">
        <v>76</v>
      </c>
      <c r="V469" s="17" t="s">
        <v>77</v>
      </c>
      <c r="W469" s="17" t="s">
        <v>252</v>
      </c>
      <c r="X469" s="17">
        <v>5</v>
      </c>
      <c r="Y469" s="17">
        <v>0</v>
      </c>
      <c r="Z469" s="17"/>
      <c r="AA469" s="17" t="s">
        <v>187</v>
      </c>
      <c r="AB469" s="17" t="s">
        <v>79</v>
      </c>
      <c r="AC469" s="17">
        <v>5</v>
      </c>
      <c r="AD469" s="17">
        <v>0</v>
      </c>
      <c r="AE469" s="17">
        <v>3</v>
      </c>
      <c r="AF469" s="17"/>
      <c r="AG469" s="17" t="s">
        <v>124</v>
      </c>
      <c r="AH469" s="17" t="s">
        <v>82</v>
      </c>
      <c r="AI469" s="17" t="s">
        <v>83</v>
      </c>
      <c r="AJ469" s="17" t="s">
        <v>1417</v>
      </c>
      <c r="AK469" s="17" t="s">
        <v>75</v>
      </c>
      <c r="AL469" s="17" t="s">
        <v>75</v>
      </c>
      <c r="AM469" s="17" t="s">
        <v>75</v>
      </c>
      <c r="AN469" s="17" t="s">
        <v>84</v>
      </c>
      <c r="AO469" s="17" t="s">
        <v>75</v>
      </c>
      <c r="AP469" s="17"/>
      <c r="AQ469" s="17"/>
      <c r="AR469" s="17"/>
      <c r="AS469" s="17"/>
      <c r="AT469" s="17" t="s">
        <v>1481</v>
      </c>
      <c r="AU469" s="17" t="s">
        <v>111</v>
      </c>
    </row>
    <row r="470" hidden="1">
      <c r="A470" s="17">
        <v>468</v>
      </c>
      <c r="B470" s="17" t="s">
        <v>52</v>
      </c>
      <c r="C470" s="25" t="s">
        <v>1482</v>
      </c>
      <c r="D470" s="25" t="s">
        <v>1171</v>
      </c>
      <c r="E470" s="17" t="s">
        <v>1483</v>
      </c>
      <c r="F470" s="17" t="s">
        <v>1484</v>
      </c>
      <c r="G470" s="17">
        <v>22.528905999999999</v>
      </c>
      <c r="H470" s="17">
        <v>88.105956000000006</v>
      </c>
      <c r="I470" s="17"/>
      <c r="J470" s="17"/>
      <c r="K470" s="17"/>
      <c r="L470" s="17"/>
      <c r="M470" s="25" t="s">
        <v>1375</v>
      </c>
      <c r="N470" s="17"/>
      <c r="O470" s="17">
        <v>12</v>
      </c>
      <c r="P470" s="17">
        <v>130</v>
      </c>
      <c r="Q470" s="17" t="s">
        <v>73</v>
      </c>
      <c r="R470" s="17" t="s">
        <v>74</v>
      </c>
      <c r="S470" s="17" t="s">
        <v>75</v>
      </c>
      <c r="T470" s="17"/>
      <c r="U470" s="17" t="s">
        <v>105</v>
      </c>
      <c r="V470" s="17" t="s">
        <v>1485</v>
      </c>
      <c r="W470" s="17" t="s">
        <v>252</v>
      </c>
      <c r="X470" s="17">
        <v>4</v>
      </c>
      <c r="Y470" s="17">
        <v>0</v>
      </c>
      <c r="Z470" s="17"/>
      <c r="AA470" s="17" t="s">
        <v>73</v>
      </c>
      <c r="AB470" s="17" t="s">
        <v>79</v>
      </c>
      <c r="AC470" s="17">
        <v>5</v>
      </c>
      <c r="AD470" s="17">
        <v>0</v>
      </c>
      <c r="AE470" s="17">
        <v>2</v>
      </c>
      <c r="AF470" s="17"/>
      <c r="AG470" s="17" t="s">
        <v>124</v>
      </c>
      <c r="AH470" s="17" t="s">
        <v>82</v>
      </c>
      <c r="AI470" s="17" t="s">
        <v>83</v>
      </c>
      <c r="AJ470" s="17" t="s">
        <v>1417</v>
      </c>
      <c r="AK470" s="17" t="s">
        <v>75</v>
      </c>
      <c r="AL470" s="17" t="s">
        <v>75</v>
      </c>
      <c r="AM470" s="17" t="s">
        <v>75</v>
      </c>
      <c r="AN470" s="17" t="s">
        <v>84</v>
      </c>
      <c r="AO470" s="17" t="s">
        <v>75</v>
      </c>
      <c r="AP470" s="17"/>
      <c r="AQ470" s="17"/>
      <c r="AR470" s="17"/>
      <c r="AS470" s="17"/>
      <c r="AT470" s="17" t="s">
        <v>1486</v>
      </c>
      <c r="AU470" s="17" t="s">
        <v>111</v>
      </c>
    </row>
    <row r="471" hidden="1">
      <c r="A471" s="17">
        <v>469</v>
      </c>
      <c r="B471" s="17" t="s">
        <v>52</v>
      </c>
      <c r="C471" s="25" t="s">
        <v>1487</v>
      </c>
      <c r="D471" s="25" t="s">
        <v>1171</v>
      </c>
      <c r="E471" s="17" t="s">
        <v>1488</v>
      </c>
      <c r="F471" s="17" t="s">
        <v>1489</v>
      </c>
      <c r="G471" s="17">
        <v>22.503157000000002</v>
      </c>
      <c r="H471" s="17">
        <v>87.909777000000005</v>
      </c>
      <c r="I471" s="17"/>
      <c r="J471" s="17"/>
      <c r="K471" s="17"/>
      <c r="L471" s="17"/>
      <c r="M471" s="25" t="s">
        <v>1375</v>
      </c>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row>
    <row r="472" hidden="1">
      <c r="A472" s="17">
        <v>470</v>
      </c>
      <c r="B472" s="17" t="s">
        <v>52</v>
      </c>
      <c r="C472" s="30" t="s">
        <v>1490</v>
      </c>
      <c r="D472" s="25" t="s">
        <v>1330</v>
      </c>
      <c r="E472" s="17"/>
      <c r="F472" s="17"/>
      <c r="G472" s="17"/>
      <c r="H472" s="17"/>
      <c r="I472" s="17"/>
      <c r="J472" s="17"/>
      <c r="K472" s="17"/>
      <c r="L472" s="17"/>
      <c r="M472" s="25" t="s">
        <v>1375</v>
      </c>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row>
    <row r="473" hidden="1">
      <c r="A473" s="17">
        <v>471</v>
      </c>
      <c r="B473" s="17" t="s">
        <v>52</v>
      </c>
      <c r="C473" s="25" t="s">
        <v>1491</v>
      </c>
      <c r="D473" s="25" t="s">
        <v>1171</v>
      </c>
      <c r="E473" s="17"/>
      <c r="F473" s="17"/>
      <c r="G473" s="17"/>
      <c r="H473" s="17"/>
      <c r="I473" s="17"/>
      <c r="J473" s="17"/>
      <c r="K473" s="17"/>
      <c r="L473" s="17"/>
      <c r="M473" s="25" t="s">
        <v>1375</v>
      </c>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row>
    <row r="474" hidden="1">
      <c r="A474" s="17">
        <v>472</v>
      </c>
      <c r="B474" s="17" t="s">
        <v>52</v>
      </c>
      <c r="C474" s="25" t="s">
        <v>1492</v>
      </c>
      <c r="D474" s="25" t="s">
        <v>1171</v>
      </c>
      <c r="E474" s="17"/>
      <c r="F474" s="17"/>
      <c r="G474" s="17"/>
      <c r="H474" s="17"/>
      <c r="I474" s="17"/>
      <c r="J474" s="17"/>
      <c r="K474" s="17"/>
      <c r="L474" s="17"/>
      <c r="M474" s="25" t="s">
        <v>1375</v>
      </c>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row>
    <row r="475" hidden="1">
      <c r="A475" s="17">
        <v>473</v>
      </c>
      <c r="B475" s="17" t="s">
        <v>52</v>
      </c>
      <c r="C475" s="25" t="s">
        <v>1493</v>
      </c>
      <c r="D475" s="25" t="s">
        <v>1171</v>
      </c>
      <c r="E475" s="17" t="s">
        <v>1494</v>
      </c>
      <c r="F475" s="17" t="s">
        <v>1495</v>
      </c>
      <c r="G475" s="17">
        <v>22.485816</v>
      </c>
      <c r="H475" s="17">
        <v>88.006945000000002</v>
      </c>
      <c r="I475" s="17"/>
      <c r="J475" s="17"/>
      <c r="K475" s="17"/>
      <c r="L475" s="17"/>
      <c r="M475" s="25" t="s">
        <v>1375</v>
      </c>
      <c r="N475" s="17"/>
      <c r="O475" s="17">
        <v>18</v>
      </c>
      <c r="P475" s="17">
        <v>150</v>
      </c>
      <c r="Q475" s="17" t="s">
        <v>187</v>
      </c>
      <c r="R475" s="17" t="s">
        <v>142</v>
      </c>
      <c r="S475" s="17" t="s">
        <v>75</v>
      </c>
      <c r="T475" s="17"/>
      <c r="U475" s="17" t="s">
        <v>105</v>
      </c>
      <c r="V475" s="17" t="s">
        <v>77</v>
      </c>
      <c r="W475" s="17" t="s">
        <v>443</v>
      </c>
      <c r="X475" s="17">
        <v>5</v>
      </c>
      <c r="Y475" s="17">
        <v>3</v>
      </c>
      <c r="Z475" s="17"/>
      <c r="AA475" s="17" t="s">
        <v>187</v>
      </c>
      <c r="AB475" s="17" t="s">
        <v>79</v>
      </c>
      <c r="AC475" s="17">
        <v>7</v>
      </c>
      <c r="AD475" s="17">
        <v>0</v>
      </c>
      <c r="AE475" s="17">
        <v>0</v>
      </c>
      <c r="AF475" s="17"/>
      <c r="AG475" s="17" t="s">
        <v>124</v>
      </c>
      <c r="AH475" s="17" t="s">
        <v>162</v>
      </c>
      <c r="AI475" s="17" t="s">
        <v>83</v>
      </c>
      <c r="AJ475" s="17" t="s">
        <v>1496</v>
      </c>
      <c r="AK475" s="17" t="s">
        <v>75</v>
      </c>
      <c r="AL475" s="17" t="s">
        <v>75</v>
      </c>
      <c r="AM475" s="17" t="s">
        <v>75</v>
      </c>
      <c r="AN475" s="17" t="s">
        <v>84</v>
      </c>
      <c r="AO475" s="17" t="s">
        <v>75</v>
      </c>
      <c r="AP475" s="17"/>
      <c r="AQ475" s="17"/>
      <c r="AR475" s="17"/>
      <c r="AS475" s="17"/>
      <c r="AT475" s="17" t="s">
        <v>1418</v>
      </c>
      <c r="AU475" s="17" t="s">
        <v>111</v>
      </c>
    </row>
    <row r="476" hidden="1">
      <c r="A476" s="17">
        <v>474</v>
      </c>
      <c r="B476" s="17" t="s">
        <v>52</v>
      </c>
      <c r="C476" s="25" t="s">
        <v>1497</v>
      </c>
      <c r="D476" s="25" t="s">
        <v>1171</v>
      </c>
      <c r="E476" s="17" t="s">
        <v>1498</v>
      </c>
      <c r="F476" s="17" t="s">
        <v>1499</v>
      </c>
      <c r="G476" s="17">
        <v>22.439126000000002</v>
      </c>
      <c r="H476" s="17">
        <v>87.905589000000006</v>
      </c>
      <c r="I476" s="17"/>
      <c r="J476" s="17"/>
      <c r="K476" s="17"/>
      <c r="L476" s="17"/>
      <c r="M476" s="25" t="s">
        <v>1375</v>
      </c>
      <c r="N476" s="17"/>
      <c r="O476" s="17">
        <v>18</v>
      </c>
      <c r="P476" s="17">
        <v>100</v>
      </c>
      <c r="Q476" s="17" t="s">
        <v>73</v>
      </c>
      <c r="R476" s="17" t="s">
        <v>142</v>
      </c>
      <c r="S476" s="17" t="s">
        <v>75</v>
      </c>
      <c r="T476" s="17"/>
      <c r="U476" s="17" t="s">
        <v>160</v>
      </c>
      <c r="V476" s="17" t="s">
        <v>77</v>
      </c>
      <c r="W476" s="17" t="s">
        <v>161</v>
      </c>
      <c r="X476" s="17">
        <v>5</v>
      </c>
      <c r="Y476" s="17">
        <v>0</v>
      </c>
      <c r="Z476" s="17"/>
      <c r="AA476" s="17" t="s">
        <v>73</v>
      </c>
      <c r="AB476" s="17" t="s">
        <v>79</v>
      </c>
      <c r="AC476" s="17">
        <v>4</v>
      </c>
      <c r="AD476" s="17">
        <v>0</v>
      </c>
      <c r="AE476" s="17">
        <v>2</v>
      </c>
      <c r="AF476" s="17"/>
      <c r="AG476" s="17" t="s">
        <v>124</v>
      </c>
      <c r="AH476" s="17" t="s">
        <v>82</v>
      </c>
      <c r="AI476" s="17" t="s">
        <v>107</v>
      </c>
      <c r="AJ476" s="17" t="s">
        <v>1404</v>
      </c>
      <c r="AK476" s="17" t="s">
        <v>75</v>
      </c>
      <c r="AL476" s="17" t="s">
        <v>75</v>
      </c>
      <c r="AM476" s="17" t="s">
        <v>75</v>
      </c>
      <c r="AN476" s="17" t="s">
        <v>125</v>
      </c>
      <c r="AO476" s="17" t="s">
        <v>75</v>
      </c>
      <c r="AP476" s="17"/>
      <c r="AQ476" s="17"/>
      <c r="AR476" s="17"/>
      <c r="AS476" s="17"/>
      <c r="AT476" s="17"/>
      <c r="AU476" s="17" t="s">
        <v>111</v>
      </c>
    </row>
    <row r="477" hidden="1">
      <c r="A477" s="17">
        <v>475</v>
      </c>
      <c r="B477" s="17" t="s">
        <v>52</v>
      </c>
      <c r="C477" s="25" t="s">
        <v>1500</v>
      </c>
      <c r="D477" s="25" t="s">
        <v>1171</v>
      </c>
      <c r="E477" s="17" t="s">
        <v>1171</v>
      </c>
      <c r="F477" s="17" t="s">
        <v>1501</v>
      </c>
      <c r="G477" s="17">
        <v>22.445682000000001</v>
      </c>
      <c r="H477" s="17">
        <v>87.896271999999996</v>
      </c>
      <c r="I477" s="17"/>
      <c r="J477" s="17"/>
      <c r="K477" s="17"/>
      <c r="L477" s="17"/>
      <c r="M477" s="25" t="s">
        <v>1375</v>
      </c>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row>
    <row r="478" hidden="1">
      <c r="A478" s="17">
        <v>476</v>
      </c>
      <c r="B478" s="17" t="s">
        <v>52</v>
      </c>
      <c r="C478" s="25" t="s">
        <v>1502</v>
      </c>
      <c r="D478" s="25" t="s">
        <v>1171</v>
      </c>
      <c r="E478" s="17"/>
      <c r="F478" s="17"/>
      <c r="G478" s="17"/>
      <c r="H478" s="17"/>
      <c r="I478" s="17"/>
      <c r="J478" s="17"/>
      <c r="K478" s="17"/>
      <c r="L478" s="17"/>
      <c r="M478" s="25" t="s">
        <v>1375</v>
      </c>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row>
    <row r="479" hidden="1">
      <c r="A479" s="17">
        <v>477</v>
      </c>
      <c r="B479" s="17" t="s">
        <v>52</v>
      </c>
      <c r="C479" s="25" t="s">
        <v>1503</v>
      </c>
      <c r="D479" s="25" t="s">
        <v>1171</v>
      </c>
      <c r="E479" s="17" t="s">
        <v>1504</v>
      </c>
      <c r="F479" s="17" t="s">
        <v>1505</v>
      </c>
      <c r="G479" s="17">
        <v>22.504912000000001</v>
      </c>
      <c r="H479" s="17">
        <v>87.939294000000004</v>
      </c>
      <c r="I479" s="17"/>
      <c r="J479" s="17"/>
      <c r="K479" s="17"/>
      <c r="L479" s="17"/>
      <c r="M479" s="25" t="s">
        <v>1375</v>
      </c>
      <c r="N479" s="17"/>
      <c r="O479" s="17">
        <v>16</v>
      </c>
      <c r="P479" s="17">
        <v>100</v>
      </c>
      <c r="Q479" s="17" t="s">
        <v>73</v>
      </c>
      <c r="R479" s="17" t="s">
        <v>74</v>
      </c>
      <c r="S479" s="17" t="s">
        <v>1425</v>
      </c>
      <c r="T479" s="17"/>
      <c r="U479" s="17" t="s">
        <v>160</v>
      </c>
      <c r="V479" s="17" t="s">
        <v>77</v>
      </c>
      <c r="W479" s="17" t="s">
        <v>161</v>
      </c>
      <c r="X479" s="17">
        <v>5</v>
      </c>
      <c r="Y479" s="17">
        <v>0</v>
      </c>
      <c r="Z479" s="17"/>
      <c r="AA479" s="17" t="s">
        <v>73</v>
      </c>
      <c r="AB479" s="17" t="s">
        <v>79</v>
      </c>
      <c r="AC479" s="17">
        <v>4</v>
      </c>
      <c r="AD479" s="17">
        <v>0</v>
      </c>
      <c r="AE479" s="17">
        <v>2</v>
      </c>
      <c r="AF479" s="17"/>
      <c r="AG479" s="17" t="s">
        <v>124</v>
      </c>
      <c r="AH479" s="17" t="s">
        <v>162</v>
      </c>
      <c r="AI479" s="17" t="s">
        <v>83</v>
      </c>
      <c r="AJ479" s="17" t="s">
        <v>1466</v>
      </c>
      <c r="AK479" s="17" t="s">
        <v>75</v>
      </c>
      <c r="AL479" s="17" t="s">
        <v>75</v>
      </c>
      <c r="AM479" s="17" t="s">
        <v>75</v>
      </c>
      <c r="AN479" s="17" t="s">
        <v>84</v>
      </c>
      <c r="AO479" s="17" t="s">
        <v>75</v>
      </c>
      <c r="AP479" s="17"/>
      <c r="AQ479" s="17"/>
      <c r="AR479" s="17"/>
      <c r="AS479" s="17"/>
      <c r="AT479" s="17"/>
      <c r="AU479" s="17" t="s">
        <v>111</v>
      </c>
    </row>
    <row r="480" hidden="1">
      <c r="A480" s="17">
        <v>478</v>
      </c>
      <c r="B480" s="17" t="s">
        <v>52</v>
      </c>
      <c r="C480" s="25" t="s">
        <v>1506</v>
      </c>
      <c r="D480" s="25" t="s">
        <v>1171</v>
      </c>
      <c r="E480" s="17" t="s">
        <v>1507</v>
      </c>
      <c r="F480" s="17" t="s">
        <v>1508</v>
      </c>
      <c r="G480" s="17">
        <v>22.492567999999999</v>
      </c>
      <c r="H480" s="17">
        <v>87.931994000000003</v>
      </c>
      <c r="I480" s="17"/>
      <c r="J480" s="17"/>
      <c r="K480" s="17"/>
      <c r="L480" s="17"/>
      <c r="M480" s="25" t="s">
        <v>1375</v>
      </c>
      <c r="N480" s="17"/>
      <c r="O480" s="17">
        <v>13</v>
      </c>
      <c r="P480" s="17">
        <v>100</v>
      </c>
      <c r="Q480" s="17" t="s">
        <v>1370</v>
      </c>
      <c r="R480" s="17" t="s">
        <v>74</v>
      </c>
      <c r="S480" s="17" t="s">
        <v>75</v>
      </c>
      <c r="T480" s="17"/>
      <c r="U480" s="17" t="s">
        <v>105</v>
      </c>
      <c r="V480" s="17" t="s">
        <v>77</v>
      </c>
      <c r="W480" s="17" t="s">
        <v>143</v>
      </c>
      <c r="X480" s="17">
        <v>5</v>
      </c>
      <c r="Y480" s="17">
        <v>5</v>
      </c>
      <c r="Z480" s="17"/>
      <c r="AA480" s="17" t="s">
        <v>1370</v>
      </c>
      <c r="AB480" s="17" t="s">
        <v>79</v>
      </c>
      <c r="AC480" s="17">
        <v>5</v>
      </c>
      <c r="AD480" s="17">
        <v>0</v>
      </c>
      <c r="AE480" s="17">
        <v>4</v>
      </c>
      <c r="AF480" s="17"/>
      <c r="AG480" s="17" t="s">
        <v>124</v>
      </c>
      <c r="AH480" s="17" t="s">
        <v>162</v>
      </c>
      <c r="AI480" s="17" t="s">
        <v>83</v>
      </c>
      <c r="AJ480" s="17" t="s">
        <v>1509</v>
      </c>
      <c r="AK480" s="17" t="s">
        <v>137</v>
      </c>
      <c r="AL480" s="17" t="s">
        <v>75</v>
      </c>
      <c r="AM480" s="17" t="s">
        <v>137</v>
      </c>
      <c r="AN480" s="17" t="s">
        <v>84</v>
      </c>
      <c r="AO480" s="17" t="s">
        <v>75</v>
      </c>
      <c r="AP480" s="17"/>
      <c r="AQ480" s="17"/>
      <c r="AR480" s="17"/>
      <c r="AS480" s="17"/>
      <c r="AT480" s="17" t="s">
        <v>1510</v>
      </c>
      <c r="AU480" s="17" t="s">
        <v>111</v>
      </c>
    </row>
    <row r="481" hidden="1">
      <c r="A481" s="17">
        <v>479</v>
      </c>
      <c r="B481" s="17" t="s">
        <v>52</v>
      </c>
      <c r="C481" s="25" t="s">
        <v>1511</v>
      </c>
      <c r="D481" s="25" t="s">
        <v>1171</v>
      </c>
      <c r="E481" s="17" t="s">
        <v>1512</v>
      </c>
      <c r="F481" s="17" t="s">
        <v>1513</v>
      </c>
      <c r="G481" s="17">
        <v>22.509747999999998</v>
      </c>
      <c r="H481" s="17">
        <v>88.033814000000007</v>
      </c>
      <c r="I481" s="17"/>
      <c r="J481" s="17"/>
      <c r="K481" s="17"/>
      <c r="L481" s="17"/>
      <c r="M481" s="25" t="s">
        <v>1375</v>
      </c>
      <c r="N481" s="17"/>
      <c r="O481" s="17">
        <v>15</v>
      </c>
      <c r="P481" s="17">
        <v>100</v>
      </c>
      <c r="Q481" s="17" t="s">
        <v>73</v>
      </c>
      <c r="R481" s="17" t="s">
        <v>74</v>
      </c>
      <c r="S481" s="17" t="s">
        <v>75</v>
      </c>
      <c r="T481" s="17"/>
      <c r="U481" s="17" t="s">
        <v>160</v>
      </c>
      <c r="V481" s="17" t="s">
        <v>77</v>
      </c>
      <c r="W481" s="17" t="s">
        <v>78</v>
      </c>
      <c r="X481" s="17">
        <v>3</v>
      </c>
      <c r="Y481" s="17">
        <v>0</v>
      </c>
      <c r="Z481" s="17"/>
      <c r="AA481" s="17" t="s">
        <v>73</v>
      </c>
      <c r="AB481" s="17" t="s">
        <v>79</v>
      </c>
      <c r="AC481" s="17">
        <v>4</v>
      </c>
      <c r="AD481" s="17">
        <v>0</v>
      </c>
      <c r="AE481" s="17">
        <v>2</v>
      </c>
      <c r="AF481" s="17"/>
      <c r="AG481" s="17" t="s">
        <v>124</v>
      </c>
      <c r="AH481" s="17" t="s">
        <v>82</v>
      </c>
      <c r="AI481" s="17" t="s">
        <v>83</v>
      </c>
      <c r="AJ481" s="17" t="s">
        <v>1453</v>
      </c>
      <c r="AK481" s="17" t="s">
        <v>137</v>
      </c>
      <c r="AL481" s="17" t="s">
        <v>75</v>
      </c>
      <c r="AM481" s="17" t="s">
        <v>137</v>
      </c>
      <c r="AN481" s="17" t="s">
        <v>84</v>
      </c>
      <c r="AO481" s="17" t="s">
        <v>75</v>
      </c>
      <c r="AP481" s="17"/>
      <c r="AQ481" s="17"/>
      <c r="AR481" s="17"/>
      <c r="AS481" s="17"/>
      <c r="AT481" s="17"/>
      <c r="AU481" s="17" t="s">
        <v>111</v>
      </c>
    </row>
    <row r="482" hidden="1">
      <c r="A482" s="17">
        <v>480</v>
      </c>
      <c r="B482" s="17" t="s">
        <v>52</v>
      </c>
      <c r="C482" s="25" t="s">
        <v>1514</v>
      </c>
      <c r="D482" s="25" t="s">
        <v>1171</v>
      </c>
      <c r="E482" s="17" t="s">
        <v>1515</v>
      </c>
      <c r="F482" s="17" t="s">
        <v>1516</v>
      </c>
      <c r="G482" s="17">
        <v>22.523135</v>
      </c>
      <c r="H482" s="17">
        <v>88.081621999999996</v>
      </c>
      <c r="I482" s="17"/>
      <c r="J482" s="17"/>
      <c r="K482" s="17"/>
      <c r="L482" s="17"/>
      <c r="M482" s="25" t="s">
        <v>1375</v>
      </c>
      <c r="N482" s="17"/>
      <c r="O482" s="17">
        <v>15</v>
      </c>
      <c r="P482" s="17">
        <v>170</v>
      </c>
      <c r="Q482" s="17" t="s">
        <v>73</v>
      </c>
      <c r="R482" s="17" t="s">
        <v>142</v>
      </c>
      <c r="S482" s="17" t="s">
        <v>75</v>
      </c>
      <c r="T482" s="17"/>
      <c r="U482" s="17" t="s">
        <v>105</v>
      </c>
      <c r="V482" s="17" t="s">
        <v>77</v>
      </c>
      <c r="W482" s="17" t="s">
        <v>252</v>
      </c>
      <c r="X482" s="17">
        <v>5</v>
      </c>
      <c r="Y482" s="17">
        <v>0</v>
      </c>
      <c r="Z482" s="17"/>
      <c r="AA482" s="17" t="s">
        <v>73</v>
      </c>
      <c r="AB482" s="17" t="s">
        <v>79</v>
      </c>
      <c r="AC482" s="17">
        <v>5</v>
      </c>
      <c r="AD482" s="17">
        <v>0</v>
      </c>
      <c r="AE482" s="17">
        <v>0</v>
      </c>
      <c r="AF482" s="17"/>
      <c r="AG482" s="17" t="s">
        <v>677</v>
      </c>
      <c r="AH482" s="17" t="s">
        <v>162</v>
      </c>
      <c r="AI482" s="17" t="s">
        <v>83</v>
      </c>
      <c r="AJ482" s="17" t="s">
        <v>1509</v>
      </c>
      <c r="AK482" s="17" t="s">
        <v>137</v>
      </c>
      <c r="AL482" s="17" t="s">
        <v>75</v>
      </c>
      <c r="AM482" s="17" t="s">
        <v>137</v>
      </c>
      <c r="AN482" s="17" t="s">
        <v>84</v>
      </c>
      <c r="AO482" s="17" t="s">
        <v>75</v>
      </c>
      <c r="AP482" s="17"/>
      <c r="AQ482" s="17"/>
      <c r="AR482" s="17"/>
      <c r="AS482" s="17"/>
      <c r="AT482" s="17" t="s">
        <v>1517</v>
      </c>
      <c r="AU482" s="17" t="s">
        <v>111</v>
      </c>
    </row>
    <row r="483" hidden="1">
      <c r="A483" s="17">
        <v>481</v>
      </c>
      <c r="B483" s="17" t="s">
        <v>52</v>
      </c>
      <c r="C483" s="25" t="s">
        <v>1518</v>
      </c>
      <c r="D483" s="25" t="s">
        <v>1171</v>
      </c>
      <c r="E483" s="17" t="s">
        <v>1519</v>
      </c>
      <c r="F483" s="17" t="s">
        <v>1520</v>
      </c>
      <c r="G483" s="17">
        <v>22.492621</v>
      </c>
      <c r="H483" s="17">
        <v>88.055561999999995</v>
      </c>
      <c r="I483" s="17"/>
      <c r="J483" s="17"/>
      <c r="K483" s="17"/>
      <c r="L483" s="17"/>
      <c r="M483" s="25" t="s">
        <v>1375</v>
      </c>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row>
    <row r="484" hidden="1">
      <c r="A484" s="17">
        <v>482</v>
      </c>
      <c r="B484" s="17" t="s">
        <v>52</v>
      </c>
      <c r="C484" s="25" t="s">
        <v>1521</v>
      </c>
      <c r="D484" s="25" t="s">
        <v>1171</v>
      </c>
      <c r="E484" s="17"/>
      <c r="F484" s="17"/>
      <c r="G484" s="17"/>
      <c r="H484" s="17"/>
      <c r="I484" s="17"/>
      <c r="J484" s="17"/>
      <c r="K484" s="17"/>
      <c r="L484" s="17"/>
      <c r="M484" s="25" t="s">
        <v>1375</v>
      </c>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row>
    <row r="485" hidden="1">
      <c r="A485" s="17">
        <v>483</v>
      </c>
      <c r="B485" s="17" t="s">
        <v>52</v>
      </c>
      <c r="C485" s="25" t="s">
        <v>1522</v>
      </c>
      <c r="D485" s="25" t="s">
        <v>1171</v>
      </c>
      <c r="E485" s="17" t="s">
        <v>1523</v>
      </c>
      <c r="F485" s="17" t="s">
        <v>1524</v>
      </c>
      <c r="G485" s="17">
        <v>22.53622</v>
      </c>
      <c r="H485" s="17">
        <v>87.821529999999996</v>
      </c>
      <c r="I485" s="17"/>
      <c r="J485" s="17"/>
      <c r="K485" s="17"/>
      <c r="L485" s="17"/>
      <c r="M485" s="25" t="s">
        <v>1525</v>
      </c>
      <c r="N485" s="17" t="s">
        <v>1526</v>
      </c>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row>
    <row r="486" hidden="1">
      <c r="A486" s="17">
        <v>484</v>
      </c>
      <c r="B486" s="17" t="s">
        <v>52</v>
      </c>
      <c r="C486" s="25" t="s">
        <v>1527</v>
      </c>
      <c r="D486" s="25" t="s">
        <v>1171</v>
      </c>
      <c r="E486" s="17" t="s">
        <v>1528</v>
      </c>
      <c r="F486" s="17" t="s">
        <v>1529</v>
      </c>
      <c r="G486" s="17">
        <v>22.445277999999998</v>
      </c>
      <c r="H486" s="17">
        <v>87.801137999999995</v>
      </c>
      <c r="I486" s="17"/>
      <c r="J486" s="17"/>
      <c r="K486" s="17"/>
      <c r="L486" s="17"/>
      <c r="M486" s="25" t="s">
        <v>1525</v>
      </c>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row>
    <row r="487" hidden="1">
      <c r="A487" s="17">
        <v>485</v>
      </c>
      <c r="B487" s="17" t="s">
        <v>52</v>
      </c>
      <c r="C487" s="25" t="s">
        <v>1530</v>
      </c>
      <c r="D487" s="25" t="s">
        <v>1171</v>
      </c>
      <c r="E487" s="17" t="s">
        <v>1531</v>
      </c>
      <c r="F487" s="17" t="s">
        <v>1532</v>
      </c>
      <c r="G487" s="17">
        <v>22.490378</v>
      </c>
      <c r="H487" s="17">
        <v>87.806295000000006</v>
      </c>
      <c r="I487" s="17"/>
      <c r="J487" s="17"/>
      <c r="K487" s="17"/>
      <c r="L487" s="17"/>
      <c r="M487" s="25" t="s">
        <v>1525</v>
      </c>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row>
    <row r="488" hidden="1">
      <c r="A488" s="17">
        <v>486</v>
      </c>
      <c r="B488" s="17" t="s">
        <v>52</v>
      </c>
      <c r="C488" s="25" t="s">
        <v>1533</v>
      </c>
      <c r="D488" s="25" t="s">
        <v>1171</v>
      </c>
      <c r="E488" s="17" t="s">
        <v>1534</v>
      </c>
      <c r="F488" s="17" t="s">
        <v>1535</v>
      </c>
      <c r="G488" s="17">
        <v>22.468810999999999</v>
      </c>
      <c r="H488" s="17">
        <v>87.774330000000006</v>
      </c>
      <c r="I488" s="17"/>
      <c r="J488" s="17"/>
      <c r="K488" s="17"/>
      <c r="L488" s="17"/>
      <c r="M488" s="25" t="s">
        <v>1525</v>
      </c>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row>
    <row r="489" hidden="1">
      <c r="A489" s="17">
        <v>487</v>
      </c>
      <c r="B489" s="17" t="s">
        <v>52</v>
      </c>
      <c r="C489" s="25" t="s">
        <v>1536</v>
      </c>
      <c r="D489" s="25" t="s">
        <v>1171</v>
      </c>
      <c r="E489" s="17" t="s">
        <v>1537</v>
      </c>
      <c r="F489" s="17" t="s">
        <v>1538</v>
      </c>
      <c r="G489" s="17">
        <v>22.497633</v>
      </c>
      <c r="H489" s="17">
        <v>87.831266999999997</v>
      </c>
      <c r="I489" s="17"/>
      <c r="J489" s="17"/>
      <c r="K489" s="17"/>
      <c r="L489" s="17"/>
      <c r="M489" s="25" t="s">
        <v>1525</v>
      </c>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row>
    <row r="490" hidden="1">
      <c r="A490" s="17">
        <v>488</v>
      </c>
      <c r="B490" s="17" t="s">
        <v>52</v>
      </c>
      <c r="C490" s="25" t="s">
        <v>1539</v>
      </c>
      <c r="D490" s="25" t="s">
        <v>1171</v>
      </c>
      <c r="E490" s="17" t="s">
        <v>1540</v>
      </c>
      <c r="F490" s="17" t="s">
        <v>1541</v>
      </c>
      <c r="G490" s="17">
        <v>22.468219999999999</v>
      </c>
      <c r="H490" s="17">
        <v>87.794684000000004</v>
      </c>
      <c r="I490" s="17"/>
      <c r="J490" s="17"/>
      <c r="K490" s="17"/>
      <c r="L490" s="17"/>
      <c r="M490" s="25" t="s">
        <v>1525</v>
      </c>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row>
    <row r="491" hidden="1">
      <c r="A491" s="17">
        <v>489</v>
      </c>
      <c r="B491" s="17" t="s">
        <v>52</v>
      </c>
      <c r="C491" s="25" t="s">
        <v>1542</v>
      </c>
      <c r="D491" s="25" t="s">
        <v>1171</v>
      </c>
      <c r="E491" s="17"/>
      <c r="F491" s="17"/>
      <c r="G491" s="17"/>
      <c r="H491" s="17"/>
      <c r="I491" s="17"/>
      <c r="J491" s="17"/>
      <c r="K491" s="17"/>
      <c r="L491" s="17"/>
      <c r="M491" s="25" t="s">
        <v>1525</v>
      </c>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row>
    <row r="492" hidden="1">
      <c r="A492" s="17">
        <v>490</v>
      </c>
      <c r="B492" s="17" t="s">
        <v>52</v>
      </c>
      <c r="C492" s="25" t="s">
        <v>1543</v>
      </c>
      <c r="D492" s="25" t="s">
        <v>1171</v>
      </c>
      <c r="E492" s="17"/>
      <c r="F492" s="17"/>
      <c r="G492" s="17"/>
      <c r="H492" s="17"/>
      <c r="I492" s="17"/>
      <c r="J492" s="17"/>
      <c r="K492" s="17"/>
      <c r="L492" s="17"/>
      <c r="M492" s="25" t="s">
        <v>1525</v>
      </c>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row>
    <row r="493" hidden="1">
      <c r="A493" s="17">
        <v>491</v>
      </c>
      <c r="B493" s="17" t="s">
        <v>52</v>
      </c>
      <c r="C493" s="25" t="s">
        <v>1544</v>
      </c>
      <c r="D493" s="25" t="s">
        <v>1171</v>
      </c>
      <c r="E493" s="17" t="s">
        <v>1545</v>
      </c>
      <c r="F493" s="17"/>
      <c r="G493" s="17"/>
      <c r="H493" s="17"/>
      <c r="I493" s="17"/>
      <c r="J493" s="17"/>
      <c r="K493" s="17"/>
      <c r="L493" s="17"/>
      <c r="M493" s="25" t="s">
        <v>1525</v>
      </c>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row>
    <row r="494" hidden="1">
      <c r="A494" s="17">
        <v>492</v>
      </c>
      <c r="B494" s="17" t="s">
        <v>52</v>
      </c>
      <c r="C494" s="25" t="s">
        <v>1546</v>
      </c>
      <c r="D494" s="25" t="s">
        <v>1171</v>
      </c>
      <c r="E494" s="17" t="s">
        <v>1547</v>
      </c>
      <c r="F494" s="17" t="s">
        <v>1548</v>
      </c>
      <c r="G494" s="17">
        <v>22.458562000000001</v>
      </c>
      <c r="H494" s="17">
        <v>87.709294</v>
      </c>
      <c r="I494" s="17"/>
      <c r="J494" s="17"/>
      <c r="K494" s="17"/>
      <c r="L494" s="17"/>
      <c r="M494" s="25" t="s">
        <v>1525</v>
      </c>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row>
    <row r="495" hidden="1">
      <c r="A495" s="17">
        <v>493</v>
      </c>
      <c r="B495" s="17" t="s">
        <v>52</v>
      </c>
      <c r="C495" s="25" t="s">
        <v>1549</v>
      </c>
      <c r="D495" s="25" t="s">
        <v>1171</v>
      </c>
      <c r="E495" s="17" t="s">
        <v>1550</v>
      </c>
      <c r="F495" s="17" t="s">
        <v>1551</v>
      </c>
      <c r="G495" s="17">
        <v>22.466460999999999</v>
      </c>
      <c r="H495" s="17">
        <v>87.749855999999994</v>
      </c>
      <c r="I495" s="17"/>
      <c r="J495" s="17"/>
      <c r="K495" s="17"/>
      <c r="L495" s="17"/>
      <c r="M495" s="25" t="s">
        <v>1525</v>
      </c>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row>
    <row r="496" hidden="1">
      <c r="A496" s="17">
        <v>494</v>
      </c>
      <c r="B496" s="17" t="s">
        <v>52</v>
      </c>
      <c r="C496" s="25" t="s">
        <v>1552</v>
      </c>
      <c r="D496" s="25" t="s">
        <v>1171</v>
      </c>
      <c r="E496" s="17"/>
      <c r="F496" s="17"/>
      <c r="G496" s="17"/>
      <c r="H496" s="17"/>
      <c r="I496" s="17"/>
      <c r="J496" s="17"/>
      <c r="K496" s="17"/>
      <c r="L496" s="17"/>
      <c r="M496" s="25" t="s">
        <v>1525</v>
      </c>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row>
    <row r="497" hidden="1">
      <c r="A497" s="17">
        <v>495</v>
      </c>
      <c r="B497" s="17" t="s">
        <v>52</v>
      </c>
      <c r="C497" s="25" t="s">
        <v>1553</v>
      </c>
      <c r="D497" s="25" t="s">
        <v>1171</v>
      </c>
      <c r="E497" s="17"/>
      <c r="F497" s="17"/>
      <c r="G497" s="17"/>
      <c r="H497" s="17"/>
      <c r="I497" s="17"/>
      <c r="J497" s="17"/>
      <c r="K497" s="17"/>
      <c r="L497" s="17"/>
      <c r="M497" s="25" t="s">
        <v>1525</v>
      </c>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row>
    <row r="498" hidden="1">
      <c r="A498" s="17">
        <v>496</v>
      </c>
      <c r="B498" s="17" t="s">
        <v>52</v>
      </c>
      <c r="C498" s="25" t="s">
        <v>1554</v>
      </c>
      <c r="D498" s="25" t="s">
        <v>1171</v>
      </c>
      <c r="E498" s="17"/>
      <c r="F498" s="17"/>
      <c r="G498" s="17"/>
      <c r="H498" s="17"/>
      <c r="I498" s="17"/>
      <c r="J498" s="17"/>
      <c r="K498" s="17"/>
      <c r="L498" s="17"/>
      <c r="M498" s="25" t="s">
        <v>1525</v>
      </c>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row>
    <row r="499" hidden="1">
      <c r="A499" s="17">
        <v>497</v>
      </c>
      <c r="B499" s="17" t="s">
        <v>52</v>
      </c>
      <c r="C499" s="25" t="s">
        <v>1555</v>
      </c>
      <c r="D499" s="25" t="s">
        <v>1171</v>
      </c>
      <c r="E499" s="17"/>
      <c r="F499" s="17"/>
      <c r="G499" s="17"/>
      <c r="H499" s="17"/>
      <c r="I499" s="17"/>
      <c r="J499" s="17"/>
      <c r="K499" s="17"/>
      <c r="L499" s="17"/>
      <c r="M499" s="25" t="s">
        <v>1525</v>
      </c>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row>
    <row r="500" hidden="1">
      <c r="A500" s="17">
        <v>498</v>
      </c>
      <c r="B500" s="17" t="s">
        <v>52</v>
      </c>
      <c r="C500" s="25" t="s">
        <v>1556</v>
      </c>
      <c r="D500" s="25" t="s">
        <v>1171</v>
      </c>
      <c r="E500" s="17"/>
      <c r="F500" s="17"/>
      <c r="G500" s="17"/>
      <c r="H500" s="17"/>
      <c r="I500" s="17"/>
      <c r="J500" s="17"/>
      <c r="K500" s="17"/>
      <c r="L500" s="17"/>
      <c r="M500" s="25" t="s">
        <v>1525</v>
      </c>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row>
    <row r="501" hidden="1">
      <c r="A501" s="17">
        <v>499</v>
      </c>
      <c r="B501" s="17" t="s">
        <v>52</v>
      </c>
      <c r="C501" s="25" t="s">
        <v>1557</v>
      </c>
      <c r="D501" s="25" t="s">
        <v>1171</v>
      </c>
      <c r="E501" s="17" t="s">
        <v>1558</v>
      </c>
      <c r="F501" s="17" t="s">
        <v>1559</v>
      </c>
      <c r="G501" s="17">
        <v>22.553249999999998</v>
      </c>
      <c r="H501" s="17">
        <v>87.76773</v>
      </c>
      <c r="I501" s="17"/>
      <c r="J501" s="17"/>
      <c r="K501" s="17"/>
      <c r="L501" s="17"/>
      <c r="M501" s="25" t="s">
        <v>1525</v>
      </c>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row>
    <row r="502" hidden="1">
      <c r="A502" s="17">
        <v>500</v>
      </c>
      <c r="B502" s="17" t="s">
        <v>52</v>
      </c>
      <c r="C502" s="25" t="s">
        <v>1560</v>
      </c>
      <c r="D502" s="25" t="s">
        <v>1171</v>
      </c>
      <c r="E502" s="17" t="s">
        <v>1561</v>
      </c>
      <c r="F502" s="17" t="s">
        <v>1562</v>
      </c>
      <c r="G502" s="17">
        <v>22.560176999999999</v>
      </c>
      <c r="H502" s="17">
        <v>87.841515000000001</v>
      </c>
      <c r="I502" s="17"/>
      <c r="J502" s="17"/>
      <c r="K502" s="17"/>
      <c r="L502" s="17"/>
      <c r="M502" s="25" t="s">
        <v>1525</v>
      </c>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row>
    <row r="503" hidden="1">
      <c r="A503" s="17">
        <v>501</v>
      </c>
      <c r="B503" s="17" t="s">
        <v>52</v>
      </c>
      <c r="C503" s="25" t="s">
        <v>1563</v>
      </c>
      <c r="D503" s="25" t="s">
        <v>1171</v>
      </c>
      <c r="E503" s="17" t="s">
        <v>1564</v>
      </c>
      <c r="F503" s="17" t="s">
        <v>1565</v>
      </c>
      <c r="G503" s="17">
        <v>22.559372</v>
      </c>
      <c r="H503" s="17">
        <v>87.831424999999996</v>
      </c>
      <c r="I503" s="17"/>
      <c r="J503" s="17"/>
      <c r="K503" s="17"/>
      <c r="L503" s="17"/>
      <c r="M503" s="25" t="s">
        <v>1525</v>
      </c>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row>
    <row r="504" hidden="1">
      <c r="A504" s="17">
        <v>502</v>
      </c>
      <c r="B504" s="17" t="s">
        <v>52</v>
      </c>
      <c r="C504" s="25" t="s">
        <v>1566</v>
      </c>
      <c r="D504" s="25" t="s">
        <v>1171</v>
      </c>
      <c r="E504" s="17" t="s">
        <v>1567</v>
      </c>
      <c r="F504" s="17" t="s">
        <v>1568</v>
      </c>
      <c r="G504" s="17">
        <v>22.412814000000001</v>
      </c>
      <c r="H504" s="17">
        <v>87.861909999999995</v>
      </c>
      <c r="I504" s="17"/>
      <c r="J504" s="17"/>
      <c r="K504" s="17"/>
      <c r="L504" s="17"/>
      <c r="M504" s="25" t="s">
        <v>894</v>
      </c>
      <c r="N504" s="17">
        <v>9064976023</v>
      </c>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row>
    <row r="505" hidden="1">
      <c r="A505" s="17">
        <v>503</v>
      </c>
      <c r="B505" s="17" t="s">
        <v>52</v>
      </c>
      <c r="C505" s="25" t="s">
        <v>1569</v>
      </c>
      <c r="D505" s="25" t="s">
        <v>1171</v>
      </c>
      <c r="E505" s="17" t="s">
        <v>1570</v>
      </c>
      <c r="F505" s="17" t="s">
        <v>1571</v>
      </c>
      <c r="G505" s="17">
        <v>22.403628999999999</v>
      </c>
      <c r="H505" s="17">
        <v>87.811587000000003</v>
      </c>
      <c r="I505" s="17"/>
      <c r="J505" s="17"/>
      <c r="K505" s="17"/>
      <c r="L505" s="17"/>
      <c r="M505" s="25" t="s">
        <v>894</v>
      </c>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row>
    <row r="506" hidden="1">
      <c r="A506" s="17">
        <v>504</v>
      </c>
      <c r="B506" s="17" t="s">
        <v>52</v>
      </c>
      <c r="C506" s="25" t="s">
        <v>1572</v>
      </c>
      <c r="D506" s="25" t="s">
        <v>1171</v>
      </c>
      <c r="E506" s="17" t="s">
        <v>1573</v>
      </c>
      <c r="F506" s="17" t="s">
        <v>1574</v>
      </c>
      <c r="G506" s="17">
        <v>22.390001000000002</v>
      </c>
      <c r="H506" s="17">
        <v>87.742238999999998</v>
      </c>
      <c r="I506" s="17"/>
      <c r="J506" s="17"/>
      <c r="K506" s="17"/>
      <c r="L506" s="17"/>
      <c r="M506" s="25" t="s">
        <v>159</v>
      </c>
      <c r="N506" s="17">
        <v>9064976020</v>
      </c>
      <c r="O506" s="17">
        <v>16</v>
      </c>
      <c r="P506" s="17">
        <v>115</v>
      </c>
      <c r="Q506" s="17" t="s">
        <v>73</v>
      </c>
      <c r="R506" s="17" t="s">
        <v>74</v>
      </c>
      <c r="S506" s="17" t="s">
        <v>75</v>
      </c>
      <c r="T506" s="17"/>
      <c r="U506" s="17" t="s">
        <v>105</v>
      </c>
      <c r="V506" s="17" t="s">
        <v>77</v>
      </c>
      <c r="W506" s="17" t="s">
        <v>78</v>
      </c>
      <c r="X506" s="17">
        <v>5</v>
      </c>
      <c r="Y506" s="17">
        <v>1</v>
      </c>
      <c r="Z506" s="17"/>
      <c r="AA506" s="17" t="s">
        <v>73</v>
      </c>
      <c r="AB506" s="17" t="s">
        <v>79</v>
      </c>
      <c r="AC506" s="17">
        <v>2</v>
      </c>
      <c r="AD506" s="17">
        <v>0</v>
      </c>
      <c r="AE506" s="17">
        <v>0</v>
      </c>
      <c r="AF506" s="17"/>
      <c r="AG506" s="17" t="s">
        <v>677</v>
      </c>
      <c r="AH506" s="17" t="s">
        <v>162</v>
      </c>
      <c r="AI506" s="17" t="s">
        <v>83</v>
      </c>
      <c r="AJ506" s="17">
        <v>2112</v>
      </c>
      <c r="AK506" s="17" t="s">
        <v>75</v>
      </c>
      <c r="AL506" s="17" t="s">
        <v>137</v>
      </c>
      <c r="AM506" s="17" t="s">
        <v>75</v>
      </c>
      <c r="AN506" s="17" t="s">
        <v>125</v>
      </c>
      <c r="AO506" s="17" t="s">
        <v>75</v>
      </c>
      <c r="AP506" s="17"/>
      <c r="AQ506" s="17"/>
      <c r="AR506" s="17"/>
      <c r="AS506" s="17"/>
      <c r="AT506" s="17" t="s">
        <v>1575</v>
      </c>
      <c r="AU506" s="17" t="s">
        <v>111</v>
      </c>
    </row>
    <row r="507" hidden="1">
      <c r="A507" s="17">
        <v>505</v>
      </c>
      <c r="B507" s="17" t="s">
        <v>52</v>
      </c>
      <c r="C507" s="25" t="s">
        <v>1576</v>
      </c>
      <c r="D507" s="25" t="s">
        <v>1171</v>
      </c>
      <c r="E507" s="17" t="s">
        <v>1577</v>
      </c>
      <c r="F507" s="17" t="s">
        <v>1578</v>
      </c>
      <c r="G507" s="17">
        <v>22.362924</v>
      </c>
      <c r="H507" s="17">
        <v>87.655034000000001</v>
      </c>
      <c r="I507" s="17"/>
      <c r="J507" s="17"/>
      <c r="K507" s="17"/>
      <c r="L507" s="17"/>
      <c r="M507" s="25" t="s">
        <v>1579</v>
      </c>
      <c r="N507" s="17">
        <v>7003188299</v>
      </c>
      <c r="O507" s="17">
        <v>22</v>
      </c>
      <c r="P507" s="17">
        <v>95</v>
      </c>
      <c r="Q507" s="17" t="s">
        <v>73</v>
      </c>
      <c r="R507" s="17" t="s">
        <v>74</v>
      </c>
      <c r="S507" s="17" t="s">
        <v>75</v>
      </c>
      <c r="T507" s="17"/>
      <c r="U507" s="17" t="s">
        <v>105</v>
      </c>
      <c r="V507" s="17" t="s">
        <v>77</v>
      </c>
      <c r="W507" s="17" t="s">
        <v>330</v>
      </c>
      <c r="X507" s="17">
        <v>5</v>
      </c>
      <c r="Y507" s="17">
        <v>0</v>
      </c>
      <c r="Z507" s="17"/>
      <c r="AA507" s="17" t="s">
        <v>73</v>
      </c>
      <c r="AB507" s="17" t="s">
        <v>79</v>
      </c>
      <c r="AC507" s="17">
        <v>2</v>
      </c>
      <c r="AD507" s="17">
        <v>0</v>
      </c>
      <c r="AE507" s="17">
        <v>0</v>
      </c>
      <c r="AF507" s="17"/>
      <c r="AG507" s="17" t="s">
        <v>414</v>
      </c>
      <c r="AH507" s="17" t="s">
        <v>415</v>
      </c>
      <c r="AI507" s="17" t="s">
        <v>1580</v>
      </c>
      <c r="AJ507" s="17" t="s">
        <v>416</v>
      </c>
      <c r="AK507" s="17" t="s">
        <v>137</v>
      </c>
      <c r="AL507" s="17" t="s">
        <v>137</v>
      </c>
      <c r="AM507" s="17" t="s">
        <v>137</v>
      </c>
      <c r="AN507" s="17" t="s">
        <v>84</v>
      </c>
      <c r="AO507" s="17" t="s">
        <v>137</v>
      </c>
      <c r="AP507" s="17"/>
      <c r="AQ507" s="17"/>
      <c r="AR507" s="17"/>
      <c r="AS507" s="17"/>
      <c r="AT507" s="17" t="s">
        <v>1581</v>
      </c>
      <c r="AU507" s="17" t="s">
        <v>1582</v>
      </c>
    </row>
    <row r="508" hidden="1">
      <c r="A508" s="17">
        <v>506</v>
      </c>
      <c r="B508" s="17" t="s">
        <v>52</v>
      </c>
      <c r="C508" s="25" t="s">
        <v>1583</v>
      </c>
      <c r="D508" s="25" t="s">
        <v>1171</v>
      </c>
      <c r="E508" s="17" t="s">
        <v>1584</v>
      </c>
      <c r="F508" s="17" t="s">
        <v>1585</v>
      </c>
      <c r="G508" s="17">
        <v>22.398928999999999</v>
      </c>
      <c r="H508" s="17">
        <v>87.714203999999995</v>
      </c>
      <c r="I508" s="17"/>
      <c r="J508" s="17"/>
      <c r="K508" s="17"/>
      <c r="L508" s="17"/>
      <c r="M508" s="25" t="s">
        <v>159</v>
      </c>
      <c r="N508" s="17">
        <v>9064976020</v>
      </c>
      <c r="O508" s="17">
        <v>18</v>
      </c>
      <c r="P508" s="17">
        <v>90</v>
      </c>
      <c r="Q508" s="17" t="s">
        <v>413</v>
      </c>
      <c r="R508" s="17" t="s">
        <v>74</v>
      </c>
      <c r="S508" s="17" t="s">
        <v>137</v>
      </c>
      <c r="T508" s="17" t="s">
        <v>1586</v>
      </c>
      <c r="U508" s="17" t="s">
        <v>160</v>
      </c>
      <c r="V508" s="17" t="s">
        <v>77</v>
      </c>
      <c r="W508" s="17" t="s">
        <v>1234</v>
      </c>
      <c r="X508" s="17">
        <v>3</v>
      </c>
      <c r="Y508" s="17">
        <v>2</v>
      </c>
      <c r="Z508" s="17" t="s">
        <v>137</v>
      </c>
      <c r="AA508" s="17" t="s">
        <v>413</v>
      </c>
      <c r="AB508" s="17" t="s">
        <v>79</v>
      </c>
      <c r="AC508" s="17">
        <v>5</v>
      </c>
      <c r="AD508" s="17">
        <v>0</v>
      </c>
      <c r="AE508" s="17">
        <v>1</v>
      </c>
      <c r="AF508" s="17" t="s">
        <v>1587</v>
      </c>
      <c r="AG508" s="17" t="s">
        <v>124</v>
      </c>
      <c r="AH508" s="17" t="s">
        <v>162</v>
      </c>
      <c r="AI508" s="17" t="s">
        <v>83</v>
      </c>
      <c r="AJ508" s="17">
        <v>2112</v>
      </c>
      <c r="AK508" s="17" t="s">
        <v>75</v>
      </c>
      <c r="AL508" s="17" t="s">
        <v>75</v>
      </c>
      <c r="AM508" s="17" t="s">
        <v>75</v>
      </c>
      <c r="AN508" s="17" t="s">
        <v>84</v>
      </c>
      <c r="AO508" s="17" t="s">
        <v>75</v>
      </c>
      <c r="AP508" s="17"/>
      <c r="AQ508" s="17"/>
      <c r="AR508" s="17"/>
      <c r="AS508" s="17"/>
      <c r="AT508" s="17" t="s">
        <v>1588</v>
      </c>
      <c r="AU508" s="17" t="s">
        <v>127</v>
      </c>
    </row>
    <row r="509" hidden="1">
      <c r="A509" s="17">
        <v>507</v>
      </c>
      <c r="B509" s="17" t="s">
        <v>52</v>
      </c>
      <c r="C509" s="25" t="s">
        <v>119</v>
      </c>
      <c r="D509" s="25" t="s">
        <v>1171</v>
      </c>
      <c r="E509" s="17" t="s">
        <v>120</v>
      </c>
      <c r="F509" s="17" t="s">
        <v>121</v>
      </c>
      <c r="G509" s="17">
        <v>22.222746999999998</v>
      </c>
      <c r="H509" s="17">
        <v>87.842417999999995</v>
      </c>
      <c r="I509" s="17"/>
      <c r="J509" s="17"/>
      <c r="K509" s="17"/>
      <c r="L509" s="17"/>
      <c r="M509" s="25" t="s">
        <v>166</v>
      </c>
      <c r="N509" s="17">
        <v>9064976019</v>
      </c>
      <c r="O509" s="17" t="s">
        <v>1589</v>
      </c>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row>
    <row r="510" hidden="1">
      <c r="A510" s="17">
        <v>508</v>
      </c>
      <c r="B510" s="17" t="s">
        <v>52</v>
      </c>
      <c r="C510" s="25" t="s">
        <v>1590</v>
      </c>
      <c r="D510" s="25" t="s">
        <v>1171</v>
      </c>
      <c r="E510" s="17" t="s">
        <v>1591</v>
      </c>
      <c r="F510" s="17" t="s">
        <v>1592</v>
      </c>
      <c r="G510" s="17">
        <v>22.305599999999998</v>
      </c>
      <c r="H510" s="17">
        <v>87.779109000000005</v>
      </c>
      <c r="I510" s="17"/>
      <c r="J510" s="17"/>
      <c r="K510" s="17"/>
      <c r="L510" s="17"/>
      <c r="M510" s="25" t="s">
        <v>166</v>
      </c>
      <c r="N510" s="17">
        <v>9064976019</v>
      </c>
      <c r="O510" s="17">
        <v>15</v>
      </c>
      <c r="P510" s="17">
        <v>110</v>
      </c>
      <c r="Q510" s="17" t="s">
        <v>73</v>
      </c>
      <c r="R510" s="17" t="s">
        <v>104</v>
      </c>
      <c r="S510" s="17" t="s">
        <v>75</v>
      </c>
      <c r="T510" s="17"/>
      <c r="U510" s="17" t="s">
        <v>76</v>
      </c>
      <c r="V510" s="17" t="s">
        <v>77</v>
      </c>
      <c r="W510" s="17" t="s">
        <v>330</v>
      </c>
      <c r="X510" s="17">
        <v>6</v>
      </c>
      <c r="Y510" s="17">
        <v>1</v>
      </c>
      <c r="Z510" s="17"/>
      <c r="AA510" s="17" t="s">
        <v>73</v>
      </c>
      <c r="AB510" s="17" t="s">
        <v>79</v>
      </c>
      <c r="AC510" s="17">
        <v>2</v>
      </c>
      <c r="AD510" s="17">
        <v>0</v>
      </c>
      <c r="AE510" s="17">
        <v>0</v>
      </c>
      <c r="AF510" s="17"/>
      <c r="AG510" s="17" t="s">
        <v>124</v>
      </c>
      <c r="AH510" s="17" t="s">
        <v>82</v>
      </c>
      <c r="AI510" s="17" t="s">
        <v>83</v>
      </c>
      <c r="AJ510" s="17">
        <v>2111</v>
      </c>
      <c r="AK510" s="17" t="s">
        <v>75</v>
      </c>
      <c r="AL510" s="17" t="s">
        <v>75</v>
      </c>
      <c r="AM510" s="17" t="s">
        <v>75</v>
      </c>
      <c r="AN510" s="17" t="s">
        <v>125</v>
      </c>
      <c r="AO510" s="17" t="s">
        <v>75</v>
      </c>
      <c r="AP510" s="17"/>
      <c r="AQ510" s="17"/>
      <c r="AR510" s="17"/>
      <c r="AS510" s="17"/>
      <c r="AT510" s="17"/>
      <c r="AU510" s="17" t="s">
        <v>430</v>
      </c>
    </row>
    <row r="511" hidden="1">
      <c r="A511" s="17">
        <v>509</v>
      </c>
      <c r="B511" s="17" t="s">
        <v>52</v>
      </c>
      <c r="C511" s="25" t="s">
        <v>1593</v>
      </c>
      <c r="D511" s="25" t="s">
        <v>1171</v>
      </c>
      <c r="E511" s="17"/>
      <c r="F511" s="17" t="s">
        <v>1594</v>
      </c>
      <c r="G511" s="17">
        <v>22.35754</v>
      </c>
      <c r="H511" s="17">
        <v>87.73066</v>
      </c>
      <c r="I511" s="17"/>
      <c r="J511" s="17"/>
      <c r="K511" s="17"/>
      <c r="L511" s="17"/>
      <c r="M511" s="25" t="s">
        <v>166</v>
      </c>
      <c r="N511" s="17">
        <v>9064976019</v>
      </c>
      <c r="O511" s="17">
        <v>16</v>
      </c>
      <c r="P511" s="17">
        <v>95</v>
      </c>
      <c r="Q511" s="17" t="s">
        <v>187</v>
      </c>
      <c r="R511" s="17" t="s">
        <v>74</v>
      </c>
      <c r="S511" s="17" t="s">
        <v>75</v>
      </c>
      <c r="T511" s="17"/>
      <c r="U511" s="17" t="s">
        <v>160</v>
      </c>
      <c r="V511" s="17" t="s">
        <v>77</v>
      </c>
      <c r="W511" s="17" t="s">
        <v>252</v>
      </c>
      <c r="X511" s="17">
        <v>5</v>
      </c>
      <c r="Y511" s="17">
        <v>0</v>
      </c>
      <c r="Z511" s="17"/>
      <c r="AA511" s="17" t="s">
        <v>187</v>
      </c>
      <c r="AB511" s="17" t="s">
        <v>79</v>
      </c>
      <c r="AC511" s="17">
        <v>4</v>
      </c>
      <c r="AD511" s="17">
        <v>0</v>
      </c>
      <c r="AE511" s="17">
        <v>0</v>
      </c>
      <c r="AF511" s="17"/>
      <c r="AG511" s="17" t="s">
        <v>124</v>
      </c>
      <c r="AH511" s="17" t="s">
        <v>82</v>
      </c>
      <c r="AI511" s="17" t="s">
        <v>83</v>
      </c>
      <c r="AJ511" s="17">
        <v>2111</v>
      </c>
      <c r="AK511" s="17" t="s">
        <v>137</v>
      </c>
      <c r="AL511" s="17" t="s">
        <v>137</v>
      </c>
      <c r="AM511" s="17" t="s">
        <v>137</v>
      </c>
      <c r="AN511" s="17" t="s">
        <v>84</v>
      </c>
      <c r="AO511" s="17" t="s">
        <v>137</v>
      </c>
      <c r="AP511" s="17"/>
      <c r="AQ511" s="17"/>
      <c r="AR511" s="17"/>
      <c r="AS511" s="17"/>
      <c r="AT511" s="17" t="s">
        <v>1595</v>
      </c>
      <c r="AU511" s="17" t="s">
        <v>111</v>
      </c>
    </row>
    <row r="512" hidden="1">
      <c r="A512" s="17">
        <v>510</v>
      </c>
      <c r="B512" s="17" t="s">
        <v>52</v>
      </c>
      <c r="C512" s="25" t="s">
        <v>1596</v>
      </c>
      <c r="D512" s="25" t="s">
        <v>1171</v>
      </c>
      <c r="E512" s="17" t="s">
        <v>1597</v>
      </c>
      <c r="F512" s="17" t="s">
        <v>1598</v>
      </c>
      <c r="G512" s="17">
        <v>22.313763000000002</v>
      </c>
      <c r="H512" s="17">
        <v>87.759054000000006</v>
      </c>
      <c r="I512" s="17"/>
      <c r="J512" s="17"/>
      <c r="K512" s="17"/>
      <c r="L512" s="17"/>
      <c r="M512" s="25" t="s">
        <v>166</v>
      </c>
      <c r="N512" s="17">
        <v>9064976019</v>
      </c>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row>
    <row r="513" hidden="1">
      <c r="A513" s="17">
        <v>511</v>
      </c>
      <c r="B513" s="17" t="s">
        <v>52</v>
      </c>
      <c r="C513" s="25" t="s">
        <v>1599</v>
      </c>
      <c r="D513" s="25" t="s">
        <v>1171</v>
      </c>
      <c r="E513" s="17" t="s">
        <v>1600</v>
      </c>
      <c r="F513" s="17" t="s">
        <v>1601</v>
      </c>
      <c r="G513" s="17">
        <v>22.334513000000001</v>
      </c>
      <c r="H513" s="17">
        <v>87.753615999999994</v>
      </c>
      <c r="I513" s="17"/>
      <c r="J513" s="17"/>
      <c r="K513" s="17"/>
      <c r="L513" s="17"/>
      <c r="M513" s="25" t="s">
        <v>166</v>
      </c>
      <c r="N513" s="17">
        <v>9064976019</v>
      </c>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row>
    <row r="514" hidden="1">
      <c r="A514" s="17">
        <v>512</v>
      </c>
      <c r="B514" s="17" t="s">
        <v>52</v>
      </c>
      <c r="C514" s="25" t="s">
        <v>1602</v>
      </c>
      <c r="D514" s="25" t="s">
        <v>1171</v>
      </c>
      <c r="E514" s="17"/>
      <c r="F514" s="17"/>
      <c r="G514" s="17"/>
      <c r="H514" s="17"/>
      <c r="I514" s="17"/>
      <c r="J514" s="17"/>
      <c r="K514" s="17"/>
      <c r="L514" s="17"/>
      <c r="M514" s="25" t="s">
        <v>166</v>
      </c>
      <c r="N514" s="17">
        <v>9064976019</v>
      </c>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row>
    <row r="515" hidden="1">
      <c r="A515" s="17">
        <v>513</v>
      </c>
      <c r="B515" s="17" t="s">
        <v>52</v>
      </c>
      <c r="C515" s="25" t="s">
        <v>1603</v>
      </c>
      <c r="D515" s="25" t="s">
        <v>1171</v>
      </c>
      <c r="E515" s="17" t="s">
        <v>1171</v>
      </c>
      <c r="F515" s="17" t="s">
        <v>1604</v>
      </c>
      <c r="G515" s="17">
        <v>22.339808000000001</v>
      </c>
      <c r="H515" s="17">
        <v>87.770758999999998</v>
      </c>
      <c r="I515" s="17"/>
      <c r="J515" s="17"/>
      <c r="K515" s="17"/>
      <c r="L515" s="17"/>
      <c r="M515" s="25" t="s">
        <v>166</v>
      </c>
      <c r="N515" s="17">
        <v>9064976019</v>
      </c>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row>
    <row r="516" hidden="1">
      <c r="A516" s="17">
        <v>514</v>
      </c>
      <c r="B516" s="17" t="s">
        <v>52</v>
      </c>
      <c r="C516" s="25" t="s">
        <v>1605</v>
      </c>
      <c r="D516" s="25" t="s">
        <v>1171</v>
      </c>
      <c r="E516" s="17"/>
      <c r="F516" s="17"/>
      <c r="G516" s="17"/>
      <c r="H516" s="17"/>
      <c r="I516" s="17"/>
      <c r="J516" s="17"/>
      <c r="K516" s="17"/>
      <c r="L516" s="17"/>
      <c r="M516" s="25" t="s">
        <v>166</v>
      </c>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row>
    <row r="517" hidden="1">
      <c r="A517" s="17">
        <v>515</v>
      </c>
      <c r="B517" s="17" t="s">
        <v>52</v>
      </c>
      <c r="C517" s="25" t="s">
        <v>1606</v>
      </c>
      <c r="D517" s="25" t="s">
        <v>1171</v>
      </c>
      <c r="E517" s="17"/>
      <c r="F517" s="17"/>
      <c r="G517" s="17"/>
      <c r="H517" s="17"/>
      <c r="I517" s="17"/>
      <c r="J517" s="17"/>
      <c r="K517" s="17"/>
      <c r="L517" s="17"/>
      <c r="M517" s="25" t="s">
        <v>166</v>
      </c>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row>
    <row r="518" hidden="1">
      <c r="A518" s="17">
        <v>516</v>
      </c>
      <c r="B518" s="17" t="s">
        <v>52</v>
      </c>
      <c r="C518" s="25" t="s">
        <v>1607</v>
      </c>
      <c r="D518" s="25" t="s">
        <v>1171</v>
      </c>
      <c r="E518" s="17"/>
      <c r="F518" s="17"/>
      <c r="G518" s="17"/>
      <c r="H518" s="17"/>
      <c r="I518" s="17"/>
      <c r="J518" s="17"/>
      <c r="K518" s="17"/>
      <c r="L518" s="17"/>
      <c r="M518" s="25" t="s">
        <v>166</v>
      </c>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row>
    <row r="519" hidden="1">
      <c r="A519" s="17">
        <v>517</v>
      </c>
      <c r="B519" s="17" t="s">
        <v>52</v>
      </c>
      <c r="C519" s="30" t="s">
        <v>1608</v>
      </c>
      <c r="D519" s="25" t="s">
        <v>1330</v>
      </c>
      <c r="E519" s="17"/>
      <c r="F519" s="17"/>
      <c r="G519" s="17"/>
      <c r="H519" s="17"/>
      <c r="I519" s="17"/>
      <c r="J519" s="17"/>
      <c r="K519" s="17"/>
      <c r="L519" s="17"/>
      <c r="M519" s="25" t="s">
        <v>1609</v>
      </c>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row>
    <row r="520" hidden="1">
      <c r="A520" s="17">
        <v>518</v>
      </c>
      <c r="B520" s="17" t="s">
        <v>52</v>
      </c>
      <c r="C520" s="31" t="s">
        <v>1610</v>
      </c>
      <c r="D520" s="25" t="s">
        <v>1171</v>
      </c>
      <c r="E520" s="17" t="s">
        <v>1611</v>
      </c>
      <c r="F520" s="17" t="s">
        <v>1612</v>
      </c>
      <c r="G520" s="17">
        <v>22.679711999999999</v>
      </c>
      <c r="H520" s="17">
        <v>88.109519000000006</v>
      </c>
      <c r="I520" s="17"/>
      <c r="J520" s="17"/>
      <c r="K520" s="17"/>
      <c r="L520" s="17"/>
      <c r="M520" s="25" t="s">
        <v>1609</v>
      </c>
      <c r="N520" s="17" t="s">
        <v>1613</v>
      </c>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row>
    <row r="521" hidden="1">
      <c r="A521" s="17">
        <v>519</v>
      </c>
      <c r="B521" s="17" t="s">
        <v>52</v>
      </c>
      <c r="C521" s="25" t="s">
        <v>1614</v>
      </c>
      <c r="D521" s="25" t="s">
        <v>1171</v>
      </c>
      <c r="E521" s="17" t="s">
        <v>1615</v>
      </c>
      <c r="F521" s="17" t="s">
        <v>1616</v>
      </c>
      <c r="G521" s="17">
        <v>22.632026</v>
      </c>
      <c r="H521" s="17">
        <v>88.117301999999995</v>
      </c>
      <c r="I521" s="17"/>
      <c r="J521" s="17"/>
      <c r="K521" s="17"/>
      <c r="L521" s="17"/>
      <c r="M521" s="25" t="s">
        <v>1609</v>
      </c>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row>
    <row r="522" hidden="1">
      <c r="A522" s="17">
        <v>520</v>
      </c>
      <c r="B522" s="17" t="s">
        <v>52</v>
      </c>
      <c r="C522" s="31" t="s">
        <v>1617</v>
      </c>
      <c r="D522" s="25" t="s">
        <v>1171</v>
      </c>
      <c r="E522" s="17" t="s">
        <v>1618</v>
      </c>
      <c r="F522" s="17" t="s">
        <v>1619</v>
      </c>
      <c r="G522" s="17">
        <v>22.594515999999999</v>
      </c>
      <c r="H522" s="17">
        <v>88.102361000000002</v>
      </c>
      <c r="I522" s="17"/>
      <c r="J522" s="17"/>
      <c r="K522" s="17"/>
      <c r="L522" s="17"/>
      <c r="M522" s="25" t="s">
        <v>1609</v>
      </c>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row>
    <row r="523" hidden="1">
      <c r="A523" s="17">
        <v>521</v>
      </c>
      <c r="B523" s="17" t="s">
        <v>52</v>
      </c>
      <c r="C523" s="31" t="s">
        <v>1620</v>
      </c>
      <c r="D523" s="25" t="s">
        <v>1171</v>
      </c>
      <c r="E523" s="17" t="s">
        <v>1621</v>
      </c>
      <c r="F523" s="17" t="s">
        <v>1622</v>
      </c>
      <c r="G523" s="17">
        <v>22.606809999999999</v>
      </c>
      <c r="H523" s="17">
        <v>88.079785999999999</v>
      </c>
      <c r="I523" s="17"/>
      <c r="J523" s="17"/>
      <c r="K523" s="17"/>
      <c r="L523" s="17"/>
      <c r="M523" s="25" t="s">
        <v>1609</v>
      </c>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row>
    <row r="524" hidden="1">
      <c r="A524" s="17">
        <v>522</v>
      </c>
      <c r="B524" s="17" t="s">
        <v>52</v>
      </c>
      <c r="C524" s="31" t="s">
        <v>1623</v>
      </c>
      <c r="D524" s="25" t="s">
        <v>1171</v>
      </c>
      <c r="E524" s="17" t="s">
        <v>1624</v>
      </c>
      <c r="F524" s="17" t="s">
        <v>1625</v>
      </c>
      <c r="G524" s="17">
        <v>22.592908999999999</v>
      </c>
      <c r="H524" s="17">
        <v>88.069582999999994</v>
      </c>
      <c r="I524" s="17"/>
      <c r="J524" s="17"/>
      <c r="K524" s="17"/>
      <c r="L524" s="17"/>
      <c r="M524" s="25" t="s">
        <v>1609</v>
      </c>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row>
    <row r="525" hidden="1">
      <c r="A525" s="17">
        <v>523</v>
      </c>
      <c r="B525" s="17" t="s">
        <v>52</v>
      </c>
      <c r="C525" s="25" t="s">
        <v>1626</v>
      </c>
      <c r="D525" s="25" t="s">
        <v>1171</v>
      </c>
      <c r="E525" s="17" t="s">
        <v>1627</v>
      </c>
      <c r="F525" s="17" t="s">
        <v>1628</v>
      </c>
      <c r="G525" s="17">
        <v>22.667589</v>
      </c>
      <c r="H525" s="17">
        <v>88.140362999999994</v>
      </c>
      <c r="I525" s="17"/>
      <c r="J525" s="17"/>
      <c r="K525" s="17"/>
      <c r="L525" s="17"/>
      <c r="M525" s="25" t="s">
        <v>1609</v>
      </c>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row>
    <row r="526" hidden="1">
      <c r="A526" s="17">
        <v>524</v>
      </c>
      <c r="B526" s="17" t="s">
        <v>52</v>
      </c>
      <c r="C526" s="25" t="s">
        <v>1629</v>
      </c>
      <c r="D526" s="25" t="s">
        <v>1171</v>
      </c>
      <c r="E526" s="17" t="s">
        <v>1630</v>
      </c>
      <c r="F526" s="17" t="s">
        <v>1631</v>
      </c>
      <c r="G526" s="17">
        <v>22.584015999999998</v>
      </c>
      <c r="H526" s="17">
        <v>88.064338000000006</v>
      </c>
      <c r="I526" s="17"/>
      <c r="J526" s="17"/>
      <c r="K526" s="17"/>
      <c r="L526" s="17"/>
      <c r="M526" s="25" t="s">
        <v>1609</v>
      </c>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row>
    <row r="527" hidden="1">
      <c r="A527" s="17">
        <v>525</v>
      </c>
      <c r="B527" s="17" t="s">
        <v>52</v>
      </c>
      <c r="C527" s="25" t="s">
        <v>1632</v>
      </c>
      <c r="D527" s="25" t="s">
        <v>1171</v>
      </c>
      <c r="E527" s="17" t="s">
        <v>1633</v>
      </c>
      <c r="F527" s="17" t="s">
        <v>1634</v>
      </c>
      <c r="G527" s="17">
        <v>22.629078</v>
      </c>
      <c r="H527" s="17">
        <v>88.143258000000003</v>
      </c>
      <c r="I527" s="17"/>
      <c r="J527" s="17"/>
      <c r="K527" s="17"/>
      <c r="L527" s="17"/>
      <c r="M527" s="25" t="s">
        <v>1609</v>
      </c>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row>
    <row r="528" hidden="1">
      <c r="A528" s="17">
        <v>526</v>
      </c>
      <c r="B528" s="17" t="s">
        <v>52</v>
      </c>
      <c r="C528" s="25" t="s">
        <v>1635</v>
      </c>
      <c r="D528" s="25" t="s">
        <v>1171</v>
      </c>
      <c r="E528" s="17" t="s">
        <v>1636</v>
      </c>
      <c r="F528" s="17" t="s">
        <v>1637</v>
      </c>
      <c r="G528" s="17">
        <v>22.640923999999998</v>
      </c>
      <c r="H528" s="17">
        <v>88.113900999999998</v>
      </c>
      <c r="I528" s="17"/>
      <c r="J528" s="17"/>
      <c r="K528" s="17"/>
      <c r="L528" s="17"/>
      <c r="M528" s="25" t="s">
        <v>1609</v>
      </c>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row>
    <row r="529" hidden="1">
      <c r="A529" s="17">
        <v>527</v>
      </c>
      <c r="B529" s="17" t="s">
        <v>52</v>
      </c>
      <c r="C529" s="25" t="s">
        <v>1638</v>
      </c>
      <c r="D529" s="25" t="s">
        <v>1171</v>
      </c>
      <c r="E529" s="17" t="s">
        <v>1639</v>
      </c>
      <c r="F529" s="17" t="s">
        <v>1640</v>
      </c>
      <c r="G529" s="17">
        <v>22.645547000000001</v>
      </c>
      <c r="H529" s="17">
        <v>88.081183999999993</v>
      </c>
      <c r="I529" s="17"/>
      <c r="J529" s="17"/>
      <c r="K529" s="17"/>
      <c r="L529" s="17"/>
      <c r="M529" s="25" t="s">
        <v>1609</v>
      </c>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row>
    <row r="530" hidden="1">
      <c r="A530" s="17">
        <v>528</v>
      </c>
      <c r="B530" s="17" t="s">
        <v>52</v>
      </c>
      <c r="C530" s="25" t="s">
        <v>1641</v>
      </c>
      <c r="D530" s="25" t="s">
        <v>1171</v>
      </c>
      <c r="E530" s="17" t="s">
        <v>1642</v>
      </c>
      <c r="F530" s="17" t="s">
        <v>1643</v>
      </c>
      <c r="G530" s="17">
        <v>22.696158</v>
      </c>
      <c r="H530" s="17">
        <v>88.114395999999999</v>
      </c>
      <c r="I530" s="17"/>
      <c r="J530" s="17"/>
      <c r="K530" s="17"/>
      <c r="L530" s="17"/>
      <c r="M530" s="25" t="s">
        <v>1609</v>
      </c>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row>
    <row r="531" hidden="1">
      <c r="A531" s="17">
        <v>529</v>
      </c>
      <c r="B531" s="17" t="s">
        <v>52</v>
      </c>
      <c r="C531" s="25" t="s">
        <v>1644</v>
      </c>
      <c r="D531" s="25" t="s">
        <v>1171</v>
      </c>
      <c r="E531" s="17" t="s">
        <v>1645</v>
      </c>
      <c r="F531" s="17" t="s">
        <v>1646</v>
      </c>
      <c r="G531" s="17">
        <v>22.659208</v>
      </c>
      <c r="H531" s="17">
        <v>88.159672</v>
      </c>
      <c r="I531" s="17"/>
      <c r="J531" s="17"/>
      <c r="K531" s="17"/>
      <c r="L531" s="17"/>
      <c r="M531" s="25" t="s">
        <v>1609</v>
      </c>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row>
    <row r="532" hidden="1">
      <c r="A532" s="17">
        <v>530</v>
      </c>
      <c r="B532" s="17" t="s">
        <v>52</v>
      </c>
      <c r="C532" s="25" t="s">
        <v>1647</v>
      </c>
      <c r="D532" s="25" t="s">
        <v>1171</v>
      </c>
      <c r="E532" s="17" t="s">
        <v>1648</v>
      </c>
      <c r="F532" s="17" t="s">
        <v>1649</v>
      </c>
      <c r="G532" s="17">
        <v>22.667352999999999</v>
      </c>
      <c r="H532" s="17">
        <v>88.097025000000002</v>
      </c>
      <c r="I532" s="17"/>
      <c r="J532" s="17"/>
      <c r="K532" s="17"/>
      <c r="L532" s="17"/>
      <c r="M532" s="25" t="s">
        <v>1609</v>
      </c>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row>
    <row r="533" hidden="1">
      <c r="A533" s="17">
        <v>531</v>
      </c>
      <c r="B533" s="17" t="s">
        <v>52</v>
      </c>
      <c r="C533" s="25" t="s">
        <v>1650</v>
      </c>
      <c r="D533" s="25" t="s">
        <v>1171</v>
      </c>
      <c r="E533" s="17" t="s">
        <v>1651</v>
      </c>
      <c r="F533" s="17" t="s">
        <v>1652</v>
      </c>
      <c r="G533" s="17">
        <v>22.651081000000001</v>
      </c>
      <c r="H533" s="17">
        <v>88.099992999999998</v>
      </c>
      <c r="I533" s="17"/>
      <c r="J533" s="17"/>
      <c r="K533" s="17"/>
      <c r="L533" s="17"/>
      <c r="M533" s="25" t="s">
        <v>1609</v>
      </c>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row>
    <row r="534" hidden="1">
      <c r="A534" s="17">
        <v>532</v>
      </c>
      <c r="B534" s="17" t="s">
        <v>52</v>
      </c>
      <c r="C534" s="25" t="s">
        <v>1653</v>
      </c>
      <c r="D534" s="25" t="s">
        <v>1171</v>
      </c>
      <c r="E534" s="17" t="s">
        <v>1654</v>
      </c>
      <c r="F534" s="17" t="s">
        <v>1655</v>
      </c>
      <c r="G534" s="17">
        <v>22.623857000000001</v>
      </c>
      <c r="H534" s="17">
        <v>88.114394000000004</v>
      </c>
      <c r="I534" s="17"/>
      <c r="J534" s="17"/>
      <c r="K534" s="17"/>
      <c r="L534" s="17"/>
      <c r="M534" s="25" t="s">
        <v>1609</v>
      </c>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row>
    <row r="535" hidden="1">
      <c r="A535" s="17">
        <v>533</v>
      </c>
      <c r="B535" s="17" t="s">
        <v>52</v>
      </c>
      <c r="C535" s="25" t="s">
        <v>1656</v>
      </c>
      <c r="D535" s="25" t="s">
        <v>1171</v>
      </c>
      <c r="E535" s="17" t="s">
        <v>1171</v>
      </c>
      <c r="F535" s="17" t="s">
        <v>1657</v>
      </c>
      <c r="G535" s="17">
        <v>22.573483</v>
      </c>
      <c r="H535" s="17">
        <v>88.058285999999995</v>
      </c>
      <c r="I535" s="17"/>
      <c r="J535" s="17"/>
      <c r="K535" s="17"/>
      <c r="L535" s="17"/>
      <c r="M535" s="25" t="s">
        <v>1609</v>
      </c>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row>
    <row r="536" hidden="1">
      <c r="A536" s="17">
        <v>534</v>
      </c>
      <c r="B536" s="17" t="s">
        <v>52</v>
      </c>
      <c r="C536" s="32" t="s">
        <v>1658</v>
      </c>
      <c r="D536" s="25" t="s">
        <v>1171</v>
      </c>
      <c r="E536" s="17"/>
      <c r="F536" s="17"/>
      <c r="G536" s="17"/>
      <c r="H536" s="17"/>
      <c r="I536" s="17"/>
      <c r="J536" s="17"/>
      <c r="K536" s="17"/>
      <c r="L536" s="17"/>
      <c r="M536" s="25" t="s">
        <v>1609</v>
      </c>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row>
    <row r="537" hidden="1">
      <c r="A537" s="17">
        <v>535</v>
      </c>
      <c r="B537" s="17" t="s">
        <v>52</v>
      </c>
      <c r="C537" s="32" t="s">
        <v>1659</v>
      </c>
      <c r="D537" s="25" t="s">
        <v>1171</v>
      </c>
      <c r="E537" s="17"/>
      <c r="F537" s="17"/>
      <c r="G537" s="17"/>
      <c r="H537" s="17"/>
      <c r="I537" s="17"/>
      <c r="J537" s="17"/>
      <c r="K537" s="17"/>
      <c r="L537" s="17"/>
      <c r="M537" s="25" t="s">
        <v>1609</v>
      </c>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row>
    <row r="538" hidden="1">
      <c r="A538" s="17">
        <v>536</v>
      </c>
      <c r="B538" s="17" t="s">
        <v>52</v>
      </c>
      <c r="C538" s="25" t="s">
        <v>1660</v>
      </c>
      <c r="D538" s="25" t="s">
        <v>1171</v>
      </c>
      <c r="E538" s="17"/>
      <c r="F538" s="17"/>
      <c r="G538" s="17"/>
      <c r="H538" s="17"/>
      <c r="I538" s="17"/>
      <c r="J538" s="17"/>
      <c r="K538" s="17"/>
      <c r="L538" s="17"/>
      <c r="M538" s="25" t="s">
        <v>1609</v>
      </c>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row>
    <row r="539" hidden="1">
      <c r="A539" s="17">
        <v>537</v>
      </c>
      <c r="B539" s="17" t="s">
        <v>52</v>
      </c>
      <c r="C539" s="25" t="s">
        <v>1661</v>
      </c>
      <c r="D539" s="25" t="s">
        <v>1171</v>
      </c>
      <c r="E539" s="17"/>
      <c r="F539" s="17"/>
      <c r="G539" s="17"/>
      <c r="H539" s="17"/>
      <c r="I539" s="17"/>
      <c r="J539" s="17"/>
      <c r="K539" s="17"/>
      <c r="L539" s="17"/>
      <c r="M539" s="25" t="s">
        <v>1609</v>
      </c>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row>
    <row r="540" hidden="1">
      <c r="A540" s="17">
        <v>538</v>
      </c>
      <c r="B540" s="17" t="s">
        <v>52</v>
      </c>
      <c r="C540" s="31" t="s">
        <v>1662</v>
      </c>
      <c r="D540" s="25" t="s">
        <v>1171</v>
      </c>
      <c r="E540" s="17" t="s">
        <v>1663</v>
      </c>
      <c r="F540" s="17" t="s">
        <v>1664</v>
      </c>
      <c r="G540" s="17">
        <v>22.662806</v>
      </c>
      <c r="H540" s="17">
        <v>88.232208</v>
      </c>
      <c r="I540" s="17"/>
      <c r="J540" s="17"/>
      <c r="K540" s="17"/>
      <c r="L540" s="17"/>
      <c r="M540" s="25" t="s">
        <v>1609</v>
      </c>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row>
    <row r="541" hidden="1">
      <c r="A541" s="17">
        <v>539</v>
      </c>
      <c r="B541" s="17" t="s">
        <v>52</v>
      </c>
      <c r="C541" s="25" t="s">
        <v>1665</v>
      </c>
      <c r="D541" s="25" t="s">
        <v>1171</v>
      </c>
      <c r="E541" s="17" t="s">
        <v>1666</v>
      </c>
      <c r="F541" s="17" t="s">
        <v>1667</v>
      </c>
      <c r="G541" s="17">
        <v>22.565756</v>
      </c>
      <c r="H541" s="17">
        <v>88.138315000000006</v>
      </c>
      <c r="I541" s="17"/>
      <c r="J541" s="17"/>
      <c r="K541" s="17"/>
      <c r="L541" s="17"/>
      <c r="M541" s="25" t="s">
        <v>1609</v>
      </c>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row>
    <row r="542" hidden="1">
      <c r="A542" s="17">
        <v>540</v>
      </c>
      <c r="B542" s="17" t="s">
        <v>52</v>
      </c>
      <c r="C542" s="25" t="s">
        <v>1668</v>
      </c>
      <c r="D542" s="25" t="s">
        <v>1171</v>
      </c>
      <c r="E542" s="17" t="s">
        <v>1669</v>
      </c>
      <c r="F542" s="17" t="s">
        <v>1670</v>
      </c>
      <c r="G542" s="17">
        <v>22.609124000000001</v>
      </c>
      <c r="H542" s="17">
        <v>88.166641999999996</v>
      </c>
      <c r="I542" s="17"/>
      <c r="J542" s="17"/>
      <c r="K542" s="17"/>
      <c r="L542" s="17"/>
      <c r="M542" s="25" t="s">
        <v>1609</v>
      </c>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row>
    <row r="543" hidden="1">
      <c r="A543" s="17">
        <v>541</v>
      </c>
      <c r="B543" s="17" t="s">
        <v>52</v>
      </c>
      <c r="C543" s="31" t="s">
        <v>1671</v>
      </c>
      <c r="D543" s="25" t="s">
        <v>1171</v>
      </c>
      <c r="E543" s="17" t="s">
        <v>1672</v>
      </c>
      <c r="F543" s="17" t="s">
        <v>1673</v>
      </c>
      <c r="G543" s="17">
        <v>22.599656</v>
      </c>
      <c r="H543" s="17">
        <v>88.130007000000006</v>
      </c>
      <c r="I543" s="17"/>
      <c r="J543" s="17"/>
      <c r="K543" s="17"/>
      <c r="L543" s="17"/>
      <c r="M543" s="25" t="s">
        <v>1609</v>
      </c>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row>
    <row r="544" hidden="1">
      <c r="A544" s="17">
        <v>542</v>
      </c>
      <c r="B544" s="17" t="s">
        <v>52</v>
      </c>
      <c r="C544" s="25" t="s">
        <v>1674</v>
      </c>
      <c r="D544" s="25" t="s">
        <v>1171</v>
      </c>
      <c r="E544" s="17" t="s">
        <v>1675</v>
      </c>
      <c r="F544" s="17" t="s">
        <v>1676</v>
      </c>
      <c r="G544" s="17">
        <v>22.640560000000001</v>
      </c>
      <c r="H544" s="17">
        <v>88.139229999999998</v>
      </c>
      <c r="I544" s="17"/>
      <c r="J544" s="17"/>
      <c r="K544" s="17"/>
      <c r="L544" s="17"/>
      <c r="M544" s="25" t="s">
        <v>1609</v>
      </c>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row>
    <row r="545" hidden="1">
      <c r="A545" s="17">
        <v>543</v>
      </c>
      <c r="B545" s="17" t="s">
        <v>52</v>
      </c>
      <c r="C545" s="25" t="s">
        <v>1677</v>
      </c>
      <c r="D545" s="25" t="s">
        <v>1171</v>
      </c>
      <c r="E545" s="17" t="s">
        <v>1678</v>
      </c>
      <c r="F545" s="17" t="s">
        <v>1679</v>
      </c>
      <c r="G545" s="17">
        <v>22.672249999999998</v>
      </c>
      <c r="H545" s="17">
        <v>88.125950000000003</v>
      </c>
      <c r="I545" s="17"/>
      <c r="J545" s="17"/>
      <c r="K545" s="17"/>
      <c r="L545" s="17"/>
      <c r="M545" s="25" t="s">
        <v>1609</v>
      </c>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row>
    <row r="546" hidden="1">
      <c r="A546" s="17">
        <v>544</v>
      </c>
      <c r="B546" s="17" t="s">
        <v>52</v>
      </c>
      <c r="C546" s="25" t="s">
        <v>1680</v>
      </c>
      <c r="D546" s="25" t="s">
        <v>1171</v>
      </c>
      <c r="E546" s="17" t="s">
        <v>1681</v>
      </c>
      <c r="F546" s="17" t="s">
        <v>1682</v>
      </c>
      <c r="G546" s="17">
        <v>22.669454000000002</v>
      </c>
      <c r="H546" s="17">
        <v>88.114997000000002</v>
      </c>
      <c r="I546" s="17"/>
      <c r="J546" s="17"/>
      <c r="K546" s="17"/>
      <c r="L546" s="17"/>
      <c r="M546" s="25" t="s">
        <v>1609</v>
      </c>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row>
    <row r="547" hidden="1">
      <c r="A547" s="17">
        <v>545</v>
      </c>
      <c r="B547" s="17" t="s">
        <v>52</v>
      </c>
      <c r="C547" s="25" t="s">
        <v>1683</v>
      </c>
      <c r="D547" s="25" t="s">
        <v>1171</v>
      </c>
      <c r="E547" s="17"/>
      <c r="F547" s="17"/>
      <c r="G547" s="17"/>
      <c r="H547" s="17"/>
      <c r="I547" s="17"/>
      <c r="J547" s="17"/>
      <c r="K547" s="17"/>
      <c r="L547" s="17"/>
      <c r="M547" s="25" t="s">
        <v>1609</v>
      </c>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row>
    <row r="548" hidden="1">
      <c r="A548" s="17">
        <v>546</v>
      </c>
      <c r="B548" s="17" t="s">
        <v>52</v>
      </c>
      <c r="C548" s="30" t="s">
        <v>1684</v>
      </c>
      <c r="D548" s="25" t="s">
        <v>1330</v>
      </c>
      <c r="E548" s="17"/>
      <c r="F548" s="17"/>
      <c r="G548" s="17"/>
      <c r="H548" s="17"/>
      <c r="I548" s="17"/>
      <c r="J548" s="17"/>
      <c r="K548" s="17"/>
      <c r="L548" s="17"/>
      <c r="M548" s="25" t="s">
        <v>1609</v>
      </c>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row>
    <row r="549" hidden="1">
      <c r="A549" s="17">
        <v>547</v>
      </c>
      <c r="B549" s="17" t="s">
        <v>52</v>
      </c>
      <c r="C549" s="25" t="s">
        <v>1685</v>
      </c>
      <c r="D549" s="25" t="s">
        <v>1171</v>
      </c>
      <c r="E549" s="17"/>
      <c r="F549" s="17"/>
      <c r="G549" s="17"/>
      <c r="H549" s="17"/>
      <c r="I549" s="17"/>
      <c r="J549" s="17"/>
      <c r="K549" s="17"/>
      <c r="L549" s="17"/>
      <c r="M549" s="25" t="s">
        <v>1609</v>
      </c>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row>
    <row r="550" hidden="1">
      <c r="A550" s="17">
        <v>548</v>
      </c>
      <c r="B550" s="17" t="s">
        <v>52</v>
      </c>
      <c r="C550" s="25" t="s">
        <v>1686</v>
      </c>
      <c r="D550" s="25" t="s">
        <v>1171</v>
      </c>
      <c r="E550" s="17" t="s">
        <v>1687</v>
      </c>
      <c r="F550" s="17" t="s">
        <v>1688</v>
      </c>
      <c r="G550" s="17">
        <v>22.620505999999999</v>
      </c>
      <c r="H550" s="17">
        <v>88.178574999999995</v>
      </c>
      <c r="I550" s="17"/>
      <c r="J550" s="17"/>
      <c r="K550" s="17"/>
      <c r="L550" s="17"/>
      <c r="M550" s="25" t="s">
        <v>1609</v>
      </c>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row>
    <row r="551" hidden="1">
      <c r="A551" s="17">
        <v>549</v>
      </c>
      <c r="B551" s="17" t="s">
        <v>52</v>
      </c>
      <c r="C551" s="25" t="s">
        <v>1689</v>
      </c>
      <c r="D551" s="25" t="s">
        <v>1171</v>
      </c>
      <c r="E551" s="17" t="s">
        <v>1690</v>
      </c>
      <c r="F551" s="17" t="s">
        <v>1691</v>
      </c>
      <c r="G551" s="17">
        <v>22.652176999999998</v>
      </c>
      <c r="H551" s="17">
        <v>88.191359000000006</v>
      </c>
      <c r="I551" s="17"/>
      <c r="J551" s="17"/>
      <c r="K551" s="17"/>
      <c r="L551" s="17"/>
      <c r="M551" s="25" t="s">
        <v>1609</v>
      </c>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row>
    <row r="552" hidden="1">
      <c r="A552" s="17">
        <v>550</v>
      </c>
      <c r="B552" s="17" t="s">
        <v>52</v>
      </c>
      <c r="C552" s="32" t="s">
        <v>1692</v>
      </c>
      <c r="D552" s="25" t="s">
        <v>1171</v>
      </c>
      <c r="E552" s="17"/>
      <c r="F552" s="17"/>
      <c r="G552" s="17"/>
      <c r="H552" s="17"/>
      <c r="I552" s="17"/>
      <c r="J552" s="17"/>
      <c r="K552" s="17"/>
      <c r="L552" s="17"/>
      <c r="M552" s="25" t="s">
        <v>1609</v>
      </c>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row>
    <row r="553" hidden="1">
      <c r="A553" s="17">
        <v>551</v>
      </c>
      <c r="B553" s="17" t="s">
        <v>52</v>
      </c>
      <c r="C553" s="31" t="s">
        <v>1693</v>
      </c>
      <c r="D553" s="25" t="s">
        <v>1171</v>
      </c>
      <c r="E553" s="17" t="s">
        <v>1694</v>
      </c>
      <c r="F553" s="17" t="s">
        <v>1695</v>
      </c>
      <c r="G553" s="17">
        <v>22.665216000000001</v>
      </c>
      <c r="H553" s="17">
        <v>88.133396000000005</v>
      </c>
      <c r="I553" s="17"/>
      <c r="J553" s="17"/>
      <c r="K553" s="17"/>
      <c r="L553" s="17"/>
      <c r="M553" s="25" t="s">
        <v>1609</v>
      </c>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row>
    <row r="554" hidden="1">
      <c r="A554" s="17">
        <v>552</v>
      </c>
      <c r="B554" s="17" t="s">
        <v>52</v>
      </c>
      <c r="C554" s="25" t="s">
        <v>1696</v>
      </c>
      <c r="D554" s="25" t="s">
        <v>1171</v>
      </c>
      <c r="E554" s="17" t="s">
        <v>1697</v>
      </c>
      <c r="F554" s="17" t="s">
        <v>1698</v>
      </c>
      <c r="G554" s="17">
        <v>22.382586</v>
      </c>
      <c r="H554" s="17">
        <v>87.990680999999995</v>
      </c>
      <c r="I554" s="17"/>
      <c r="J554" s="17"/>
      <c r="K554" s="17"/>
      <c r="L554" s="17"/>
      <c r="M554" s="25" t="s">
        <v>1174</v>
      </c>
      <c r="N554" s="17">
        <v>7003922106</v>
      </c>
      <c r="O554" s="17">
        <v>18</v>
      </c>
      <c r="P554" s="17">
        <v>100</v>
      </c>
      <c r="Q554" s="17" t="s">
        <v>73</v>
      </c>
      <c r="R554" s="17" t="s">
        <v>339</v>
      </c>
      <c r="S554" s="17"/>
      <c r="T554" s="17"/>
      <c r="U554" s="17" t="s">
        <v>76</v>
      </c>
      <c r="V554" s="17" t="s">
        <v>77</v>
      </c>
      <c r="W554" s="17" t="s">
        <v>1699</v>
      </c>
      <c r="X554" s="17">
        <v>4</v>
      </c>
      <c r="Y554" s="17">
        <v>2</v>
      </c>
      <c r="Z554" s="17"/>
      <c r="AA554" s="17" t="s">
        <v>73</v>
      </c>
      <c r="AB554" s="17" t="s">
        <v>79</v>
      </c>
      <c r="AC554" s="17">
        <v>3</v>
      </c>
      <c r="AD554" s="17">
        <v>0</v>
      </c>
      <c r="AE554" s="17">
        <v>0</v>
      </c>
      <c r="AF554" s="17"/>
      <c r="AG554" s="17" t="s">
        <v>414</v>
      </c>
      <c r="AH554" s="17" t="s">
        <v>415</v>
      </c>
      <c r="AI554" s="17" t="s">
        <v>414</v>
      </c>
      <c r="AJ554" s="17" t="s">
        <v>416</v>
      </c>
      <c r="AK554" s="17" t="s">
        <v>137</v>
      </c>
      <c r="AL554" s="17" t="s">
        <v>137</v>
      </c>
      <c r="AM554" s="17" t="s">
        <v>137</v>
      </c>
      <c r="AN554" s="17" t="s">
        <v>84</v>
      </c>
      <c r="AO554" s="17" t="s">
        <v>75</v>
      </c>
      <c r="AP554" s="17"/>
      <c r="AQ554" s="17"/>
      <c r="AR554" s="17"/>
      <c r="AS554" s="17"/>
      <c r="AT554" s="17" t="s">
        <v>1700</v>
      </c>
      <c r="AU554" s="17" t="s">
        <v>111</v>
      </c>
    </row>
    <row r="555" hidden="1">
      <c r="A555" s="17">
        <v>553</v>
      </c>
      <c r="B555" s="17" t="s">
        <v>52</v>
      </c>
      <c r="C555" s="25" t="s">
        <v>1701</v>
      </c>
      <c r="D555" s="25" t="s">
        <v>1171</v>
      </c>
      <c r="E555" s="17" t="s">
        <v>1702</v>
      </c>
      <c r="F555" s="17" t="s">
        <v>1703</v>
      </c>
      <c r="G555" s="17">
        <v>22.381115999999999</v>
      </c>
      <c r="H555" s="17">
        <v>87.973765</v>
      </c>
      <c r="I555" s="17"/>
      <c r="J555" s="17"/>
      <c r="K555" s="17"/>
      <c r="L555" s="17"/>
      <c r="M555" s="25" t="s">
        <v>1174</v>
      </c>
      <c r="N555" s="17">
        <v>7003922106</v>
      </c>
      <c r="O555" s="17">
        <v>18</v>
      </c>
      <c r="P555" s="17">
        <v>95</v>
      </c>
      <c r="Q555" s="17" t="s">
        <v>413</v>
      </c>
      <c r="R555" s="17" t="s">
        <v>74</v>
      </c>
      <c r="S555" s="17" t="s">
        <v>75</v>
      </c>
      <c r="T555" s="17"/>
      <c r="U555" s="17" t="s">
        <v>160</v>
      </c>
      <c r="V555" s="17" t="s">
        <v>77</v>
      </c>
      <c r="W555" s="17" t="s">
        <v>330</v>
      </c>
      <c r="X555" s="17">
        <v>5</v>
      </c>
      <c r="Y555" s="17">
        <v>0</v>
      </c>
      <c r="Z555" s="17"/>
      <c r="AA555" s="17" t="s">
        <v>413</v>
      </c>
      <c r="AB555" s="17" t="s">
        <v>79</v>
      </c>
      <c r="AC555" s="17">
        <v>5</v>
      </c>
      <c r="AD555" s="17">
        <v>0</v>
      </c>
      <c r="AE555" s="17">
        <v>0</v>
      </c>
      <c r="AF555" s="17"/>
      <c r="AG555" s="17" t="s">
        <v>414</v>
      </c>
      <c r="AH555" s="17" t="s">
        <v>415</v>
      </c>
      <c r="AI555" s="17" t="s">
        <v>414</v>
      </c>
      <c r="AJ555" s="17" t="s">
        <v>416</v>
      </c>
      <c r="AK555" s="17" t="s">
        <v>137</v>
      </c>
      <c r="AL555" s="17" t="s">
        <v>137</v>
      </c>
      <c r="AM555" s="17" t="s">
        <v>137</v>
      </c>
      <c r="AN555" s="17" t="s">
        <v>84</v>
      </c>
      <c r="AO555" s="17" t="s">
        <v>75</v>
      </c>
      <c r="AP555" s="17"/>
      <c r="AQ555" s="17"/>
      <c r="AR555" s="17"/>
      <c r="AS555" s="17"/>
      <c r="AT555" s="17" t="s">
        <v>1704</v>
      </c>
      <c r="AU555" s="17" t="s">
        <v>111</v>
      </c>
    </row>
    <row r="556" hidden="1">
      <c r="A556" s="17">
        <v>554</v>
      </c>
      <c r="B556" s="17" t="s">
        <v>52</v>
      </c>
      <c r="C556" s="25" t="s">
        <v>1705</v>
      </c>
      <c r="D556" s="25" t="s">
        <v>1171</v>
      </c>
      <c r="E556" s="17" t="s">
        <v>1706</v>
      </c>
      <c r="F556" s="17" t="s">
        <v>1707</v>
      </c>
      <c r="G556" s="17">
        <v>22.317312999999999</v>
      </c>
      <c r="H556" s="17">
        <v>87.982389999999995</v>
      </c>
      <c r="I556" s="17"/>
      <c r="J556" s="17"/>
      <c r="K556" s="17"/>
      <c r="L556" s="17"/>
      <c r="M556" s="25" t="s">
        <v>1174</v>
      </c>
      <c r="N556" s="17">
        <v>7003922106</v>
      </c>
      <c r="O556" s="17">
        <v>18</v>
      </c>
      <c r="P556" s="17">
        <v>95</v>
      </c>
      <c r="Q556" s="17" t="s">
        <v>73</v>
      </c>
      <c r="R556" s="17" t="s">
        <v>74</v>
      </c>
      <c r="S556" s="17" t="s">
        <v>75</v>
      </c>
      <c r="T556" s="17"/>
      <c r="U556" s="17" t="s">
        <v>105</v>
      </c>
      <c r="V556" s="17" t="s">
        <v>77</v>
      </c>
      <c r="W556" s="17" t="s">
        <v>330</v>
      </c>
      <c r="X556" s="17">
        <v>5</v>
      </c>
      <c r="Y556" s="17">
        <v>0</v>
      </c>
      <c r="Z556" s="17"/>
      <c r="AA556" s="17" t="s">
        <v>73</v>
      </c>
      <c r="AB556" s="17" t="s">
        <v>79</v>
      </c>
      <c r="AC556" s="17">
        <v>5</v>
      </c>
      <c r="AD556" s="17">
        <v>0</v>
      </c>
      <c r="AE556" s="17">
        <v>0</v>
      </c>
      <c r="AF556" s="17"/>
      <c r="AG556" s="17" t="s">
        <v>414</v>
      </c>
      <c r="AH556" s="17" t="s">
        <v>415</v>
      </c>
      <c r="AI556" s="17" t="s">
        <v>414</v>
      </c>
      <c r="AJ556" s="17" t="s">
        <v>416</v>
      </c>
      <c r="AK556" s="17" t="s">
        <v>137</v>
      </c>
      <c r="AL556" s="17" t="s">
        <v>137</v>
      </c>
      <c r="AM556" s="17" t="s">
        <v>137</v>
      </c>
      <c r="AN556" s="17" t="s">
        <v>125</v>
      </c>
      <c r="AO556" s="17" t="s">
        <v>75</v>
      </c>
      <c r="AP556" s="17"/>
      <c r="AQ556" s="17"/>
      <c r="AR556" s="17"/>
      <c r="AS556" s="17"/>
      <c r="AT556" s="17"/>
      <c r="AU556" s="17" t="s">
        <v>111</v>
      </c>
    </row>
    <row r="557" hidden="1">
      <c r="A557" s="17">
        <v>555</v>
      </c>
      <c r="B557" s="17" t="s">
        <v>52</v>
      </c>
      <c r="C557" s="25" t="s">
        <v>1708</v>
      </c>
      <c r="D557" s="25" t="s">
        <v>1171</v>
      </c>
      <c r="E557" s="17" t="s">
        <v>1709</v>
      </c>
      <c r="F557" s="17" t="s">
        <v>1710</v>
      </c>
      <c r="G557" s="17">
        <v>22.350363000000002</v>
      </c>
      <c r="H557" s="17">
        <v>87.975898000000001</v>
      </c>
      <c r="I557" s="17"/>
      <c r="J557" s="17"/>
      <c r="K557" s="17"/>
      <c r="L557" s="17"/>
      <c r="M557" s="25" t="s">
        <v>1174</v>
      </c>
      <c r="N557" s="17">
        <v>7003922106</v>
      </c>
      <c r="O557" s="17">
        <v>16</v>
      </c>
      <c r="P557" s="17">
        <v>95</v>
      </c>
      <c r="Q557" s="17" t="s">
        <v>413</v>
      </c>
      <c r="R557" s="17" t="s">
        <v>74</v>
      </c>
      <c r="S557" s="17" t="s">
        <v>137</v>
      </c>
      <c r="T557" s="17" t="s">
        <v>1711</v>
      </c>
      <c r="U557" s="17" t="s">
        <v>160</v>
      </c>
      <c r="V557" s="17" t="s">
        <v>77</v>
      </c>
      <c r="W557" s="17" t="s">
        <v>454</v>
      </c>
      <c r="X557" s="17">
        <v>5</v>
      </c>
      <c r="Y557" s="17">
        <v>0</v>
      </c>
      <c r="Z557" s="17"/>
      <c r="AA557" s="17" t="s">
        <v>413</v>
      </c>
      <c r="AB557" s="17" t="s">
        <v>79</v>
      </c>
      <c r="AC557" s="17">
        <v>5</v>
      </c>
      <c r="AD557" s="17">
        <v>0</v>
      </c>
      <c r="AE557" s="17">
        <v>0</v>
      </c>
      <c r="AF557" s="17"/>
      <c r="AG557" s="17" t="s">
        <v>414</v>
      </c>
      <c r="AH557" s="17" t="s">
        <v>415</v>
      </c>
      <c r="AI557" s="17" t="s">
        <v>414</v>
      </c>
      <c r="AJ557" s="17" t="s">
        <v>416</v>
      </c>
      <c r="AK557" s="17" t="s">
        <v>137</v>
      </c>
      <c r="AL557" s="17" t="s">
        <v>137</v>
      </c>
      <c r="AM557" s="17" t="s">
        <v>137</v>
      </c>
      <c r="AN557" s="17" t="s">
        <v>125</v>
      </c>
      <c r="AO557" s="17" t="s">
        <v>137</v>
      </c>
      <c r="AP557" s="17"/>
      <c r="AQ557" s="17"/>
      <c r="AR557" s="17"/>
      <c r="AS557" s="17"/>
      <c r="AT557" s="17" t="s">
        <v>1712</v>
      </c>
      <c r="AU557" s="17"/>
    </row>
    <row r="558" hidden="1">
      <c r="A558" s="17">
        <v>556</v>
      </c>
      <c r="B558" s="17" t="s">
        <v>52</v>
      </c>
      <c r="C558" s="25" t="s">
        <v>1713</v>
      </c>
      <c r="D558" s="25" t="s">
        <v>1171</v>
      </c>
      <c r="E558" s="17" t="s">
        <v>1714</v>
      </c>
      <c r="F558" s="17" t="s">
        <v>1715</v>
      </c>
      <c r="G558" s="17">
        <v>22.300149000000001</v>
      </c>
      <c r="H558" s="17">
        <v>87.974682000000001</v>
      </c>
      <c r="I558" s="17"/>
      <c r="J558" s="17"/>
      <c r="K558" s="17"/>
      <c r="L558" s="17"/>
      <c r="M558" s="25" t="s">
        <v>1174</v>
      </c>
      <c r="N558" s="17">
        <v>7003922106</v>
      </c>
      <c r="O558" s="17">
        <v>18</v>
      </c>
      <c r="P558" s="17">
        <v>90</v>
      </c>
      <c r="Q558" s="17" t="s">
        <v>187</v>
      </c>
      <c r="R558" s="17" t="s">
        <v>142</v>
      </c>
      <c r="S558" s="17" t="s">
        <v>75</v>
      </c>
      <c r="T558" s="17"/>
      <c r="U558" s="17" t="s">
        <v>105</v>
      </c>
      <c r="V558" s="17" t="s">
        <v>77</v>
      </c>
      <c r="W558" s="17" t="s">
        <v>78</v>
      </c>
      <c r="X558" s="17">
        <v>5</v>
      </c>
      <c r="Y558" s="17">
        <v>0</v>
      </c>
      <c r="Z558" s="17"/>
      <c r="AA558" s="17" t="s">
        <v>187</v>
      </c>
      <c r="AB558" s="17" t="s">
        <v>79</v>
      </c>
      <c r="AC558" s="17">
        <v>7</v>
      </c>
      <c r="AD558" s="17">
        <v>0</v>
      </c>
      <c r="AE558" s="17">
        <v>0</v>
      </c>
      <c r="AF558" s="17"/>
      <c r="AG558" s="17" t="s">
        <v>414</v>
      </c>
      <c r="AH558" s="17" t="s">
        <v>415</v>
      </c>
      <c r="AI558" s="17" t="s">
        <v>414</v>
      </c>
      <c r="AJ558" s="17" t="s">
        <v>416</v>
      </c>
      <c r="AK558" s="17" t="s">
        <v>137</v>
      </c>
      <c r="AL558" s="17" t="s">
        <v>137</v>
      </c>
      <c r="AM558" s="17" t="s">
        <v>137</v>
      </c>
      <c r="AN558" s="17" t="s">
        <v>84</v>
      </c>
      <c r="AO558" s="17" t="s">
        <v>75</v>
      </c>
      <c r="AP558" s="17"/>
      <c r="AQ558" s="17"/>
      <c r="AR558" s="17"/>
      <c r="AS558" s="17"/>
      <c r="AT558" s="17" t="s">
        <v>1716</v>
      </c>
      <c r="AU558" s="17" t="s">
        <v>111</v>
      </c>
    </row>
    <row r="559" hidden="1">
      <c r="A559" s="17">
        <v>557</v>
      </c>
      <c r="B559" s="17" t="s">
        <v>52</v>
      </c>
      <c r="C559" s="25" t="s">
        <v>1717</v>
      </c>
      <c r="D559" s="25" t="s">
        <v>1171</v>
      </c>
      <c r="E559" s="17" t="s">
        <v>1718</v>
      </c>
      <c r="F559" s="17" t="s">
        <v>1719</v>
      </c>
      <c r="G559" s="17">
        <v>22.257753000000001</v>
      </c>
      <c r="H559" s="17">
        <v>88.034785999999997</v>
      </c>
      <c r="I559" s="17"/>
      <c r="J559" s="17"/>
      <c r="K559" s="17"/>
      <c r="L559" s="17"/>
      <c r="M559" s="25" t="s">
        <v>1174</v>
      </c>
      <c r="N559" s="17">
        <v>7003922106</v>
      </c>
      <c r="O559" s="17">
        <v>12</v>
      </c>
      <c r="P559" s="17">
        <v>70</v>
      </c>
      <c r="Q559" s="17" t="s">
        <v>105</v>
      </c>
      <c r="R559" s="17" t="s">
        <v>154</v>
      </c>
      <c r="S559" s="17" t="s">
        <v>137</v>
      </c>
      <c r="T559" s="17" t="s">
        <v>947</v>
      </c>
      <c r="U559" s="17" t="s">
        <v>441</v>
      </c>
      <c r="V559" s="17" t="s">
        <v>442</v>
      </c>
      <c r="W559" s="17" t="s">
        <v>143</v>
      </c>
      <c r="X559" s="17">
        <v>4</v>
      </c>
      <c r="Y559" s="17">
        <v>4</v>
      </c>
      <c r="Z559" s="17"/>
      <c r="AA559" s="17" t="s">
        <v>105</v>
      </c>
      <c r="AB559" s="17" t="s">
        <v>239</v>
      </c>
      <c r="AC559" s="17">
        <v>2</v>
      </c>
      <c r="AD559" s="17">
        <v>0</v>
      </c>
      <c r="AE559" s="17">
        <v>0</v>
      </c>
      <c r="AF559" s="17"/>
      <c r="AG559" s="17" t="s">
        <v>414</v>
      </c>
      <c r="AH559" s="17" t="s">
        <v>415</v>
      </c>
      <c r="AI559" s="17" t="s">
        <v>83</v>
      </c>
      <c r="AJ559" s="17">
        <v>2112</v>
      </c>
      <c r="AK559" s="17" t="s">
        <v>137</v>
      </c>
      <c r="AL559" s="17" t="s">
        <v>137</v>
      </c>
      <c r="AM559" s="17" t="s">
        <v>137</v>
      </c>
      <c r="AN559" s="17" t="s">
        <v>84</v>
      </c>
      <c r="AO559" s="17" t="s">
        <v>75</v>
      </c>
      <c r="AP559" s="17"/>
      <c r="AQ559" s="17"/>
      <c r="AR559" s="17"/>
      <c r="AS559" s="17"/>
      <c r="AT559" s="17" t="s">
        <v>429</v>
      </c>
      <c r="AU559" s="17" t="s">
        <v>111</v>
      </c>
    </row>
    <row r="560" hidden="1">
      <c r="A560" s="17">
        <v>558</v>
      </c>
      <c r="B560" s="17" t="s">
        <v>52</v>
      </c>
      <c r="C560" s="25" t="s">
        <v>156</v>
      </c>
      <c r="D560" s="25" t="s">
        <v>1171</v>
      </c>
      <c r="E560" s="17" t="s">
        <v>157</v>
      </c>
      <c r="F560" s="17" t="s">
        <v>158</v>
      </c>
      <c r="G560" s="17">
        <v>22.307120000000001</v>
      </c>
      <c r="H560" s="17">
        <v>87.807670000000002</v>
      </c>
      <c r="I560" s="17"/>
      <c r="J560" s="17"/>
      <c r="K560" s="17"/>
      <c r="L560" s="17"/>
      <c r="M560" s="25" t="s">
        <v>159</v>
      </c>
      <c r="N560" s="17">
        <v>9064976020</v>
      </c>
      <c r="O560" s="17">
        <v>20</v>
      </c>
      <c r="P560" s="17">
        <v>40</v>
      </c>
      <c r="Q560" s="17" t="s">
        <v>73</v>
      </c>
      <c r="R560" s="17" t="s">
        <v>74</v>
      </c>
      <c r="S560" s="17"/>
      <c r="T560" s="17"/>
      <c r="U560" s="17" t="s">
        <v>160</v>
      </c>
      <c r="V560" s="17" t="s">
        <v>77</v>
      </c>
      <c r="W560" s="17" t="s">
        <v>161</v>
      </c>
      <c r="X560" s="17">
        <v>3</v>
      </c>
      <c r="Y560" s="17">
        <v>0</v>
      </c>
      <c r="Z560" s="17"/>
      <c r="AA560" s="17" t="s">
        <v>73</v>
      </c>
      <c r="AB560" s="17" t="s">
        <v>79</v>
      </c>
      <c r="AC560" s="17">
        <v>1</v>
      </c>
      <c r="AD560" s="17">
        <v>0</v>
      </c>
      <c r="AE560" s="17">
        <v>0</v>
      </c>
      <c r="AF560" s="17"/>
      <c r="AG560" s="17" t="s">
        <v>124</v>
      </c>
      <c r="AH560" s="17" t="s">
        <v>162</v>
      </c>
      <c r="AI560" s="17" t="s">
        <v>83</v>
      </c>
      <c r="AJ560" s="17">
        <v>2112</v>
      </c>
      <c r="AK560" s="17" t="s">
        <v>75</v>
      </c>
      <c r="AL560" s="17" t="s">
        <v>75</v>
      </c>
      <c r="AM560" s="17" t="s">
        <v>75</v>
      </c>
      <c r="AN560" s="17" t="s">
        <v>125</v>
      </c>
      <c r="AO560" s="17" t="s">
        <v>137</v>
      </c>
      <c r="AP560" s="17"/>
      <c r="AQ560" s="17"/>
      <c r="AR560" s="17"/>
      <c r="AS560" s="17"/>
      <c r="AT560" s="17" t="s">
        <v>164</v>
      </c>
      <c r="AU560" s="17" t="s">
        <v>111</v>
      </c>
    </row>
    <row r="561" hidden="1">
      <c r="A561" s="17">
        <v>559</v>
      </c>
      <c r="B561" s="17" t="s">
        <v>52</v>
      </c>
      <c r="C561" s="25" t="s">
        <v>167</v>
      </c>
      <c r="D561" s="25" t="s">
        <v>1171</v>
      </c>
      <c r="E561" s="17" t="s">
        <v>168</v>
      </c>
      <c r="F561" s="17" t="s">
        <v>169</v>
      </c>
      <c r="G561" s="17">
        <v>22.327145999999999</v>
      </c>
      <c r="H561" s="17">
        <v>87.808498</v>
      </c>
      <c r="I561" s="17"/>
      <c r="J561" s="17"/>
      <c r="K561" s="17"/>
      <c r="L561" s="17"/>
      <c r="M561" s="25" t="s">
        <v>159</v>
      </c>
      <c r="N561" s="17">
        <v>9064976020</v>
      </c>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row>
    <row r="562" hidden="1">
      <c r="A562" s="17">
        <v>560</v>
      </c>
      <c r="B562" s="17" t="s">
        <v>52</v>
      </c>
      <c r="C562" s="25" t="s">
        <v>53</v>
      </c>
      <c r="D562" s="25" t="s">
        <v>1171</v>
      </c>
      <c r="E562" s="17"/>
      <c r="F562" s="17"/>
      <c r="G562" s="17"/>
      <c r="H562" s="17"/>
      <c r="I562" s="17"/>
      <c r="J562" s="17"/>
      <c r="K562" s="17"/>
      <c r="L562" s="17"/>
      <c r="M562" s="25" t="s">
        <v>159</v>
      </c>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row>
    <row r="563" hidden="1">
      <c r="A563" s="17">
        <v>561</v>
      </c>
      <c r="B563" s="17" t="s">
        <v>52</v>
      </c>
      <c r="C563" s="25" t="s">
        <v>1720</v>
      </c>
      <c r="D563" s="25" t="s">
        <v>1171</v>
      </c>
      <c r="E563" s="17" t="s">
        <v>1721</v>
      </c>
      <c r="F563" s="17" t="s">
        <v>1722</v>
      </c>
      <c r="G563" s="17">
        <v>22.39263</v>
      </c>
      <c r="H563" s="17">
        <v>87.736329999999995</v>
      </c>
      <c r="I563" s="17"/>
      <c r="J563" s="17"/>
      <c r="K563" s="17"/>
      <c r="L563" s="17"/>
      <c r="M563" s="25" t="s">
        <v>159</v>
      </c>
      <c r="N563" s="17">
        <v>9064976020</v>
      </c>
      <c r="O563" s="17">
        <v>18</v>
      </c>
      <c r="P563" s="17">
        <v>60</v>
      </c>
      <c r="Q563" s="17" t="s">
        <v>187</v>
      </c>
      <c r="R563" s="17" t="s">
        <v>74</v>
      </c>
      <c r="S563" s="17" t="s">
        <v>75</v>
      </c>
      <c r="T563" s="17"/>
      <c r="U563" s="17" t="s">
        <v>105</v>
      </c>
      <c r="V563" s="17" t="s">
        <v>77</v>
      </c>
      <c r="W563" s="17" t="s">
        <v>161</v>
      </c>
      <c r="X563" s="17">
        <v>5</v>
      </c>
      <c r="Y563" s="17">
        <v>1</v>
      </c>
      <c r="Z563" s="17"/>
      <c r="AA563" s="17" t="s">
        <v>187</v>
      </c>
      <c r="AB563" s="17" t="s">
        <v>79</v>
      </c>
      <c r="AC563" s="17">
        <v>3</v>
      </c>
      <c r="AD563" s="17">
        <v>0</v>
      </c>
      <c r="AE563" s="17">
        <v>0</v>
      </c>
      <c r="AF563" s="17"/>
      <c r="AG563" s="17" t="s">
        <v>724</v>
      </c>
      <c r="AH563" s="17"/>
      <c r="AI563" s="17"/>
      <c r="AJ563" s="17"/>
      <c r="AK563" s="17"/>
      <c r="AL563" s="17"/>
      <c r="AM563" s="17"/>
      <c r="AN563" s="17"/>
      <c r="AO563" s="17"/>
      <c r="AP563" s="17"/>
      <c r="AQ563" s="17"/>
      <c r="AR563" s="17"/>
      <c r="AS563" s="17"/>
      <c r="AT563" s="17" t="s">
        <v>1723</v>
      </c>
      <c r="AU563" s="17" t="s">
        <v>127</v>
      </c>
    </row>
    <row r="564" hidden="1">
      <c r="A564" s="17">
        <v>562</v>
      </c>
      <c r="B564" s="17" t="s">
        <v>52</v>
      </c>
      <c r="C564" s="25" t="s">
        <v>1724</v>
      </c>
      <c r="D564" s="25" t="s">
        <v>1171</v>
      </c>
      <c r="E564" s="17" t="s">
        <v>1584</v>
      </c>
      <c r="F564" s="17" t="s">
        <v>1725</v>
      </c>
      <c r="G564" s="17">
        <v>22.395009999999999</v>
      </c>
      <c r="H564" s="17">
        <v>87.740261000000004</v>
      </c>
      <c r="I564" s="17"/>
      <c r="J564" s="17"/>
      <c r="K564" s="17"/>
      <c r="L564" s="17"/>
      <c r="M564" s="25" t="s">
        <v>159</v>
      </c>
      <c r="N564" s="17">
        <v>9064976020</v>
      </c>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row>
    <row r="565" hidden="1">
      <c r="A565" s="17">
        <v>563</v>
      </c>
      <c r="B565" s="17" t="s">
        <v>52</v>
      </c>
      <c r="C565" s="25" t="s">
        <v>1726</v>
      </c>
      <c r="D565" s="25" t="s">
        <v>1171</v>
      </c>
      <c r="E565" s="17"/>
      <c r="F565" s="17"/>
      <c r="G565" s="17"/>
      <c r="H565" s="17"/>
      <c r="I565" s="17"/>
      <c r="J565" s="17"/>
      <c r="K565" s="17"/>
      <c r="L565" s="17"/>
      <c r="M565" s="25" t="s">
        <v>159</v>
      </c>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row>
    <row r="566" hidden="1">
      <c r="A566" s="17">
        <v>564</v>
      </c>
      <c r="B566" s="17" t="s">
        <v>52</v>
      </c>
      <c r="C566" s="25" t="s">
        <v>1727</v>
      </c>
      <c r="D566" s="25" t="s">
        <v>1330</v>
      </c>
      <c r="E566" s="17"/>
      <c r="F566" s="17"/>
      <c r="G566" s="17"/>
      <c r="H566" s="17"/>
      <c r="I566" s="17"/>
      <c r="J566" s="17"/>
      <c r="K566" s="17"/>
      <c r="L566" s="17"/>
      <c r="M566" s="25" t="s">
        <v>159</v>
      </c>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row>
    <row r="567" hidden="1">
      <c r="A567" s="17">
        <v>565</v>
      </c>
      <c r="B567" s="17" t="s">
        <v>52</v>
      </c>
      <c r="C567" s="30" t="s">
        <v>1728</v>
      </c>
      <c r="D567" s="25" t="s">
        <v>1330</v>
      </c>
      <c r="E567" s="17"/>
      <c r="F567" s="17"/>
      <c r="G567" s="17"/>
      <c r="H567" s="17"/>
      <c r="I567" s="17"/>
      <c r="J567" s="17"/>
      <c r="K567" s="17"/>
      <c r="L567" s="17"/>
      <c r="M567" s="25" t="s">
        <v>159</v>
      </c>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row>
    <row r="568" hidden="1">
      <c r="A568" s="17">
        <v>566</v>
      </c>
      <c r="B568" s="17" t="s">
        <v>52</v>
      </c>
      <c r="C568" s="30" t="s">
        <v>1729</v>
      </c>
      <c r="D568" s="25" t="s">
        <v>1330</v>
      </c>
      <c r="E568" s="17"/>
      <c r="F568" s="17"/>
      <c r="G568" s="17"/>
      <c r="H568" s="17"/>
      <c r="I568" s="17"/>
      <c r="J568" s="17"/>
      <c r="K568" s="17"/>
      <c r="L568" s="17"/>
      <c r="M568" s="25" t="s">
        <v>159</v>
      </c>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row>
    <row r="569" hidden="1">
      <c r="A569" s="17">
        <v>567</v>
      </c>
      <c r="B569" s="17" t="s">
        <v>52</v>
      </c>
      <c r="C569" s="25" t="s">
        <v>1730</v>
      </c>
      <c r="D569" s="25" t="s">
        <v>1171</v>
      </c>
      <c r="E569" s="17" t="s">
        <v>1731</v>
      </c>
      <c r="F569" s="17" t="s">
        <v>1732</v>
      </c>
      <c r="G569" s="17">
        <v>22.423425999999999</v>
      </c>
      <c r="H569" s="17">
        <v>87.790740999999997</v>
      </c>
      <c r="I569" s="17"/>
      <c r="J569" s="17"/>
      <c r="K569" s="17"/>
      <c r="L569" s="17"/>
      <c r="M569" s="25" t="s">
        <v>159</v>
      </c>
      <c r="N569" s="17">
        <v>9064976020</v>
      </c>
      <c r="O569" s="17">
        <v>18</v>
      </c>
      <c r="P569" s="17">
        <v>115</v>
      </c>
      <c r="Q569" s="17" t="s">
        <v>187</v>
      </c>
      <c r="R569" s="17" t="s">
        <v>339</v>
      </c>
      <c r="S569" s="17" t="s">
        <v>75</v>
      </c>
      <c r="T569" s="17"/>
      <c r="U569" s="17" t="s">
        <v>105</v>
      </c>
      <c r="V569" s="17" t="s">
        <v>77</v>
      </c>
      <c r="W569" s="17">
        <v>3</v>
      </c>
      <c r="X569" s="17">
        <v>4</v>
      </c>
      <c r="Y569" s="17">
        <v>1</v>
      </c>
      <c r="Z569" s="17" t="s">
        <v>424</v>
      </c>
      <c r="AA569" s="17" t="s">
        <v>187</v>
      </c>
      <c r="AB569" s="17" t="s">
        <v>79</v>
      </c>
      <c r="AC569" s="17">
        <v>4</v>
      </c>
      <c r="AD569" s="17">
        <v>0</v>
      </c>
      <c r="AE569" s="17">
        <v>0</v>
      </c>
      <c r="AF569" s="17"/>
      <c r="AG569" s="17" t="s">
        <v>124</v>
      </c>
      <c r="AH569" s="17" t="s">
        <v>82</v>
      </c>
      <c r="AI569" s="17" t="s">
        <v>83</v>
      </c>
      <c r="AJ569" s="17">
        <v>2111</v>
      </c>
      <c r="AK569" s="17" t="s">
        <v>75</v>
      </c>
      <c r="AL569" s="17" t="s">
        <v>75</v>
      </c>
      <c r="AM569" s="17" t="s">
        <v>75</v>
      </c>
      <c r="AN569" s="17" t="s">
        <v>84</v>
      </c>
      <c r="AO569" s="17" t="s">
        <v>75</v>
      </c>
      <c r="AP569" s="17"/>
      <c r="AQ569" s="17"/>
      <c r="AR569" s="17"/>
      <c r="AS569" s="17"/>
      <c r="AT569" s="17" t="s">
        <v>1733</v>
      </c>
      <c r="AU569" s="17" t="s">
        <v>127</v>
      </c>
    </row>
    <row r="570" hidden="1">
      <c r="A570" s="17">
        <v>568</v>
      </c>
      <c r="B570" s="17" t="s">
        <v>52</v>
      </c>
      <c r="C570" s="25" t="s">
        <v>1734</v>
      </c>
      <c r="D570" s="25" t="s">
        <v>1171</v>
      </c>
      <c r="E570" s="17" t="s">
        <v>1735</v>
      </c>
      <c r="F570" s="17" t="s">
        <v>1736</v>
      </c>
      <c r="G570" s="17">
        <v>22.427104</v>
      </c>
      <c r="H570" s="17">
        <v>87.765174999999999</v>
      </c>
      <c r="I570" s="17"/>
      <c r="J570" s="17"/>
      <c r="K570" s="17"/>
      <c r="L570" s="17"/>
      <c r="M570" s="25" t="s">
        <v>159</v>
      </c>
      <c r="N570" s="17">
        <v>9064976020</v>
      </c>
      <c r="O570" s="17">
        <v>18</v>
      </c>
      <c r="P570" s="17">
        <v>50</v>
      </c>
      <c r="Q570" s="17" t="s">
        <v>73</v>
      </c>
      <c r="R570" s="17" t="s">
        <v>104</v>
      </c>
      <c r="S570" s="17" t="s">
        <v>75</v>
      </c>
      <c r="T570" s="17"/>
      <c r="U570" s="17" t="s">
        <v>160</v>
      </c>
      <c r="V570" s="17" t="s">
        <v>77</v>
      </c>
      <c r="W570" s="17" t="s">
        <v>454</v>
      </c>
      <c r="X570" s="17">
        <v>3</v>
      </c>
      <c r="Y570" s="17">
        <v>1</v>
      </c>
      <c r="Z570" s="17"/>
      <c r="AA570" s="17" t="s">
        <v>73</v>
      </c>
      <c r="AB570" s="17" t="s">
        <v>79</v>
      </c>
      <c r="AC570" s="17">
        <v>1</v>
      </c>
      <c r="AD570" s="17">
        <v>0</v>
      </c>
      <c r="AE570" s="17">
        <v>0</v>
      </c>
      <c r="AF570" s="17"/>
      <c r="AG570" s="17" t="s">
        <v>81</v>
      </c>
      <c r="AH570" s="17" t="s">
        <v>82</v>
      </c>
      <c r="AI570" s="17" t="s">
        <v>107</v>
      </c>
      <c r="AJ570" s="17"/>
      <c r="AK570" s="17" t="s">
        <v>137</v>
      </c>
      <c r="AL570" s="17" t="s">
        <v>75</v>
      </c>
      <c r="AM570" s="17" t="s">
        <v>163</v>
      </c>
      <c r="AN570" s="17" t="s">
        <v>84</v>
      </c>
      <c r="AO570" s="17" t="s">
        <v>75</v>
      </c>
      <c r="AP570" s="17"/>
      <c r="AQ570" s="17"/>
      <c r="AR570" s="17"/>
      <c r="AS570" s="17"/>
      <c r="AT570" s="17" t="s">
        <v>1737</v>
      </c>
      <c r="AU570" s="17" t="s">
        <v>111</v>
      </c>
    </row>
    <row r="571" hidden="1">
      <c r="A571" s="17">
        <v>569</v>
      </c>
      <c r="B571" s="17" t="s">
        <v>52</v>
      </c>
      <c r="C571" s="25" t="s">
        <v>1738</v>
      </c>
      <c r="D571" s="25" t="s">
        <v>1171</v>
      </c>
      <c r="E571" s="17" t="s">
        <v>1739</v>
      </c>
      <c r="F571" s="17" t="s">
        <v>1740</v>
      </c>
      <c r="G571" s="17">
        <v>22.417673000000001</v>
      </c>
      <c r="H571" s="17">
        <v>87.771450000000002</v>
      </c>
      <c r="I571" s="17"/>
      <c r="J571" s="17"/>
      <c r="K571" s="17"/>
      <c r="L571" s="17"/>
      <c r="M571" s="25" t="s">
        <v>159</v>
      </c>
      <c r="N571" s="17">
        <v>9064976020</v>
      </c>
      <c r="O571" s="17">
        <v>18</v>
      </c>
      <c r="P571" s="17">
        <v>90</v>
      </c>
      <c r="Q571" s="17" t="s">
        <v>105</v>
      </c>
      <c r="R571" s="17" t="s">
        <v>74</v>
      </c>
      <c r="S571" s="17" t="s">
        <v>75</v>
      </c>
      <c r="T571" s="17"/>
      <c r="U571" s="17" t="s">
        <v>160</v>
      </c>
      <c r="V571" s="17" t="s">
        <v>77</v>
      </c>
      <c r="W571" s="17" t="s">
        <v>252</v>
      </c>
      <c r="X571" s="17">
        <v>5</v>
      </c>
      <c r="Y571" s="17">
        <v>0</v>
      </c>
      <c r="Z571" s="17"/>
      <c r="AA571" s="17" t="s">
        <v>105</v>
      </c>
      <c r="AB571" s="17" t="s">
        <v>79</v>
      </c>
      <c r="AC571" s="17">
        <v>4</v>
      </c>
      <c r="AD571" s="17">
        <v>0</v>
      </c>
      <c r="AE571" s="17">
        <v>0</v>
      </c>
      <c r="AF571" s="17"/>
      <c r="AG571" s="17" t="s">
        <v>724</v>
      </c>
      <c r="AH571" s="17"/>
      <c r="AI571" s="17"/>
      <c r="AJ571" s="17"/>
      <c r="AK571" s="17"/>
      <c r="AL571" s="17"/>
      <c r="AM571" s="17"/>
      <c r="AN571" s="17"/>
      <c r="AO571" s="17"/>
      <c r="AP571" s="17"/>
      <c r="AQ571" s="17"/>
      <c r="AR571" s="17"/>
      <c r="AS571" s="17"/>
      <c r="AT571" s="17" t="s">
        <v>678</v>
      </c>
      <c r="AU571" s="17" t="s">
        <v>111</v>
      </c>
    </row>
    <row r="572" hidden="1">
      <c r="A572" s="17">
        <v>570</v>
      </c>
      <c r="B572" s="17" t="s">
        <v>52</v>
      </c>
      <c r="C572" s="25" t="s">
        <v>1741</v>
      </c>
      <c r="D572" s="25" t="s">
        <v>1171</v>
      </c>
      <c r="E572" s="17" t="s">
        <v>1742</v>
      </c>
      <c r="F572" s="17" t="s">
        <v>1743</v>
      </c>
      <c r="G572" s="17">
        <v>22.452309</v>
      </c>
      <c r="H572" s="17">
        <v>87.780574999999999</v>
      </c>
      <c r="I572" s="17"/>
      <c r="J572" s="17"/>
      <c r="K572" s="17"/>
      <c r="L572" s="17"/>
      <c r="M572" s="25" t="s">
        <v>159</v>
      </c>
      <c r="N572" s="17">
        <v>9064976020</v>
      </c>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row>
    <row r="573" hidden="1">
      <c r="A573" s="17">
        <v>571</v>
      </c>
      <c r="B573" s="17" t="s">
        <v>52</v>
      </c>
      <c r="C573" s="25" t="s">
        <v>1744</v>
      </c>
      <c r="D573" s="25" t="s">
        <v>1171</v>
      </c>
      <c r="E573" s="17"/>
      <c r="F573" s="17"/>
      <c r="G573" s="17"/>
      <c r="H573" s="17"/>
      <c r="I573" s="17"/>
      <c r="J573" s="17"/>
      <c r="K573" s="17"/>
      <c r="L573" s="17"/>
      <c r="M573" s="25" t="s">
        <v>159</v>
      </c>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row>
    <row r="574" hidden="1">
      <c r="A574" s="17">
        <v>572</v>
      </c>
      <c r="B574" s="17" t="s">
        <v>52</v>
      </c>
      <c r="C574" s="25" t="s">
        <v>1745</v>
      </c>
      <c r="D574" s="25" t="s">
        <v>1171</v>
      </c>
      <c r="E574" s="17" t="s">
        <v>1746</v>
      </c>
      <c r="F574" s="17" t="s">
        <v>1747</v>
      </c>
      <c r="G574" s="17">
        <v>22.394383999999999</v>
      </c>
      <c r="H574" s="17">
        <v>87.775795000000002</v>
      </c>
      <c r="I574" s="17"/>
      <c r="J574" s="17"/>
      <c r="K574" s="17"/>
      <c r="L574" s="17"/>
      <c r="M574" s="25" t="s">
        <v>159</v>
      </c>
      <c r="N574" s="17">
        <v>9064976020</v>
      </c>
      <c r="O574" s="17">
        <v>18</v>
      </c>
      <c r="P574" s="17">
        <v>60</v>
      </c>
      <c r="Q574" s="17" t="s">
        <v>187</v>
      </c>
      <c r="R574" s="17" t="s">
        <v>339</v>
      </c>
      <c r="S574" s="17" t="s">
        <v>75</v>
      </c>
      <c r="T574" s="17"/>
      <c r="U574" s="17" t="s">
        <v>160</v>
      </c>
      <c r="V574" s="17" t="s">
        <v>77</v>
      </c>
      <c r="W574" s="17" t="s">
        <v>161</v>
      </c>
      <c r="X574" s="17">
        <v>4</v>
      </c>
      <c r="Y574" s="17">
        <v>0</v>
      </c>
      <c r="Z574" s="17"/>
      <c r="AA574" s="17" t="s">
        <v>187</v>
      </c>
      <c r="AB574" s="17" t="s">
        <v>79</v>
      </c>
      <c r="AC574" s="17">
        <v>3</v>
      </c>
      <c r="AD574" s="17">
        <v>0</v>
      </c>
      <c r="AE574" s="17">
        <v>1</v>
      </c>
      <c r="AF574" s="17"/>
      <c r="AG574" s="17" t="s">
        <v>124</v>
      </c>
      <c r="AH574" s="17" t="s">
        <v>82</v>
      </c>
      <c r="AI574" s="17" t="s">
        <v>83</v>
      </c>
      <c r="AJ574" s="17">
        <v>2111</v>
      </c>
      <c r="AK574" s="17" t="s">
        <v>75</v>
      </c>
      <c r="AL574" s="17" t="s">
        <v>75</v>
      </c>
      <c r="AM574" s="17" t="s">
        <v>75</v>
      </c>
      <c r="AN574" s="17" t="s">
        <v>84</v>
      </c>
      <c r="AO574" s="17" t="s">
        <v>75</v>
      </c>
      <c r="AP574" s="17"/>
      <c r="AQ574" s="17"/>
      <c r="AR574" s="17"/>
      <c r="AS574" s="17"/>
      <c r="AT574" s="17" t="s">
        <v>1748</v>
      </c>
      <c r="AU574" s="17" t="s">
        <v>111</v>
      </c>
    </row>
    <row r="575" hidden="1">
      <c r="A575" s="17">
        <v>573</v>
      </c>
      <c r="B575" s="17" t="s">
        <v>52</v>
      </c>
      <c r="C575" s="25" t="s">
        <v>1749</v>
      </c>
      <c r="D575" s="25" t="s">
        <v>1171</v>
      </c>
      <c r="E575" s="17" t="s">
        <v>1750</v>
      </c>
      <c r="F575" s="17" t="s">
        <v>1751</v>
      </c>
      <c r="G575" s="17">
        <v>22.372957</v>
      </c>
      <c r="H575" s="17">
        <v>87.697023000000002</v>
      </c>
      <c r="I575" s="17"/>
      <c r="J575" s="17"/>
      <c r="K575" s="17"/>
      <c r="L575" s="17"/>
      <c r="M575" s="25" t="s">
        <v>159</v>
      </c>
      <c r="N575" s="17">
        <v>9064976020</v>
      </c>
      <c r="O575" s="17">
        <v>18</v>
      </c>
      <c r="P575" s="17">
        <v>50</v>
      </c>
      <c r="Q575" s="17" t="s">
        <v>73</v>
      </c>
      <c r="R575" s="17" t="s">
        <v>1180</v>
      </c>
      <c r="S575" s="17" t="s">
        <v>75</v>
      </c>
      <c r="T575" s="17"/>
      <c r="U575" s="17" t="s">
        <v>76</v>
      </c>
      <c r="V575" s="17" t="s">
        <v>340</v>
      </c>
      <c r="W575" s="17" t="s">
        <v>330</v>
      </c>
      <c r="X575" s="17">
        <v>4</v>
      </c>
      <c r="Y575" s="17">
        <v>2</v>
      </c>
      <c r="Z575" s="17"/>
      <c r="AA575" s="17" t="s">
        <v>73</v>
      </c>
      <c r="AB575" s="17" t="s">
        <v>79</v>
      </c>
      <c r="AC575" s="17">
        <v>1</v>
      </c>
      <c r="AD575" s="17">
        <v>0</v>
      </c>
      <c r="AE575" s="17">
        <v>0</v>
      </c>
      <c r="AF575" s="17"/>
      <c r="AG575" s="17" t="s">
        <v>124</v>
      </c>
      <c r="AH575" s="17" t="s">
        <v>82</v>
      </c>
      <c r="AI575" s="17" t="s">
        <v>83</v>
      </c>
      <c r="AJ575" s="17">
        <v>2111</v>
      </c>
      <c r="AK575" s="17" t="s">
        <v>75</v>
      </c>
      <c r="AL575" s="17" t="s">
        <v>75</v>
      </c>
      <c r="AM575" s="17" t="s">
        <v>75</v>
      </c>
      <c r="AN575" s="17" t="s">
        <v>84</v>
      </c>
      <c r="AO575" s="17" t="s">
        <v>75</v>
      </c>
      <c r="AP575" s="17"/>
      <c r="AQ575" s="17"/>
      <c r="AR575" s="17"/>
      <c r="AS575" s="17"/>
      <c r="AT575" s="17" t="s">
        <v>1752</v>
      </c>
      <c r="AU575" s="17" t="s">
        <v>429</v>
      </c>
    </row>
    <row r="576" hidden="1">
      <c r="A576" s="17">
        <v>574</v>
      </c>
      <c r="B576" s="17" t="s">
        <v>52</v>
      </c>
      <c r="C576" s="25" t="s">
        <v>1753</v>
      </c>
      <c r="D576" s="25" t="s">
        <v>1171</v>
      </c>
      <c r="E576" s="17" t="s">
        <v>1754</v>
      </c>
      <c r="F576" s="17" t="s">
        <v>1755</v>
      </c>
      <c r="G576" s="17">
        <v>22.412564</v>
      </c>
      <c r="H576" s="17">
        <v>87.748073000000005</v>
      </c>
      <c r="I576" s="17"/>
      <c r="J576" s="17"/>
      <c r="K576" s="17"/>
      <c r="L576" s="17"/>
      <c r="M576" s="25" t="s">
        <v>159</v>
      </c>
      <c r="N576" s="17">
        <v>9064976020</v>
      </c>
      <c r="O576" s="17">
        <v>18</v>
      </c>
      <c r="P576" s="17">
        <v>95</v>
      </c>
      <c r="Q576" s="17" t="s">
        <v>73</v>
      </c>
      <c r="R576" s="17" t="s">
        <v>74</v>
      </c>
      <c r="S576" s="17" t="s">
        <v>75</v>
      </c>
      <c r="T576" s="17"/>
      <c r="U576" s="17" t="s">
        <v>105</v>
      </c>
      <c r="V576" s="17" t="s">
        <v>340</v>
      </c>
      <c r="W576" s="17" t="s">
        <v>443</v>
      </c>
      <c r="X576" s="17">
        <v>5</v>
      </c>
      <c r="Y576" s="17">
        <v>2</v>
      </c>
      <c r="Z576" s="17"/>
      <c r="AA576" s="17" t="s">
        <v>73</v>
      </c>
      <c r="AB576" s="17" t="s">
        <v>79</v>
      </c>
      <c r="AC576" s="17">
        <v>2</v>
      </c>
      <c r="AD576" s="17">
        <v>0</v>
      </c>
      <c r="AE576" s="17">
        <v>0</v>
      </c>
      <c r="AF576" s="17"/>
      <c r="AG576" s="17" t="s">
        <v>124</v>
      </c>
      <c r="AH576" s="17" t="s">
        <v>82</v>
      </c>
      <c r="AI576" s="17" t="s">
        <v>83</v>
      </c>
      <c r="AJ576" s="17">
        <v>2111</v>
      </c>
      <c r="AK576" s="17" t="s">
        <v>75</v>
      </c>
      <c r="AL576" s="17" t="s">
        <v>75</v>
      </c>
      <c r="AM576" s="17" t="s">
        <v>75</v>
      </c>
      <c r="AN576" s="17" t="s">
        <v>84</v>
      </c>
      <c r="AO576" s="17" t="s">
        <v>75</v>
      </c>
      <c r="AP576" s="17"/>
      <c r="AQ576" s="17"/>
      <c r="AR576" s="17"/>
      <c r="AS576" s="17"/>
      <c r="AT576" s="17"/>
      <c r="AU576" s="17" t="s">
        <v>111</v>
      </c>
    </row>
    <row r="577" hidden="1">
      <c r="A577" s="17">
        <v>575</v>
      </c>
      <c r="B577" s="17" t="s">
        <v>52</v>
      </c>
      <c r="C577" s="25" t="s">
        <v>1756</v>
      </c>
      <c r="D577" s="25" t="s">
        <v>1171</v>
      </c>
      <c r="E577" s="17" t="s">
        <v>1757</v>
      </c>
      <c r="F577" s="17" t="s">
        <v>1758</v>
      </c>
      <c r="G577" s="17">
        <v>22.359680000000001</v>
      </c>
      <c r="H577" s="17">
        <v>87.789164</v>
      </c>
      <c r="I577" s="17"/>
      <c r="J577" s="17"/>
      <c r="K577" s="17"/>
      <c r="L577" s="17"/>
      <c r="M577" s="25" t="s">
        <v>159</v>
      </c>
      <c r="N577" s="17">
        <v>9064976020</v>
      </c>
      <c r="O577" s="17">
        <v>18</v>
      </c>
      <c r="P577" s="17">
        <v>90</v>
      </c>
      <c r="Q577" s="17" t="s">
        <v>413</v>
      </c>
      <c r="R577" s="17" t="s">
        <v>74</v>
      </c>
      <c r="S577" s="17" t="s">
        <v>75</v>
      </c>
      <c r="T577" s="17"/>
      <c r="U577" s="17" t="s">
        <v>76</v>
      </c>
      <c r="V577" s="17" t="s">
        <v>340</v>
      </c>
      <c r="W577" s="17" t="s">
        <v>78</v>
      </c>
      <c r="X577" s="17">
        <v>5</v>
      </c>
      <c r="Y577" s="17">
        <v>0</v>
      </c>
      <c r="Z577" s="17"/>
      <c r="AA577" s="17" t="s">
        <v>413</v>
      </c>
      <c r="AB577" s="17" t="s">
        <v>79</v>
      </c>
      <c r="AC577" s="17">
        <v>3</v>
      </c>
      <c r="AD577" s="17">
        <v>0</v>
      </c>
      <c r="AE577" s="17">
        <v>0</v>
      </c>
      <c r="AF577" s="17"/>
      <c r="AG577" s="17" t="s">
        <v>124</v>
      </c>
      <c r="AH577" s="17" t="s">
        <v>82</v>
      </c>
      <c r="AI577" s="17" t="s">
        <v>83</v>
      </c>
      <c r="AJ577" s="17">
        <v>2111</v>
      </c>
      <c r="AK577" s="17" t="s">
        <v>75</v>
      </c>
      <c r="AL577" s="17" t="s">
        <v>75</v>
      </c>
      <c r="AM577" s="17" t="s">
        <v>75</v>
      </c>
      <c r="AN577" s="17" t="s">
        <v>84</v>
      </c>
      <c r="AO577" s="17" t="s">
        <v>75</v>
      </c>
      <c r="AP577" s="17"/>
      <c r="AQ577" s="17"/>
      <c r="AR577" s="17"/>
      <c r="AS577" s="17"/>
      <c r="AT577" s="17" t="s">
        <v>1759</v>
      </c>
      <c r="AU577" s="17" t="s">
        <v>111</v>
      </c>
    </row>
    <row r="578" hidden="1">
      <c r="A578" s="17">
        <v>576</v>
      </c>
      <c r="B578" s="17" t="s">
        <v>52</v>
      </c>
      <c r="C578" s="25" t="s">
        <v>1760</v>
      </c>
      <c r="D578" s="25" t="s">
        <v>1171</v>
      </c>
      <c r="E578" s="17" t="s">
        <v>1761</v>
      </c>
      <c r="F578" s="17" t="s">
        <v>1762</v>
      </c>
      <c r="G578" s="17">
        <v>22.404699999999998</v>
      </c>
      <c r="H578" s="17">
        <v>87.667311999999995</v>
      </c>
      <c r="I578" s="17"/>
      <c r="J578" s="17"/>
      <c r="K578" s="17"/>
      <c r="L578" s="17"/>
      <c r="M578" s="25" t="s">
        <v>159</v>
      </c>
      <c r="N578" s="17">
        <v>9064976020</v>
      </c>
      <c r="O578" s="17">
        <v>18</v>
      </c>
      <c r="P578" s="17">
        <v>90</v>
      </c>
      <c r="Q578" s="17" t="s">
        <v>73</v>
      </c>
      <c r="R578" s="17" t="s">
        <v>74</v>
      </c>
      <c r="S578" s="17" t="s">
        <v>75</v>
      </c>
      <c r="T578" s="17"/>
      <c r="U578" s="17" t="s">
        <v>105</v>
      </c>
      <c r="V578" s="17" t="s">
        <v>77</v>
      </c>
      <c r="W578" s="17" t="s">
        <v>252</v>
      </c>
      <c r="X578" s="17">
        <v>5</v>
      </c>
      <c r="Y578" s="17">
        <v>0</v>
      </c>
      <c r="Z578" s="17"/>
      <c r="AA578" s="17" t="s">
        <v>73</v>
      </c>
      <c r="AB578" s="17" t="s">
        <v>79</v>
      </c>
      <c r="AC578" s="17">
        <v>2</v>
      </c>
      <c r="AD578" s="17">
        <v>0</v>
      </c>
      <c r="AE578" s="17">
        <v>0</v>
      </c>
      <c r="AF578" s="17"/>
      <c r="AG578" s="17" t="s">
        <v>81</v>
      </c>
      <c r="AH578" s="17" t="s">
        <v>82</v>
      </c>
      <c r="AI578" s="17" t="s">
        <v>83</v>
      </c>
      <c r="AJ578" s="17">
        <v>2111</v>
      </c>
      <c r="AK578" s="17" t="s">
        <v>75</v>
      </c>
      <c r="AL578" s="17" t="s">
        <v>75</v>
      </c>
      <c r="AM578" s="17" t="s">
        <v>75</v>
      </c>
      <c r="AN578" s="17" t="s">
        <v>125</v>
      </c>
      <c r="AO578" s="17" t="s">
        <v>75</v>
      </c>
      <c r="AP578" s="17"/>
      <c r="AQ578" s="17"/>
      <c r="AR578" s="17"/>
      <c r="AS578" s="17"/>
      <c r="AT578" s="17" t="s">
        <v>1763</v>
      </c>
      <c r="AU578" s="17" t="s">
        <v>111</v>
      </c>
    </row>
    <row r="579" hidden="1">
      <c r="A579" s="17">
        <v>577</v>
      </c>
      <c r="B579" s="17" t="s">
        <v>52</v>
      </c>
      <c r="C579" s="25" t="s">
        <v>1764</v>
      </c>
      <c r="D579" s="25" t="s">
        <v>1171</v>
      </c>
      <c r="E579" s="17" t="s">
        <v>1765</v>
      </c>
      <c r="F579" s="17" t="s">
        <v>1766</v>
      </c>
      <c r="G579" s="17">
        <v>22.369993999999998</v>
      </c>
      <c r="H579" s="17">
        <v>87.743341000000001</v>
      </c>
      <c r="I579" s="17"/>
      <c r="J579" s="17"/>
      <c r="K579" s="17"/>
      <c r="L579" s="17"/>
      <c r="M579" s="25" t="s">
        <v>159</v>
      </c>
      <c r="N579" s="17">
        <v>9064976020</v>
      </c>
      <c r="O579" s="17">
        <v>18</v>
      </c>
      <c r="P579" s="17">
        <v>90</v>
      </c>
      <c r="Q579" s="17" t="s">
        <v>73</v>
      </c>
      <c r="R579" s="17" t="s">
        <v>74</v>
      </c>
      <c r="S579" s="17" t="s">
        <v>75</v>
      </c>
      <c r="T579" s="17"/>
      <c r="U579" s="17" t="s">
        <v>105</v>
      </c>
      <c r="V579" s="17" t="s">
        <v>77</v>
      </c>
      <c r="W579" s="17" t="s">
        <v>252</v>
      </c>
      <c r="X579" s="17">
        <v>5</v>
      </c>
      <c r="Y579" s="17">
        <v>0</v>
      </c>
      <c r="Z579" s="17"/>
      <c r="AA579" s="17" t="s">
        <v>73</v>
      </c>
      <c r="AB579" s="17" t="s">
        <v>79</v>
      </c>
      <c r="AC579" s="17">
        <v>2</v>
      </c>
      <c r="AD579" s="17">
        <v>0</v>
      </c>
      <c r="AE579" s="17">
        <v>0</v>
      </c>
      <c r="AF579" s="17"/>
      <c r="AG579" s="17" t="s">
        <v>81</v>
      </c>
      <c r="AH579" s="17" t="s">
        <v>82</v>
      </c>
      <c r="AI579" s="17" t="s">
        <v>107</v>
      </c>
      <c r="AJ579" s="17"/>
      <c r="AK579" s="17" t="s">
        <v>75</v>
      </c>
      <c r="AL579" s="17" t="s">
        <v>75</v>
      </c>
      <c r="AM579" s="17" t="s">
        <v>163</v>
      </c>
      <c r="AN579" s="17" t="s">
        <v>84</v>
      </c>
      <c r="AO579" s="17" t="s">
        <v>75</v>
      </c>
      <c r="AP579" s="17"/>
      <c r="AQ579" s="17"/>
      <c r="AR579" s="17"/>
      <c r="AS579" s="17"/>
      <c r="AT579" s="17" t="s">
        <v>1767</v>
      </c>
      <c r="AU579" s="17" t="s">
        <v>127</v>
      </c>
    </row>
    <row r="580" hidden="1">
      <c r="A580" s="17">
        <v>578</v>
      </c>
      <c r="B580" s="17" t="s">
        <v>52</v>
      </c>
      <c r="C580" s="25" t="s">
        <v>1768</v>
      </c>
      <c r="D580" s="25" t="s">
        <v>1171</v>
      </c>
      <c r="E580" s="17" t="s">
        <v>1769</v>
      </c>
      <c r="F580" s="17" t="s">
        <v>1770</v>
      </c>
      <c r="G580" s="17">
        <v>22.377233</v>
      </c>
      <c r="H580" s="17">
        <v>87.744741000000005</v>
      </c>
      <c r="I580" s="17"/>
      <c r="J580" s="17"/>
      <c r="K580" s="17"/>
      <c r="L580" s="17"/>
      <c r="M580" s="25" t="s">
        <v>159</v>
      </c>
      <c r="N580" s="17">
        <v>9064976020</v>
      </c>
      <c r="O580" s="17">
        <v>20</v>
      </c>
      <c r="P580" s="17">
        <v>90</v>
      </c>
      <c r="Q580" s="17" t="s">
        <v>187</v>
      </c>
      <c r="R580" s="17" t="s">
        <v>74</v>
      </c>
      <c r="S580" s="17"/>
      <c r="T580" s="17"/>
      <c r="U580" s="17" t="s">
        <v>187</v>
      </c>
      <c r="V580" s="17" t="s">
        <v>77</v>
      </c>
      <c r="W580" s="17" t="s">
        <v>330</v>
      </c>
      <c r="X580" s="17">
        <v>4</v>
      </c>
      <c r="Y580" s="17">
        <v>0</v>
      </c>
      <c r="Z580" s="17"/>
      <c r="AA580" s="17" t="s">
        <v>187</v>
      </c>
      <c r="AB580" s="17" t="s">
        <v>79</v>
      </c>
      <c r="AC580" s="17">
        <v>5</v>
      </c>
      <c r="AD580" s="17">
        <v>0</v>
      </c>
      <c r="AE580" s="17">
        <v>0</v>
      </c>
      <c r="AF580" s="17"/>
      <c r="AG580" s="17" t="s">
        <v>677</v>
      </c>
      <c r="AH580" s="17" t="s">
        <v>162</v>
      </c>
      <c r="AI580" s="17" t="s">
        <v>83</v>
      </c>
      <c r="AJ580" s="17">
        <v>2112</v>
      </c>
      <c r="AK580" s="17" t="s">
        <v>75</v>
      </c>
      <c r="AL580" s="17" t="s">
        <v>75</v>
      </c>
      <c r="AM580" s="17" t="s">
        <v>75</v>
      </c>
      <c r="AN580" s="17" t="s">
        <v>125</v>
      </c>
      <c r="AO580" s="17" t="s">
        <v>75</v>
      </c>
      <c r="AP580" s="17"/>
      <c r="AQ580" s="17"/>
      <c r="AR580" s="17"/>
      <c r="AS580" s="17"/>
      <c r="AT580" s="17" t="s">
        <v>1771</v>
      </c>
      <c r="AU580" s="17" t="s">
        <v>111</v>
      </c>
    </row>
    <row r="581" hidden="1">
      <c r="A581" s="17">
        <v>579</v>
      </c>
      <c r="B581" s="17" t="s">
        <v>52</v>
      </c>
      <c r="C581" s="25" t="s">
        <v>1772</v>
      </c>
      <c r="D581" s="25" t="s">
        <v>1171</v>
      </c>
      <c r="E581" s="17" t="s">
        <v>1773</v>
      </c>
      <c r="F581" s="17" t="s">
        <v>1774</v>
      </c>
      <c r="G581" s="17">
        <v>22.413246999999998</v>
      </c>
      <c r="H581" s="17">
        <v>87.719930000000005</v>
      </c>
      <c r="I581" s="17"/>
      <c r="J581" s="17"/>
      <c r="K581" s="17"/>
      <c r="L581" s="17"/>
      <c r="M581" s="25" t="s">
        <v>159</v>
      </c>
      <c r="N581" s="17">
        <v>9064976020</v>
      </c>
      <c r="O581" s="17">
        <v>18</v>
      </c>
      <c r="P581" s="17">
        <v>135</v>
      </c>
      <c r="Q581" s="17" t="s">
        <v>413</v>
      </c>
      <c r="R581" s="17" t="s">
        <v>74</v>
      </c>
      <c r="S581" s="17" t="s">
        <v>75</v>
      </c>
      <c r="T581" s="17"/>
      <c r="U581" s="17" t="s">
        <v>160</v>
      </c>
      <c r="V581" s="17" t="s">
        <v>77</v>
      </c>
      <c r="W581" s="17" t="s">
        <v>78</v>
      </c>
      <c r="X581" s="17">
        <v>5</v>
      </c>
      <c r="Y581" s="17">
        <v>0</v>
      </c>
      <c r="Z581" s="17"/>
      <c r="AA581" s="17" t="s">
        <v>413</v>
      </c>
      <c r="AB581" s="17" t="s">
        <v>79</v>
      </c>
      <c r="AC581" s="17">
        <v>4</v>
      </c>
      <c r="AD581" s="17">
        <v>0</v>
      </c>
      <c r="AE581" s="17">
        <v>0</v>
      </c>
      <c r="AF581" s="17"/>
      <c r="AG581" s="17" t="s">
        <v>124</v>
      </c>
      <c r="AH581" s="17" t="s">
        <v>162</v>
      </c>
      <c r="AI581" s="17" t="s">
        <v>83</v>
      </c>
      <c r="AJ581" s="17">
        <v>2112</v>
      </c>
      <c r="AK581" s="17" t="s">
        <v>75</v>
      </c>
      <c r="AL581" s="17" t="s">
        <v>137</v>
      </c>
      <c r="AM581" s="17" t="s">
        <v>75</v>
      </c>
      <c r="AN581" s="17" t="s">
        <v>84</v>
      </c>
      <c r="AO581" s="17" t="s">
        <v>75</v>
      </c>
      <c r="AP581" s="17"/>
      <c r="AQ581" s="17"/>
      <c r="AR581" s="17"/>
      <c r="AS581" s="17"/>
      <c r="AT581" s="17"/>
      <c r="AU581" s="17" t="s">
        <v>127</v>
      </c>
    </row>
    <row r="582" hidden="1">
      <c r="A582" s="17">
        <v>580</v>
      </c>
      <c r="B582" s="17" t="s">
        <v>52</v>
      </c>
      <c r="C582" s="25" t="s">
        <v>1775</v>
      </c>
      <c r="D582" s="25" t="s">
        <v>1171</v>
      </c>
      <c r="E582" s="17" t="s">
        <v>1757</v>
      </c>
      <c r="F582" s="17" t="s">
        <v>1776</v>
      </c>
      <c r="G582" s="17">
        <v>22.341906000000002</v>
      </c>
      <c r="H582" s="17">
        <v>87.797861999999995</v>
      </c>
      <c r="I582" s="17"/>
      <c r="J582" s="17"/>
      <c r="K582" s="17"/>
      <c r="L582" s="17"/>
      <c r="M582" s="25" t="s">
        <v>159</v>
      </c>
      <c r="N582" s="17">
        <v>9064976020</v>
      </c>
      <c r="O582" s="17">
        <v>18</v>
      </c>
      <c r="P582" s="17">
        <v>95</v>
      </c>
      <c r="Q582" s="17" t="s">
        <v>73</v>
      </c>
      <c r="R582" s="17" t="s">
        <v>74</v>
      </c>
      <c r="S582" s="17" t="s">
        <v>75</v>
      </c>
      <c r="T582" s="17"/>
      <c r="U582" s="17" t="s">
        <v>105</v>
      </c>
      <c r="V582" s="17" t="s">
        <v>77</v>
      </c>
      <c r="W582" s="17" t="s">
        <v>252</v>
      </c>
      <c r="X582" s="17">
        <v>5</v>
      </c>
      <c r="Y582" s="17">
        <v>0</v>
      </c>
      <c r="Z582" s="17"/>
      <c r="AA582" s="17" t="s">
        <v>73</v>
      </c>
      <c r="AB582" s="17" t="s">
        <v>79</v>
      </c>
      <c r="AC582" s="17">
        <v>2</v>
      </c>
      <c r="AD582" s="17">
        <v>0</v>
      </c>
      <c r="AE582" s="17">
        <v>0</v>
      </c>
      <c r="AF582" s="17"/>
      <c r="AG582" s="17" t="s">
        <v>81</v>
      </c>
      <c r="AH582" s="17" t="s">
        <v>82</v>
      </c>
      <c r="AI582" s="17" t="s">
        <v>107</v>
      </c>
      <c r="AJ582" s="17"/>
      <c r="AK582" s="17" t="s">
        <v>75</v>
      </c>
      <c r="AL582" s="17" t="s">
        <v>75</v>
      </c>
      <c r="AM582" s="17" t="s">
        <v>75</v>
      </c>
      <c r="AN582" s="17" t="s">
        <v>84</v>
      </c>
      <c r="AO582" s="17" t="s">
        <v>75</v>
      </c>
      <c r="AP582" s="17"/>
      <c r="AQ582" s="17"/>
      <c r="AR582" s="17"/>
      <c r="AS582" s="17"/>
      <c r="AT582" s="17"/>
      <c r="AU582" s="17" t="s">
        <v>111</v>
      </c>
    </row>
    <row r="583" hidden="1">
      <c r="A583" s="17">
        <v>581</v>
      </c>
      <c r="B583" s="17" t="s">
        <v>52</v>
      </c>
      <c r="C583" s="25" t="s">
        <v>1777</v>
      </c>
      <c r="D583" s="25" t="s">
        <v>1171</v>
      </c>
      <c r="E583" s="17" t="s">
        <v>1778</v>
      </c>
      <c r="F583" s="17" t="s">
        <v>1779</v>
      </c>
      <c r="G583" s="17">
        <v>22.373601000000001</v>
      </c>
      <c r="H583" s="17">
        <v>87.672995999999998</v>
      </c>
      <c r="I583" s="17"/>
      <c r="J583" s="17"/>
      <c r="K583" s="17"/>
      <c r="L583" s="17"/>
      <c r="M583" s="25" t="s">
        <v>159</v>
      </c>
      <c r="N583" s="17">
        <v>9064976020</v>
      </c>
      <c r="O583" s="17">
        <v>18</v>
      </c>
      <c r="P583" s="17">
        <v>85</v>
      </c>
      <c r="Q583" s="17" t="s">
        <v>448</v>
      </c>
      <c r="R583" s="17" t="s">
        <v>74</v>
      </c>
      <c r="S583" s="17" t="s">
        <v>75</v>
      </c>
      <c r="T583" s="17"/>
      <c r="U583" s="17" t="s">
        <v>105</v>
      </c>
      <c r="V583" s="17" t="s">
        <v>77</v>
      </c>
      <c r="W583" s="17" t="s">
        <v>252</v>
      </c>
      <c r="X583" s="17">
        <v>5</v>
      </c>
      <c r="Y583" s="17">
        <v>0</v>
      </c>
      <c r="Z583" s="17"/>
      <c r="AA583" s="17" t="s">
        <v>448</v>
      </c>
      <c r="AB583" s="17" t="s">
        <v>79</v>
      </c>
      <c r="AC583" s="17">
        <v>4</v>
      </c>
      <c r="AD583" s="17">
        <v>0</v>
      </c>
      <c r="AE583" s="17">
        <v>0</v>
      </c>
      <c r="AF583" s="17"/>
      <c r="AG583" s="17" t="s">
        <v>81</v>
      </c>
      <c r="AH583" s="17" t="s">
        <v>82</v>
      </c>
      <c r="AI583" s="17" t="s">
        <v>107</v>
      </c>
      <c r="AJ583" s="17"/>
      <c r="AK583" s="17" t="s">
        <v>75</v>
      </c>
      <c r="AL583" s="17" t="s">
        <v>75</v>
      </c>
      <c r="AM583" s="17" t="s">
        <v>75</v>
      </c>
      <c r="AN583" s="17" t="s">
        <v>84</v>
      </c>
      <c r="AO583" s="17" t="s">
        <v>75</v>
      </c>
      <c r="AP583" s="17"/>
      <c r="AQ583" s="17"/>
      <c r="AR583" s="17"/>
      <c r="AS583" s="17"/>
      <c r="AT583" s="17" t="s">
        <v>1780</v>
      </c>
      <c r="AU583" s="17" t="s">
        <v>127</v>
      </c>
    </row>
    <row r="584" hidden="1">
      <c r="A584" s="17">
        <v>582</v>
      </c>
      <c r="B584" s="17" t="s">
        <v>52</v>
      </c>
      <c r="C584" s="25" t="s">
        <v>1781</v>
      </c>
      <c r="D584" s="25" t="s">
        <v>1171</v>
      </c>
      <c r="E584" s="17" t="s">
        <v>1782</v>
      </c>
      <c r="F584" s="17" t="s">
        <v>1783</v>
      </c>
      <c r="G584" s="17">
        <v>22.342987999999998</v>
      </c>
      <c r="H584" s="17">
        <v>87.656880999999998</v>
      </c>
      <c r="I584" s="17"/>
      <c r="J584" s="17"/>
      <c r="K584" s="17"/>
      <c r="L584" s="17"/>
      <c r="M584" s="25" t="s">
        <v>159</v>
      </c>
      <c r="N584" s="17">
        <v>9064976020</v>
      </c>
      <c r="O584" s="17">
        <v>18</v>
      </c>
      <c r="P584" s="17">
        <v>90</v>
      </c>
      <c r="Q584" s="17" t="s">
        <v>105</v>
      </c>
      <c r="R584" s="17" t="s">
        <v>74</v>
      </c>
      <c r="S584" s="17"/>
      <c r="T584" s="17"/>
      <c r="U584" s="17" t="s">
        <v>105</v>
      </c>
      <c r="V584" s="17" t="s">
        <v>77</v>
      </c>
      <c r="W584" s="17" t="s">
        <v>593</v>
      </c>
      <c r="X584" s="17">
        <v>8</v>
      </c>
      <c r="Y584" s="17">
        <v>0</v>
      </c>
      <c r="Z584" s="17"/>
      <c r="AA584" s="17" t="s">
        <v>105</v>
      </c>
      <c r="AB584" s="17" t="s">
        <v>79</v>
      </c>
      <c r="AC584" s="17">
        <v>5</v>
      </c>
      <c r="AD584" s="17">
        <v>0</v>
      </c>
      <c r="AE584" s="17">
        <v>0</v>
      </c>
      <c r="AF584" s="17"/>
      <c r="AG584" s="17" t="s">
        <v>81</v>
      </c>
      <c r="AH584" s="17" t="s">
        <v>82</v>
      </c>
      <c r="AI584" s="17" t="s">
        <v>107</v>
      </c>
      <c r="AJ584" s="17"/>
      <c r="AK584" s="17" t="s">
        <v>75</v>
      </c>
      <c r="AL584" s="17" t="s">
        <v>75</v>
      </c>
      <c r="AM584" s="17" t="s">
        <v>75</v>
      </c>
      <c r="AN584" s="17" t="s">
        <v>84</v>
      </c>
      <c r="AO584" s="17" t="s">
        <v>75</v>
      </c>
      <c r="AP584" s="17" t="s">
        <v>105</v>
      </c>
      <c r="AQ584" s="17" t="s">
        <v>1180</v>
      </c>
      <c r="AR584" s="17">
        <v>5</v>
      </c>
      <c r="AS584" s="17"/>
      <c r="AT584" s="17" t="s">
        <v>1784</v>
      </c>
      <c r="AU584" s="17" t="s">
        <v>111</v>
      </c>
    </row>
    <row r="585" hidden="1">
      <c r="A585" s="17">
        <v>583</v>
      </c>
      <c r="B585" s="17" t="s">
        <v>52</v>
      </c>
      <c r="C585" s="25" t="s">
        <v>1785</v>
      </c>
      <c r="D585" s="25" t="s">
        <v>1171</v>
      </c>
      <c r="E585" s="17" t="s">
        <v>1786</v>
      </c>
      <c r="F585" s="17" t="s">
        <v>1787</v>
      </c>
      <c r="G585" s="17">
        <v>22.380884000000002</v>
      </c>
      <c r="H585" s="17">
        <v>87.758223000000001</v>
      </c>
      <c r="I585" s="17"/>
      <c r="J585" s="17"/>
      <c r="K585" s="17"/>
      <c r="L585" s="17"/>
      <c r="M585" s="25" t="s">
        <v>159</v>
      </c>
      <c r="N585" s="17">
        <v>9064976020</v>
      </c>
      <c r="O585" s="17">
        <v>18</v>
      </c>
      <c r="P585" s="17">
        <v>140</v>
      </c>
      <c r="Q585" s="17" t="s">
        <v>73</v>
      </c>
      <c r="R585" s="17" t="s">
        <v>142</v>
      </c>
      <c r="S585" s="17" t="s">
        <v>75</v>
      </c>
      <c r="T585" s="17"/>
      <c r="U585" s="17" t="s">
        <v>105</v>
      </c>
      <c r="V585" s="17" t="s">
        <v>77</v>
      </c>
      <c r="W585" s="17" t="s">
        <v>454</v>
      </c>
      <c r="X585" s="17">
        <v>5</v>
      </c>
      <c r="Y585" s="17">
        <v>1</v>
      </c>
      <c r="Z585" s="17"/>
      <c r="AA585" s="17" t="s">
        <v>73</v>
      </c>
      <c r="AB585" s="17" t="s">
        <v>79</v>
      </c>
      <c r="AC585" s="17">
        <v>3</v>
      </c>
      <c r="AD585" s="17">
        <v>0</v>
      </c>
      <c r="AE585" s="17">
        <v>0</v>
      </c>
      <c r="AF585" s="17"/>
      <c r="AG585" s="17" t="s">
        <v>81</v>
      </c>
      <c r="AH585" s="17" t="s">
        <v>82</v>
      </c>
      <c r="AI585" s="17" t="s">
        <v>107</v>
      </c>
      <c r="AJ585" s="17"/>
      <c r="AK585" s="17" t="s">
        <v>75</v>
      </c>
      <c r="AL585" s="17" t="s">
        <v>75</v>
      </c>
      <c r="AM585" s="17" t="s">
        <v>75</v>
      </c>
      <c r="AN585" s="17" t="s">
        <v>125</v>
      </c>
      <c r="AO585" s="17" t="s">
        <v>75</v>
      </c>
      <c r="AP585" s="17"/>
      <c r="AQ585" s="17"/>
      <c r="AR585" s="17"/>
      <c r="AS585" s="17"/>
      <c r="AT585" s="17" t="s">
        <v>1763</v>
      </c>
      <c r="AU585" s="17" t="s">
        <v>127</v>
      </c>
    </row>
    <row r="586" hidden="1">
      <c r="A586" s="17">
        <v>584</v>
      </c>
      <c r="B586" s="17" t="s">
        <v>52</v>
      </c>
      <c r="C586" s="25" t="s">
        <v>1788</v>
      </c>
      <c r="D586" s="25" t="s">
        <v>1171</v>
      </c>
      <c r="E586" s="17" t="s">
        <v>1789</v>
      </c>
      <c r="F586" s="17" t="s">
        <v>1790</v>
      </c>
      <c r="G586" s="17">
        <v>22.415324999999999</v>
      </c>
      <c r="H586" s="17">
        <v>87.700174000000004</v>
      </c>
      <c r="I586" s="17"/>
      <c r="J586" s="17"/>
      <c r="K586" s="17"/>
      <c r="L586" s="17"/>
      <c r="M586" s="25" t="s">
        <v>159</v>
      </c>
      <c r="N586" s="17">
        <v>9064976020</v>
      </c>
      <c r="O586" s="17">
        <v>18</v>
      </c>
      <c r="P586" s="17">
        <v>90</v>
      </c>
      <c r="Q586" s="17" t="s">
        <v>187</v>
      </c>
      <c r="R586" s="17" t="s">
        <v>339</v>
      </c>
      <c r="S586" s="17"/>
      <c r="T586" s="17"/>
      <c r="U586" s="17" t="s">
        <v>105</v>
      </c>
      <c r="V586" s="17" t="s">
        <v>77</v>
      </c>
      <c r="W586" s="17" t="s">
        <v>252</v>
      </c>
      <c r="X586" s="17">
        <v>5</v>
      </c>
      <c r="Y586" s="17">
        <v>0</v>
      </c>
      <c r="Z586" s="17"/>
      <c r="AA586" s="17" t="s">
        <v>187</v>
      </c>
      <c r="AB586" s="17" t="s">
        <v>79</v>
      </c>
      <c r="AC586" s="17">
        <v>4</v>
      </c>
      <c r="AD586" s="17">
        <v>0</v>
      </c>
      <c r="AE586" s="17">
        <v>0</v>
      </c>
      <c r="AF586" s="17"/>
      <c r="AG586" s="17" t="s">
        <v>81</v>
      </c>
      <c r="AH586" s="17" t="s">
        <v>82</v>
      </c>
      <c r="AI586" s="17" t="s">
        <v>107</v>
      </c>
      <c r="AJ586" s="17"/>
      <c r="AK586" s="17" t="s">
        <v>75</v>
      </c>
      <c r="AL586" s="17" t="s">
        <v>75</v>
      </c>
      <c r="AM586" s="17" t="s">
        <v>75</v>
      </c>
      <c r="AN586" s="17" t="s">
        <v>125</v>
      </c>
      <c r="AO586" s="17" t="s">
        <v>75</v>
      </c>
      <c r="AP586" s="17"/>
      <c r="AQ586" s="17"/>
      <c r="AR586" s="17"/>
      <c r="AS586" s="17"/>
      <c r="AT586" s="17"/>
      <c r="AU586" s="17" t="s">
        <v>111</v>
      </c>
    </row>
    <row r="587" hidden="1">
      <c r="A587" s="17">
        <v>585</v>
      </c>
      <c r="B587" s="17" t="s">
        <v>52</v>
      </c>
      <c r="C587" s="25" t="s">
        <v>1791</v>
      </c>
      <c r="D587" s="25" t="s">
        <v>1171</v>
      </c>
      <c r="E587" s="17" t="s">
        <v>1792</v>
      </c>
      <c r="F587" s="17" t="s">
        <v>1793</v>
      </c>
      <c r="G587" s="17">
        <v>22.397914</v>
      </c>
      <c r="H587" s="17">
        <v>87.696381000000002</v>
      </c>
      <c r="I587" s="17"/>
      <c r="J587" s="17"/>
      <c r="K587" s="17"/>
      <c r="L587" s="17"/>
      <c r="M587" s="25" t="s">
        <v>159</v>
      </c>
      <c r="N587" s="17">
        <v>9064976020</v>
      </c>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row>
    <row r="588" hidden="1">
      <c r="A588" s="17">
        <v>586</v>
      </c>
      <c r="B588" s="17" t="s">
        <v>52</v>
      </c>
      <c r="C588" s="25" t="s">
        <v>1794</v>
      </c>
      <c r="D588" s="25" t="s">
        <v>1171</v>
      </c>
      <c r="E588" s="17" t="s">
        <v>1795</v>
      </c>
      <c r="F588" s="17" t="s">
        <v>1796</v>
      </c>
      <c r="G588" s="17">
        <v>22.441652000000001</v>
      </c>
      <c r="H588" s="17">
        <v>87.752184</v>
      </c>
      <c r="I588" s="17"/>
      <c r="J588" s="17"/>
      <c r="K588" s="17"/>
      <c r="L588" s="17"/>
      <c r="M588" s="25" t="s">
        <v>159</v>
      </c>
      <c r="N588" s="17">
        <v>9064976020</v>
      </c>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row>
    <row r="589" hidden="1">
      <c r="A589" s="17">
        <v>587</v>
      </c>
      <c r="B589" s="17" t="s">
        <v>52</v>
      </c>
      <c r="C589" s="25" t="s">
        <v>1797</v>
      </c>
      <c r="D589" s="25" t="s">
        <v>1171</v>
      </c>
      <c r="E589" s="17" t="s">
        <v>1798</v>
      </c>
      <c r="F589" s="17" t="s">
        <v>1799</v>
      </c>
      <c r="G589" s="17">
        <v>22.368428000000002</v>
      </c>
      <c r="H589" s="17">
        <v>87.813997999999998</v>
      </c>
      <c r="I589" s="17"/>
      <c r="J589" s="17"/>
      <c r="K589" s="17"/>
      <c r="L589" s="17"/>
      <c r="M589" s="25" t="s">
        <v>159</v>
      </c>
      <c r="N589" s="17">
        <v>9064976020</v>
      </c>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row>
    <row r="590" hidden="1">
      <c r="A590" s="17">
        <v>588</v>
      </c>
      <c r="B590" s="17" t="s">
        <v>52</v>
      </c>
      <c r="C590" s="25" t="s">
        <v>1800</v>
      </c>
      <c r="D590" s="25" t="s">
        <v>1171</v>
      </c>
      <c r="E590" s="17" t="s">
        <v>1801</v>
      </c>
      <c r="F590" s="17" t="s">
        <v>1802</v>
      </c>
      <c r="G590" s="17">
        <v>22.390180999999998</v>
      </c>
      <c r="H590" s="17">
        <v>87.721248000000003</v>
      </c>
      <c r="I590" s="17"/>
      <c r="J590" s="17"/>
      <c r="K590" s="17"/>
      <c r="L590" s="17"/>
      <c r="M590" s="25" t="s">
        <v>159</v>
      </c>
      <c r="N590" s="17">
        <v>9064976020</v>
      </c>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row>
    <row r="591" hidden="1">
      <c r="A591" s="17">
        <v>589</v>
      </c>
      <c r="B591" s="17" t="s">
        <v>52</v>
      </c>
      <c r="C591" s="25" t="s">
        <v>1803</v>
      </c>
      <c r="D591" s="25" t="s">
        <v>1171</v>
      </c>
      <c r="E591" s="17" t="s">
        <v>1804</v>
      </c>
      <c r="F591" s="17" t="s">
        <v>1805</v>
      </c>
      <c r="G591" s="17">
        <v>22.399963</v>
      </c>
      <c r="H591" s="17">
        <v>87.727090000000004</v>
      </c>
      <c r="I591" s="17"/>
      <c r="J591" s="17"/>
      <c r="K591" s="17"/>
      <c r="L591" s="17"/>
      <c r="M591" s="25" t="s">
        <v>159</v>
      </c>
      <c r="N591" s="17">
        <v>9064976020</v>
      </c>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row>
    <row r="592" hidden="1">
      <c r="A592" s="17">
        <v>590</v>
      </c>
      <c r="B592" s="17" t="s">
        <v>52</v>
      </c>
      <c r="C592" s="25" t="s">
        <v>1806</v>
      </c>
      <c r="D592" s="25" t="s">
        <v>1171</v>
      </c>
      <c r="E592" s="17" t="s">
        <v>1807</v>
      </c>
      <c r="F592" s="17" t="s">
        <v>1808</v>
      </c>
      <c r="G592" s="17">
        <v>22.472055999999998</v>
      </c>
      <c r="H592" s="17">
        <v>87.687762000000006</v>
      </c>
      <c r="I592" s="17"/>
      <c r="J592" s="17"/>
      <c r="K592" s="17"/>
      <c r="L592" s="17"/>
      <c r="M592" s="25" t="s">
        <v>159</v>
      </c>
      <c r="N592" s="17">
        <v>9064976020</v>
      </c>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row>
    <row r="593" hidden="1">
      <c r="A593" s="17">
        <v>591</v>
      </c>
      <c r="B593" s="17" t="s">
        <v>52</v>
      </c>
      <c r="C593" s="25" t="s">
        <v>1809</v>
      </c>
      <c r="D593" s="25" t="s">
        <v>1171</v>
      </c>
      <c r="E593" s="17" t="s">
        <v>1810</v>
      </c>
      <c r="F593" s="17" t="s">
        <v>1811</v>
      </c>
      <c r="G593" s="17">
        <v>22.416805</v>
      </c>
      <c r="H593" s="17">
        <v>87.748439000000005</v>
      </c>
      <c r="I593" s="17"/>
      <c r="J593" s="17"/>
      <c r="K593" s="17"/>
      <c r="L593" s="17"/>
      <c r="M593" s="25" t="s">
        <v>159</v>
      </c>
      <c r="N593" s="17">
        <v>9064976020</v>
      </c>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row>
    <row r="594" hidden="1">
      <c r="A594" s="17">
        <v>592</v>
      </c>
      <c r="B594" s="17" t="s">
        <v>52</v>
      </c>
      <c r="C594" s="25" t="s">
        <v>1812</v>
      </c>
      <c r="D594" s="25" t="s">
        <v>1171</v>
      </c>
      <c r="E594" s="17" t="s">
        <v>1813</v>
      </c>
      <c r="F594" s="17" t="s">
        <v>1814</v>
      </c>
      <c r="G594" s="17">
        <v>22.350275</v>
      </c>
      <c r="H594" s="17">
        <v>87.689044999999993</v>
      </c>
      <c r="I594" s="17"/>
      <c r="J594" s="17"/>
      <c r="K594" s="17"/>
      <c r="L594" s="17"/>
      <c r="M594" s="25" t="s">
        <v>159</v>
      </c>
      <c r="N594" s="17">
        <v>9064976020</v>
      </c>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row>
    <row r="595" hidden="1">
      <c r="A595" s="17">
        <v>593</v>
      </c>
      <c r="B595" s="17" t="s">
        <v>52</v>
      </c>
      <c r="C595" s="25" t="s">
        <v>1815</v>
      </c>
      <c r="D595" s="25" t="s">
        <v>1171</v>
      </c>
      <c r="E595" s="17" t="s">
        <v>1816</v>
      </c>
      <c r="F595" s="17" t="s">
        <v>1817</v>
      </c>
      <c r="G595" s="17">
        <v>22.438666000000001</v>
      </c>
      <c r="H595" s="17">
        <v>87.720104000000006</v>
      </c>
      <c r="I595" s="17"/>
      <c r="J595" s="17"/>
      <c r="K595" s="17"/>
      <c r="L595" s="17"/>
      <c r="M595" s="25" t="s">
        <v>159</v>
      </c>
      <c r="N595" s="17">
        <v>9064976020</v>
      </c>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row>
    <row r="596" hidden="1">
      <c r="A596" s="17">
        <v>594</v>
      </c>
      <c r="B596" s="17" t="s">
        <v>52</v>
      </c>
      <c r="C596" s="25" t="s">
        <v>1818</v>
      </c>
      <c r="D596" s="25" t="s">
        <v>1171</v>
      </c>
      <c r="E596" s="17" t="s">
        <v>1819</v>
      </c>
      <c r="F596" s="17" t="s">
        <v>1820</v>
      </c>
      <c r="G596" s="17">
        <v>22.357348999999999</v>
      </c>
      <c r="H596" s="17">
        <v>87.773132000000004</v>
      </c>
      <c r="I596" s="17"/>
      <c r="J596" s="17"/>
      <c r="K596" s="17"/>
      <c r="L596" s="17"/>
      <c r="M596" s="25" t="s">
        <v>159</v>
      </c>
      <c r="N596" s="17">
        <v>9064976020</v>
      </c>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row>
    <row r="597" hidden="1">
      <c r="A597" s="17">
        <v>595</v>
      </c>
      <c r="B597" s="17" t="s">
        <v>52</v>
      </c>
      <c r="C597" s="25" t="s">
        <v>1821</v>
      </c>
      <c r="D597" s="25" t="s">
        <v>1171</v>
      </c>
      <c r="E597" s="17" t="s">
        <v>1006</v>
      </c>
      <c r="F597" s="17" t="s">
        <v>1822</v>
      </c>
      <c r="G597" s="17">
        <v>22.431446000000001</v>
      </c>
      <c r="H597" s="17">
        <v>87.670197000000002</v>
      </c>
      <c r="I597" s="17"/>
      <c r="J597" s="17"/>
      <c r="K597" s="17"/>
      <c r="L597" s="17"/>
      <c r="M597" s="25" t="s">
        <v>159</v>
      </c>
      <c r="N597" s="17">
        <v>9064976020</v>
      </c>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row>
    <row r="598" hidden="1">
      <c r="A598" s="17">
        <v>596</v>
      </c>
      <c r="B598" s="17" t="s">
        <v>52</v>
      </c>
      <c r="C598" s="33">
        <v>9064976020</v>
      </c>
      <c r="D598" s="25" t="s">
        <v>1171</v>
      </c>
      <c r="E598" s="17" t="s">
        <v>1823</v>
      </c>
      <c r="F598" s="17" t="s">
        <v>1824</v>
      </c>
      <c r="G598" s="17">
        <v>22.450726</v>
      </c>
      <c r="H598" s="17">
        <v>87.686643000000004</v>
      </c>
      <c r="I598" s="17"/>
      <c r="J598" s="17"/>
      <c r="K598" s="17"/>
      <c r="L598" s="17"/>
      <c r="M598" s="25" t="s">
        <v>159</v>
      </c>
      <c r="N598" s="17">
        <v>9064976020</v>
      </c>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row>
    <row r="599" hidden="1">
      <c r="A599" s="17">
        <v>597</v>
      </c>
      <c r="B599" s="17" t="s">
        <v>52</v>
      </c>
      <c r="C599" s="25" t="s">
        <v>1825</v>
      </c>
      <c r="D599" s="25" t="s">
        <v>1171</v>
      </c>
      <c r="E599" s="17"/>
      <c r="F599" s="17"/>
      <c r="G599" s="17"/>
      <c r="H599" s="17"/>
      <c r="I599" s="17"/>
      <c r="J599" s="17"/>
      <c r="K599" s="17"/>
      <c r="L599" s="17"/>
      <c r="M599" s="25" t="s">
        <v>159</v>
      </c>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row>
    <row r="600" hidden="1">
      <c r="A600" s="17">
        <v>598</v>
      </c>
      <c r="B600" s="17" t="s">
        <v>52</v>
      </c>
      <c r="C600" s="25" t="s">
        <v>1826</v>
      </c>
      <c r="D600" s="25" t="s">
        <v>1171</v>
      </c>
      <c r="E600" s="17"/>
      <c r="F600" s="17"/>
      <c r="G600" s="17"/>
      <c r="H600" s="17"/>
      <c r="I600" s="17"/>
      <c r="J600" s="17"/>
      <c r="K600" s="17"/>
      <c r="L600" s="17"/>
      <c r="M600" s="25" t="s">
        <v>159</v>
      </c>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row>
    <row r="601" hidden="1">
      <c r="A601" s="17">
        <v>599</v>
      </c>
      <c r="B601" s="17" t="s">
        <v>52</v>
      </c>
      <c r="C601" s="25" t="s">
        <v>1827</v>
      </c>
      <c r="D601" s="25" t="s">
        <v>1171</v>
      </c>
      <c r="E601" s="17"/>
      <c r="F601" s="17"/>
      <c r="G601" s="17"/>
      <c r="H601" s="17"/>
      <c r="I601" s="17"/>
      <c r="J601" s="17"/>
      <c r="K601" s="17"/>
      <c r="L601" s="17"/>
      <c r="M601" s="25" t="s">
        <v>159</v>
      </c>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row>
    <row r="602" hidden="1">
      <c r="A602" s="17">
        <v>600</v>
      </c>
      <c r="B602" s="17" t="s">
        <v>52</v>
      </c>
      <c r="C602" s="25" t="s">
        <v>1828</v>
      </c>
      <c r="D602" s="25" t="s">
        <v>1171</v>
      </c>
      <c r="E602" s="17"/>
      <c r="F602" s="17"/>
      <c r="G602" s="17"/>
      <c r="H602" s="17"/>
      <c r="I602" s="17"/>
      <c r="J602" s="17"/>
      <c r="K602" s="17"/>
      <c r="L602" s="17"/>
      <c r="M602" s="25" t="s">
        <v>159</v>
      </c>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row>
    <row r="603" hidden="1">
      <c r="A603" s="17">
        <v>601</v>
      </c>
      <c r="B603" s="17" t="s">
        <v>52</v>
      </c>
      <c r="C603" s="25" t="s">
        <v>1829</v>
      </c>
      <c r="D603" s="25" t="s">
        <v>1171</v>
      </c>
      <c r="E603" s="17"/>
      <c r="F603" s="17"/>
      <c r="G603" s="17"/>
      <c r="H603" s="17"/>
      <c r="I603" s="17"/>
      <c r="J603" s="17"/>
      <c r="K603" s="17"/>
      <c r="L603" s="17"/>
      <c r="M603" s="25" t="s">
        <v>159</v>
      </c>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row>
    <row r="604" hidden="1">
      <c r="A604" s="17">
        <v>602</v>
      </c>
      <c r="B604" s="17" t="s">
        <v>52</v>
      </c>
      <c r="C604" s="25" t="s">
        <v>1830</v>
      </c>
      <c r="D604" s="25" t="s">
        <v>1171</v>
      </c>
      <c r="E604" s="17"/>
      <c r="F604" s="17"/>
      <c r="G604" s="17"/>
      <c r="H604" s="17"/>
      <c r="I604" s="17"/>
      <c r="J604" s="17"/>
      <c r="K604" s="17"/>
      <c r="L604" s="17"/>
      <c r="M604" s="25" t="s">
        <v>159</v>
      </c>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row>
    <row r="605" hidden="1">
      <c r="A605" s="17">
        <v>603</v>
      </c>
      <c r="B605" s="17" t="s">
        <v>52</v>
      </c>
      <c r="C605" s="25" t="s">
        <v>1831</v>
      </c>
      <c r="D605" s="25" t="s">
        <v>1171</v>
      </c>
      <c r="E605" s="17"/>
      <c r="F605" s="17"/>
      <c r="G605" s="17"/>
      <c r="H605" s="17"/>
      <c r="I605" s="17"/>
      <c r="J605" s="17"/>
      <c r="K605" s="17"/>
      <c r="L605" s="17"/>
      <c r="M605" s="25" t="s">
        <v>159</v>
      </c>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row>
    <row r="606" hidden="1">
      <c r="A606" s="17">
        <v>604</v>
      </c>
      <c r="B606" s="17" t="s">
        <v>52</v>
      </c>
      <c r="C606" s="25" t="s">
        <v>1832</v>
      </c>
      <c r="D606" s="25" t="s">
        <v>1171</v>
      </c>
      <c r="E606" s="17"/>
      <c r="F606" s="17"/>
      <c r="G606" s="17"/>
      <c r="H606" s="17"/>
      <c r="I606" s="17"/>
      <c r="J606" s="17"/>
      <c r="K606" s="17"/>
      <c r="L606" s="17"/>
      <c r="M606" s="25" t="s">
        <v>159</v>
      </c>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row>
    <row r="607" hidden="1">
      <c r="A607" s="17">
        <v>605</v>
      </c>
      <c r="B607" s="17" t="s">
        <v>52</v>
      </c>
      <c r="C607" s="30" t="s">
        <v>1833</v>
      </c>
      <c r="D607" s="25" t="s">
        <v>1330</v>
      </c>
      <c r="E607" s="17"/>
      <c r="F607" s="17"/>
      <c r="G607" s="17"/>
      <c r="H607" s="17"/>
      <c r="I607" s="17"/>
      <c r="J607" s="17"/>
      <c r="K607" s="17"/>
      <c r="L607" s="17"/>
      <c r="M607" s="25" t="s">
        <v>159</v>
      </c>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row>
    <row r="608" hidden="1">
      <c r="A608" s="17">
        <v>606</v>
      </c>
      <c r="B608" s="17" t="s">
        <v>52</v>
      </c>
      <c r="C608" s="30" t="s">
        <v>1834</v>
      </c>
      <c r="D608" s="25" t="s">
        <v>1330</v>
      </c>
      <c r="E608" s="17"/>
      <c r="F608" s="17"/>
      <c r="G608" s="17"/>
      <c r="H608" s="17"/>
      <c r="I608" s="17"/>
      <c r="J608" s="17"/>
      <c r="K608" s="17"/>
      <c r="L608" s="17"/>
      <c r="M608" s="25" t="s">
        <v>159</v>
      </c>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row>
    <row r="609" hidden="1">
      <c r="A609" s="17">
        <v>607</v>
      </c>
      <c r="B609" s="17" t="s">
        <v>52</v>
      </c>
      <c r="C609" s="25" t="s">
        <v>1835</v>
      </c>
      <c r="D609" s="25" t="s">
        <v>1171</v>
      </c>
      <c r="E609" s="17" t="s">
        <v>1836</v>
      </c>
      <c r="F609" s="17" t="s">
        <v>1837</v>
      </c>
      <c r="G609" s="17">
        <v>22.31793</v>
      </c>
      <c r="H609" s="17">
        <v>87.929697000000004</v>
      </c>
      <c r="I609" s="17"/>
      <c r="J609" s="17"/>
      <c r="K609" s="17"/>
      <c r="L609" s="17"/>
      <c r="M609" s="25" t="s">
        <v>296</v>
      </c>
      <c r="N609" s="17">
        <v>7003188452</v>
      </c>
      <c r="O609" s="17">
        <v>18</v>
      </c>
      <c r="P609" s="17">
        <v>90</v>
      </c>
      <c r="Q609" s="17" t="s">
        <v>73</v>
      </c>
      <c r="R609" s="17" t="s">
        <v>74</v>
      </c>
      <c r="S609" s="17"/>
      <c r="T609" s="17"/>
      <c r="U609" s="17" t="s">
        <v>76</v>
      </c>
      <c r="V609" s="17" t="s">
        <v>77</v>
      </c>
      <c r="W609" s="17" t="s">
        <v>330</v>
      </c>
      <c r="X609" s="17">
        <v>5</v>
      </c>
      <c r="Y609" s="17">
        <v>1</v>
      </c>
      <c r="Z609" s="17"/>
      <c r="AA609" s="17" t="s">
        <v>73</v>
      </c>
      <c r="AB609" s="17" t="s">
        <v>1838</v>
      </c>
      <c r="AC609" s="17">
        <v>2</v>
      </c>
      <c r="AD609" s="17">
        <v>0</v>
      </c>
      <c r="AE609" s="17">
        <v>0</v>
      </c>
      <c r="AF609" s="17"/>
      <c r="AG609" s="17" t="s">
        <v>81</v>
      </c>
      <c r="AH609" s="17" t="s">
        <v>82</v>
      </c>
      <c r="AI609" s="17" t="s">
        <v>107</v>
      </c>
      <c r="AJ609" s="17"/>
      <c r="AK609" s="17" t="s">
        <v>137</v>
      </c>
      <c r="AL609" s="17" t="s">
        <v>75</v>
      </c>
      <c r="AM609" s="17" t="s">
        <v>75</v>
      </c>
      <c r="AN609" s="17" t="s">
        <v>84</v>
      </c>
      <c r="AO609" s="17" t="s">
        <v>75</v>
      </c>
      <c r="AP609" s="17"/>
      <c r="AQ609" s="17"/>
      <c r="AR609" s="17"/>
      <c r="AS609" s="17"/>
      <c r="AT609" s="17" t="s">
        <v>1839</v>
      </c>
      <c r="AU609" s="17" t="s">
        <v>111</v>
      </c>
    </row>
    <row r="610" hidden="1">
      <c r="A610" s="17">
        <v>608</v>
      </c>
      <c r="B610" s="17" t="s">
        <v>52</v>
      </c>
      <c r="C610" s="25" t="s">
        <v>1840</v>
      </c>
      <c r="D610" s="25" t="s">
        <v>1171</v>
      </c>
      <c r="E610" s="17" t="s">
        <v>1841</v>
      </c>
      <c r="F610" s="17" t="s">
        <v>1842</v>
      </c>
      <c r="G610" s="17">
        <v>22.332338</v>
      </c>
      <c r="H610" s="17">
        <v>87.922511</v>
      </c>
      <c r="I610" s="17"/>
      <c r="J610" s="17"/>
      <c r="K610" s="17"/>
      <c r="L610" s="17"/>
      <c r="M610" s="25" t="s">
        <v>296</v>
      </c>
      <c r="N610" s="17">
        <v>7003188452</v>
      </c>
      <c r="O610" s="17">
        <v>20</v>
      </c>
      <c r="P610" s="17">
        <v>110</v>
      </c>
      <c r="Q610" s="17" t="s">
        <v>73</v>
      </c>
      <c r="R610" s="17" t="s">
        <v>74</v>
      </c>
      <c r="S610" s="17"/>
      <c r="T610" s="17"/>
      <c r="U610" s="17" t="s">
        <v>160</v>
      </c>
      <c r="V610" s="17" t="s">
        <v>77</v>
      </c>
      <c r="W610" s="17" t="s">
        <v>593</v>
      </c>
      <c r="X610" s="17">
        <v>7</v>
      </c>
      <c r="Y610" s="17">
        <v>1</v>
      </c>
      <c r="Z610" s="17"/>
      <c r="AA610" s="17" t="s">
        <v>73</v>
      </c>
      <c r="AB610" s="17" t="s">
        <v>1838</v>
      </c>
      <c r="AC610" s="17">
        <v>3</v>
      </c>
      <c r="AD610" s="17">
        <v>0</v>
      </c>
      <c r="AE610" s="17">
        <v>0</v>
      </c>
      <c r="AF610" s="17"/>
      <c r="AG610" s="17" t="s">
        <v>81</v>
      </c>
      <c r="AH610" s="17" t="s">
        <v>82</v>
      </c>
      <c r="AI610" s="17" t="s">
        <v>107</v>
      </c>
      <c r="AJ610" s="17"/>
      <c r="AK610" s="17" t="s">
        <v>75</v>
      </c>
      <c r="AL610" s="17" t="s">
        <v>75</v>
      </c>
      <c r="AM610" s="17" t="s">
        <v>75</v>
      </c>
      <c r="AN610" s="17" t="s">
        <v>125</v>
      </c>
      <c r="AO610" s="17" t="s">
        <v>75</v>
      </c>
      <c r="AP610" s="17" t="s">
        <v>73</v>
      </c>
      <c r="AQ610" s="17" t="s">
        <v>741</v>
      </c>
      <c r="AR610" s="17">
        <v>4</v>
      </c>
      <c r="AS610" s="17">
        <v>0</v>
      </c>
      <c r="AT610" s="17" t="s">
        <v>1843</v>
      </c>
      <c r="AU610" s="17" t="s">
        <v>111</v>
      </c>
    </row>
    <row r="611" hidden="1">
      <c r="A611" s="17">
        <v>609</v>
      </c>
      <c r="B611" s="17" t="s">
        <v>52</v>
      </c>
      <c r="C611" s="25" t="s">
        <v>1844</v>
      </c>
      <c r="D611" s="25" t="s">
        <v>1171</v>
      </c>
      <c r="E611" s="17" t="s">
        <v>1845</v>
      </c>
      <c r="F611" s="17" t="s">
        <v>1846</v>
      </c>
      <c r="G611" s="17">
        <v>22.339112</v>
      </c>
      <c r="H611" s="17">
        <v>87.885598999999999</v>
      </c>
      <c r="I611" s="17"/>
      <c r="J611" s="17"/>
      <c r="K611" s="17"/>
      <c r="L611" s="17"/>
      <c r="M611" s="25" t="s">
        <v>296</v>
      </c>
      <c r="N611" s="17">
        <v>7003188452</v>
      </c>
      <c r="O611" s="17">
        <v>16</v>
      </c>
      <c r="P611" s="17">
        <v>95</v>
      </c>
      <c r="Q611" s="17" t="s">
        <v>73</v>
      </c>
      <c r="R611" s="17" t="s">
        <v>74</v>
      </c>
      <c r="S611" s="17"/>
      <c r="T611" s="17"/>
      <c r="U611" s="17" t="s">
        <v>105</v>
      </c>
      <c r="V611" s="17" t="s">
        <v>77</v>
      </c>
      <c r="W611" s="17" t="s">
        <v>454</v>
      </c>
      <c r="X611" s="17">
        <v>5</v>
      </c>
      <c r="Y611" s="17">
        <v>2</v>
      </c>
      <c r="Z611" s="17"/>
      <c r="AA611" s="17" t="s">
        <v>73</v>
      </c>
      <c r="AB611" s="17" t="s">
        <v>1838</v>
      </c>
      <c r="AC611" s="17">
        <v>2</v>
      </c>
      <c r="AD611" s="17">
        <v>0</v>
      </c>
      <c r="AE611" s="17">
        <v>0</v>
      </c>
      <c r="AF611" s="17"/>
      <c r="AG611" s="17" t="s">
        <v>81</v>
      </c>
      <c r="AH611" s="17" t="s">
        <v>82</v>
      </c>
      <c r="AI611" s="17" t="s">
        <v>107</v>
      </c>
      <c r="AJ611" s="17"/>
      <c r="AK611" s="17" t="s">
        <v>75</v>
      </c>
      <c r="AL611" s="17" t="s">
        <v>75</v>
      </c>
      <c r="AM611" s="17" t="s">
        <v>75</v>
      </c>
      <c r="AN611" s="17" t="s">
        <v>125</v>
      </c>
      <c r="AO611" s="17" t="s">
        <v>75</v>
      </c>
      <c r="AP611" s="17"/>
      <c r="AQ611" s="17"/>
      <c r="AR611" s="17"/>
      <c r="AS611" s="17"/>
      <c r="AT611" s="17" t="s">
        <v>1839</v>
      </c>
      <c r="AU611" s="17" t="s">
        <v>127</v>
      </c>
    </row>
    <row r="612" hidden="1">
      <c r="A612" s="17">
        <v>610</v>
      </c>
      <c r="B612" s="17" t="s">
        <v>52</v>
      </c>
      <c r="C612" s="25" t="s">
        <v>1847</v>
      </c>
      <c r="D612" s="25" t="s">
        <v>1171</v>
      </c>
      <c r="E612" s="17" t="s">
        <v>1848</v>
      </c>
      <c r="F612" s="17" t="s">
        <v>1849</v>
      </c>
      <c r="G612" s="17">
        <v>22.632407000000001</v>
      </c>
      <c r="H612" s="17">
        <v>88.097897000000003</v>
      </c>
      <c r="I612" s="17"/>
      <c r="J612" s="17"/>
      <c r="K612" s="17"/>
      <c r="L612" s="17"/>
      <c r="M612" s="25" t="s">
        <v>1609</v>
      </c>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row>
    <row r="613" hidden="1">
      <c r="A613" s="17">
        <v>611</v>
      </c>
      <c r="B613" s="17" t="s">
        <v>52</v>
      </c>
      <c r="C613" s="25" t="s">
        <v>1850</v>
      </c>
      <c r="D613" s="25" t="s">
        <v>1171</v>
      </c>
      <c r="E613" s="17" t="s">
        <v>1851</v>
      </c>
      <c r="F613" s="17" t="s">
        <v>1852</v>
      </c>
      <c r="G613" s="17">
        <v>22.617664000000001</v>
      </c>
      <c r="H613" s="17">
        <v>88.091409999999996</v>
      </c>
      <c r="I613" s="17"/>
      <c r="J613" s="17"/>
      <c r="K613" s="17"/>
      <c r="L613" s="17"/>
      <c r="M613" s="25" t="s">
        <v>1609</v>
      </c>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row>
    <row r="614" hidden="1">
      <c r="A614" s="17">
        <v>612</v>
      </c>
      <c r="B614" s="17" t="s">
        <v>52</v>
      </c>
      <c r="C614" s="25" t="s">
        <v>1853</v>
      </c>
      <c r="D614" s="25" t="s">
        <v>1171</v>
      </c>
      <c r="E614" s="17" t="s">
        <v>1854</v>
      </c>
      <c r="F614" s="17" t="s">
        <v>1855</v>
      </c>
      <c r="G614" s="17">
        <v>22.693380000000001</v>
      </c>
      <c r="H614" s="17">
        <v>88.105429999999998</v>
      </c>
      <c r="I614" s="17"/>
      <c r="J614" s="17"/>
      <c r="K614" s="17"/>
      <c r="L614" s="17"/>
      <c r="M614" s="25" t="s">
        <v>1609</v>
      </c>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row>
    <row r="615" hidden="1">
      <c r="A615" s="17">
        <v>613</v>
      </c>
      <c r="B615" s="17" t="s">
        <v>52</v>
      </c>
      <c r="C615" s="25" t="s">
        <v>1856</v>
      </c>
      <c r="D615" s="25" t="s">
        <v>1171</v>
      </c>
      <c r="E615" s="17"/>
      <c r="F615" s="17"/>
      <c r="G615" s="17"/>
      <c r="H615" s="17"/>
      <c r="I615" s="17"/>
      <c r="J615" s="17"/>
      <c r="K615" s="17"/>
      <c r="L615" s="17"/>
      <c r="M615" s="25" t="s">
        <v>1609</v>
      </c>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row>
    <row r="616" hidden="1">
      <c r="A616" s="17">
        <v>614</v>
      </c>
      <c r="B616" s="17" t="s">
        <v>52</v>
      </c>
      <c r="C616" s="25" t="s">
        <v>1857</v>
      </c>
      <c r="D616" s="25" t="s">
        <v>1171</v>
      </c>
      <c r="E616" s="17" t="s">
        <v>1858</v>
      </c>
      <c r="F616" s="17" t="s">
        <v>1859</v>
      </c>
      <c r="G616" s="17">
        <v>22.661428999999998</v>
      </c>
      <c r="H616" s="17">
        <v>88.120282000000003</v>
      </c>
      <c r="I616" s="17"/>
      <c r="J616" s="17"/>
      <c r="K616" s="17"/>
      <c r="L616" s="17"/>
      <c r="M616" s="25" t="s">
        <v>1609</v>
      </c>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row>
    <row r="617" hidden="1">
      <c r="A617" s="17">
        <v>615</v>
      </c>
      <c r="B617" s="17" t="s">
        <v>52</v>
      </c>
      <c r="C617" s="25" t="s">
        <v>1860</v>
      </c>
      <c r="D617" s="25" t="s">
        <v>1171</v>
      </c>
      <c r="E617" s="17"/>
      <c r="F617" s="17"/>
      <c r="G617" s="17"/>
      <c r="H617" s="17"/>
      <c r="I617" s="17"/>
      <c r="J617" s="17"/>
      <c r="K617" s="17"/>
      <c r="L617" s="17"/>
      <c r="M617" s="25" t="s">
        <v>1609</v>
      </c>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row>
    <row r="618" hidden="1">
      <c r="A618" s="17">
        <v>616</v>
      </c>
      <c r="B618" s="17" t="s">
        <v>52</v>
      </c>
      <c r="C618" s="25" t="s">
        <v>1861</v>
      </c>
      <c r="D618" s="25" t="s">
        <v>1171</v>
      </c>
      <c r="E618" s="17" t="s">
        <v>1862</v>
      </c>
      <c r="F618" s="17" t="s">
        <v>1863</v>
      </c>
      <c r="G618" s="17">
        <v>22.615708000000001</v>
      </c>
      <c r="H618" s="17">
        <v>88.178252999999998</v>
      </c>
      <c r="I618" s="17"/>
      <c r="J618" s="17"/>
      <c r="K618" s="17"/>
      <c r="L618" s="17"/>
      <c r="M618" s="25" t="s">
        <v>1609</v>
      </c>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row>
    <row r="619" hidden="1">
      <c r="A619" s="17">
        <v>617</v>
      </c>
      <c r="B619" s="17" t="s">
        <v>52</v>
      </c>
      <c r="C619" s="25" t="s">
        <v>1864</v>
      </c>
      <c r="D619" s="25" t="s">
        <v>1171</v>
      </c>
      <c r="E619" s="17" t="s">
        <v>1865</v>
      </c>
      <c r="F619" s="17" t="s">
        <v>1866</v>
      </c>
      <c r="G619" s="17">
        <v>22.566849000000001</v>
      </c>
      <c r="H619" s="17">
        <v>88.127639000000002</v>
      </c>
      <c r="I619" s="17"/>
      <c r="J619" s="17"/>
      <c r="K619" s="17"/>
      <c r="L619" s="17"/>
      <c r="M619" s="25" t="s">
        <v>1609</v>
      </c>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row>
    <row r="620" hidden="1">
      <c r="A620" s="17">
        <v>618</v>
      </c>
      <c r="B620" s="17" t="s">
        <v>52</v>
      </c>
      <c r="C620" s="25" t="s">
        <v>1867</v>
      </c>
      <c r="D620" s="25" t="s">
        <v>1171</v>
      </c>
      <c r="E620" s="17" t="s">
        <v>1868</v>
      </c>
      <c r="F620" s="17" t="s">
        <v>1869</v>
      </c>
      <c r="G620" s="17">
        <v>22.562125999999999</v>
      </c>
      <c r="H620" s="17">
        <v>88.111187000000001</v>
      </c>
      <c r="I620" s="17"/>
      <c r="J620" s="17"/>
      <c r="K620" s="17"/>
      <c r="L620" s="17"/>
      <c r="M620" s="25" t="s">
        <v>1609</v>
      </c>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row>
    <row r="621" hidden="1">
      <c r="A621" s="17">
        <v>619</v>
      </c>
      <c r="B621" s="17" t="s">
        <v>52</v>
      </c>
      <c r="C621" s="25" t="s">
        <v>1870</v>
      </c>
      <c r="D621" s="25" t="s">
        <v>1171</v>
      </c>
      <c r="E621" s="17" t="s">
        <v>1871</v>
      </c>
      <c r="F621" s="17" t="s">
        <v>1872</v>
      </c>
      <c r="G621" s="17">
        <v>22.595405</v>
      </c>
      <c r="H621" s="17">
        <v>88.145161999999999</v>
      </c>
      <c r="I621" s="17"/>
      <c r="J621" s="17"/>
      <c r="K621" s="17"/>
      <c r="L621" s="17"/>
      <c r="M621" s="25" t="s">
        <v>1609</v>
      </c>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row>
    <row r="622" hidden="1">
      <c r="A622" s="17">
        <v>620</v>
      </c>
      <c r="B622" s="17" t="s">
        <v>52</v>
      </c>
      <c r="C622" s="32" t="s">
        <v>1873</v>
      </c>
      <c r="D622" s="25" t="s">
        <v>1171</v>
      </c>
      <c r="E622" s="17"/>
      <c r="F622" s="17"/>
      <c r="G622" s="17"/>
      <c r="H622" s="17"/>
      <c r="I622" s="17"/>
      <c r="J622" s="17"/>
      <c r="K622" s="17"/>
      <c r="L622" s="17"/>
      <c r="M622" s="25" t="s">
        <v>1609</v>
      </c>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row>
    <row r="623" hidden="1">
      <c r="A623" s="17">
        <v>621</v>
      </c>
      <c r="B623" s="17" t="s">
        <v>52</v>
      </c>
      <c r="C623" s="32" t="s">
        <v>1874</v>
      </c>
      <c r="D623" s="25" t="s">
        <v>1171</v>
      </c>
      <c r="E623" s="17"/>
      <c r="F623" s="17"/>
      <c r="G623" s="17"/>
      <c r="H623" s="17"/>
      <c r="I623" s="17"/>
      <c r="J623" s="17"/>
      <c r="K623" s="17"/>
      <c r="L623" s="17"/>
      <c r="M623" s="25" t="s">
        <v>1609</v>
      </c>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row>
    <row r="624" hidden="1">
      <c r="A624" s="17">
        <v>622</v>
      </c>
      <c r="B624" s="17" t="s">
        <v>52</v>
      </c>
      <c r="C624" s="25" t="s">
        <v>1875</v>
      </c>
      <c r="D624" s="25" t="s">
        <v>1171</v>
      </c>
      <c r="E624" s="17" t="s">
        <v>1876</v>
      </c>
      <c r="F624" s="17" t="s">
        <v>1877</v>
      </c>
      <c r="G624" s="17">
        <v>22.542459000000001</v>
      </c>
      <c r="H624" s="17">
        <v>88.098836000000006</v>
      </c>
      <c r="I624" s="17"/>
      <c r="J624" s="17"/>
      <c r="K624" s="17"/>
      <c r="L624" s="17"/>
      <c r="M624" s="25" t="s">
        <v>1609</v>
      </c>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row>
    <row r="625" hidden="1">
      <c r="A625" s="17">
        <v>623</v>
      </c>
      <c r="B625" s="17" t="s">
        <v>52</v>
      </c>
      <c r="C625" s="25" t="s">
        <v>1878</v>
      </c>
      <c r="D625" s="25" t="s">
        <v>1171</v>
      </c>
      <c r="E625" s="17"/>
      <c r="F625" s="17"/>
      <c r="G625" s="17"/>
      <c r="H625" s="17"/>
      <c r="I625" s="17"/>
      <c r="J625" s="17"/>
      <c r="K625" s="17"/>
      <c r="L625" s="17"/>
      <c r="M625" s="25" t="s">
        <v>1879</v>
      </c>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row>
    <row r="626" hidden="1">
      <c r="A626" s="17">
        <v>624</v>
      </c>
      <c r="B626" s="17" t="s">
        <v>52</v>
      </c>
      <c r="C626" s="25" t="s">
        <v>1880</v>
      </c>
      <c r="D626" s="25" t="s">
        <v>1171</v>
      </c>
      <c r="E626" s="17"/>
      <c r="F626" s="17"/>
      <c r="G626" s="17"/>
      <c r="H626" s="17"/>
      <c r="I626" s="17"/>
      <c r="J626" s="17"/>
      <c r="K626" s="17"/>
      <c r="L626" s="17"/>
      <c r="M626" s="25" t="s">
        <v>1879</v>
      </c>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row>
    <row r="627" hidden="1">
      <c r="A627" s="17">
        <v>625</v>
      </c>
      <c r="B627" s="17" t="s">
        <v>52</v>
      </c>
      <c r="C627" s="30" t="s">
        <v>1881</v>
      </c>
      <c r="D627" s="25" t="s">
        <v>1330</v>
      </c>
      <c r="E627" s="17"/>
      <c r="F627" s="17"/>
      <c r="G627" s="17"/>
      <c r="H627" s="17"/>
      <c r="I627" s="17"/>
      <c r="J627" s="17"/>
      <c r="K627" s="17"/>
      <c r="L627" s="17"/>
      <c r="M627" s="25" t="s">
        <v>1879</v>
      </c>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row>
    <row r="628" hidden="1">
      <c r="A628" s="17">
        <v>626</v>
      </c>
      <c r="B628" s="17" t="s">
        <v>52</v>
      </c>
      <c r="C628" s="25" t="s">
        <v>1882</v>
      </c>
      <c r="D628" s="25" t="s">
        <v>1171</v>
      </c>
      <c r="E628" s="17" t="s">
        <v>1883</v>
      </c>
      <c r="F628" s="17" t="s">
        <v>1884</v>
      </c>
      <c r="G628" s="17">
        <v>22.643757999999998</v>
      </c>
      <c r="H628" s="17">
        <v>88.042884000000001</v>
      </c>
      <c r="I628" s="17"/>
      <c r="J628" s="17"/>
      <c r="K628" s="17"/>
      <c r="L628" s="17"/>
      <c r="M628" s="25" t="s">
        <v>1879</v>
      </c>
      <c r="N628" s="17"/>
      <c r="O628" s="17">
        <v>22</v>
      </c>
      <c r="P628" s="17">
        <v>90</v>
      </c>
      <c r="Q628" s="17" t="s">
        <v>413</v>
      </c>
      <c r="R628" s="17" t="s">
        <v>74</v>
      </c>
      <c r="S628" s="17" t="s">
        <v>137</v>
      </c>
      <c r="T628" s="17" t="s">
        <v>1885</v>
      </c>
      <c r="U628" s="17" t="s">
        <v>105</v>
      </c>
      <c r="V628" s="17" t="s">
        <v>77</v>
      </c>
      <c r="W628" s="17" t="s">
        <v>252</v>
      </c>
      <c r="X628" s="17">
        <v>5</v>
      </c>
      <c r="Y628" s="17">
        <v>2</v>
      </c>
      <c r="Z628" s="17"/>
      <c r="AA628" s="17" t="s">
        <v>413</v>
      </c>
      <c r="AB628" s="17" t="s">
        <v>79</v>
      </c>
      <c r="AC628" s="17">
        <v>5</v>
      </c>
      <c r="AD628" s="17">
        <v>0</v>
      </c>
      <c r="AE628" s="17">
        <v>0</v>
      </c>
      <c r="AF628" s="17"/>
      <c r="AG628" s="17" t="s">
        <v>81</v>
      </c>
      <c r="AH628" s="17" t="s">
        <v>82</v>
      </c>
      <c r="AI628" s="17" t="s">
        <v>107</v>
      </c>
      <c r="AJ628" s="17"/>
      <c r="AK628" s="17" t="s">
        <v>75</v>
      </c>
      <c r="AL628" s="17" t="s">
        <v>75</v>
      </c>
      <c r="AM628" s="17" t="s">
        <v>75</v>
      </c>
      <c r="AN628" s="17" t="s">
        <v>84</v>
      </c>
      <c r="AO628" s="17" t="s">
        <v>75</v>
      </c>
      <c r="AP628" s="17"/>
      <c r="AQ628" s="17"/>
      <c r="AR628" s="17"/>
      <c r="AS628" s="17"/>
      <c r="AT628" s="17" t="s">
        <v>17</v>
      </c>
      <c r="AU628" s="17" t="s">
        <v>111</v>
      </c>
    </row>
    <row r="629" hidden="1">
      <c r="A629" s="17">
        <v>627</v>
      </c>
      <c r="B629" s="17" t="s">
        <v>52</v>
      </c>
      <c r="C629" s="25" t="s">
        <v>1886</v>
      </c>
      <c r="D629" s="25" t="s">
        <v>1171</v>
      </c>
      <c r="E629" s="17" t="s">
        <v>1887</v>
      </c>
      <c r="F629" s="17" t="s">
        <v>1888</v>
      </c>
      <c r="G629" s="17">
        <v>22.647631000000001</v>
      </c>
      <c r="H629" s="17">
        <v>87.992358999999993</v>
      </c>
      <c r="I629" s="17"/>
      <c r="J629" s="17"/>
      <c r="K629" s="17"/>
      <c r="L629" s="17"/>
      <c r="M629" s="25" t="s">
        <v>1879</v>
      </c>
      <c r="N629" s="17"/>
      <c r="O629" s="17">
        <v>20</v>
      </c>
      <c r="P629" s="17">
        <v>90</v>
      </c>
      <c r="Q629" s="17" t="s">
        <v>73</v>
      </c>
      <c r="R629" s="17" t="s">
        <v>74</v>
      </c>
      <c r="S629" s="17"/>
      <c r="T629" s="17"/>
      <c r="U629" s="17" t="s">
        <v>105</v>
      </c>
      <c r="V629" s="17" t="s">
        <v>77</v>
      </c>
      <c r="W629" s="17" t="s">
        <v>1182</v>
      </c>
      <c r="X629" s="17">
        <v>3</v>
      </c>
      <c r="Y629" s="17">
        <v>1</v>
      </c>
      <c r="Z629" s="17"/>
      <c r="AA629" s="17" t="s">
        <v>73</v>
      </c>
      <c r="AB629" s="17" t="s">
        <v>79</v>
      </c>
      <c r="AC629" s="17">
        <v>2</v>
      </c>
      <c r="AD629" s="17">
        <v>0</v>
      </c>
      <c r="AE629" s="17">
        <v>0</v>
      </c>
      <c r="AF629" s="17"/>
      <c r="AG629" s="17" t="s">
        <v>81</v>
      </c>
      <c r="AH629" s="17" t="s">
        <v>82</v>
      </c>
      <c r="AI629" s="17" t="s">
        <v>107</v>
      </c>
      <c r="AJ629" s="17"/>
      <c r="AK629" s="17" t="s">
        <v>75</v>
      </c>
      <c r="AL629" s="17" t="s">
        <v>75</v>
      </c>
      <c r="AM629" s="17" t="s">
        <v>75</v>
      </c>
      <c r="AN629" s="17" t="s">
        <v>84</v>
      </c>
      <c r="AO629" s="17" t="s">
        <v>75</v>
      </c>
      <c r="AP629" s="17"/>
      <c r="AQ629" s="17"/>
      <c r="AR629" s="17"/>
      <c r="AS629" s="17"/>
      <c r="AT629" s="17" t="s">
        <v>1889</v>
      </c>
      <c r="AU629" s="17" t="s">
        <v>111</v>
      </c>
    </row>
    <row r="630" hidden="1">
      <c r="A630" s="17">
        <v>628</v>
      </c>
      <c r="B630" s="17" t="s">
        <v>52</v>
      </c>
      <c r="C630" s="25" t="s">
        <v>1890</v>
      </c>
      <c r="D630" s="25" t="s">
        <v>1171</v>
      </c>
      <c r="E630" s="17" t="s">
        <v>1891</v>
      </c>
      <c r="F630" s="17" t="s">
        <v>1892</v>
      </c>
      <c r="G630" s="17">
        <v>22.680861</v>
      </c>
      <c r="H630" s="17">
        <v>88.052394000000007</v>
      </c>
      <c r="I630" s="17"/>
      <c r="J630" s="17"/>
      <c r="K630" s="17"/>
      <c r="L630" s="17"/>
      <c r="M630" s="25" t="s">
        <v>1879</v>
      </c>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row>
    <row r="631" hidden="1">
      <c r="A631" s="17">
        <v>629</v>
      </c>
      <c r="B631" s="17" t="s">
        <v>52</v>
      </c>
      <c r="C631" s="25" t="s">
        <v>1893</v>
      </c>
      <c r="D631" s="25" t="s">
        <v>1171</v>
      </c>
      <c r="E631" s="17" t="s">
        <v>1894</v>
      </c>
      <c r="F631" s="17" t="s">
        <v>1895</v>
      </c>
      <c r="G631" s="17">
        <v>22.629173999999999</v>
      </c>
      <c r="H631" s="17">
        <v>88.019413</v>
      </c>
      <c r="I631" s="17"/>
      <c r="J631" s="17"/>
      <c r="K631" s="17"/>
      <c r="L631" s="17"/>
      <c r="M631" s="25" t="s">
        <v>1879</v>
      </c>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row>
    <row r="632" hidden="1">
      <c r="A632" s="17">
        <v>630</v>
      </c>
      <c r="B632" s="17" t="s">
        <v>52</v>
      </c>
      <c r="C632" s="25" t="s">
        <v>1896</v>
      </c>
      <c r="D632" s="25" t="s">
        <v>1171</v>
      </c>
      <c r="E632" s="17" t="s">
        <v>1897</v>
      </c>
      <c r="F632" s="17" t="s">
        <v>1898</v>
      </c>
      <c r="G632" s="17">
        <v>22.662517000000001</v>
      </c>
      <c r="H632" s="17">
        <v>88.030101000000002</v>
      </c>
      <c r="I632" s="17"/>
      <c r="J632" s="17"/>
      <c r="K632" s="17"/>
      <c r="L632" s="17"/>
      <c r="M632" s="25" t="s">
        <v>1879</v>
      </c>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row>
    <row r="633" hidden="1">
      <c r="A633" s="17">
        <v>631</v>
      </c>
      <c r="B633" s="17" t="s">
        <v>52</v>
      </c>
      <c r="C633" s="25" t="s">
        <v>1899</v>
      </c>
      <c r="D633" s="25" t="s">
        <v>1171</v>
      </c>
      <c r="E633" s="17"/>
      <c r="F633" s="17"/>
      <c r="G633" s="17"/>
      <c r="H633" s="17"/>
      <c r="I633" s="17"/>
      <c r="J633" s="17"/>
      <c r="K633" s="17"/>
      <c r="L633" s="17"/>
      <c r="M633" s="25" t="s">
        <v>1879</v>
      </c>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row>
    <row r="634" hidden="1">
      <c r="A634" s="17">
        <v>632</v>
      </c>
      <c r="B634" s="17" t="s">
        <v>52</v>
      </c>
      <c r="C634" s="25" t="s">
        <v>1900</v>
      </c>
      <c r="D634" s="25" t="s">
        <v>1171</v>
      </c>
      <c r="E634" s="17"/>
      <c r="F634" s="17"/>
      <c r="G634" s="17"/>
      <c r="H634" s="17"/>
      <c r="I634" s="17"/>
      <c r="J634" s="17"/>
      <c r="K634" s="17"/>
      <c r="L634" s="17"/>
      <c r="M634" s="25" t="s">
        <v>1879</v>
      </c>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row>
    <row r="635" hidden="1">
      <c r="A635" s="17">
        <v>633</v>
      </c>
      <c r="B635" s="17" t="s">
        <v>52</v>
      </c>
      <c r="C635" s="25" t="s">
        <v>1901</v>
      </c>
      <c r="D635" s="25" t="s">
        <v>1171</v>
      </c>
      <c r="E635" s="17" t="s">
        <v>1902</v>
      </c>
      <c r="F635" s="17" t="s">
        <v>1903</v>
      </c>
      <c r="G635" s="17">
        <v>22.657675000000001</v>
      </c>
      <c r="H635" s="17">
        <v>88.089112999999998</v>
      </c>
      <c r="I635" s="17"/>
      <c r="J635" s="17"/>
      <c r="K635" s="17"/>
      <c r="L635" s="17"/>
      <c r="M635" s="25" t="s">
        <v>1879</v>
      </c>
      <c r="N635" s="17"/>
      <c r="O635" s="17">
        <v>22</v>
      </c>
      <c r="P635" s="17">
        <v>90</v>
      </c>
      <c r="Q635" s="17" t="s">
        <v>187</v>
      </c>
      <c r="R635" s="17" t="s">
        <v>74</v>
      </c>
      <c r="S635" s="17" t="s">
        <v>75</v>
      </c>
      <c r="T635" s="17" t="s">
        <v>1904</v>
      </c>
      <c r="U635" s="17" t="s">
        <v>76</v>
      </c>
      <c r="V635" s="17" t="s">
        <v>77</v>
      </c>
      <c r="W635" s="17" t="s">
        <v>593</v>
      </c>
      <c r="X635" s="17">
        <v>5</v>
      </c>
      <c r="Y635" s="17">
        <v>0</v>
      </c>
      <c r="Z635" s="17"/>
      <c r="AA635" s="17" t="s">
        <v>187</v>
      </c>
      <c r="AB635" s="17" t="s">
        <v>79</v>
      </c>
      <c r="AC635" s="17">
        <v>5</v>
      </c>
      <c r="AD635" s="17">
        <v>0</v>
      </c>
      <c r="AE635" s="17">
        <v>0</v>
      </c>
      <c r="AF635" s="17"/>
      <c r="AG635" s="17" t="s">
        <v>414</v>
      </c>
      <c r="AH635" s="17" t="s">
        <v>415</v>
      </c>
      <c r="AI635" s="17" t="s">
        <v>414</v>
      </c>
      <c r="AJ635" s="17" t="s">
        <v>416</v>
      </c>
      <c r="AK635" s="17" t="s">
        <v>75</v>
      </c>
      <c r="AL635" s="17" t="s">
        <v>75</v>
      </c>
      <c r="AM635" s="17" t="s">
        <v>75</v>
      </c>
      <c r="AN635" s="17" t="s">
        <v>125</v>
      </c>
      <c r="AO635" s="17" t="s">
        <v>75</v>
      </c>
      <c r="AP635" s="17"/>
      <c r="AQ635" s="17"/>
      <c r="AR635" s="17"/>
      <c r="AS635" s="17"/>
      <c r="AT635" s="17" t="s">
        <v>1905</v>
      </c>
      <c r="AU635" s="17" t="s">
        <v>111</v>
      </c>
    </row>
    <row r="636" hidden="1">
      <c r="A636" s="17">
        <v>634</v>
      </c>
      <c r="B636" s="17" t="s">
        <v>52</v>
      </c>
      <c r="C636" s="25" t="s">
        <v>1906</v>
      </c>
      <c r="D636" s="25" t="s">
        <v>1171</v>
      </c>
      <c r="E636" s="17" t="s">
        <v>1907</v>
      </c>
      <c r="F636" s="17" t="s">
        <v>1908</v>
      </c>
      <c r="G636" s="17">
        <v>22.649695000000001</v>
      </c>
      <c r="H636" s="17">
        <v>88.091374999999999</v>
      </c>
      <c r="I636" s="17"/>
      <c r="J636" s="17"/>
      <c r="K636" s="17"/>
      <c r="L636" s="17"/>
      <c r="M636" s="25" t="s">
        <v>1879</v>
      </c>
      <c r="N636" s="17"/>
      <c r="O636" s="17">
        <v>22</v>
      </c>
      <c r="P636" s="17">
        <v>115</v>
      </c>
      <c r="Q636" s="17" t="s">
        <v>73</v>
      </c>
      <c r="R636" s="17" t="s">
        <v>74</v>
      </c>
      <c r="S636" s="17" t="s">
        <v>137</v>
      </c>
      <c r="T636" s="17" t="s">
        <v>947</v>
      </c>
      <c r="U636" s="17" t="s">
        <v>160</v>
      </c>
      <c r="V636" s="17" t="s">
        <v>77</v>
      </c>
      <c r="W636" s="17" t="s">
        <v>252</v>
      </c>
      <c r="X636" s="17">
        <v>5</v>
      </c>
      <c r="Y636" s="17">
        <v>1</v>
      </c>
      <c r="Z636" s="17"/>
      <c r="AA636" s="17" t="s">
        <v>73</v>
      </c>
      <c r="AB636" s="17" t="s">
        <v>79</v>
      </c>
      <c r="AC636" s="17">
        <v>3</v>
      </c>
      <c r="AD636" s="17">
        <v>0</v>
      </c>
      <c r="AE636" s="17">
        <v>0</v>
      </c>
      <c r="AF636" s="17"/>
      <c r="AG636" s="17" t="s">
        <v>124</v>
      </c>
      <c r="AH636" s="17" t="s">
        <v>82</v>
      </c>
      <c r="AI636" s="17" t="s">
        <v>83</v>
      </c>
      <c r="AJ636" s="17">
        <v>2111</v>
      </c>
      <c r="AK636" s="17" t="s">
        <v>75</v>
      </c>
      <c r="AL636" s="17" t="s">
        <v>137</v>
      </c>
      <c r="AM636" s="17" t="s">
        <v>75</v>
      </c>
      <c r="AN636" s="17" t="s">
        <v>84</v>
      </c>
      <c r="AO636" s="17" t="s">
        <v>109</v>
      </c>
      <c r="AP636" s="17"/>
      <c r="AQ636" s="17"/>
      <c r="AR636" s="17"/>
      <c r="AS636" s="17"/>
      <c r="AT636" s="17"/>
      <c r="AU636" s="17" t="s">
        <v>111</v>
      </c>
    </row>
    <row r="637" hidden="1">
      <c r="A637" s="17">
        <v>635</v>
      </c>
      <c r="B637" s="17" t="s">
        <v>52</v>
      </c>
      <c r="C637" s="25" t="s">
        <v>1909</v>
      </c>
      <c r="D637" s="25" t="s">
        <v>1171</v>
      </c>
      <c r="E637" s="17" t="s">
        <v>1910</v>
      </c>
      <c r="F637" s="17" t="s">
        <v>1911</v>
      </c>
      <c r="G637" s="17">
        <v>22.729244999999999</v>
      </c>
      <c r="H637" s="17">
        <v>87.981982000000002</v>
      </c>
      <c r="I637" s="17"/>
      <c r="J637" s="17"/>
      <c r="K637" s="17"/>
      <c r="L637" s="17"/>
      <c r="M637" s="25" t="s">
        <v>1879</v>
      </c>
      <c r="N637" s="17"/>
      <c r="O637" s="17">
        <v>20</v>
      </c>
      <c r="P637" s="17">
        <v>90</v>
      </c>
      <c r="Q637" s="17" t="s">
        <v>73</v>
      </c>
      <c r="R637" s="17" t="s">
        <v>74</v>
      </c>
      <c r="S637" s="17" t="s">
        <v>75</v>
      </c>
      <c r="T637" s="17"/>
      <c r="U637" s="17" t="s">
        <v>105</v>
      </c>
      <c r="V637" s="17" t="s">
        <v>77</v>
      </c>
      <c r="W637" s="17" t="s">
        <v>161</v>
      </c>
      <c r="X637" s="17">
        <v>5</v>
      </c>
      <c r="Y637" s="17">
        <v>0</v>
      </c>
      <c r="Z637" s="17"/>
      <c r="AA637" s="17" t="s">
        <v>73</v>
      </c>
      <c r="AB637" s="17" t="s">
        <v>79</v>
      </c>
      <c r="AC637" s="17">
        <v>3</v>
      </c>
      <c r="AD637" s="17">
        <v>0</v>
      </c>
      <c r="AE637" s="17">
        <v>0</v>
      </c>
      <c r="AF637" s="17"/>
      <c r="AG637" s="17" t="s">
        <v>124</v>
      </c>
      <c r="AH637" s="17" t="s">
        <v>82</v>
      </c>
      <c r="AI637" s="17" t="s">
        <v>83</v>
      </c>
      <c r="AJ637" s="17">
        <v>2111</v>
      </c>
      <c r="AK637" s="17" t="s">
        <v>75</v>
      </c>
      <c r="AL637" s="17" t="s">
        <v>75</v>
      </c>
      <c r="AM637" s="17" t="s">
        <v>75</v>
      </c>
      <c r="AN637" s="17" t="s">
        <v>84</v>
      </c>
      <c r="AO637" s="17" t="s">
        <v>109</v>
      </c>
      <c r="AP637" s="17"/>
      <c r="AQ637" s="17"/>
      <c r="AR637" s="17"/>
      <c r="AS637" s="17"/>
      <c r="AT637" s="17"/>
      <c r="AU637" s="17" t="s">
        <v>111</v>
      </c>
    </row>
    <row r="638" hidden="1">
      <c r="A638" s="17">
        <v>636</v>
      </c>
      <c r="B638" s="17" t="s">
        <v>52</v>
      </c>
      <c r="C638" s="25" t="s">
        <v>1912</v>
      </c>
      <c r="D638" s="25" t="s">
        <v>1171</v>
      </c>
      <c r="E638" s="17"/>
      <c r="F638" s="17"/>
      <c r="G638" s="17"/>
      <c r="H638" s="17"/>
      <c r="I638" s="17"/>
      <c r="J638" s="17"/>
      <c r="K638" s="17"/>
      <c r="L638" s="17"/>
      <c r="M638" s="25" t="s">
        <v>1879</v>
      </c>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row>
    <row r="639" hidden="1">
      <c r="A639" s="17">
        <v>637</v>
      </c>
      <c r="B639" s="17" t="s">
        <v>52</v>
      </c>
      <c r="C639" s="25" t="s">
        <v>1913</v>
      </c>
      <c r="D639" s="25" t="s">
        <v>1171</v>
      </c>
      <c r="E639" s="17" t="s">
        <v>1914</v>
      </c>
      <c r="F639" s="17" t="s">
        <v>1915</v>
      </c>
      <c r="G639" s="17">
        <v>22.696470999999999</v>
      </c>
      <c r="H639" s="17">
        <v>87.952827999999997</v>
      </c>
      <c r="I639" s="17"/>
      <c r="J639" s="17"/>
      <c r="K639" s="17"/>
      <c r="L639" s="17"/>
      <c r="M639" s="25" t="s">
        <v>1879</v>
      </c>
      <c r="N639" s="17"/>
      <c r="O639" s="17">
        <v>18</v>
      </c>
      <c r="P639" s="17">
        <v>60</v>
      </c>
      <c r="Q639" s="17" t="s">
        <v>105</v>
      </c>
      <c r="R639" s="17" t="s">
        <v>142</v>
      </c>
      <c r="S639" s="17" t="s">
        <v>75</v>
      </c>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row>
    <row r="640" hidden="1">
      <c r="A640" s="17">
        <v>638</v>
      </c>
      <c r="B640" s="17" t="s">
        <v>52</v>
      </c>
      <c r="C640" s="25" t="s">
        <v>1916</v>
      </c>
      <c r="D640" s="25" t="s">
        <v>1171</v>
      </c>
      <c r="E640" s="17" t="s">
        <v>1917</v>
      </c>
      <c r="F640" s="17" t="s">
        <v>1918</v>
      </c>
      <c r="G640" s="17">
        <v>22.706354999999999</v>
      </c>
      <c r="H640" s="17">
        <v>87.979468999999995</v>
      </c>
      <c r="I640" s="17"/>
      <c r="J640" s="17"/>
      <c r="K640" s="17"/>
      <c r="L640" s="17"/>
      <c r="M640" s="25" t="s">
        <v>1879</v>
      </c>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row>
    <row r="641" hidden="1">
      <c r="A641" s="17">
        <v>639</v>
      </c>
      <c r="B641" s="17" t="s">
        <v>52</v>
      </c>
      <c r="C641" s="25" t="s">
        <v>1919</v>
      </c>
      <c r="D641" s="25" t="s">
        <v>1171</v>
      </c>
      <c r="E641" s="17" t="s">
        <v>1920</v>
      </c>
      <c r="F641" s="17" t="s">
        <v>1921</v>
      </c>
      <c r="G641" s="17">
        <v>22.721067000000001</v>
      </c>
      <c r="H641" s="17">
        <v>87.981380999999999</v>
      </c>
      <c r="I641" s="17"/>
      <c r="J641" s="17"/>
      <c r="K641" s="17"/>
      <c r="L641" s="17"/>
      <c r="M641" s="25" t="s">
        <v>1879</v>
      </c>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row>
    <row r="642" hidden="1">
      <c r="A642" s="17">
        <v>640</v>
      </c>
      <c r="B642" s="17" t="s">
        <v>52</v>
      </c>
      <c r="C642" s="25" t="s">
        <v>1922</v>
      </c>
      <c r="D642" s="25" t="s">
        <v>1171</v>
      </c>
      <c r="E642" s="17" t="s">
        <v>1923</v>
      </c>
      <c r="F642" s="17" t="s">
        <v>1924</v>
      </c>
      <c r="G642" s="17">
        <v>22.752008</v>
      </c>
      <c r="H642" s="17">
        <v>87.965997999999999</v>
      </c>
      <c r="I642" s="17"/>
      <c r="J642" s="17"/>
      <c r="K642" s="17"/>
      <c r="L642" s="17"/>
      <c r="M642" s="25" t="s">
        <v>1879</v>
      </c>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row>
    <row r="643" hidden="1">
      <c r="A643" s="17">
        <v>641</v>
      </c>
      <c r="B643" s="17" t="s">
        <v>52</v>
      </c>
      <c r="C643" s="25" t="s">
        <v>1925</v>
      </c>
      <c r="D643" s="25" t="s">
        <v>1171</v>
      </c>
      <c r="E643" s="17" t="s">
        <v>1926</v>
      </c>
      <c r="F643" s="17" t="s">
        <v>1927</v>
      </c>
      <c r="G643" s="17">
        <v>22.689689999999999</v>
      </c>
      <c r="H643" s="17">
        <v>87.96978</v>
      </c>
      <c r="I643" s="17"/>
      <c r="J643" s="17"/>
      <c r="K643" s="17"/>
      <c r="L643" s="17"/>
      <c r="M643" s="25" t="s">
        <v>1879</v>
      </c>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row>
    <row r="644" hidden="1">
      <c r="A644" s="17">
        <v>642</v>
      </c>
      <c r="B644" s="17" t="s">
        <v>52</v>
      </c>
      <c r="C644" s="25" t="s">
        <v>1928</v>
      </c>
      <c r="D644" s="25" t="s">
        <v>1171</v>
      </c>
      <c r="E644" s="17" t="s">
        <v>1929</v>
      </c>
      <c r="F644" s="17" t="s">
        <v>1930</v>
      </c>
      <c r="G644" s="17">
        <v>22.68704</v>
      </c>
      <c r="H644" s="17">
        <v>87.989479000000003</v>
      </c>
      <c r="I644" s="17"/>
      <c r="J644" s="17"/>
      <c r="K644" s="17"/>
      <c r="L644" s="17"/>
      <c r="M644" s="25" t="s">
        <v>1879</v>
      </c>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row>
    <row r="645" hidden="1">
      <c r="A645" s="17">
        <v>643</v>
      </c>
      <c r="B645" s="17" t="s">
        <v>52</v>
      </c>
      <c r="C645" s="25" t="s">
        <v>1931</v>
      </c>
      <c r="D645" s="25" t="s">
        <v>1171</v>
      </c>
      <c r="E645" s="17" t="s">
        <v>1932</v>
      </c>
      <c r="F645" s="17" t="s">
        <v>1933</v>
      </c>
      <c r="G645" s="17">
        <v>22.748342999999998</v>
      </c>
      <c r="H645" s="17">
        <v>87.984419000000003</v>
      </c>
      <c r="I645" s="17"/>
      <c r="J645" s="17"/>
      <c r="K645" s="17"/>
      <c r="L645" s="17"/>
      <c r="M645" s="25" t="s">
        <v>1879</v>
      </c>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row>
    <row r="646" hidden="1">
      <c r="A646" s="17">
        <v>644</v>
      </c>
      <c r="B646" s="17" t="s">
        <v>52</v>
      </c>
      <c r="C646" s="25" t="s">
        <v>1934</v>
      </c>
      <c r="D646" s="25" t="s">
        <v>1171</v>
      </c>
      <c r="E646" s="17" t="s">
        <v>1935</v>
      </c>
      <c r="F646" s="17" t="s">
        <v>1936</v>
      </c>
      <c r="G646" s="17">
        <v>22.731527</v>
      </c>
      <c r="H646" s="17">
        <v>87.950693999999999</v>
      </c>
      <c r="I646" s="17"/>
      <c r="J646" s="17"/>
      <c r="K646" s="17"/>
      <c r="L646" s="17"/>
      <c r="M646" s="25" t="s">
        <v>1879</v>
      </c>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row>
    <row r="647" hidden="1">
      <c r="A647" s="17">
        <v>645</v>
      </c>
      <c r="B647" s="17" t="s">
        <v>52</v>
      </c>
      <c r="C647" s="25" t="s">
        <v>1937</v>
      </c>
      <c r="D647" s="25" t="s">
        <v>1171</v>
      </c>
      <c r="E647" s="17" t="s">
        <v>1938</v>
      </c>
      <c r="F647" s="17" t="s">
        <v>1939</v>
      </c>
      <c r="G647" s="17">
        <v>22.712461000000001</v>
      </c>
      <c r="H647" s="17">
        <v>87.991156000000004</v>
      </c>
      <c r="I647" s="17"/>
      <c r="J647" s="17"/>
      <c r="K647" s="17"/>
      <c r="L647" s="17"/>
      <c r="M647" s="25" t="s">
        <v>1879</v>
      </c>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row>
    <row r="648" hidden="1">
      <c r="A648" s="17">
        <v>646</v>
      </c>
      <c r="B648" s="17" t="s">
        <v>52</v>
      </c>
      <c r="C648" s="25" t="s">
        <v>1940</v>
      </c>
      <c r="D648" s="25" t="s">
        <v>1171</v>
      </c>
      <c r="E648" s="17" t="s">
        <v>1941</v>
      </c>
      <c r="F648" s="17" t="s">
        <v>1942</v>
      </c>
      <c r="G648" s="17">
        <v>22.646656</v>
      </c>
      <c r="H648" s="17">
        <v>87.968919999999997</v>
      </c>
      <c r="I648" s="17"/>
      <c r="J648" s="17"/>
      <c r="K648" s="17"/>
      <c r="L648" s="17"/>
      <c r="M648" s="25" t="s">
        <v>1879</v>
      </c>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row>
    <row r="649" hidden="1">
      <c r="A649" s="17">
        <v>647</v>
      </c>
      <c r="B649" s="17" t="s">
        <v>52</v>
      </c>
      <c r="C649" s="25" t="s">
        <v>1943</v>
      </c>
      <c r="D649" s="25" t="s">
        <v>1171</v>
      </c>
      <c r="E649" s="17" t="s">
        <v>1944</v>
      </c>
      <c r="F649" s="17" t="s">
        <v>1945</v>
      </c>
      <c r="G649" s="17">
        <v>22.696922000000001</v>
      </c>
      <c r="H649" s="17">
        <v>87.944981999999996</v>
      </c>
      <c r="I649" s="17"/>
      <c r="J649" s="17"/>
      <c r="K649" s="17"/>
      <c r="L649" s="17"/>
      <c r="M649" s="25" t="s">
        <v>1879</v>
      </c>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row>
    <row r="650" hidden="1">
      <c r="A650" s="17">
        <v>648</v>
      </c>
      <c r="B650" s="17" t="s">
        <v>52</v>
      </c>
      <c r="C650" s="25" t="s">
        <v>1946</v>
      </c>
      <c r="D650" s="25" t="s">
        <v>1171</v>
      </c>
      <c r="E650" s="17" t="s">
        <v>1947</v>
      </c>
      <c r="F650" s="17" t="s">
        <v>1948</v>
      </c>
      <c r="G650" s="17">
        <v>22.620049999999999</v>
      </c>
      <c r="H650" s="17">
        <v>87.973586999999995</v>
      </c>
      <c r="I650" s="17"/>
      <c r="J650" s="17"/>
      <c r="K650" s="17"/>
      <c r="L650" s="17"/>
      <c r="M650" s="25" t="s">
        <v>1879</v>
      </c>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row>
    <row r="651" hidden="1">
      <c r="A651" s="17">
        <v>649</v>
      </c>
      <c r="B651" s="17" t="s">
        <v>52</v>
      </c>
      <c r="C651" s="25" t="s">
        <v>1949</v>
      </c>
      <c r="D651" s="25" t="s">
        <v>1171</v>
      </c>
      <c r="E651" s="17" t="s">
        <v>1950</v>
      </c>
      <c r="F651" s="17" t="s">
        <v>1951</v>
      </c>
      <c r="G651" s="17">
        <v>22.655514</v>
      </c>
      <c r="H651" s="17">
        <v>87.942936000000003</v>
      </c>
      <c r="I651" s="17"/>
      <c r="J651" s="17"/>
      <c r="K651" s="17"/>
      <c r="L651" s="17"/>
      <c r="M651" s="25" t="s">
        <v>1879</v>
      </c>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row>
    <row r="652" hidden="1">
      <c r="A652" s="17">
        <v>650</v>
      </c>
      <c r="B652" s="17" t="s">
        <v>52</v>
      </c>
      <c r="C652" s="25" t="s">
        <v>1952</v>
      </c>
      <c r="D652" s="25" t="s">
        <v>1171</v>
      </c>
      <c r="E652" s="17" t="s">
        <v>1953</v>
      </c>
      <c r="F652" s="17" t="s">
        <v>1954</v>
      </c>
      <c r="G652" s="17">
        <v>22.653079999999999</v>
      </c>
      <c r="H652" s="17">
        <v>88.009097999999994</v>
      </c>
      <c r="I652" s="17"/>
      <c r="J652" s="17"/>
      <c r="K652" s="17"/>
      <c r="L652" s="17"/>
      <c r="M652" s="25" t="s">
        <v>1879</v>
      </c>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row>
    <row r="653" hidden="1">
      <c r="A653" s="17">
        <v>651</v>
      </c>
      <c r="B653" s="17" t="s">
        <v>52</v>
      </c>
      <c r="C653" s="25" t="s">
        <v>1955</v>
      </c>
      <c r="D653" s="25" t="s">
        <v>1171</v>
      </c>
      <c r="E653" s="17" t="s">
        <v>1956</v>
      </c>
      <c r="F653" s="17" t="s">
        <v>1957</v>
      </c>
      <c r="G653" s="17">
        <v>22.774117</v>
      </c>
      <c r="H653" s="17">
        <v>87.983451000000002</v>
      </c>
      <c r="I653" s="17"/>
      <c r="J653" s="17"/>
      <c r="K653" s="17"/>
      <c r="L653" s="17"/>
      <c r="M653" s="25" t="s">
        <v>1879</v>
      </c>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row>
    <row r="654" hidden="1">
      <c r="A654" s="17">
        <v>652</v>
      </c>
      <c r="B654" s="17" t="s">
        <v>52</v>
      </c>
      <c r="C654" s="25"/>
      <c r="D654" s="25" t="s">
        <v>1171</v>
      </c>
      <c r="E654" s="17" t="s">
        <v>1958</v>
      </c>
      <c r="F654" s="17" t="s">
        <v>1959</v>
      </c>
      <c r="G654" s="17">
        <v>22.678402999999999</v>
      </c>
      <c r="H654" s="17">
        <v>88.004294000000002</v>
      </c>
      <c r="I654" s="17"/>
      <c r="J654" s="17"/>
      <c r="K654" s="17"/>
      <c r="L654" s="17"/>
      <c r="M654" s="25" t="s">
        <v>1879</v>
      </c>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row>
    <row r="655" hidden="1">
      <c r="A655" s="17">
        <v>653</v>
      </c>
      <c r="B655" s="17" t="s">
        <v>52</v>
      </c>
      <c r="C655" s="25" t="s">
        <v>1960</v>
      </c>
      <c r="D655" s="25" t="s">
        <v>1171</v>
      </c>
      <c r="E655" s="17"/>
      <c r="F655" s="17"/>
      <c r="G655" s="17"/>
      <c r="H655" s="17"/>
      <c r="I655" s="17"/>
      <c r="J655" s="17"/>
      <c r="K655" s="17"/>
      <c r="L655" s="17"/>
      <c r="M655" s="25" t="s">
        <v>1879</v>
      </c>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row>
    <row r="656" hidden="1">
      <c r="A656" s="17">
        <v>654</v>
      </c>
      <c r="B656" s="17" t="s">
        <v>52</v>
      </c>
      <c r="C656" s="25" t="s">
        <v>1961</v>
      </c>
      <c r="D656" s="25" t="s">
        <v>1171</v>
      </c>
      <c r="E656" s="17"/>
      <c r="F656" s="17"/>
      <c r="G656" s="17"/>
      <c r="H656" s="17"/>
      <c r="I656" s="17"/>
      <c r="J656" s="17"/>
      <c r="K656" s="17"/>
      <c r="L656" s="17"/>
      <c r="M656" s="25" t="s">
        <v>1879</v>
      </c>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row>
    <row r="657" hidden="1">
      <c r="A657" s="17">
        <v>655</v>
      </c>
      <c r="B657" s="17" t="s">
        <v>52</v>
      </c>
      <c r="C657" s="25" t="s">
        <v>1962</v>
      </c>
      <c r="D657" s="25" t="s">
        <v>1171</v>
      </c>
      <c r="E657" s="17"/>
      <c r="F657" s="17"/>
      <c r="G657" s="17"/>
      <c r="H657" s="17"/>
      <c r="I657" s="17"/>
      <c r="J657" s="17"/>
      <c r="K657" s="17"/>
      <c r="L657" s="17"/>
      <c r="M657" s="25" t="s">
        <v>1879</v>
      </c>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row>
    <row r="658" hidden="1">
      <c r="A658" s="17">
        <v>656</v>
      </c>
      <c r="B658" s="17" t="s">
        <v>52</v>
      </c>
      <c r="C658" s="25" t="s">
        <v>1963</v>
      </c>
      <c r="D658" s="25" t="s">
        <v>1171</v>
      </c>
      <c r="E658" s="17"/>
      <c r="F658" s="17"/>
      <c r="G658" s="17"/>
      <c r="H658" s="17"/>
      <c r="I658" s="17"/>
      <c r="J658" s="17"/>
      <c r="K658" s="17"/>
      <c r="L658" s="17"/>
      <c r="M658" s="25" t="s">
        <v>1879</v>
      </c>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row>
    <row r="659" hidden="1">
      <c r="A659" s="17">
        <v>657</v>
      </c>
      <c r="B659" s="17" t="s">
        <v>52</v>
      </c>
      <c r="C659" s="25" t="s">
        <v>1964</v>
      </c>
      <c r="D659" s="25" t="s">
        <v>1171</v>
      </c>
      <c r="E659" s="17"/>
      <c r="F659" s="17"/>
      <c r="G659" s="17"/>
      <c r="H659" s="17"/>
      <c r="I659" s="17"/>
      <c r="J659" s="17"/>
      <c r="K659" s="17"/>
      <c r="L659" s="17"/>
      <c r="M659" s="25" t="s">
        <v>1879</v>
      </c>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row>
    <row r="660" hidden="1">
      <c r="A660" s="17">
        <v>658</v>
      </c>
      <c r="B660" s="17" t="s">
        <v>52</v>
      </c>
      <c r="C660" s="25" t="s">
        <v>1965</v>
      </c>
      <c r="D660" s="25" t="s">
        <v>1171</v>
      </c>
      <c r="E660" s="17"/>
      <c r="F660" s="17"/>
      <c r="G660" s="17"/>
      <c r="H660" s="17"/>
      <c r="I660" s="17"/>
      <c r="J660" s="17"/>
      <c r="K660" s="17"/>
      <c r="L660" s="17"/>
      <c r="M660" s="25" t="s">
        <v>1879</v>
      </c>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row>
    <row r="661" hidden="1">
      <c r="A661" s="17">
        <v>659</v>
      </c>
      <c r="B661" s="17" t="s">
        <v>52</v>
      </c>
      <c r="C661" s="25" t="s">
        <v>1966</v>
      </c>
      <c r="D661" s="25" t="s">
        <v>1171</v>
      </c>
      <c r="E661" s="17"/>
      <c r="F661" s="17"/>
      <c r="G661" s="17"/>
      <c r="H661" s="17"/>
      <c r="I661" s="17"/>
      <c r="J661" s="17"/>
      <c r="K661" s="17"/>
      <c r="L661" s="17"/>
      <c r="M661" s="25" t="s">
        <v>1879</v>
      </c>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row>
    <row r="662" hidden="1">
      <c r="A662" s="17">
        <v>660</v>
      </c>
      <c r="B662" s="17" t="s">
        <v>52</v>
      </c>
      <c r="C662" s="30" t="s">
        <v>1967</v>
      </c>
      <c r="D662" s="25" t="s">
        <v>1330</v>
      </c>
      <c r="E662" s="17"/>
      <c r="F662" s="17"/>
      <c r="G662" s="17"/>
      <c r="H662" s="17"/>
      <c r="I662" s="17"/>
      <c r="J662" s="17"/>
      <c r="K662" s="17"/>
      <c r="L662" s="17"/>
      <c r="M662" s="25" t="s">
        <v>1879</v>
      </c>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row>
    <row r="663" hidden="1">
      <c r="A663" s="17">
        <v>661</v>
      </c>
      <c r="B663" s="17" t="s">
        <v>52</v>
      </c>
      <c r="C663" s="25" t="s">
        <v>1968</v>
      </c>
      <c r="D663" s="25" t="s">
        <v>1171</v>
      </c>
      <c r="E663" s="17" t="s">
        <v>1969</v>
      </c>
      <c r="F663" s="17" t="s">
        <v>1970</v>
      </c>
      <c r="G663" s="17">
        <v>22.416730000000001</v>
      </c>
      <c r="H663" s="17">
        <v>87.898411999999993</v>
      </c>
      <c r="I663" s="17"/>
      <c r="J663" s="17"/>
      <c r="K663" s="17"/>
      <c r="L663" s="17"/>
      <c r="M663" s="25" t="s">
        <v>894</v>
      </c>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row>
    <row r="664" hidden="1">
      <c r="A664" s="17">
        <v>662</v>
      </c>
      <c r="B664" s="17" t="s">
        <v>52</v>
      </c>
      <c r="C664" s="25" t="s">
        <v>1971</v>
      </c>
      <c r="D664" s="25" t="s">
        <v>1171</v>
      </c>
      <c r="E664" s="17" t="s">
        <v>1972</v>
      </c>
      <c r="F664" s="17" t="s">
        <v>1973</v>
      </c>
      <c r="G664" s="17">
        <v>22.425965000000001</v>
      </c>
      <c r="H664" s="17">
        <v>87.852377000000004</v>
      </c>
      <c r="I664" s="17"/>
      <c r="J664" s="17"/>
      <c r="K664" s="17"/>
      <c r="L664" s="17"/>
      <c r="M664" s="25" t="s">
        <v>894</v>
      </c>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row>
    <row r="665" hidden="1">
      <c r="A665" s="17">
        <v>663</v>
      </c>
      <c r="B665" s="17" t="s">
        <v>52</v>
      </c>
      <c r="C665" s="25" t="s">
        <v>1974</v>
      </c>
      <c r="D665" s="25" t="s">
        <v>1171</v>
      </c>
      <c r="E665" s="17" t="s">
        <v>1975</v>
      </c>
      <c r="F665" s="17" t="s">
        <v>1976</v>
      </c>
      <c r="G665" s="17">
        <v>22.410457999999998</v>
      </c>
      <c r="H665" s="17">
        <v>87.877875000000003</v>
      </c>
      <c r="I665" s="17"/>
      <c r="J665" s="17"/>
      <c r="K665" s="17"/>
      <c r="L665" s="17"/>
      <c r="M665" s="25" t="s">
        <v>894</v>
      </c>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row>
    <row r="666" hidden="1">
      <c r="A666" s="17">
        <v>664</v>
      </c>
      <c r="B666" s="17" t="s">
        <v>52</v>
      </c>
      <c r="C666" s="25" t="s">
        <v>1977</v>
      </c>
      <c r="D666" s="25" t="s">
        <v>1171</v>
      </c>
      <c r="E666" s="17" t="s">
        <v>1978</v>
      </c>
      <c r="F666" s="17" t="s">
        <v>1979</v>
      </c>
      <c r="G666" s="17">
        <v>22.441147999999998</v>
      </c>
      <c r="H666" s="17">
        <v>87.868072999999995</v>
      </c>
      <c r="I666" s="17"/>
      <c r="J666" s="17"/>
      <c r="K666" s="17"/>
      <c r="L666" s="17"/>
      <c r="M666" s="25" t="s">
        <v>894</v>
      </c>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row>
    <row r="667" hidden="1">
      <c r="A667" s="17">
        <v>665</v>
      </c>
      <c r="B667" s="17" t="s">
        <v>52</v>
      </c>
      <c r="C667" s="25" t="s">
        <v>1980</v>
      </c>
      <c r="D667" s="25" t="s">
        <v>1171</v>
      </c>
      <c r="E667" s="17" t="s">
        <v>1981</v>
      </c>
      <c r="F667" s="17" t="s">
        <v>1982</v>
      </c>
      <c r="G667" s="17">
        <v>22.434718</v>
      </c>
      <c r="H667" s="17">
        <v>87.873304000000005</v>
      </c>
      <c r="I667" s="17"/>
      <c r="J667" s="17"/>
      <c r="K667" s="17"/>
      <c r="L667" s="17"/>
      <c r="M667" s="25" t="s">
        <v>894</v>
      </c>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row>
    <row r="668" hidden="1">
      <c r="A668" s="17">
        <v>666</v>
      </c>
      <c r="B668" s="17" t="s">
        <v>52</v>
      </c>
      <c r="C668" s="25" t="s">
        <v>1983</v>
      </c>
      <c r="D668" s="25" t="s">
        <v>1171</v>
      </c>
      <c r="E668" s="17" t="s">
        <v>1984</v>
      </c>
      <c r="F668" s="17" t="s">
        <v>1985</v>
      </c>
      <c r="G668" s="17">
        <v>22.431338</v>
      </c>
      <c r="H668" s="17">
        <v>87.867406000000003</v>
      </c>
      <c r="I668" s="17"/>
      <c r="J668" s="17"/>
      <c r="K668" s="17"/>
      <c r="L668" s="17"/>
      <c r="M668" s="25" t="s">
        <v>894</v>
      </c>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row>
    <row r="669" hidden="1">
      <c r="A669" s="17">
        <v>667</v>
      </c>
      <c r="B669" s="17" t="s">
        <v>52</v>
      </c>
      <c r="C669" s="25" t="s">
        <v>1986</v>
      </c>
      <c r="D669" s="25" t="s">
        <v>1171</v>
      </c>
      <c r="E669" s="17"/>
      <c r="F669" s="17"/>
      <c r="G669" s="17"/>
      <c r="H669" s="17"/>
      <c r="I669" s="17"/>
      <c r="J669" s="17"/>
      <c r="K669" s="17"/>
      <c r="L669" s="17"/>
      <c r="M669" s="25" t="s">
        <v>894</v>
      </c>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row>
    <row r="670" hidden="1">
      <c r="A670" s="17">
        <v>668</v>
      </c>
      <c r="B670" s="17" t="s">
        <v>52</v>
      </c>
      <c r="C670" s="25" t="s">
        <v>1987</v>
      </c>
      <c r="D670" s="25" t="s">
        <v>1171</v>
      </c>
      <c r="E670" s="17"/>
      <c r="F670" s="17"/>
      <c r="G670" s="17"/>
      <c r="H670" s="17"/>
      <c r="I670" s="17"/>
      <c r="J670" s="17"/>
      <c r="K670" s="17"/>
      <c r="L670" s="17"/>
      <c r="M670" s="25" t="s">
        <v>894</v>
      </c>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row>
    <row r="671" hidden="1">
      <c r="A671" s="17">
        <v>669</v>
      </c>
      <c r="B671" s="17" t="s">
        <v>52</v>
      </c>
      <c r="C671" s="25" t="s">
        <v>1988</v>
      </c>
      <c r="D671" s="25" t="s">
        <v>1171</v>
      </c>
      <c r="E671" s="17"/>
      <c r="F671" s="17"/>
      <c r="G671" s="17"/>
      <c r="H671" s="17"/>
      <c r="I671" s="17"/>
      <c r="J671" s="17"/>
      <c r="K671" s="17"/>
      <c r="L671" s="17"/>
      <c r="M671" s="25" t="s">
        <v>894</v>
      </c>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row>
    <row r="672" hidden="1">
      <c r="A672" s="17">
        <v>670</v>
      </c>
      <c r="B672" s="17" t="s">
        <v>52</v>
      </c>
      <c r="C672" s="30" t="s">
        <v>1989</v>
      </c>
      <c r="D672" s="25" t="s">
        <v>1330</v>
      </c>
      <c r="E672" s="17"/>
      <c r="F672" s="17"/>
      <c r="G672" s="17"/>
      <c r="H672" s="17"/>
      <c r="I672" s="17"/>
      <c r="J672" s="17"/>
      <c r="K672" s="17"/>
      <c r="L672" s="17"/>
      <c r="M672" s="25" t="s">
        <v>894</v>
      </c>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row>
    <row r="673" hidden="1">
      <c r="A673" s="17">
        <v>671</v>
      </c>
      <c r="B673" s="17" t="s">
        <v>52</v>
      </c>
      <c r="C673" s="25" t="s">
        <v>1990</v>
      </c>
      <c r="D673" s="25" t="s">
        <v>1171</v>
      </c>
      <c r="E673" s="17" t="s">
        <v>1991</v>
      </c>
      <c r="F673" s="17" t="s">
        <v>1992</v>
      </c>
      <c r="G673" s="17">
        <v>22.401551000000001</v>
      </c>
      <c r="H673" s="17">
        <v>87.833439999999996</v>
      </c>
      <c r="I673" s="17"/>
      <c r="J673" s="17"/>
      <c r="K673" s="17"/>
      <c r="L673" s="17"/>
      <c r="M673" s="25" t="s">
        <v>894</v>
      </c>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row>
    <row r="674" hidden="1">
      <c r="A674" s="17">
        <v>672</v>
      </c>
      <c r="B674" s="17" t="s">
        <v>52</v>
      </c>
      <c r="C674" s="25" t="s">
        <v>1993</v>
      </c>
      <c r="D674" s="25" t="s">
        <v>1171</v>
      </c>
      <c r="E674" s="17" t="s">
        <v>1994</v>
      </c>
      <c r="F674" s="17" t="s">
        <v>1995</v>
      </c>
      <c r="G674" s="17">
        <v>22.420354</v>
      </c>
      <c r="H674" s="17">
        <v>87.858902</v>
      </c>
      <c r="I674" s="17"/>
      <c r="J674" s="17"/>
      <c r="K674" s="17"/>
      <c r="L674" s="17"/>
      <c r="M674" s="25" t="s">
        <v>894</v>
      </c>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row>
    <row r="675" hidden="1">
      <c r="A675" s="17">
        <v>673</v>
      </c>
      <c r="B675" s="17" t="s">
        <v>52</v>
      </c>
      <c r="C675" s="25" t="s">
        <v>1996</v>
      </c>
      <c r="D675" s="25" t="s">
        <v>1171</v>
      </c>
      <c r="E675" s="17" t="s">
        <v>1997</v>
      </c>
      <c r="F675" s="17" t="s">
        <v>1998</v>
      </c>
      <c r="G675" s="17">
        <v>22.504069000000001</v>
      </c>
      <c r="H675" s="17">
        <v>87.847916999999995</v>
      </c>
      <c r="I675" s="17"/>
      <c r="J675" s="17"/>
      <c r="K675" s="17"/>
      <c r="L675" s="17"/>
      <c r="M675" s="25" t="s">
        <v>894</v>
      </c>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row>
    <row r="676" hidden="1">
      <c r="A676" s="17">
        <v>674</v>
      </c>
      <c r="B676" s="17" t="s">
        <v>52</v>
      </c>
      <c r="C676" s="25" t="s">
        <v>1999</v>
      </c>
      <c r="D676" s="25" t="s">
        <v>1171</v>
      </c>
      <c r="E676" s="17" t="s">
        <v>2000</v>
      </c>
      <c r="F676" s="17" t="s">
        <v>2001</v>
      </c>
      <c r="G676" s="17">
        <v>22.399303</v>
      </c>
      <c r="H676" s="17">
        <v>87.790024000000003</v>
      </c>
      <c r="I676" s="17"/>
      <c r="J676" s="17"/>
      <c r="K676" s="17"/>
      <c r="L676" s="17"/>
      <c r="M676" s="25" t="s">
        <v>894</v>
      </c>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row>
    <row r="677" hidden="1">
      <c r="A677" s="17">
        <v>675</v>
      </c>
      <c r="B677" s="17" t="s">
        <v>52</v>
      </c>
      <c r="C677" s="25" t="s">
        <v>2002</v>
      </c>
      <c r="D677" s="25" t="s">
        <v>1171</v>
      </c>
      <c r="E677" s="17" t="s">
        <v>2003</v>
      </c>
      <c r="F677" s="17" t="s">
        <v>2004</v>
      </c>
      <c r="G677" s="17">
        <v>22.471807999999999</v>
      </c>
      <c r="H677" s="17">
        <v>87.868703999999994</v>
      </c>
      <c r="I677" s="17"/>
      <c r="J677" s="17"/>
      <c r="K677" s="17"/>
      <c r="L677" s="17"/>
      <c r="M677" s="25" t="s">
        <v>894</v>
      </c>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row>
    <row r="678" hidden="1">
      <c r="A678" s="17">
        <v>676</v>
      </c>
      <c r="B678" s="17" t="s">
        <v>52</v>
      </c>
      <c r="C678" s="25" t="s">
        <v>2005</v>
      </c>
      <c r="D678" s="25" t="s">
        <v>1171</v>
      </c>
      <c r="E678" s="17" t="s">
        <v>2006</v>
      </c>
      <c r="F678" s="17" t="s">
        <v>2007</v>
      </c>
      <c r="G678" s="17">
        <v>22.438639999999999</v>
      </c>
      <c r="H678" s="17">
        <v>87.83193</v>
      </c>
      <c r="I678" s="17"/>
      <c r="J678" s="17"/>
      <c r="K678" s="17"/>
      <c r="L678" s="17"/>
      <c r="M678" s="25" t="s">
        <v>894</v>
      </c>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row>
    <row r="679" hidden="1">
      <c r="A679" s="17">
        <v>677</v>
      </c>
      <c r="B679" s="17" t="s">
        <v>52</v>
      </c>
      <c r="C679" s="25" t="s">
        <v>2008</v>
      </c>
      <c r="D679" s="25" t="s">
        <v>1171</v>
      </c>
      <c r="E679" s="17" t="s">
        <v>2009</v>
      </c>
      <c r="F679" s="17" t="s">
        <v>2010</v>
      </c>
      <c r="G679" s="17">
        <v>22.439655999999999</v>
      </c>
      <c r="H679" s="17">
        <v>87.841042000000002</v>
      </c>
      <c r="I679" s="17"/>
      <c r="J679" s="17"/>
      <c r="K679" s="17"/>
      <c r="L679" s="17"/>
      <c r="M679" s="25" t="s">
        <v>894</v>
      </c>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row>
    <row r="680" hidden="1">
      <c r="A680" s="17">
        <v>678</v>
      </c>
      <c r="B680" s="17" t="s">
        <v>52</v>
      </c>
      <c r="C680" s="25" t="s">
        <v>2011</v>
      </c>
      <c r="D680" s="25" t="s">
        <v>1171</v>
      </c>
      <c r="E680" s="17" t="s">
        <v>2012</v>
      </c>
      <c r="F680" s="17" t="s">
        <v>2013</v>
      </c>
      <c r="G680" s="17">
        <v>22.483665999999999</v>
      </c>
      <c r="H680" s="17">
        <v>87.877247999999994</v>
      </c>
      <c r="I680" s="17"/>
      <c r="J680" s="17"/>
      <c r="K680" s="17"/>
      <c r="L680" s="17"/>
      <c r="M680" s="25" t="s">
        <v>894</v>
      </c>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row>
    <row r="681" hidden="1">
      <c r="A681" s="17">
        <v>679</v>
      </c>
      <c r="B681" s="17" t="s">
        <v>52</v>
      </c>
      <c r="C681" s="25" t="s">
        <v>2014</v>
      </c>
      <c r="D681" s="25" t="s">
        <v>1171</v>
      </c>
      <c r="E681" s="17" t="s">
        <v>1171</v>
      </c>
      <c r="F681" s="17" t="s">
        <v>2015</v>
      </c>
      <c r="G681" s="17">
        <v>22.419029999999999</v>
      </c>
      <c r="H681" s="17">
        <v>87.811623999999995</v>
      </c>
      <c r="I681" s="17"/>
      <c r="J681" s="17"/>
      <c r="K681" s="17"/>
      <c r="L681" s="17"/>
      <c r="M681" s="25" t="s">
        <v>894</v>
      </c>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row>
    <row r="682" hidden="1">
      <c r="A682" s="17">
        <v>680</v>
      </c>
      <c r="B682" s="17" t="s">
        <v>52</v>
      </c>
      <c r="C682" s="25" t="s">
        <v>2016</v>
      </c>
      <c r="D682" s="25" t="s">
        <v>1171</v>
      </c>
      <c r="E682" s="17" t="s">
        <v>1171</v>
      </c>
      <c r="F682" s="17" t="s">
        <v>2017</v>
      </c>
      <c r="G682" s="17">
        <v>22.374006000000001</v>
      </c>
      <c r="H682" s="17">
        <v>87.841421999999994</v>
      </c>
      <c r="I682" s="17"/>
      <c r="J682" s="17"/>
      <c r="K682" s="17"/>
      <c r="L682" s="17"/>
      <c r="M682" s="25" t="s">
        <v>894</v>
      </c>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row>
    <row r="683" hidden="1">
      <c r="A683" s="17">
        <v>681</v>
      </c>
      <c r="B683" s="17" t="s">
        <v>52</v>
      </c>
      <c r="C683" s="25" t="s">
        <v>2018</v>
      </c>
      <c r="D683" s="25" t="s">
        <v>1171</v>
      </c>
      <c r="E683" s="17" t="s">
        <v>1330</v>
      </c>
      <c r="F683" s="17" t="s">
        <v>2019</v>
      </c>
      <c r="G683" s="17">
        <v>22.446877000000001</v>
      </c>
      <c r="H683" s="17">
        <v>87.873273999999995</v>
      </c>
      <c r="I683" s="17"/>
      <c r="J683" s="17"/>
      <c r="K683" s="17"/>
      <c r="L683" s="17"/>
      <c r="M683" s="25" t="s">
        <v>894</v>
      </c>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row>
    <row r="684" hidden="1">
      <c r="A684" s="17">
        <v>682</v>
      </c>
      <c r="B684" s="17" t="s">
        <v>52</v>
      </c>
      <c r="C684" s="25" t="s">
        <v>2020</v>
      </c>
      <c r="D684" s="25" t="s">
        <v>1171</v>
      </c>
      <c r="E684" s="17"/>
      <c r="F684" s="17"/>
      <c r="G684" s="17"/>
      <c r="H684" s="17"/>
      <c r="I684" s="17"/>
      <c r="J684" s="17"/>
      <c r="K684" s="17"/>
      <c r="L684" s="17"/>
      <c r="M684" s="25" t="s">
        <v>894</v>
      </c>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row>
    <row r="685" hidden="1">
      <c r="A685" s="17">
        <v>683</v>
      </c>
      <c r="B685" s="17" t="s">
        <v>52</v>
      </c>
      <c r="C685" s="25" t="s">
        <v>2021</v>
      </c>
      <c r="D685" s="25" t="s">
        <v>1171</v>
      </c>
      <c r="E685" s="17" t="s">
        <v>2022</v>
      </c>
      <c r="F685" s="17" t="s">
        <v>2023</v>
      </c>
      <c r="G685" s="17">
        <v>22.458750999999999</v>
      </c>
      <c r="H685" s="17">
        <v>87.869673000000006</v>
      </c>
      <c r="I685" s="17"/>
      <c r="J685" s="17"/>
      <c r="K685" s="17"/>
      <c r="L685" s="17"/>
      <c r="M685" s="25" t="s">
        <v>894</v>
      </c>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row>
    <row r="686" hidden="1">
      <c r="A686" s="17">
        <v>684</v>
      </c>
      <c r="B686" s="17" t="s">
        <v>52</v>
      </c>
      <c r="C686" s="25" t="s">
        <v>2024</v>
      </c>
      <c r="D686" s="25" t="s">
        <v>1171</v>
      </c>
      <c r="E686" s="17" t="s">
        <v>2025</v>
      </c>
      <c r="F686" s="17" t="s">
        <v>2026</v>
      </c>
      <c r="G686" s="17">
        <v>22.433824000000001</v>
      </c>
      <c r="H686" s="17">
        <v>87.884497999999994</v>
      </c>
      <c r="I686" s="17"/>
      <c r="J686" s="17"/>
      <c r="K686" s="17"/>
      <c r="L686" s="17"/>
      <c r="M686" s="25" t="s">
        <v>894</v>
      </c>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row>
    <row r="687" hidden="1">
      <c r="A687" s="17">
        <v>685</v>
      </c>
      <c r="B687" s="17" t="s">
        <v>52</v>
      </c>
      <c r="C687" s="25" t="s">
        <v>2027</v>
      </c>
      <c r="D687" s="25" t="s">
        <v>1171</v>
      </c>
      <c r="E687" s="17" t="s">
        <v>2028</v>
      </c>
      <c r="F687" s="17" t="s">
        <v>2029</v>
      </c>
      <c r="G687" s="17">
        <v>22.472559</v>
      </c>
      <c r="H687" s="17">
        <v>87.840553999999997</v>
      </c>
      <c r="I687" s="17"/>
      <c r="J687" s="17"/>
      <c r="K687" s="17"/>
      <c r="L687" s="17"/>
      <c r="M687" s="25" t="s">
        <v>894</v>
      </c>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row>
    <row r="688" hidden="1">
      <c r="A688" s="17">
        <v>686</v>
      </c>
      <c r="B688" s="17" t="s">
        <v>52</v>
      </c>
      <c r="C688" s="25" t="s">
        <v>2030</v>
      </c>
      <c r="D688" s="25" t="s">
        <v>1171</v>
      </c>
      <c r="E688" s="17" t="s">
        <v>2031</v>
      </c>
      <c r="F688" s="17" t="s">
        <v>2032</v>
      </c>
      <c r="G688" s="17">
        <v>22.495771999999999</v>
      </c>
      <c r="H688" s="17">
        <v>87.863916000000003</v>
      </c>
      <c r="I688" s="17"/>
      <c r="J688" s="17"/>
      <c r="K688" s="17"/>
      <c r="L688" s="17"/>
      <c r="M688" s="25" t="s">
        <v>894</v>
      </c>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row>
    <row r="689" hidden="1">
      <c r="A689" s="17">
        <v>687</v>
      </c>
      <c r="B689" s="17" t="s">
        <v>52</v>
      </c>
      <c r="C689" s="25" t="s">
        <v>2033</v>
      </c>
      <c r="D689" s="25" t="s">
        <v>1171</v>
      </c>
      <c r="E689" s="17" t="s">
        <v>2034</v>
      </c>
      <c r="F689" s="17" t="s">
        <v>2035</v>
      </c>
      <c r="G689" s="17">
        <v>22.451456</v>
      </c>
      <c r="H689" s="17">
        <v>87.820976000000002</v>
      </c>
      <c r="I689" s="17"/>
      <c r="J689" s="17"/>
      <c r="K689" s="17"/>
      <c r="L689" s="17"/>
      <c r="M689" s="25" t="s">
        <v>894</v>
      </c>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row>
    <row r="690" hidden="1">
      <c r="A690" s="17">
        <v>688</v>
      </c>
      <c r="B690" s="17" t="s">
        <v>52</v>
      </c>
      <c r="C690" s="25" t="s">
        <v>2036</v>
      </c>
      <c r="D690" s="25" t="s">
        <v>1171</v>
      </c>
      <c r="E690" s="17" t="s">
        <v>1171</v>
      </c>
      <c r="F690" s="17" t="s">
        <v>2037</v>
      </c>
      <c r="G690" s="17">
        <v>22.440660999999999</v>
      </c>
      <c r="H690" s="17">
        <v>87.85154</v>
      </c>
      <c r="I690" s="17"/>
      <c r="J690" s="17"/>
      <c r="K690" s="17"/>
      <c r="L690" s="17"/>
      <c r="M690" s="25" t="s">
        <v>894</v>
      </c>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row>
    <row r="691" hidden="1">
      <c r="A691" s="17">
        <v>689</v>
      </c>
      <c r="B691" s="17" t="s">
        <v>52</v>
      </c>
      <c r="C691" s="25" t="s">
        <v>2038</v>
      </c>
      <c r="D691" s="25" t="s">
        <v>1171</v>
      </c>
      <c r="E691" s="17" t="s">
        <v>1567</v>
      </c>
      <c r="F691" s="17" t="s">
        <v>2039</v>
      </c>
      <c r="G691" s="17">
        <v>22.419958000000001</v>
      </c>
      <c r="H691" s="17">
        <v>87.849965999999995</v>
      </c>
      <c r="I691" s="17"/>
      <c r="J691" s="17"/>
      <c r="K691" s="17"/>
      <c r="L691" s="17"/>
      <c r="M691" s="25" t="s">
        <v>894</v>
      </c>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row>
    <row r="692" hidden="1">
      <c r="A692" s="17">
        <v>690</v>
      </c>
      <c r="B692" s="17" t="s">
        <v>52</v>
      </c>
      <c r="C692" s="25" t="s">
        <v>2040</v>
      </c>
      <c r="D692" s="25" t="s">
        <v>1171</v>
      </c>
      <c r="E692" s="17" t="s">
        <v>2041</v>
      </c>
      <c r="F692" s="17" t="s">
        <v>2042</v>
      </c>
      <c r="G692" s="17">
        <v>22.395893999999998</v>
      </c>
      <c r="H692" s="17">
        <v>87.845530999999994</v>
      </c>
      <c r="I692" s="17"/>
      <c r="J692" s="17"/>
      <c r="K692" s="17"/>
      <c r="L692" s="17"/>
      <c r="M692" s="25" t="s">
        <v>894</v>
      </c>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row>
    <row r="693" hidden="1">
      <c r="A693" s="17">
        <v>691</v>
      </c>
      <c r="B693" s="17" t="s">
        <v>52</v>
      </c>
      <c r="C693" s="25" t="s">
        <v>2043</v>
      </c>
      <c r="D693" s="25" t="s">
        <v>1171</v>
      </c>
      <c r="E693" s="17"/>
      <c r="F693" s="17"/>
      <c r="G693" s="17"/>
      <c r="H693" s="17"/>
      <c r="I693" s="17"/>
      <c r="J693" s="17"/>
      <c r="K693" s="17"/>
      <c r="L693" s="17"/>
      <c r="M693" s="25" t="s">
        <v>894</v>
      </c>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row>
    <row r="694" hidden="1">
      <c r="A694" s="17">
        <v>692</v>
      </c>
      <c r="B694" s="17" t="s">
        <v>52</v>
      </c>
      <c r="C694" s="25" t="s">
        <v>2044</v>
      </c>
      <c r="D694" s="25" t="s">
        <v>1171</v>
      </c>
      <c r="E694" s="17"/>
      <c r="F694" s="17"/>
      <c r="G694" s="17"/>
      <c r="H694" s="17"/>
      <c r="I694" s="17"/>
      <c r="J694" s="17"/>
      <c r="K694" s="17"/>
      <c r="L694" s="17"/>
      <c r="M694" s="25" t="s">
        <v>894</v>
      </c>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row>
    <row r="695" hidden="1">
      <c r="A695" s="17">
        <v>693</v>
      </c>
      <c r="B695" s="17" t="s">
        <v>52</v>
      </c>
      <c r="C695" s="25" t="s">
        <v>2045</v>
      </c>
      <c r="D695" s="25" t="s">
        <v>1171</v>
      </c>
      <c r="E695" s="17"/>
      <c r="F695" s="17"/>
      <c r="G695" s="17"/>
      <c r="H695" s="17"/>
      <c r="I695" s="17"/>
      <c r="J695" s="17"/>
      <c r="K695" s="17"/>
      <c r="L695" s="17"/>
      <c r="M695" s="25" t="s">
        <v>894</v>
      </c>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row>
    <row r="696" hidden="1">
      <c r="A696" s="17">
        <v>694</v>
      </c>
      <c r="B696" s="17" t="s">
        <v>52</v>
      </c>
      <c r="C696" s="25" t="s">
        <v>2046</v>
      </c>
      <c r="D696" s="25" t="s">
        <v>1171</v>
      </c>
      <c r="E696" s="17"/>
      <c r="F696" s="17"/>
      <c r="G696" s="17"/>
      <c r="H696" s="17"/>
      <c r="I696" s="17"/>
      <c r="J696" s="17"/>
      <c r="K696" s="17"/>
      <c r="L696" s="17"/>
      <c r="M696" s="25" t="s">
        <v>894</v>
      </c>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row>
    <row r="697" hidden="1">
      <c r="A697" s="17">
        <v>695</v>
      </c>
      <c r="B697" s="17" t="s">
        <v>52</v>
      </c>
      <c r="C697" s="25" t="s">
        <v>2047</v>
      </c>
      <c r="D697" s="25" t="s">
        <v>1171</v>
      </c>
      <c r="E697" s="17"/>
      <c r="F697" s="17"/>
      <c r="G697" s="17"/>
      <c r="H697" s="17"/>
      <c r="I697" s="17"/>
      <c r="J697" s="17"/>
      <c r="K697" s="17"/>
      <c r="L697" s="17"/>
      <c r="M697" s="25" t="s">
        <v>894</v>
      </c>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row>
    <row r="698" hidden="1">
      <c r="A698" s="17">
        <v>696</v>
      </c>
      <c r="B698" s="17" t="s">
        <v>52</v>
      </c>
      <c r="C698" s="25" t="s">
        <v>2048</v>
      </c>
      <c r="D698" s="25" t="s">
        <v>1171</v>
      </c>
      <c r="E698" s="17"/>
      <c r="F698" s="17"/>
      <c r="G698" s="17"/>
      <c r="H698" s="17"/>
      <c r="I698" s="17"/>
      <c r="J698" s="17"/>
      <c r="K698" s="17"/>
      <c r="L698" s="17"/>
      <c r="M698" s="25" t="s">
        <v>894</v>
      </c>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row>
    <row r="699" hidden="1">
      <c r="A699" s="17">
        <v>697</v>
      </c>
      <c r="B699" s="17" t="s">
        <v>52</v>
      </c>
      <c r="C699" s="25" t="s">
        <v>2049</v>
      </c>
      <c r="D699" s="25" t="s">
        <v>1171</v>
      </c>
      <c r="E699" s="17"/>
      <c r="F699" s="17"/>
      <c r="G699" s="17"/>
      <c r="H699" s="17"/>
      <c r="I699" s="17"/>
      <c r="J699" s="17"/>
      <c r="K699" s="17"/>
      <c r="L699" s="17"/>
      <c r="M699" s="25" t="s">
        <v>894</v>
      </c>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row>
    <row r="700" hidden="1">
      <c r="A700" s="17">
        <v>698</v>
      </c>
      <c r="B700" s="17" t="s">
        <v>52</v>
      </c>
      <c r="C700" s="25" t="s">
        <v>2050</v>
      </c>
      <c r="D700" s="25" t="s">
        <v>1171</v>
      </c>
      <c r="E700" s="17"/>
      <c r="F700" s="17"/>
      <c r="G700" s="17"/>
      <c r="H700" s="17"/>
      <c r="I700" s="17"/>
      <c r="J700" s="17"/>
      <c r="K700" s="17"/>
      <c r="L700" s="17"/>
      <c r="M700" s="25" t="s">
        <v>894</v>
      </c>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row>
    <row r="701" hidden="1">
      <c r="A701" s="17">
        <v>699</v>
      </c>
      <c r="B701" s="17" t="s">
        <v>52</v>
      </c>
      <c r="C701" s="25" t="s">
        <v>2051</v>
      </c>
      <c r="D701" s="25" t="s">
        <v>1171</v>
      </c>
      <c r="E701" s="17"/>
      <c r="F701" s="17"/>
      <c r="G701" s="17"/>
      <c r="H701" s="17"/>
      <c r="I701" s="17"/>
      <c r="J701" s="17"/>
      <c r="K701" s="17"/>
      <c r="L701" s="17"/>
      <c r="M701" s="25" t="s">
        <v>1525</v>
      </c>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row>
    <row r="702" hidden="1">
      <c r="A702" s="17">
        <v>700</v>
      </c>
      <c r="B702" s="17" t="s">
        <v>52</v>
      </c>
      <c r="C702" s="25" t="s">
        <v>2052</v>
      </c>
      <c r="D702" s="25" t="s">
        <v>1171</v>
      </c>
      <c r="E702" s="17"/>
      <c r="F702" s="17"/>
      <c r="G702" s="17"/>
      <c r="H702" s="17"/>
      <c r="I702" s="17"/>
      <c r="J702" s="17"/>
      <c r="K702" s="17"/>
      <c r="L702" s="17"/>
      <c r="M702" s="25" t="s">
        <v>894</v>
      </c>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row>
    <row r="703" hidden="1">
      <c r="A703" s="17">
        <v>701</v>
      </c>
      <c r="B703" s="17" t="s">
        <v>52</v>
      </c>
      <c r="C703" s="25" t="s">
        <v>2053</v>
      </c>
      <c r="D703" s="25" t="s">
        <v>1171</v>
      </c>
      <c r="E703" s="17"/>
      <c r="F703" s="17"/>
      <c r="G703" s="17"/>
      <c r="H703" s="17"/>
      <c r="I703" s="17"/>
      <c r="J703" s="17"/>
      <c r="K703" s="17"/>
      <c r="L703" s="17"/>
      <c r="M703" s="25" t="s">
        <v>894</v>
      </c>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row>
    <row r="704" hidden="1">
      <c r="A704" s="17">
        <v>702</v>
      </c>
      <c r="B704" s="17" t="s">
        <v>52</v>
      </c>
      <c r="C704" s="30" t="s">
        <v>2054</v>
      </c>
      <c r="D704" s="25" t="s">
        <v>1330</v>
      </c>
      <c r="E704" s="17"/>
      <c r="F704" s="17"/>
      <c r="G704" s="17"/>
      <c r="H704" s="17"/>
      <c r="I704" s="17"/>
      <c r="J704" s="17"/>
      <c r="K704" s="17"/>
      <c r="L704" s="17"/>
      <c r="M704" s="25" t="s">
        <v>894</v>
      </c>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row>
    <row r="705" hidden="1">
      <c r="A705" s="17">
        <v>703</v>
      </c>
      <c r="B705" s="17" t="s">
        <v>52</v>
      </c>
      <c r="C705" s="25" t="s">
        <v>2055</v>
      </c>
      <c r="D705" s="25" t="s">
        <v>1171</v>
      </c>
      <c r="E705" s="17" t="s">
        <v>2056</v>
      </c>
      <c r="F705" s="17" t="s">
        <v>2057</v>
      </c>
      <c r="G705" s="17">
        <v>22.378066</v>
      </c>
      <c r="H705" s="17">
        <v>87.793098000000001</v>
      </c>
      <c r="I705" s="17"/>
      <c r="J705" s="17"/>
      <c r="K705" s="17"/>
      <c r="L705" s="17"/>
      <c r="M705" s="25" t="s">
        <v>894</v>
      </c>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row>
    <row r="706" hidden="1">
      <c r="A706" s="17">
        <v>704</v>
      </c>
      <c r="B706" s="17" t="s">
        <v>52</v>
      </c>
      <c r="C706" s="25" t="s">
        <v>2058</v>
      </c>
      <c r="D706" s="25" t="s">
        <v>1171</v>
      </c>
      <c r="E706" s="17" t="s">
        <v>2059</v>
      </c>
      <c r="F706" s="17" t="s">
        <v>2060</v>
      </c>
      <c r="G706" s="17">
        <v>22.363778</v>
      </c>
      <c r="H706" s="17">
        <v>87.829509999999999</v>
      </c>
      <c r="I706" s="17"/>
      <c r="J706" s="17"/>
      <c r="K706" s="17"/>
      <c r="L706" s="17"/>
      <c r="M706" s="25" t="s">
        <v>894</v>
      </c>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row>
    <row r="707" hidden="1">
      <c r="A707" s="17">
        <v>705</v>
      </c>
      <c r="B707" s="17" t="s">
        <v>52</v>
      </c>
      <c r="C707" s="25" t="s">
        <v>2061</v>
      </c>
      <c r="D707" s="25" t="s">
        <v>1171</v>
      </c>
      <c r="E707" s="17"/>
      <c r="F707" s="17"/>
      <c r="G707" s="17"/>
      <c r="H707" s="17"/>
      <c r="I707" s="17"/>
      <c r="J707" s="17"/>
      <c r="K707" s="17"/>
      <c r="L707" s="17"/>
      <c r="M707" s="25" t="s">
        <v>894</v>
      </c>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row>
    <row r="708" hidden="1">
      <c r="A708" s="17">
        <v>706</v>
      </c>
      <c r="B708" s="17" t="s">
        <v>52</v>
      </c>
      <c r="C708" s="25" t="s">
        <v>2062</v>
      </c>
      <c r="D708" s="25" t="s">
        <v>1171</v>
      </c>
      <c r="E708" s="17" t="s">
        <v>2063</v>
      </c>
      <c r="F708" s="17" t="s">
        <v>2064</v>
      </c>
      <c r="G708" s="17">
        <v>22.322486999999999</v>
      </c>
      <c r="H708" s="17">
        <v>87.874016999999995</v>
      </c>
      <c r="I708" s="17"/>
      <c r="J708" s="17"/>
      <c r="K708" s="17"/>
      <c r="L708" s="17"/>
      <c r="M708" s="25" t="s">
        <v>894</v>
      </c>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row>
    <row r="709" hidden="1">
      <c r="A709" s="17">
        <v>707</v>
      </c>
      <c r="B709" s="17" t="s">
        <v>52</v>
      </c>
      <c r="C709" s="25" t="s">
        <v>2065</v>
      </c>
      <c r="D709" s="25" t="s">
        <v>1171</v>
      </c>
      <c r="E709" s="17" t="s">
        <v>2066</v>
      </c>
      <c r="F709" s="17" t="s">
        <v>2067</v>
      </c>
      <c r="G709" s="17">
        <v>22.340095999999999</v>
      </c>
      <c r="H709" s="17">
        <v>87.869005000000001</v>
      </c>
      <c r="I709" s="17"/>
      <c r="J709" s="17"/>
      <c r="K709" s="17"/>
      <c r="L709" s="17"/>
      <c r="M709" s="25" t="s">
        <v>894</v>
      </c>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row>
    <row r="710" hidden="1">
      <c r="A710" s="17">
        <v>708</v>
      </c>
      <c r="B710" s="17" t="s">
        <v>52</v>
      </c>
      <c r="C710" s="25" t="s">
        <v>2068</v>
      </c>
      <c r="D710" s="25" t="s">
        <v>1171</v>
      </c>
      <c r="E710" s="17" t="s">
        <v>2069</v>
      </c>
      <c r="F710" s="17" t="s">
        <v>2070</v>
      </c>
      <c r="G710" s="17">
        <v>22.376840000000001</v>
      </c>
      <c r="H710" s="17">
        <v>87.861480999999998</v>
      </c>
      <c r="I710" s="17"/>
      <c r="J710" s="17"/>
      <c r="K710" s="17"/>
      <c r="L710" s="17"/>
      <c r="M710" s="25" t="s">
        <v>894</v>
      </c>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row>
    <row r="711" hidden="1">
      <c r="A711" s="17">
        <v>709</v>
      </c>
      <c r="B711" s="17" t="s">
        <v>52</v>
      </c>
      <c r="C711" s="25" t="s">
        <v>2071</v>
      </c>
      <c r="D711" s="25" t="s">
        <v>1171</v>
      </c>
      <c r="E711" s="17" t="s">
        <v>2072</v>
      </c>
      <c r="F711" s="17" t="s">
        <v>2073</v>
      </c>
      <c r="G711" s="17">
        <v>22.391417000000001</v>
      </c>
      <c r="H711" s="17">
        <v>87.878596999999999</v>
      </c>
      <c r="I711" s="17"/>
      <c r="J711" s="17"/>
      <c r="K711" s="17"/>
      <c r="L711" s="17"/>
      <c r="M711" s="25" t="s">
        <v>894</v>
      </c>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row>
    <row r="712" hidden="1">
      <c r="A712" s="17">
        <v>710</v>
      </c>
      <c r="B712" s="17" t="s">
        <v>52</v>
      </c>
      <c r="C712" s="25" t="s">
        <v>2074</v>
      </c>
      <c r="D712" s="25" t="s">
        <v>1171</v>
      </c>
      <c r="E712" s="17" t="s">
        <v>2075</v>
      </c>
      <c r="F712" s="17" t="s">
        <v>2076</v>
      </c>
      <c r="G712" s="17">
        <v>22.421040000000001</v>
      </c>
      <c r="H712" s="17">
        <v>87.878900000000002</v>
      </c>
      <c r="I712" s="17"/>
      <c r="J712" s="17"/>
      <c r="K712" s="17"/>
      <c r="L712" s="17"/>
      <c r="M712" s="25" t="s">
        <v>894</v>
      </c>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row>
    <row r="713" hidden="1">
      <c r="A713" s="17">
        <v>711</v>
      </c>
      <c r="B713" s="17" t="s">
        <v>52</v>
      </c>
      <c r="C713" s="25" t="s">
        <v>2077</v>
      </c>
      <c r="D713" s="25" t="s">
        <v>1171</v>
      </c>
      <c r="E713" s="17" t="s">
        <v>2078</v>
      </c>
      <c r="F713" s="17" t="s">
        <v>2079</v>
      </c>
      <c r="G713" s="17">
        <v>22.364298000000002</v>
      </c>
      <c r="H713" s="17">
        <v>87.863980999999995</v>
      </c>
      <c r="I713" s="17"/>
      <c r="J713" s="17"/>
      <c r="K713" s="17"/>
      <c r="L713" s="17"/>
      <c r="M713" s="25" t="s">
        <v>894</v>
      </c>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row>
    <row r="714" hidden="1">
      <c r="A714" s="17">
        <v>712</v>
      </c>
      <c r="B714" s="17" t="s">
        <v>52</v>
      </c>
      <c r="C714" s="25" t="s">
        <v>891</v>
      </c>
      <c r="D714" s="25" t="s">
        <v>1171</v>
      </c>
      <c r="E714" s="17" t="s">
        <v>892</v>
      </c>
      <c r="F714" s="17" t="s">
        <v>893</v>
      </c>
      <c r="G714" s="17">
        <v>22.409469000000001</v>
      </c>
      <c r="H714" s="17">
        <v>87.869304999999997</v>
      </c>
      <c r="I714" s="17"/>
      <c r="J714" s="17"/>
      <c r="K714" s="17"/>
      <c r="L714" s="17"/>
      <c r="M714" s="25" t="s">
        <v>894</v>
      </c>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row>
    <row r="715" hidden="1">
      <c r="A715" s="17">
        <v>713</v>
      </c>
      <c r="B715" s="17" t="s">
        <v>52</v>
      </c>
      <c r="C715" s="25" t="s">
        <v>2080</v>
      </c>
      <c r="D715" s="25" t="s">
        <v>1171</v>
      </c>
      <c r="E715" s="17" t="s">
        <v>2081</v>
      </c>
      <c r="F715" s="17" t="s">
        <v>2082</v>
      </c>
      <c r="G715" s="17">
        <v>22.406064000000001</v>
      </c>
      <c r="H715" s="17">
        <v>87.892236999999994</v>
      </c>
      <c r="I715" s="17"/>
      <c r="J715" s="17"/>
      <c r="K715" s="17"/>
      <c r="L715" s="17"/>
      <c r="M715" s="25" t="s">
        <v>894</v>
      </c>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row>
    <row r="716" hidden="1">
      <c r="A716" s="17">
        <v>714</v>
      </c>
      <c r="B716" s="17" t="s">
        <v>52</v>
      </c>
      <c r="C716" s="25" t="s">
        <v>2083</v>
      </c>
      <c r="D716" s="25" t="s">
        <v>1171</v>
      </c>
      <c r="E716" s="17"/>
      <c r="F716" s="17"/>
      <c r="G716" s="17"/>
      <c r="H716" s="17"/>
      <c r="I716" s="17"/>
      <c r="J716" s="17"/>
      <c r="K716" s="17"/>
      <c r="L716" s="17"/>
      <c r="M716" s="25" t="s">
        <v>894</v>
      </c>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row>
    <row r="717" hidden="1">
      <c r="A717" s="17">
        <v>715</v>
      </c>
      <c r="B717" s="17" t="s">
        <v>52</v>
      </c>
      <c r="C717" s="25" t="s">
        <v>2084</v>
      </c>
      <c r="D717" s="25" t="s">
        <v>1171</v>
      </c>
      <c r="E717" s="17"/>
      <c r="F717" s="17"/>
      <c r="G717" s="17"/>
      <c r="H717" s="17"/>
      <c r="I717" s="17"/>
      <c r="J717" s="17"/>
      <c r="K717" s="17"/>
      <c r="L717" s="17"/>
      <c r="M717" s="25" t="s">
        <v>894</v>
      </c>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row>
    <row r="718" hidden="1">
      <c r="A718" s="17">
        <v>716</v>
      </c>
      <c r="B718" s="17" t="s">
        <v>52</v>
      </c>
      <c r="C718" s="30" t="s">
        <v>2085</v>
      </c>
      <c r="D718" s="25" t="s">
        <v>1171</v>
      </c>
      <c r="E718" s="17"/>
      <c r="F718" s="17" t="s">
        <v>2086</v>
      </c>
      <c r="G718" s="17">
        <v>22.676439999999999</v>
      </c>
      <c r="H718" s="17">
        <v>87.975999999999999</v>
      </c>
      <c r="I718" s="17"/>
      <c r="J718" s="17"/>
      <c r="K718" s="17"/>
      <c r="L718" s="17"/>
      <c r="M718" s="25" t="s">
        <v>1879</v>
      </c>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row>
    <row r="719" hidden="1">
      <c r="A719" s="17">
        <v>717</v>
      </c>
      <c r="B719" s="17" t="s">
        <v>52</v>
      </c>
      <c r="C719" s="30" t="s">
        <v>2087</v>
      </c>
      <c r="D719" s="25" t="s">
        <v>1171</v>
      </c>
      <c r="E719" s="17"/>
      <c r="F719" s="17" t="s">
        <v>2088</v>
      </c>
      <c r="G719" s="17">
        <v>22.73358</v>
      </c>
      <c r="H719" s="17">
        <v>87.967560000000006</v>
      </c>
      <c r="I719" s="17"/>
      <c r="J719" s="17"/>
      <c r="K719" s="17"/>
      <c r="L719" s="17"/>
      <c r="M719" s="25" t="s">
        <v>1879</v>
      </c>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row>
    <row r="720" hidden="1">
      <c r="A720" s="17">
        <v>718</v>
      </c>
      <c r="B720" s="17" t="s">
        <v>52</v>
      </c>
      <c r="C720" s="25" t="s">
        <v>2089</v>
      </c>
      <c r="D720" s="25" t="s">
        <v>1171</v>
      </c>
      <c r="E720" s="17" t="s">
        <v>2090</v>
      </c>
      <c r="F720" s="17" t="s">
        <v>2091</v>
      </c>
      <c r="G720" s="17">
        <v>22.609413</v>
      </c>
      <c r="H720" s="17">
        <v>87.937309999999997</v>
      </c>
      <c r="I720" s="17"/>
      <c r="J720" s="17"/>
      <c r="K720" s="17"/>
      <c r="L720" s="17"/>
      <c r="M720" s="25" t="s">
        <v>2092</v>
      </c>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row>
    <row r="721" hidden="1">
      <c r="A721" s="17">
        <v>719</v>
      </c>
      <c r="B721" s="17" t="s">
        <v>52</v>
      </c>
      <c r="C721" s="25" t="s">
        <v>2093</v>
      </c>
      <c r="D721" s="25" t="s">
        <v>1171</v>
      </c>
      <c r="E721" s="17" t="s">
        <v>2094</v>
      </c>
      <c r="F721" s="17" t="s">
        <v>2095</v>
      </c>
      <c r="G721" s="17">
        <v>22.557919999999999</v>
      </c>
      <c r="H721" s="17">
        <v>87.964855999999997</v>
      </c>
      <c r="I721" s="17"/>
      <c r="J721" s="17"/>
      <c r="K721" s="17"/>
      <c r="L721" s="17"/>
      <c r="M721" s="25" t="s">
        <v>2092</v>
      </c>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row>
    <row r="722" hidden="1">
      <c r="A722" s="17">
        <v>720</v>
      </c>
      <c r="B722" s="17" t="s">
        <v>52</v>
      </c>
      <c r="C722" s="25" t="s">
        <v>2096</v>
      </c>
      <c r="D722" s="25" t="s">
        <v>1171</v>
      </c>
      <c r="E722" s="17" t="s">
        <v>2097</v>
      </c>
      <c r="F722" s="17" t="s">
        <v>2098</v>
      </c>
      <c r="G722" s="17">
        <v>22.564574</v>
      </c>
      <c r="H722" s="17">
        <v>87.931296000000003</v>
      </c>
      <c r="I722" s="17"/>
      <c r="J722" s="17"/>
      <c r="K722" s="17"/>
      <c r="L722" s="17"/>
      <c r="M722" s="25" t="s">
        <v>2092</v>
      </c>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row>
    <row r="723" hidden="1">
      <c r="A723" s="17">
        <v>721</v>
      </c>
      <c r="B723" s="17" t="s">
        <v>52</v>
      </c>
      <c r="C723" s="25" t="s">
        <v>2099</v>
      </c>
      <c r="D723" s="25" t="s">
        <v>1171</v>
      </c>
      <c r="E723" s="17" t="s">
        <v>2100</v>
      </c>
      <c r="F723" s="17" t="s">
        <v>2101</v>
      </c>
      <c r="G723" s="17">
        <v>22.538592999999999</v>
      </c>
      <c r="H723" s="17">
        <v>87.989261999999997</v>
      </c>
      <c r="I723" s="17"/>
      <c r="J723" s="17"/>
      <c r="K723" s="17"/>
      <c r="L723" s="17"/>
      <c r="M723" s="25" t="s">
        <v>2092</v>
      </c>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row>
    <row r="724" hidden="1">
      <c r="A724" s="17">
        <v>722</v>
      </c>
      <c r="B724" s="17" t="s">
        <v>52</v>
      </c>
      <c r="C724" s="30" t="s">
        <v>2102</v>
      </c>
      <c r="D724" s="25" t="s">
        <v>1330</v>
      </c>
      <c r="E724" s="17"/>
      <c r="F724" s="17"/>
      <c r="G724" s="17"/>
      <c r="H724" s="17"/>
      <c r="I724" s="17"/>
      <c r="J724" s="17"/>
      <c r="K724" s="17"/>
      <c r="L724" s="17"/>
      <c r="M724" s="25" t="s">
        <v>2092</v>
      </c>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row>
    <row r="725" hidden="1">
      <c r="A725" s="17">
        <v>723</v>
      </c>
      <c r="B725" s="17" t="s">
        <v>52</v>
      </c>
      <c r="C725" s="25" t="s">
        <v>2103</v>
      </c>
      <c r="D725" s="25" t="s">
        <v>1171</v>
      </c>
      <c r="E725" s="17" t="s">
        <v>2104</v>
      </c>
      <c r="F725" s="17" t="s">
        <v>2105</v>
      </c>
      <c r="G725" s="17">
        <v>22.580566000000001</v>
      </c>
      <c r="H725" s="17">
        <v>88.008053000000004</v>
      </c>
      <c r="I725" s="17"/>
      <c r="J725" s="17"/>
      <c r="K725" s="17"/>
      <c r="L725" s="17"/>
      <c r="M725" s="25" t="s">
        <v>2092</v>
      </c>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row>
    <row r="726" hidden="1">
      <c r="A726" s="17">
        <v>724</v>
      </c>
      <c r="B726" s="17" t="s">
        <v>52</v>
      </c>
      <c r="C726" s="25" t="s">
        <v>2106</v>
      </c>
      <c r="D726" s="25" t="s">
        <v>1171</v>
      </c>
      <c r="E726" s="17" t="s">
        <v>2107</v>
      </c>
      <c r="F726" s="17" t="s">
        <v>2108</v>
      </c>
      <c r="G726" s="17">
        <v>22.573922</v>
      </c>
      <c r="H726" s="17">
        <v>88.043614000000005</v>
      </c>
      <c r="I726" s="17"/>
      <c r="J726" s="17"/>
      <c r="K726" s="17"/>
      <c r="L726" s="17"/>
      <c r="M726" s="25" t="s">
        <v>2092</v>
      </c>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row>
    <row r="727" hidden="1">
      <c r="A727" s="17">
        <v>725</v>
      </c>
      <c r="B727" s="17" t="s">
        <v>52</v>
      </c>
      <c r="C727" s="25" t="s">
        <v>2109</v>
      </c>
      <c r="D727" s="25" t="s">
        <v>1171</v>
      </c>
      <c r="E727" s="17" t="s">
        <v>2110</v>
      </c>
      <c r="F727" s="17" t="s">
        <v>2111</v>
      </c>
      <c r="G727" s="17">
        <v>22.557043</v>
      </c>
      <c r="H727" s="17">
        <v>88.079346000000001</v>
      </c>
      <c r="I727" s="17"/>
      <c r="J727" s="17"/>
      <c r="K727" s="17"/>
      <c r="L727" s="17"/>
      <c r="M727" s="25" t="s">
        <v>2092</v>
      </c>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row>
    <row r="728" hidden="1">
      <c r="A728" s="17">
        <v>726</v>
      </c>
      <c r="B728" s="17" t="s">
        <v>52</v>
      </c>
      <c r="C728" s="25" t="s">
        <v>2112</v>
      </c>
      <c r="D728" s="25" t="s">
        <v>1171</v>
      </c>
      <c r="E728" s="17" t="s">
        <v>2113</v>
      </c>
      <c r="F728" s="17" t="s">
        <v>2114</v>
      </c>
      <c r="G728" s="17">
        <v>22.587306000000002</v>
      </c>
      <c r="H728" s="17">
        <v>87.999799999999993</v>
      </c>
      <c r="I728" s="17"/>
      <c r="J728" s="17"/>
      <c r="K728" s="17"/>
      <c r="L728" s="17"/>
      <c r="M728" s="25" t="s">
        <v>2092</v>
      </c>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row>
    <row r="729" hidden="1">
      <c r="A729" s="17">
        <v>727</v>
      </c>
      <c r="B729" s="17" t="s">
        <v>52</v>
      </c>
      <c r="C729" s="25" t="s">
        <v>2115</v>
      </c>
      <c r="D729" s="25" t="s">
        <v>1171</v>
      </c>
      <c r="E729" s="17" t="s">
        <v>2116</v>
      </c>
      <c r="F729" s="17" t="s">
        <v>2117</v>
      </c>
      <c r="G729" s="17">
        <v>22.57479</v>
      </c>
      <c r="H729" s="17">
        <v>87.995613000000006</v>
      </c>
      <c r="I729" s="17"/>
      <c r="J729" s="17"/>
      <c r="K729" s="17"/>
      <c r="L729" s="17"/>
      <c r="M729" s="25" t="s">
        <v>2092</v>
      </c>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row>
    <row r="730" hidden="1">
      <c r="A730" s="17">
        <v>728</v>
      </c>
      <c r="B730" s="17" t="s">
        <v>52</v>
      </c>
      <c r="C730" s="25" t="s">
        <v>2118</v>
      </c>
      <c r="D730" s="25" t="s">
        <v>1171</v>
      </c>
      <c r="E730" s="17" t="s">
        <v>2119</v>
      </c>
      <c r="F730" s="17" t="s">
        <v>2120</v>
      </c>
      <c r="G730" s="17">
        <v>22.538308000000001</v>
      </c>
      <c r="H730" s="17">
        <v>87.889038999999997</v>
      </c>
      <c r="I730" s="17"/>
      <c r="J730" s="17"/>
      <c r="K730" s="17"/>
      <c r="L730" s="17"/>
      <c r="M730" s="25" t="s">
        <v>2092</v>
      </c>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row>
    <row r="731" hidden="1">
      <c r="A731" s="17">
        <v>729</v>
      </c>
      <c r="B731" s="17" t="s">
        <v>52</v>
      </c>
      <c r="C731" s="25" t="s">
        <v>2121</v>
      </c>
      <c r="D731" s="25" t="s">
        <v>1171</v>
      </c>
      <c r="E731" s="17" t="s">
        <v>2122</v>
      </c>
      <c r="F731" s="17" t="s">
        <v>2123</v>
      </c>
      <c r="G731" s="17">
        <v>22.555164999999999</v>
      </c>
      <c r="H731" s="17">
        <v>87.879379999999998</v>
      </c>
      <c r="I731" s="17"/>
      <c r="J731" s="17"/>
      <c r="K731" s="17"/>
      <c r="L731" s="17"/>
      <c r="M731" s="25" t="s">
        <v>2092</v>
      </c>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row>
    <row r="732" hidden="1">
      <c r="A732" s="17">
        <v>730</v>
      </c>
      <c r="B732" s="17" t="s">
        <v>52</v>
      </c>
      <c r="C732" s="25" t="s">
        <v>2124</v>
      </c>
      <c r="D732" s="25" t="s">
        <v>1171</v>
      </c>
      <c r="E732" s="17" t="s">
        <v>2125</v>
      </c>
      <c r="F732" s="17" t="s">
        <v>2126</v>
      </c>
      <c r="G732" s="17">
        <v>22.568757999999999</v>
      </c>
      <c r="H732" s="17">
        <v>87.979068999999996</v>
      </c>
      <c r="I732" s="17"/>
      <c r="J732" s="17"/>
      <c r="K732" s="17"/>
      <c r="L732" s="17"/>
      <c r="M732" s="25" t="s">
        <v>2092</v>
      </c>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row>
    <row r="733" hidden="1">
      <c r="A733" s="17">
        <v>731</v>
      </c>
      <c r="B733" s="17" t="s">
        <v>52</v>
      </c>
      <c r="C733" s="25" t="s">
        <v>2127</v>
      </c>
      <c r="D733" s="25" t="s">
        <v>1171</v>
      </c>
      <c r="E733" s="17" t="s">
        <v>2128</v>
      </c>
      <c r="F733" s="17" t="s">
        <v>2129</v>
      </c>
      <c r="G733" s="17">
        <v>22.606207999999999</v>
      </c>
      <c r="H733" s="17">
        <v>87.920119999999997</v>
      </c>
      <c r="I733" s="17"/>
      <c r="J733" s="17"/>
      <c r="K733" s="17"/>
      <c r="L733" s="17"/>
      <c r="M733" s="25" t="s">
        <v>2092</v>
      </c>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row>
    <row r="734" hidden="1">
      <c r="A734" s="17">
        <v>732</v>
      </c>
      <c r="B734" s="17" t="s">
        <v>52</v>
      </c>
      <c r="C734" s="25" t="s">
        <v>2130</v>
      </c>
      <c r="D734" s="25" t="s">
        <v>1171</v>
      </c>
      <c r="E734" s="17" t="s">
        <v>2131</v>
      </c>
      <c r="F734" s="17" t="s">
        <v>2132</v>
      </c>
      <c r="G734" s="17">
        <v>22.621966</v>
      </c>
      <c r="H734" s="17">
        <v>87.916447000000005</v>
      </c>
      <c r="I734" s="17"/>
      <c r="J734" s="17"/>
      <c r="K734" s="17"/>
      <c r="L734" s="17"/>
      <c r="M734" s="25" t="s">
        <v>2092</v>
      </c>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row>
    <row r="735" hidden="1">
      <c r="A735" s="17">
        <v>733</v>
      </c>
      <c r="B735" s="17" t="s">
        <v>52</v>
      </c>
      <c r="C735" s="25" t="s">
        <v>2133</v>
      </c>
      <c r="D735" s="25" t="s">
        <v>1171</v>
      </c>
      <c r="E735" s="17" t="s">
        <v>2134</v>
      </c>
      <c r="F735" s="17" t="s">
        <v>2135</v>
      </c>
      <c r="G735" s="17">
        <v>22.600155999999998</v>
      </c>
      <c r="H735" s="17">
        <v>87.972945999999993</v>
      </c>
      <c r="I735" s="17"/>
      <c r="J735" s="17"/>
      <c r="K735" s="17"/>
      <c r="L735" s="17"/>
      <c r="M735" s="25" t="s">
        <v>2092</v>
      </c>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row>
    <row r="736" hidden="1">
      <c r="A736" s="17">
        <v>734</v>
      </c>
      <c r="B736" s="17" t="s">
        <v>52</v>
      </c>
      <c r="C736" s="25" t="s">
        <v>2136</v>
      </c>
      <c r="D736" s="25" t="s">
        <v>1171</v>
      </c>
      <c r="E736" s="17" t="s">
        <v>2137</v>
      </c>
      <c r="F736" s="17" t="s">
        <v>2138</v>
      </c>
      <c r="G736" s="17">
        <v>22.588533000000002</v>
      </c>
      <c r="H736" s="17">
        <v>87.930036999999999</v>
      </c>
      <c r="I736" s="17"/>
      <c r="J736" s="17"/>
      <c r="K736" s="17"/>
      <c r="L736" s="17"/>
      <c r="M736" s="25" t="s">
        <v>2092</v>
      </c>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row>
    <row r="737" hidden="1">
      <c r="A737" s="17">
        <v>735</v>
      </c>
      <c r="B737" s="17" t="s">
        <v>52</v>
      </c>
      <c r="C737" s="25" t="s">
        <v>2139</v>
      </c>
      <c r="D737" s="25" t="s">
        <v>1171</v>
      </c>
      <c r="E737" s="17" t="s">
        <v>2140</v>
      </c>
      <c r="F737" s="17" t="s">
        <v>2141</v>
      </c>
      <c r="G737" s="17">
        <v>22.598243</v>
      </c>
      <c r="H737" s="17">
        <v>87.983335999999994</v>
      </c>
      <c r="I737" s="17"/>
      <c r="J737" s="17"/>
      <c r="K737" s="17"/>
      <c r="L737" s="17"/>
      <c r="M737" s="25" t="s">
        <v>2092</v>
      </c>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row>
    <row r="738" hidden="1">
      <c r="A738" s="17">
        <v>736</v>
      </c>
      <c r="B738" s="17" t="s">
        <v>52</v>
      </c>
      <c r="C738" s="25" t="s">
        <v>2142</v>
      </c>
      <c r="D738" s="25" t="s">
        <v>1171</v>
      </c>
      <c r="E738" s="17" t="s">
        <v>2143</v>
      </c>
      <c r="F738" s="17" t="s">
        <v>2144</v>
      </c>
      <c r="G738" s="17">
        <v>22.582287999999998</v>
      </c>
      <c r="H738" s="17">
        <v>87.981577000000001</v>
      </c>
      <c r="I738" s="17"/>
      <c r="J738" s="17"/>
      <c r="K738" s="17"/>
      <c r="L738" s="17"/>
      <c r="M738" s="25" t="s">
        <v>2092</v>
      </c>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row>
    <row r="739" hidden="1">
      <c r="A739" s="17">
        <v>737</v>
      </c>
      <c r="B739" s="17" t="s">
        <v>52</v>
      </c>
      <c r="C739" s="25" t="s">
        <v>2145</v>
      </c>
      <c r="D739" s="25" t="s">
        <v>1171</v>
      </c>
      <c r="E739" s="17" t="s">
        <v>2146</v>
      </c>
      <c r="F739" s="17" t="s">
        <v>2147</v>
      </c>
      <c r="G739" s="17">
        <v>22.572441999999999</v>
      </c>
      <c r="H739" s="17">
        <v>87.897772000000003</v>
      </c>
      <c r="I739" s="17"/>
      <c r="J739" s="17"/>
      <c r="K739" s="17"/>
      <c r="L739" s="17"/>
      <c r="M739" s="25" t="s">
        <v>2092</v>
      </c>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row>
    <row r="740" hidden="1">
      <c r="A740" s="17">
        <v>738</v>
      </c>
      <c r="B740" s="17" t="s">
        <v>52</v>
      </c>
      <c r="C740" s="25" t="s">
        <v>2148</v>
      </c>
      <c r="D740" s="25" t="s">
        <v>1171</v>
      </c>
      <c r="E740" s="17" t="s">
        <v>2149</v>
      </c>
      <c r="F740" s="17" t="s">
        <v>2150</v>
      </c>
      <c r="G740" s="17">
        <v>22.596781</v>
      </c>
      <c r="H740" s="17">
        <v>87.965759000000006</v>
      </c>
      <c r="I740" s="17"/>
      <c r="J740" s="17"/>
      <c r="K740" s="17"/>
      <c r="L740" s="17"/>
      <c r="M740" s="25" t="s">
        <v>2092</v>
      </c>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row>
    <row r="741" hidden="1">
      <c r="A741" s="17">
        <v>739</v>
      </c>
      <c r="B741" s="17" t="s">
        <v>52</v>
      </c>
      <c r="C741" s="25" t="s">
        <v>2151</v>
      </c>
      <c r="D741" s="25" t="s">
        <v>1171</v>
      </c>
      <c r="E741" s="17" t="s">
        <v>2152</v>
      </c>
      <c r="F741" s="17" t="s">
        <v>2153</v>
      </c>
      <c r="G741" s="17">
        <v>22.541494</v>
      </c>
      <c r="H741" s="17">
        <v>87.968534000000005</v>
      </c>
      <c r="I741" s="17"/>
      <c r="J741" s="17"/>
      <c r="K741" s="17"/>
      <c r="L741" s="17"/>
      <c r="M741" s="25" t="s">
        <v>2092</v>
      </c>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row>
    <row r="742" hidden="1">
      <c r="A742" s="17">
        <v>740</v>
      </c>
      <c r="B742" s="17" t="s">
        <v>52</v>
      </c>
      <c r="C742" s="25" t="s">
        <v>2154</v>
      </c>
      <c r="D742" s="25" t="s">
        <v>1171</v>
      </c>
      <c r="E742" s="17" t="s">
        <v>2155</v>
      </c>
      <c r="F742" s="17" t="s">
        <v>2156</v>
      </c>
      <c r="G742" s="17">
        <v>22.628440999999999</v>
      </c>
      <c r="H742" s="17">
        <v>87.949056999999996</v>
      </c>
      <c r="I742" s="17"/>
      <c r="J742" s="17"/>
      <c r="K742" s="17"/>
      <c r="L742" s="17"/>
      <c r="M742" s="25" t="s">
        <v>2092</v>
      </c>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row>
    <row r="743" hidden="1">
      <c r="A743" s="17">
        <v>741</v>
      </c>
      <c r="B743" s="17" t="s">
        <v>52</v>
      </c>
      <c r="C743" s="25" t="s">
        <v>2157</v>
      </c>
      <c r="D743" s="25" t="s">
        <v>1171</v>
      </c>
      <c r="E743" s="17" t="s">
        <v>1171</v>
      </c>
      <c r="F743" s="17" t="s">
        <v>2158</v>
      </c>
      <c r="G743" s="17">
        <v>22.5779</v>
      </c>
      <c r="H743" s="17">
        <v>87.946912999999995</v>
      </c>
      <c r="I743" s="17"/>
      <c r="J743" s="17"/>
      <c r="K743" s="17"/>
      <c r="L743" s="17"/>
      <c r="M743" s="25" t="s">
        <v>2092</v>
      </c>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row>
    <row r="744" hidden="1">
      <c r="A744" s="17">
        <v>742</v>
      </c>
      <c r="B744" s="17" t="s">
        <v>52</v>
      </c>
      <c r="C744" s="25" t="s">
        <v>2159</v>
      </c>
      <c r="D744" s="25" t="s">
        <v>1171</v>
      </c>
      <c r="E744" s="17"/>
      <c r="F744" s="17"/>
      <c r="G744" s="17"/>
      <c r="H744" s="17"/>
      <c r="I744" s="17"/>
      <c r="J744" s="17"/>
      <c r="K744" s="17"/>
      <c r="L744" s="17"/>
      <c r="M744" s="25" t="s">
        <v>2092</v>
      </c>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row>
    <row r="745" hidden="1">
      <c r="A745" s="17">
        <v>743</v>
      </c>
      <c r="B745" s="17" t="s">
        <v>52</v>
      </c>
      <c r="C745" s="25" t="s">
        <v>2160</v>
      </c>
      <c r="D745" s="25" t="s">
        <v>1171</v>
      </c>
      <c r="E745" s="17"/>
      <c r="F745" s="17"/>
      <c r="G745" s="17"/>
      <c r="H745" s="17"/>
      <c r="I745" s="17"/>
      <c r="J745" s="17"/>
      <c r="K745" s="17"/>
      <c r="L745" s="17"/>
      <c r="M745" s="25" t="s">
        <v>2092</v>
      </c>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row>
    <row r="746" hidden="1">
      <c r="A746" s="17">
        <v>744</v>
      </c>
      <c r="B746" s="17" t="s">
        <v>52</v>
      </c>
      <c r="C746" s="25" t="s">
        <v>2161</v>
      </c>
      <c r="D746" s="25" t="s">
        <v>1171</v>
      </c>
      <c r="E746" s="17"/>
      <c r="F746" s="17"/>
      <c r="G746" s="17"/>
      <c r="H746" s="17"/>
      <c r="I746" s="17"/>
      <c r="J746" s="17"/>
      <c r="K746" s="17"/>
      <c r="L746" s="17"/>
      <c r="M746" s="25" t="s">
        <v>2092</v>
      </c>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row>
    <row r="747" hidden="1">
      <c r="A747" s="17">
        <v>745</v>
      </c>
      <c r="B747" s="17" t="s">
        <v>52</v>
      </c>
      <c r="C747" s="25" t="s">
        <v>2162</v>
      </c>
      <c r="D747" s="25" t="s">
        <v>1171</v>
      </c>
      <c r="E747" s="17"/>
      <c r="F747" s="17"/>
      <c r="G747" s="17"/>
      <c r="H747" s="17"/>
      <c r="I747" s="17"/>
      <c r="J747" s="17"/>
      <c r="K747" s="17"/>
      <c r="L747" s="17"/>
      <c r="M747" s="25" t="s">
        <v>2092</v>
      </c>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row>
    <row r="748" hidden="1">
      <c r="A748" s="17">
        <v>746</v>
      </c>
      <c r="B748" s="17" t="s">
        <v>52</v>
      </c>
      <c r="C748" s="25" t="s">
        <v>2163</v>
      </c>
      <c r="D748" s="25" t="s">
        <v>1171</v>
      </c>
      <c r="E748" s="17"/>
      <c r="F748" s="17"/>
      <c r="G748" s="17"/>
      <c r="H748" s="17"/>
      <c r="I748" s="17"/>
      <c r="J748" s="17"/>
      <c r="K748" s="17"/>
      <c r="L748" s="17"/>
      <c r="M748" s="25" t="s">
        <v>2092</v>
      </c>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row>
    <row r="749" hidden="1">
      <c r="A749" s="17">
        <v>747</v>
      </c>
      <c r="B749" s="17" t="s">
        <v>52</v>
      </c>
      <c r="C749" s="25" t="s">
        <v>2164</v>
      </c>
      <c r="D749" s="25" t="s">
        <v>1171</v>
      </c>
      <c r="E749" s="17" t="s">
        <v>2165</v>
      </c>
      <c r="F749" s="17" t="s">
        <v>2166</v>
      </c>
      <c r="G749" s="17">
        <v>22.612300999999999</v>
      </c>
      <c r="H749" s="17">
        <v>88.037147000000004</v>
      </c>
      <c r="I749" s="17"/>
      <c r="J749" s="17"/>
      <c r="K749" s="17"/>
      <c r="L749" s="17"/>
      <c r="M749" s="25" t="s">
        <v>2092</v>
      </c>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row>
    <row r="750" hidden="1">
      <c r="A750" s="17">
        <v>748</v>
      </c>
      <c r="B750" s="17" t="s">
        <v>52</v>
      </c>
      <c r="C750" s="25" t="s">
        <v>2167</v>
      </c>
      <c r="D750" s="25" t="s">
        <v>1171</v>
      </c>
      <c r="E750" s="17" t="s">
        <v>2168</v>
      </c>
      <c r="F750" s="17" t="s">
        <v>2169</v>
      </c>
      <c r="G750" s="17">
        <v>22.587325</v>
      </c>
      <c r="H750" s="17">
        <v>88.012951999999999</v>
      </c>
      <c r="I750" s="17"/>
      <c r="J750" s="17"/>
      <c r="K750" s="17"/>
      <c r="L750" s="17"/>
      <c r="M750" s="25" t="s">
        <v>2092</v>
      </c>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row>
    <row r="751" hidden="1">
      <c r="A751" s="17">
        <v>749</v>
      </c>
      <c r="B751" s="17" t="s">
        <v>52</v>
      </c>
      <c r="C751" s="25" t="s">
        <v>2170</v>
      </c>
      <c r="D751" s="25" t="s">
        <v>1171</v>
      </c>
      <c r="E751" s="17" t="s">
        <v>2171</v>
      </c>
      <c r="F751" s="17" t="s">
        <v>2172</v>
      </c>
      <c r="G751" s="17">
        <v>22.574276000000001</v>
      </c>
      <c r="H751" s="17">
        <v>88.010799000000006</v>
      </c>
      <c r="I751" s="17"/>
      <c r="J751" s="17"/>
      <c r="K751" s="17"/>
      <c r="L751" s="17"/>
      <c r="M751" s="25" t="s">
        <v>2092</v>
      </c>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row>
    <row r="752" hidden="1">
      <c r="A752" s="17">
        <v>750</v>
      </c>
      <c r="B752" s="17" t="s">
        <v>52</v>
      </c>
      <c r="C752" s="25" t="s">
        <v>2173</v>
      </c>
      <c r="D752" s="25" t="s">
        <v>1171</v>
      </c>
      <c r="E752" s="17" t="s">
        <v>2174</v>
      </c>
      <c r="F752" s="17" t="s">
        <v>2175</v>
      </c>
      <c r="G752" s="17">
        <v>22.566648000000001</v>
      </c>
      <c r="H752" s="17">
        <v>88.029584</v>
      </c>
      <c r="I752" s="17"/>
      <c r="J752" s="17"/>
      <c r="K752" s="17"/>
      <c r="L752" s="17"/>
      <c r="M752" s="25" t="s">
        <v>2092</v>
      </c>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row>
    <row r="753" hidden="1">
      <c r="A753" s="17">
        <v>751</v>
      </c>
      <c r="B753" s="17" t="s">
        <v>52</v>
      </c>
      <c r="C753" s="25" t="s">
        <v>2176</v>
      </c>
      <c r="D753" s="25" t="s">
        <v>1171</v>
      </c>
      <c r="E753" s="17"/>
      <c r="F753" s="17"/>
      <c r="G753" s="17"/>
      <c r="H753" s="17"/>
      <c r="I753" s="17"/>
      <c r="J753" s="17"/>
      <c r="K753" s="17"/>
      <c r="L753" s="17"/>
      <c r="M753" s="25" t="s">
        <v>2092</v>
      </c>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row>
    <row r="754" hidden="1">
      <c r="A754" s="17">
        <v>752</v>
      </c>
      <c r="B754" s="17" t="s">
        <v>52</v>
      </c>
      <c r="C754" s="25" t="s">
        <v>2177</v>
      </c>
      <c r="D754" s="25" t="s">
        <v>1171</v>
      </c>
      <c r="E754" s="17" t="s">
        <v>2178</v>
      </c>
      <c r="F754" s="17" t="s">
        <v>2179</v>
      </c>
      <c r="G754" s="17">
        <v>22.570406999999999</v>
      </c>
      <c r="H754" s="17">
        <v>88.018388999999999</v>
      </c>
      <c r="I754" s="17"/>
      <c r="J754" s="17"/>
      <c r="K754" s="17"/>
      <c r="L754" s="17"/>
      <c r="M754" s="25" t="s">
        <v>2092</v>
      </c>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row>
    <row r="755" hidden="1">
      <c r="A755" s="17">
        <v>753</v>
      </c>
      <c r="B755" s="17" t="s">
        <v>52</v>
      </c>
      <c r="C755" s="25" t="s">
        <v>2180</v>
      </c>
      <c r="D755" s="25" t="s">
        <v>1171</v>
      </c>
      <c r="E755" s="17" t="s">
        <v>2181</v>
      </c>
      <c r="F755" s="17" t="s">
        <v>2182</v>
      </c>
      <c r="G755" s="17">
        <v>22.605177999999999</v>
      </c>
      <c r="H755" s="17">
        <v>88.014411999999993</v>
      </c>
      <c r="I755" s="17"/>
      <c r="J755" s="17"/>
      <c r="K755" s="17"/>
      <c r="L755" s="17"/>
      <c r="M755" s="25" t="s">
        <v>2092</v>
      </c>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row>
    <row r="756" hidden="1">
      <c r="A756" s="17">
        <v>754</v>
      </c>
      <c r="B756" s="17" t="s">
        <v>52</v>
      </c>
      <c r="C756" s="25" t="s">
        <v>2183</v>
      </c>
      <c r="D756" s="25" t="s">
        <v>1171</v>
      </c>
      <c r="E756" s="17"/>
      <c r="F756" s="17"/>
      <c r="G756" s="17"/>
      <c r="H756" s="17"/>
      <c r="I756" s="17"/>
      <c r="J756" s="17"/>
      <c r="K756" s="17"/>
      <c r="L756" s="17"/>
      <c r="M756" s="25" t="s">
        <v>2092</v>
      </c>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row>
    <row r="757" hidden="1">
      <c r="A757" s="17">
        <v>755</v>
      </c>
      <c r="B757" s="17" t="s">
        <v>52</v>
      </c>
      <c r="C757" s="25" t="s">
        <v>2184</v>
      </c>
      <c r="D757" s="25" t="s">
        <v>1171</v>
      </c>
      <c r="E757" s="17"/>
      <c r="F757" s="17"/>
      <c r="G757" s="17"/>
      <c r="H757" s="17"/>
      <c r="I757" s="17"/>
      <c r="J757" s="17"/>
      <c r="K757" s="17"/>
      <c r="L757" s="17"/>
      <c r="M757" s="25" t="s">
        <v>2092</v>
      </c>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row>
    <row r="758" hidden="1">
      <c r="A758" s="17">
        <v>756</v>
      </c>
      <c r="B758" s="17" t="s">
        <v>52</v>
      </c>
      <c r="C758" s="25" t="s">
        <v>2185</v>
      </c>
      <c r="D758" s="25" t="s">
        <v>1171</v>
      </c>
      <c r="E758" s="17" t="s">
        <v>2186</v>
      </c>
      <c r="F758" s="17" t="s">
        <v>2187</v>
      </c>
      <c r="G758" s="17">
        <v>22.564385999999999</v>
      </c>
      <c r="H758" s="17">
        <v>88.055386999999996</v>
      </c>
      <c r="I758" s="17"/>
      <c r="J758" s="17"/>
      <c r="K758" s="17"/>
      <c r="L758" s="17"/>
      <c r="M758" s="25" t="s">
        <v>2092</v>
      </c>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row>
    <row r="759" hidden="1">
      <c r="A759" s="17">
        <v>757</v>
      </c>
      <c r="B759" s="17" t="s">
        <v>52</v>
      </c>
      <c r="C759" s="30" t="s">
        <v>2188</v>
      </c>
      <c r="D759" s="25" t="s">
        <v>1330</v>
      </c>
      <c r="E759" s="17"/>
      <c r="F759" s="17"/>
      <c r="G759" s="17"/>
      <c r="H759" s="17"/>
      <c r="I759" s="17"/>
      <c r="J759" s="17"/>
      <c r="K759" s="17"/>
      <c r="L759" s="17"/>
      <c r="M759" s="25"/>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row>
    <row r="760" hidden="1">
      <c r="A760" s="17">
        <v>758</v>
      </c>
      <c r="B760" s="17" t="s">
        <v>52</v>
      </c>
      <c r="C760" s="25" t="s">
        <v>2189</v>
      </c>
      <c r="D760" s="25" t="s">
        <v>1171</v>
      </c>
      <c r="E760" s="17" t="s">
        <v>2190</v>
      </c>
      <c r="F760" s="17" t="s">
        <v>2191</v>
      </c>
      <c r="G760" s="17">
        <v>22.562138999999998</v>
      </c>
      <c r="H760" s="17">
        <v>87.998480999999998</v>
      </c>
      <c r="I760" s="17"/>
      <c r="J760" s="17"/>
      <c r="K760" s="17"/>
      <c r="L760" s="17"/>
      <c r="M760" s="25" t="s">
        <v>2092</v>
      </c>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row>
    <row r="761" hidden="1">
      <c r="A761" s="17">
        <v>759</v>
      </c>
      <c r="B761" s="17" t="s">
        <v>52</v>
      </c>
      <c r="C761" s="25" t="s">
        <v>2192</v>
      </c>
      <c r="D761" s="25" t="s">
        <v>1171</v>
      </c>
      <c r="E761" s="17" t="s">
        <v>2193</v>
      </c>
      <c r="F761" s="17" t="s">
        <v>2194</v>
      </c>
      <c r="G761" s="17">
        <v>22.592538000000001</v>
      </c>
      <c r="H761" s="17">
        <v>88.082153000000005</v>
      </c>
      <c r="I761" s="17"/>
      <c r="J761" s="17"/>
      <c r="K761" s="17"/>
      <c r="L761" s="17"/>
      <c r="M761" s="25"/>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row>
    <row r="762" hidden="1">
      <c r="A762" s="17">
        <v>760</v>
      </c>
      <c r="B762" s="17" t="s">
        <v>52</v>
      </c>
      <c r="C762" s="25" t="s">
        <v>2195</v>
      </c>
      <c r="D762" s="25" t="s">
        <v>1171</v>
      </c>
      <c r="E762" s="17" t="s">
        <v>2196</v>
      </c>
      <c r="F762" s="17" t="s">
        <v>2197</v>
      </c>
      <c r="G762" s="17">
        <v>22.56841</v>
      </c>
      <c r="H762" s="17">
        <v>87.859092000000004</v>
      </c>
      <c r="I762" s="17"/>
      <c r="J762" s="17"/>
      <c r="K762" s="17"/>
      <c r="L762" s="17"/>
      <c r="M762" s="25" t="s">
        <v>2092</v>
      </c>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row>
    <row r="763" hidden="1">
      <c r="A763" s="17">
        <v>761</v>
      </c>
      <c r="B763" s="17" t="s">
        <v>52</v>
      </c>
      <c r="C763" s="25" t="s">
        <v>2198</v>
      </c>
      <c r="D763" s="25" t="s">
        <v>1171</v>
      </c>
      <c r="E763" s="17" t="s">
        <v>2199</v>
      </c>
      <c r="F763" s="17" t="s">
        <v>2200</v>
      </c>
      <c r="G763" s="17">
        <v>22.560534000000001</v>
      </c>
      <c r="H763" s="17">
        <v>87.987656000000001</v>
      </c>
      <c r="I763" s="17"/>
      <c r="J763" s="17"/>
      <c r="K763" s="17"/>
      <c r="L763" s="17"/>
      <c r="M763" s="25" t="s">
        <v>2092</v>
      </c>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row>
    <row r="764" hidden="1">
      <c r="A764" s="17">
        <v>762</v>
      </c>
      <c r="B764" s="17" t="s">
        <v>52</v>
      </c>
      <c r="C764" s="25" t="s">
        <v>2201</v>
      </c>
      <c r="D764" s="25" t="s">
        <v>1171</v>
      </c>
      <c r="E764" s="17" t="s">
        <v>2202</v>
      </c>
      <c r="F764" s="17" t="s">
        <v>2203</v>
      </c>
      <c r="G764" s="17">
        <v>22.548539999999999</v>
      </c>
      <c r="H764" s="17">
        <v>88.004080000000002</v>
      </c>
      <c r="I764" s="17"/>
      <c r="J764" s="17"/>
      <c r="K764" s="17"/>
      <c r="L764" s="17"/>
      <c r="M764" s="25" t="s">
        <v>2092</v>
      </c>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row>
    <row r="765" hidden="1">
      <c r="A765" s="17">
        <v>763</v>
      </c>
      <c r="B765" s="17" t="s">
        <v>52</v>
      </c>
      <c r="C765" s="25" t="s">
        <v>2204</v>
      </c>
      <c r="D765" s="25" t="s">
        <v>1171</v>
      </c>
      <c r="E765" s="17" t="s">
        <v>1171</v>
      </c>
      <c r="F765" s="17" t="s">
        <v>2205</v>
      </c>
      <c r="G765" s="17">
        <v>22.531642999999999</v>
      </c>
      <c r="H765" s="17">
        <v>88.016970000000001</v>
      </c>
      <c r="I765" s="17"/>
      <c r="J765" s="17"/>
      <c r="K765" s="17"/>
      <c r="L765" s="17"/>
      <c r="M765" s="25" t="s">
        <v>2092</v>
      </c>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row>
    <row r="766" hidden="1">
      <c r="A766" s="17">
        <v>764</v>
      </c>
      <c r="B766" s="17" t="s">
        <v>52</v>
      </c>
      <c r="C766" s="25" t="s">
        <v>2206</v>
      </c>
      <c r="D766" s="25" t="s">
        <v>1171</v>
      </c>
      <c r="E766" s="17" t="s">
        <v>2207</v>
      </c>
      <c r="F766" s="17" t="s">
        <v>2208</v>
      </c>
      <c r="G766" s="17">
        <v>22.531393000000001</v>
      </c>
      <c r="H766" s="17">
        <v>87.989654999999999</v>
      </c>
      <c r="I766" s="17"/>
      <c r="J766" s="17"/>
      <c r="K766" s="17"/>
      <c r="L766" s="17"/>
      <c r="M766" s="25" t="s">
        <v>2092</v>
      </c>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row>
    <row r="767" hidden="1">
      <c r="A767" s="17">
        <v>765</v>
      </c>
      <c r="B767" s="17" t="s">
        <v>52</v>
      </c>
      <c r="C767" s="25" t="s">
        <v>2209</v>
      </c>
      <c r="D767" s="25" t="s">
        <v>1171</v>
      </c>
      <c r="E767" s="17"/>
      <c r="F767" s="17"/>
      <c r="G767" s="17"/>
      <c r="H767" s="17"/>
      <c r="I767" s="17"/>
      <c r="J767" s="17"/>
      <c r="K767" s="17"/>
      <c r="L767" s="17"/>
      <c r="M767" s="25" t="s">
        <v>2092</v>
      </c>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row>
    <row r="768" hidden="1">
      <c r="A768" s="17">
        <v>766</v>
      </c>
      <c r="B768" s="17" t="s">
        <v>52</v>
      </c>
      <c r="C768" s="25" t="s">
        <v>2210</v>
      </c>
      <c r="D768" s="25" t="s">
        <v>1171</v>
      </c>
      <c r="E768" s="17" t="s">
        <v>2211</v>
      </c>
      <c r="F768" s="17" t="s">
        <v>2212</v>
      </c>
      <c r="G768" s="17">
        <v>22.528838</v>
      </c>
      <c r="H768" s="17">
        <v>88.055949999999996</v>
      </c>
      <c r="I768" s="17"/>
      <c r="J768" s="17"/>
      <c r="K768" s="17"/>
      <c r="L768" s="17"/>
      <c r="M768" s="25" t="s">
        <v>2092</v>
      </c>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row>
    <row r="769" hidden="1">
      <c r="A769" s="17">
        <v>767</v>
      </c>
      <c r="B769" s="17" t="s">
        <v>52</v>
      </c>
      <c r="C769" s="30" t="s">
        <v>2213</v>
      </c>
      <c r="D769" s="25" t="s">
        <v>1171</v>
      </c>
      <c r="E769" s="17"/>
      <c r="F769" s="17"/>
      <c r="G769" s="17"/>
      <c r="H769" s="17"/>
      <c r="I769" s="17"/>
      <c r="J769" s="17"/>
      <c r="K769" s="17"/>
      <c r="L769" s="17"/>
      <c r="M769" s="25" t="s">
        <v>894</v>
      </c>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row>
    <row r="770" hidden="1">
      <c r="A770" s="17">
        <v>768</v>
      </c>
      <c r="B770" s="17" t="s">
        <v>52</v>
      </c>
      <c r="C770" s="25" t="s">
        <v>2214</v>
      </c>
      <c r="D770" s="25" t="s">
        <v>1171</v>
      </c>
      <c r="E770" s="17" t="s">
        <v>2215</v>
      </c>
      <c r="F770" s="17">
        <v>0</v>
      </c>
      <c r="G770" s="17">
        <v>22.374700000000001</v>
      </c>
      <c r="H770" s="17">
        <v>87.83663</v>
      </c>
      <c r="I770" s="17"/>
      <c r="J770" s="17"/>
      <c r="K770" s="17"/>
      <c r="L770" s="17"/>
      <c r="M770" s="25" t="s">
        <v>894</v>
      </c>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row>
    <row r="771" hidden="1">
      <c r="A771" s="17">
        <v>769</v>
      </c>
      <c r="B771" s="17" t="s">
        <v>52</v>
      </c>
      <c r="C771" s="25" t="s">
        <v>2216</v>
      </c>
      <c r="D771" s="25" t="s">
        <v>1171</v>
      </c>
      <c r="E771" s="17" t="s">
        <v>2217</v>
      </c>
      <c r="F771" s="17" t="s">
        <v>2218</v>
      </c>
      <c r="G771" s="17">
        <v>22.406889</v>
      </c>
      <c r="H771" s="17">
        <v>87.850391999999999</v>
      </c>
      <c r="I771" s="17"/>
      <c r="J771" s="17"/>
      <c r="K771" s="17"/>
      <c r="L771" s="17"/>
      <c r="M771" s="25" t="s">
        <v>894</v>
      </c>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row>
    <row r="772" hidden="1">
      <c r="A772" s="17">
        <v>770</v>
      </c>
      <c r="B772" s="17" t="s">
        <v>52</v>
      </c>
      <c r="C772" s="25" t="s">
        <v>2219</v>
      </c>
      <c r="D772" s="25" t="s">
        <v>1171</v>
      </c>
      <c r="E772" s="17" t="s">
        <v>2220</v>
      </c>
      <c r="F772" s="17" t="s">
        <v>2221</v>
      </c>
      <c r="G772" s="17">
        <v>22.395025</v>
      </c>
      <c r="H772" s="17">
        <v>87.860240000000005</v>
      </c>
      <c r="I772" s="17"/>
      <c r="J772" s="17"/>
      <c r="K772" s="17"/>
      <c r="L772" s="17"/>
      <c r="M772" s="25" t="s">
        <v>894</v>
      </c>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row>
    <row r="773" hidden="1">
      <c r="A773" s="17">
        <v>771</v>
      </c>
      <c r="B773" s="17" t="s">
        <v>52</v>
      </c>
      <c r="C773" s="34" t="s">
        <v>2222</v>
      </c>
      <c r="D773" s="35" t="s">
        <v>52</v>
      </c>
      <c r="E773" s="17"/>
      <c r="F773" s="17"/>
      <c r="G773" s="17"/>
      <c r="H773" s="17"/>
      <c r="I773" s="17"/>
      <c r="J773" s="17"/>
      <c r="K773" s="17"/>
      <c r="L773" s="17"/>
      <c r="M773" s="35" t="s">
        <v>2223</v>
      </c>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row>
    <row r="774" hidden="1">
      <c r="A774" s="17">
        <v>772</v>
      </c>
      <c r="B774" s="17" t="s">
        <v>52</v>
      </c>
      <c r="C774" s="34" t="s">
        <v>2224</v>
      </c>
      <c r="D774" s="35" t="s">
        <v>52</v>
      </c>
      <c r="E774" s="17" t="s">
        <v>1286</v>
      </c>
      <c r="F774" s="17" t="s">
        <v>2225</v>
      </c>
      <c r="G774" s="17">
        <v>22.072423000000001</v>
      </c>
      <c r="H774" s="17">
        <v>87.341914000000003</v>
      </c>
      <c r="I774" s="17"/>
      <c r="J774" s="17"/>
      <c r="K774" s="17"/>
      <c r="L774" s="17"/>
      <c r="M774" s="35" t="s">
        <v>2223</v>
      </c>
      <c r="N774" s="36">
        <v>9734686678</v>
      </c>
      <c r="O774" s="17">
        <v>22</v>
      </c>
      <c r="P774" s="17">
        <v>130</v>
      </c>
      <c r="Q774" s="17" t="s">
        <v>413</v>
      </c>
      <c r="R774" s="17" t="s">
        <v>74</v>
      </c>
      <c r="S774" s="37" t="s">
        <v>2226</v>
      </c>
      <c r="T774" s="17"/>
      <c r="U774" s="17" t="s">
        <v>105</v>
      </c>
      <c r="V774" s="17" t="s">
        <v>77</v>
      </c>
      <c r="W774" s="17">
        <v>0</v>
      </c>
      <c r="X774" s="17">
        <v>5</v>
      </c>
      <c r="Y774" s="17">
        <v>5</v>
      </c>
      <c r="Z774" s="17" t="s">
        <v>2227</v>
      </c>
      <c r="AA774" s="17" t="s">
        <v>413</v>
      </c>
      <c r="AB774" s="17" t="s">
        <v>79</v>
      </c>
      <c r="AC774" s="17">
        <v>5</v>
      </c>
      <c r="AD774" s="17">
        <v>0</v>
      </c>
      <c r="AE774" s="17">
        <v>0</v>
      </c>
      <c r="AF774" s="17"/>
      <c r="AG774" s="17" t="s">
        <v>2228</v>
      </c>
      <c r="AH774" s="17" t="s">
        <v>162</v>
      </c>
      <c r="AI774" s="17" t="s">
        <v>83</v>
      </c>
      <c r="AJ774" s="17">
        <v>2112</v>
      </c>
      <c r="AK774" s="17" t="s">
        <v>189</v>
      </c>
      <c r="AL774" s="17" t="s">
        <v>2229</v>
      </c>
      <c r="AM774" s="17" t="s">
        <v>75</v>
      </c>
      <c r="AN774" s="17" t="s">
        <v>84</v>
      </c>
      <c r="AO774" s="17" t="s">
        <v>75</v>
      </c>
      <c r="AP774" s="17"/>
      <c r="AQ774" s="17"/>
      <c r="AR774" s="17"/>
      <c r="AS774" s="17"/>
      <c r="AT774" s="17" t="s">
        <v>2230</v>
      </c>
      <c r="AU774" s="17" t="s">
        <v>111</v>
      </c>
      <c r="AV774" t="s">
        <v>2231</v>
      </c>
    </row>
    <row r="775" hidden="1">
      <c r="A775" s="17">
        <v>773</v>
      </c>
      <c r="B775" s="17" t="s">
        <v>52</v>
      </c>
      <c r="C775" s="34" t="s">
        <v>2232</v>
      </c>
      <c r="D775" s="35" t="s">
        <v>52</v>
      </c>
      <c r="E775" s="17" t="s">
        <v>2233</v>
      </c>
      <c r="F775" s="17" t="s">
        <v>2234</v>
      </c>
      <c r="G775" s="17">
        <v>22.079694</v>
      </c>
      <c r="H775" s="17">
        <v>87.336484999999996</v>
      </c>
      <c r="I775" s="17"/>
      <c r="J775" s="17"/>
      <c r="K775" s="17"/>
      <c r="L775" s="17"/>
      <c r="M775" s="35" t="s">
        <v>2223</v>
      </c>
      <c r="N775" s="36">
        <v>9734686678</v>
      </c>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row>
    <row r="776" hidden="1">
      <c r="A776" s="17">
        <v>774</v>
      </c>
      <c r="B776" s="17" t="s">
        <v>52</v>
      </c>
      <c r="C776" s="34" t="s">
        <v>2235</v>
      </c>
      <c r="D776" s="35" t="s">
        <v>52</v>
      </c>
      <c r="E776" s="17" t="s">
        <v>2236</v>
      </c>
      <c r="F776" s="17" t="s">
        <v>2237</v>
      </c>
      <c r="G776" s="17">
        <v>22.345206000000001</v>
      </c>
      <c r="H776" s="17">
        <v>87.557126999999994</v>
      </c>
      <c r="I776" s="17"/>
      <c r="J776" s="17"/>
      <c r="K776" s="17"/>
      <c r="L776" s="17"/>
      <c r="M776" s="35" t="s">
        <v>1579</v>
      </c>
      <c r="N776" s="17">
        <v>7003188299</v>
      </c>
      <c r="O776" s="17">
        <v>21</v>
      </c>
      <c r="P776" s="17">
        <v>100</v>
      </c>
      <c r="Q776" s="17" t="s">
        <v>413</v>
      </c>
      <c r="R776" s="17" t="s">
        <v>74</v>
      </c>
      <c r="S776" s="17" t="s">
        <v>75</v>
      </c>
      <c r="T776" s="17"/>
      <c r="U776" s="17" t="s">
        <v>160</v>
      </c>
      <c r="V776" s="17" t="s">
        <v>77</v>
      </c>
      <c r="W776" s="17" t="s">
        <v>252</v>
      </c>
      <c r="X776" s="17">
        <v>5</v>
      </c>
      <c r="Y776" s="17">
        <v>0</v>
      </c>
      <c r="Z776" s="17"/>
      <c r="AA776" s="17" t="s">
        <v>413</v>
      </c>
      <c r="AB776" s="17" t="s">
        <v>79</v>
      </c>
      <c r="AC776" s="17">
        <v>4</v>
      </c>
      <c r="AD776" s="17">
        <v>0</v>
      </c>
      <c r="AE776" s="17">
        <v>1</v>
      </c>
      <c r="AF776" s="17"/>
      <c r="AG776" s="17" t="s">
        <v>81</v>
      </c>
      <c r="AH776" s="17" t="s">
        <v>82</v>
      </c>
      <c r="AI776" s="17" t="s">
        <v>83</v>
      </c>
      <c r="AJ776" s="17">
        <v>2111</v>
      </c>
      <c r="AK776" s="17" t="s">
        <v>75</v>
      </c>
      <c r="AL776" s="17" t="s">
        <v>75</v>
      </c>
      <c r="AM776" s="17" t="s">
        <v>75</v>
      </c>
      <c r="AN776" s="17" t="s">
        <v>84</v>
      </c>
      <c r="AO776" s="17" t="s">
        <v>75</v>
      </c>
      <c r="AP776" s="17"/>
      <c r="AQ776" s="17"/>
      <c r="AR776" s="17"/>
      <c r="AS776" s="17"/>
      <c r="AT776" s="17" t="s">
        <v>2238</v>
      </c>
      <c r="AU776" s="17" t="s">
        <v>429</v>
      </c>
    </row>
    <row r="777" hidden="1">
      <c r="A777" s="17">
        <v>775</v>
      </c>
      <c r="B777" s="17" t="s">
        <v>52</v>
      </c>
      <c r="C777" s="34" t="s">
        <v>2239</v>
      </c>
      <c r="D777" s="35" t="s">
        <v>52</v>
      </c>
      <c r="E777" s="17" t="s">
        <v>2240</v>
      </c>
      <c r="F777" s="17" t="s">
        <v>2241</v>
      </c>
      <c r="G777" s="17">
        <v>21.939888</v>
      </c>
      <c r="H777" s="17">
        <v>87.289608999999999</v>
      </c>
      <c r="I777" s="17"/>
      <c r="J777" s="17"/>
      <c r="K777" s="17"/>
      <c r="L777" s="17"/>
      <c r="M777" s="35" t="s">
        <v>2242</v>
      </c>
      <c r="N777" s="17">
        <v>7439932070</v>
      </c>
      <c r="O777" s="17">
        <v>23</v>
      </c>
      <c r="P777" s="17">
        <v>80</v>
      </c>
      <c r="Q777" s="17" t="s">
        <v>73</v>
      </c>
      <c r="R777" s="17" t="s">
        <v>74</v>
      </c>
      <c r="S777" s="17" t="s">
        <v>947</v>
      </c>
      <c r="T777" s="17"/>
      <c r="U777" s="17" t="s">
        <v>105</v>
      </c>
      <c r="V777" s="17" t="s">
        <v>77</v>
      </c>
      <c r="W777" s="17" t="s">
        <v>443</v>
      </c>
      <c r="X777" s="17">
        <v>4</v>
      </c>
      <c r="Y777" s="17">
        <v>3</v>
      </c>
      <c r="Z777" s="17" t="s">
        <v>2243</v>
      </c>
      <c r="AA777" s="17" t="s">
        <v>73</v>
      </c>
      <c r="AB777" s="17" t="s">
        <v>79</v>
      </c>
      <c r="AC777" s="17">
        <v>3</v>
      </c>
      <c r="AD777" s="17">
        <v>0</v>
      </c>
      <c r="AE777" s="17">
        <v>0</v>
      </c>
      <c r="AF777" s="17"/>
      <c r="AG777" s="17" t="s">
        <v>81</v>
      </c>
      <c r="AH777" s="17" t="s">
        <v>82</v>
      </c>
      <c r="AI777" s="17" t="s">
        <v>107</v>
      </c>
      <c r="AJ777" s="17" t="s">
        <v>539</v>
      </c>
      <c r="AK777" s="17" t="s">
        <v>75</v>
      </c>
      <c r="AL777" s="17" t="s">
        <v>75</v>
      </c>
      <c r="AM777" s="17" t="s">
        <v>75</v>
      </c>
      <c r="AN777" s="17" t="s">
        <v>84</v>
      </c>
      <c r="AO777" s="17" t="s">
        <v>75</v>
      </c>
      <c r="AP777" s="17" t="s">
        <v>73</v>
      </c>
      <c r="AQ777" s="17" t="s">
        <v>239</v>
      </c>
      <c r="AR777" s="17">
        <v>3</v>
      </c>
      <c r="AS777" s="17">
        <v>1</v>
      </c>
      <c r="AT777" s="17" t="s">
        <v>2244</v>
      </c>
      <c r="AU777" s="17" t="s">
        <v>111</v>
      </c>
    </row>
    <row r="778" hidden="1">
      <c r="A778" s="17">
        <v>776</v>
      </c>
      <c r="B778" s="17" t="s">
        <v>52</v>
      </c>
      <c r="C778" s="34" t="s">
        <v>2245</v>
      </c>
      <c r="D778" s="35" t="s">
        <v>52</v>
      </c>
      <c r="E778" s="17" t="s">
        <v>2246</v>
      </c>
      <c r="F778" s="17" t="s">
        <v>2247</v>
      </c>
      <c r="G778" s="17">
        <v>22.125473</v>
      </c>
      <c r="H778" s="17">
        <v>87.532548000000006</v>
      </c>
      <c r="I778" s="17"/>
      <c r="J778" s="17"/>
      <c r="K778" s="17"/>
      <c r="L778" s="17"/>
      <c r="M778" s="35" t="s">
        <v>2248</v>
      </c>
      <c r="N778" s="17">
        <v>8100154683</v>
      </c>
      <c r="O778" s="17">
        <v>18</v>
      </c>
      <c r="P778" s="17">
        <v>150</v>
      </c>
      <c r="Q778" s="17" t="s">
        <v>105</v>
      </c>
      <c r="R778" s="17" t="s">
        <v>142</v>
      </c>
      <c r="S778" s="17" t="s">
        <v>75</v>
      </c>
      <c r="T778" s="17"/>
      <c r="U778" s="17" t="s">
        <v>105</v>
      </c>
      <c r="V778" s="17" t="s">
        <v>77</v>
      </c>
      <c r="W778" s="17" t="s">
        <v>449</v>
      </c>
      <c r="X778" s="17">
        <v>4</v>
      </c>
      <c r="Y778" s="17">
        <v>2</v>
      </c>
      <c r="Z778" s="17" t="s">
        <v>2249</v>
      </c>
      <c r="AA778" s="17" t="s">
        <v>105</v>
      </c>
      <c r="AB778" s="17" t="s">
        <v>79</v>
      </c>
      <c r="AC778" s="17">
        <v>5</v>
      </c>
      <c r="AD778" s="17">
        <v>0</v>
      </c>
      <c r="AE778" s="17">
        <v>0</v>
      </c>
      <c r="AF778" s="17"/>
      <c r="AG778" s="17" t="s">
        <v>81</v>
      </c>
      <c r="AH778" s="17" t="s">
        <v>82</v>
      </c>
      <c r="AI778" s="17" t="s">
        <v>107</v>
      </c>
      <c r="AJ778" s="17" t="s">
        <v>253</v>
      </c>
      <c r="AK778" s="17" t="s">
        <v>137</v>
      </c>
      <c r="AL778" s="17" t="s">
        <v>75</v>
      </c>
      <c r="AM778" s="17" t="s">
        <v>75</v>
      </c>
      <c r="AN778" s="17" t="s">
        <v>125</v>
      </c>
      <c r="AO778" s="17" t="s">
        <v>137</v>
      </c>
      <c r="AP778" s="17"/>
      <c r="AQ778" s="17"/>
      <c r="AR778" s="17"/>
      <c r="AS778" s="17"/>
      <c r="AT778" s="17" t="s">
        <v>2250</v>
      </c>
      <c r="AU778" s="17" t="s">
        <v>127</v>
      </c>
    </row>
    <row r="779" hidden="1">
      <c r="A779" s="17">
        <v>777</v>
      </c>
      <c r="B779" s="17" t="s">
        <v>52</v>
      </c>
      <c r="C779" s="34" t="s">
        <v>2251</v>
      </c>
      <c r="D779" s="35" t="s">
        <v>52</v>
      </c>
      <c r="E779" s="17"/>
      <c r="F779" s="17"/>
      <c r="G779" s="17"/>
      <c r="H779" s="17"/>
      <c r="I779" s="17"/>
      <c r="J779" s="17"/>
      <c r="K779" s="17"/>
      <c r="L779" s="17"/>
      <c r="M779" s="35" t="s">
        <v>1579</v>
      </c>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row>
    <row r="780" hidden="1">
      <c r="A780" s="17">
        <v>778</v>
      </c>
      <c r="B780" s="17" t="s">
        <v>52</v>
      </c>
      <c r="C780" s="34" t="s">
        <v>2252</v>
      </c>
      <c r="D780" s="35" t="s">
        <v>52</v>
      </c>
      <c r="E780" s="17" t="s">
        <v>1887</v>
      </c>
      <c r="F780" s="17" t="s">
        <v>2253</v>
      </c>
      <c r="G780" s="17">
        <v>22.362318999999999</v>
      </c>
      <c r="H780" s="17">
        <v>87.558048999999997</v>
      </c>
      <c r="I780" s="17"/>
      <c r="J780" s="17"/>
      <c r="K780" s="17"/>
      <c r="L780" s="17"/>
      <c r="M780" s="35" t="s">
        <v>1579</v>
      </c>
      <c r="N780" s="17">
        <v>7003188299</v>
      </c>
      <c r="O780" s="17">
        <v>22</v>
      </c>
      <c r="P780" s="17">
        <v>120</v>
      </c>
      <c r="Q780" s="17" t="s">
        <v>105</v>
      </c>
      <c r="R780" s="17" t="s">
        <v>74</v>
      </c>
      <c r="S780" s="17" t="s">
        <v>75</v>
      </c>
      <c r="T780" s="17" t="s">
        <v>2254</v>
      </c>
      <c r="U780" s="17" t="s">
        <v>76</v>
      </c>
      <c r="V780" s="17" t="s">
        <v>77</v>
      </c>
      <c r="W780" s="17" t="s">
        <v>454</v>
      </c>
      <c r="X780" s="17">
        <v>5</v>
      </c>
      <c r="Y780" s="17">
        <v>1</v>
      </c>
      <c r="Z780" s="17"/>
      <c r="AA780" s="17" t="s">
        <v>105</v>
      </c>
      <c r="AB780" s="17" t="s">
        <v>79</v>
      </c>
      <c r="AC780" s="17">
        <v>5</v>
      </c>
      <c r="AD780" s="17">
        <v>0</v>
      </c>
      <c r="AE780" s="17">
        <v>1</v>
      </c>
      <c r="AF780" s="17"/>
      <c r="AG780" s="17" t="s">
        <v>124</v>
      </c>
      <c r="AH780" s="17" t="s">
        <v>82</v>
      </c>
      <c r="AI780" s="17" t="s">
        <v>1580</v>
      </c>
      <c r="AJ780" s="17" t="s">
        <v>2255</v>
      </c>
      <c r="AK780" s="17" t="s">
        <v>137</v>
      </c>
      <c r="AL780" s="17" t="s">
        <v>137</v>
      </c>
      <c r="AM780" s="17" t="s">
        <v>137</v>
      </c>
      <c r="AN780" s="17" t="s">
        <v>84</v>
      </c>
      <c r="AO780" s="17" t="s">
        <v>137</v>
      </c>
      <c r="AP780" s="17"/>
      <c r="AQ780" s="17"/>
      <c r="AR780" s="17"/>
      <c r="AS780" s="17"/>
      <c r="AT780" s="17" t="s">
        <v>2256</v>
      </c>
      <c r="AU780" s="17" t="s">
        <v>1582</v>
      </c>
    </row>
    <row r="781" hidden="1">
      <c r="A781" s="17">
        <v>779</v>
      </c>
      <c r="B781" s="17" t="s">
        <v>52</v>
      </c>
      <c r="C781" s="34" t="s">
        <v>2257</v>
      </c>
      <c r="D781" s="35" t="s">
        <v>52</v>
      </c>
      <c r="E781" s="17" t="s">
        <v>2258</v>
      </c>
      <c r="F781" s="17" t="s">
        <v>2259</v>
      </c>
      <c r="G781" s="17">
        <v>22.472248</v>
      </c>
      <c r="H781" s="17">
        <v>87.634096999999997</v>
      </c>
      <c r="I781" s="17"/>
      <c r="J781" s="17"/>
      <c r="K781" s="17"/>
      <c r="L781" s="17"/>
      <c r="M781" s="35" t="s">
        <v>1579</v>
      </c>
      <c r="N781" s="17">
        <v>7003188299</v>
      </c>
      <c r="O781" s="17">
        <v>20</v>
      </c>
      <c r="P781" s="17">
        <v>110</v>
      </c>
      <c r="Q781" s="17" t="s">
        <v>187</v>
      </c>
      <c r="R781" s="17" t="s">
        <v>74</v>
      </c>
      <c r="S781" s="17" t="s">
        <v>75</v>
      </c>
      <c r="T781" s="17"/>
      <c r="U781" s="17" t="s">
        <v>105</v>
      </c>
      <c r="V781" s="17" t="s">
        <v>77</v>
      </c>
      <c r="W781" s="17" t="s">
        <v>123</v>
      </c>
      <c r="X781" s="17">
        <v>5</v>
      </c>
      <c r="Y781" s="17">
        <v>2</v>
      </c>
      <c r="Z781" s="17"/>
      <c r="AA781" s="17" t="s">
        <v>187</v>
      </c>
      <c r="AB781" s="17" t="s">
        <v>79</v>
      </c>
      <c r="AC781" s="17">
        <v>3</v>
      </c>
      <c r="AD781" s="17">
        <v>0</v>
      </c>
      <c r="AE781" s="17">
        <v>0</v>
      </c>
      <c r="AF781" s="17"/>
      <c r="AG781" s="17" t="s">
        <v>414</v>
      </c>
      <c r="AH781" s="17" t="s">
        <v>415</v>
      </c>
      <c r="AI781" s="17" t="s">
        <v>1580</v>
      </c>
      <c r="AJ781" s="17" t="s">
        <v>416</v>
      </c>
      <c r="AK781" s="17" t="s">
        <v>75</v>
      </c>
      <c r="AL781" s="17" t="s">
        <v>137</v>
      </c>
      <c r="AM781" s="17" t="s">
        <v>75</v>
      </c>
      <c r="AN781" s="17" t="s">
        <v>84</v>
      </c>
      <c r="AO781" s="17" t="s">
        <v>137</v>
      </c>
      <c r="AP781" s="17"/>
      <c r="AQ781" s="17"/>
      <c r="AR781" s="17"/>
      <c r="AS781" s="17"/>
      <c r="AT781" s="17" t="s">
        <v>2260</v>
      </c>
      <c r="AU781" s="17" t="s">
        <v>2261</v>
      </c>
    </row>
    <row r="782" hidden="1">
      <c r="A782" s="17">
        <v>780</v>
      </c>
      <c r="B782" s="17" t="s">
        <v>52</v>
      </c>
      <c r="C782" s="34" t="s">
        <v>2262</v>
      </c>
      <c r="D782" s="35" t="s">
        <v>52</v>
      </c>
      <c r="E782" s="17" t="s">
        <v>2263</v>
      </c>
      <c r="F782" s="17" t="s">
        <v>2264</v>
      </c>
      <c r="G782" s="17">
        <v>22.392196999999999</v>
      </c>
      <c r="H782" s="17">
        <v>87.561139999999995</v>
      </c>
      <c r="I782" s="17"/>
      <c r="J782" s="17"/>
      <c r="K782" s="17"/>
      <c r="L782" s="17"/>
      <c r="M782" s="35" t="s">
        <v>1579</v>
      </c>
      <c r="N782" s="17">
        <v>7003188299</v>
      </c>
      <c r="O782" s="17">
        <v>22</v>
      </c>
      <c r="P782" s="17">
        <v>140</v>
      </c>
      <c r="Q782" s="17" t="s">
        <v>73</v>
      </c>
      <c r="R782" s="17" t="s">
        <v>74</v>
      </c>
      <c r="S782" s="17" t="s">
        <v>75</v>
      </c>
      <c r="T782" s="17"/>
      <c r="U782" s="17" t="s">
        <v>105</v>
      </c>
      <c r="V782" s="17" t="s">
        <v>77</v>
      </c>
      <c r="W782" s="17" t="s">
        <v>454</v>
      </c>
      <c r="X782" s="17">
        <v>5</v>
      </c>
      <c r="Y782" s="17">
        <v>0</v>
      </c>
      <c r="Z782" s="17" t="s">
        <v>2265</v>
      </c>
      <c r="AA782" s="17" t="s">
        <v>73</v>
      </c>
      <c r="AB782" s="17" t="s">
        <v>79</v>
      </c>
      <c r="AC782" s="17">
        <v>3</v>
      </c>
      <c r="AD782" s="17">
        <v>0</v>
      </c>
      <c r="AE782" s="17">
        <v>0</v>
      </c>
      <c r="AF782" s="17" t="s">
        <v>2266</v>
      </c>
      <c r="AG782" s="17" t="s">
        <v>414</v>
      </c>
      <c r="AH782" s="17" t="s">
        <v>415</v>
      </c>
      <c r="AI782" s="17" t="s">
        <v>1580</v>
      </c>
      <c r="AJ782" s="17" t="s">
        <v>416</v>
      </c>
      <c r="AK782" s="17" t="s">
        <v>75</v>
      </c>
      <c r="AL782" s="17" t="s">
        <v>137</v>
      </c>
      <c r="AM782" s="17" t="s">
        <v>75</v>
      </c>
      <c r="AN782" s="17" t="s">
        <v>84</v>
      </c>
      <c r="AO782" s="17" t="s">
        <v>109</v>
      </c>
      <c r="AP782" s="17"/>
      <c r="AQ782" s="17"/>
      <c r="AR782" s="17"/>
      <c r="AS782" s="17"/>
      <c r="AT782" s="17" t="s">
        <v>2267</v>
      </c>
      <c r="AU782" s="17" t="s">
        <v>127</v>
      </c>
    </row>
    <row r="783" hidden="1">
      <c r="A783" s="17">
        <v>781</v>
      </c>
      <c r="B783" s="17" t="s">
        <v>52</v>
      </c>
      <c r="C783" s="34" t="s">
        <v>2268</v>
      </c>
      <c r="D783" s="35" t="s">
        <v>52</v>
      </c>
      <c r="E783" s="17" t="s">
        <v>2269</v>
      </c>
      <c r="F783" s="17" t="s">
        <v>2270</v>
      </c>
      <c r="G783" s="17">
        <v>22.543696000000001</v>
      </c>
      <c r="H783" s="17">
        <v>87.642981000000006</v>
      </c>
      <c r="I783" s="17"/>
      <c r="J783" s="17"/>
      <c r="K783" s="17"/>
      <c r="L783" s="17"/>
      <c r="M783" s="35" t="s">
        <v>1579</v>
      </c>
      <c r="N783" s="17">
        <v>7003188299</v>
      </c>
      <c r="O783" s="17">
        <v>21</v>
      </c>
      <c r="P783" s="17">
        <v>60</v>
      </c>
      <c r="Q783" s="17" t="s">
        <v>73</v>
      </c>
      <c r="R783" s="17" t="s">
        <v>1180</v>
      </c>
      <c r="S783" s="17" t="s">
        <v>137</v>
      </c>
      <c r="T783" s="17" t="s">
        <v>2271</v>
      </c>
      <c r="U783" s="17" t="s">
        <v>105</v>
      </c>
      <c r="V783" s="17" t="s">
        <v>340</v>
      </c>
      <c r="W783" s="17" t="s">
        <v>449</v>
      </c>
      <c r="X783" s="17">
        <v>3</v>
      </c>
      <c r="Y783" s="17">
        <v>3</v>
      </c>
      <c r="Z783" s="17" t="s">
        <v>109</v>
      </c>
      <c r="AA783" s="17" t="s">
        <v>73</v>
      </c>
      <c r="AB783" s="17" t="s">
        <v>79</v>
      </c>
      <c r="AC783" s="17">
        <v>1</v>
      </c>
      <c r="AD783" s="17">
        <v>0</v>
      </c>
      <c r="AE783" s="17">
        <v>0</v>
      </c>
      <c r="AF783" s="17" t="s">
        <v>2266</v>
      </c>
      <c r="AG783" s="17" t="s">
        <v>414</v>
      </c>
      <c r="AH783" s="17" t="s">
        <v>415</v>
      </c>
      <c r="AI783" s="17" t="s">
        <v>1580</v>
      </c>
      <c r="AJ783" s="17" t="s">
        <v>2255</v>
      </c>
      <c r="AK783" s="17" t="s">
        <v>75</v>
      </c>
      <c r="AL783" s="17" t="s">
        <v>137</v>
      </c>
      <c r="AM783" s="17" t="s">
        <v>75</v>
      </c>
      <c r="AN783" s="17" t="s">
        <v>84</v>
      </c>
      <c r="AO783" s="17" t="s">
        <v>75</v>
      </c>
      <c r="AP783" s="17"/>
      <c r="AQ783" s="17"/>
      <c r="AR783" s="17"/>
      <c r="AS783" s="17"/>
      <c r="AT783" s="17" t="s">
        <v>2272</v>
      </c>
      <c r="AU783" s="17" t="s">
        <v>1582</v>
      </c>
    </row>
    <row r="784" hidden="1">
      <c r="A784" s="17">
        <v>782</v>
      </c>
      <c r="B784" s="17" t="s">
        <v>52</v>
      </c>
      <c r="C784" s="34" t="s">
        <v>2273</v>
      </c>
      <c r="D784" s="35" t="s">
        <v>52</v>
      </c>
      <c r="E784" s="17" t="s">
        <v>2274</v>
      </c>
      <c r="F784" s="17" t="s">
        <v>2275</v>
      </c>
      <c r="G784" s="17">
        <v>22.356383000000001</v>
      </c>
      <c r="H784" s="17">
        <v>87.619885999999994</v>
      </c>
      <c r="I784" s="17"/>
      <c r="J784" s="17"/>
      <c r="K784" s="17"/>
      <c r="L784" s="17"/>
      <c r="M784" s="35" t="s">
        <v>1579</v>
      </c>
      <c r="N784" s="17">
        <v>7003188299</v>
      </c>
      <c r="O784" s="17">
        <v>22</v>
      </c>
      <c r="P784" s="17">
        <v>120</v>
      </c>
      <c r="Q784" s="17" t="s">
        <v>73</v>
      </c>
      <c r="R784" s="17" t="s">
        <v>74</v>
      </c>
      <c r="S784" s="17" t="s">
        <v>75</v>
      </c>
      <c r="T784" s="17"/>
      <c r="U784" s="17" t="s">
        <v>105</v>
      </c>
      <c r="V784" s="17" t="s">
        <v>77</v>
      </c>
      <c r="W784" s="17" t="s">
        <v>252</v>
      </c>
      <c r="X784" s="17">
        <v>6</v>
      </c>
      <c r="Y784" s="17">
        <v>1</v>
      </c>
      <c r="Z784" s="17"/>
      <c r="AA784" s="17" t="s">
        <v>73</v>
      </c>
      <c r="AB784" s="17" t="s">
        <v>79</v>
      </c>
      <c r="AC784" s="17">
        <v>2</v>
      </c>
      <c r="AD784" s="17">
        <v>0</v>
      </c>
      <c r="AE784" s="17">
        <v>0</v>
      </c>
      <c r="AF784" s="17" t="s">
        <v>2266</v>
      </c>
      <c r="AG784" s="17" t="s">
        <v>724</v>
      </c>
      <c r="AH784" s="17"/>
      <c r="AI784" s="17"/>
      <c r="AJ784" s="17"/>
      <c r="AK784" s="17"/>
      <c r="AL784" s="17"/>
      <c r="AM784" s="17"/>
      <c r="AN784" s="17"/>
      <c r="AO784" s="17"/>
      <c r="AP784" s="17"/>
      <c r="AQ784" s="17"/>
      <c r="AR784" s="17"/>
      <c r="AS784" s="17"/>
      <c r="AT784" s="17" t="s">
        <v>2276</v>
      </c>
      <c r="AU784" s="17" t="s">
        <v>111</v>
      </c>
    </row>
    <row r="785" hidden="1">
      <c r="A785" s="17">
        <v>783</v>
      </c>
      <c r="B785" s="17" t="s">
        <v>52</v>
      </c>
      <c r="C785" s="34" t="s">
        <v>2277</v>
      </c>
      <c r="D785" s="35" t="s">
        <v>52</v>
      </c>
      <c r="E785" s="17" t="s">
        <v>2278</v>
      </c>
      <c r="F785" s="17" t="s">
        <v>2279</v>
      </c>
      <c r="G785" s="17">
        <v>22.360104</v>
      </c>
      <c r="H785" s="17">
        <v>87.581798000000006</v>
      </c>
      <c r="I785" s="17"/>
      <c r="J785" s="17"/>
      <c r="K785" s="17"/>
      <c r="L785" s="17"/>
      <c r="M785" s="35" t="s">
        <v>1579</v>
      </c>
      <c r="N785" s="17">
        <v>7003188299</v>
      </c>
      <c r="O785" s="17">
        <v>22</v>
      </c>
      <c r="P785" s="17">
        <v>60</v>
      </c>
      <c r="Q785" s="17" t="s">
        <v>105</v>
      </c>
      <c r="R785" s="17" t="s">
        <v>74</v>
      </c>
      <c r="S785" s="17" t="s">
        <v>75</v>
      </c>
      <c r="T785" s="17" t="s">
        <v>2254</v>
      </c>
      <c r="U785" s="17" t="s">
        <v>76</v>
      </c>
      <c r="V785" s="17" t="s">
        <v>77</v>
      </c>
      <c r="W785" s="17" t="s">
        <v>123</v>
      </c>
      <c r="X785" s="17">
        <v>1</v>
      </c>
      <c r="Y785" s="17">
        <v>0</v>
      </c>
      <c r="Z785" s="17"/>
      <c r="AA785" s="17" t="s">
        <v>105</v>
      </c>
      <c r="AB785" s="17" t="s">
        <v>79</v>
      </c>
      <c r="AC785" s="17">
        <v>5</v>
      </c>
      <c r="AD785" s="17">
        <v>0</v>
      </c>
      <c r="AE785" s="17">
        <v>1</v>
      </c>
      <c r="AF785" s="17"/>
      <c r="AG785" s="17" t="s">
        <v>124</v>
      </c>
      <c r="AH785" s="17" t="s">
        <v>82</v>
      </c>
      <c r="AI785" s="17" t="s">
        <v>83</v>
      </c>
      <c r="AJ785" s="17">
        <v>2111</v>
      </c>
      <c r="AK785" s="17" t="s">
        <v>75</v>
      </c>
      <c r="AL785" s="17" t="s">
        <v>137</v>
      </c>
      <c r="AM785" s="17" t="s">
        <v>75</v>
      </c>
      <c r="AN785" s="17" t="s">
        <v>125</v>
      </c>
      <c r="AO785" s="17" t="s">
        <v>75</v>
      </c>
      <c r="AP785" s="17"/>
      <c r="AQ785" s="17"/>
      <c r="AR785" s="17"/>
      <c r="AS785" s="17"/>
      <c r="AT785" s="17" t="s">
        <v>2280</v>
      </c>
      <c r="AU785" s="17" t="s">
        <v>111</v>
      </c>
    </row>
    <row r="786" hidden="1">
      <c r="A786" s="17">
        <v>784</v>
      </c>
      <c r="B786" s="17" t="s">
        <v>52</v>
      </c>
      <c r="C786" s="34" t="s">
        <v>2281</v>
      </c>
      <c r="D786" s="35" t="s">
        <v>52</v>
      </c>
      <c r="E786" s="17" t="s">
        <v>2282</v>
      </c>
      <c r="F786" s="17" t="s">
        <v>2283</v>
      </c>
      <c r="G786" s="17">
        <v>22.362871999999999</v>
      </c>
      <c r="H786" s="17">
        <v>87.515474999999995</v>
      </c>
      <c r="I786" s="17"/>
      <c r="J786" s="17"/>
      <c r="K786" s="17"/>
      <c r="L786" s="17"/>
      <c r="M786" s="35" t="s">
        <v>2284</v>
      </c>
      <c r="N786" s="17">
        <v>7003187431</v>
      </c>
      <c r="O786" s="17">
        <v>22</v>
      </c>
      <c r="P786" s="17">
        <v>50</v>
      </c>
      <c r="Q786" s="17" t="s">
        <v>73</v>
      </c>
      <c r="R786" s="17" t="s">
        <v>74</v>
      </c>
      <c r="S786" s="17" t="s">
        <v>75</v>
      </c>
      <c r="T786" s="17"/>
      <c r="U786" s="17" t="s">
        <v>2285</v>
      </c>
      <c r="V786" s="17" t="s">
        <v>77</v>
      </c>
      <c r="W786" s="17" t="s">
        <v>78</v>
      </c>
      <c r="X786" s="17">
        <v>3</v>
      </c>
      <c r="Y786" s="17">
        <v>0</v>
      </c>
      <c r="Z786" s="17"/>
      <c r="AA786" s="17" t="s">
        <v>73</v>
      </c>
      <c r="AB786" s="17" t="s">
        <v>79</v>
      </c>
      <c r="AC786" s="17">
        <v>1</v>
      </c>
      <c r="AD786" s="17">
        <v>0</v>
      </c>
      <c r="AE786" s="17">
        <v>0</v>
      </c>
      <c r="AF786" s="17" t="s">
        <v>2286</v>
      </c>
      <c r="AG786" s="17"/>
      <c r="AH786" s="17"/>
      <c r="AI786" s="17"/>
      <c r="AJ786" s="17"/>
      <c r="AK786" s="17"/>
      <c r="AL786" s="17"/>
      <c r="AM786" s="17"/>
      <c r="AN786" s="17"/>
      <c r="AO786" s="17"/>
      <c r="AP786" s="17"/>
      <c r="AQ786" s="17"/>
      <c r="AR786" s="17"/>
      <c r="AS786" s="17"/>
      <c r="AT786" s="17" t="s">
        <v>2287</v>
      </c>
      <c r="AU786" s="17" t="s">
        <v>111</v>
      </c>
    </row>
    <row r="787" hidden="1">
      <c r="A787" s="17">
        <v>785</v>
      </c>
      <c r="B787" s="17" t="s">
        <v>52</v>
      </c>
      <c r="C787" s="34" t="s">
        <v>2288</v>
      </c>
      <c r="D787" s="35" t="s">
        <v>52</v>
      </c>
      <c r="E787" s="17" t="s">
        <v>2289</v>
      </c>
      <c r="F787" s="17" t="s">
        <v>2290</v>
      </c>
      <c r="G787" s="17">
        <v>22.404423999999999</v>
      </c>
      <c r="H787" s="17">
        <v>87.629823999999999</v>
      </c>
      <c r="I787" s="17"/>
      <c r="J787" s="17"/>
      <c r="K787" s="17"/>
      <c r="L787" s="17"/>
      <c r="M787" s="35" t="s">
        <v>2291</v>
      </c>
      <c r="N787" s="17">
        <v>9933713149</v>
      </c>
      <c r="O787" s="17">
        <v>24</v>
      </c>
      <c r="P787" s="17">
        <v>100</v>
      </c>
      <c r="Q787" s="17" t="s">
        <v>187</v>
      </c>
      <c r="R787" s="17" t="s">
        <v>74</v>
      </c>
      <c r="S787" s="17" t="s">
        <v>75</v>
      </c>
      <c r="T787" s="17"/>
      <c r="U787" s="17" t="s">
        <v>76</v>
      </c>
      <c r="V787" s="17" t="s">
        <v>77</v>
      </c>
      <c r="W787" s="17" t="s">
        <v>330</v>
      </c>
      <c r="X787" s="17">
        <v>5</v>
      </c>
      <c r="Y787" s="17">
        <v>1</v>
      </c>
      <c r="Z787" s="17" t="s">
        <v>2292</v>
      </c>
      <c r="AA787" s="17" t="s">
        <v>187</v>
      </c>
      <c r="AB787" s="17" t="s">
        <v>79</v>
      </c>
      <c r="AC787" s="17">
        <v>4</v>
      </c>
      <c r="AD787" s="17">
        <v>0</v>
      </c>
      <c r="AE787" s="17">
        <v>0</v>
      </c>
      <c r="AF787" s="17"/>
      <c r="AG787" s="17" t="s">
        <v>124</v>
      </c>
      <c r="AH787" s="17" t="s">
        <v>82</v>
      </c>
      <c r="AI787" s="17" t="s">
        <v>83</v>
      </c>
      <c r="AJ787" s="17">
        <v>2111</v>
      </c>
      <c r="AK787" s="17" t="s">
        <v>75</v>
      </c>
      <c r="AL787" s="17" t="s">
        <v>75</v>
      </c>
      <c r="AM787" s="17" t="s">
        <v>75</v>
      </c>
      <c r="AN787" s="17" t="s">
        <v>84</v>
      </c>
      <c r="AO787" s="17" t="s">
        <v>75</v>
      </c>
      <c r="AP787" s="17"/>
      <c r="AQ787" s="17"/>
      <c r="AR787" s="17"/>
      <c r="AS787" s="17"/>
      <c r="AT787" s="17" t="s">
        <v>2293</v>
      </c>
      <c r="AU787" s="17" t="s">
        <v>127</v>
      </c>
    </row>
    <row r="788" hidden="1">
      <c r="A788" s="17">
        <v>786</v>
      </c>
      <c r="B788" s="17" t="s">
        <v>52</v>
      </c>
      <c r="C788" s="34" t="s">
        <v>2294</v>
      </c>
      <c r="D788" s="35" t="s">
        <v>52</v>
      </c>
      <c r="E788" s="17" t="s">
        <v>2295</v>
      </c>
      <c r="F788" s="17" t="s">
        <v>2296</v>
      </c>
      <c r="G788" s="17">
        <v>22.467288</v>
      </c>
      <c r="H788" s="17">
        <v>87.574933999999999</v>
      </c>
      <c r="I788" s="17"/>
      <c r="J788" s="17"/>
      <c r="K788" s="17"/>
      <c r="L788" s="17"/>
      <c r="M788" s="35" t="s">
        <v>2291</v>
      </c>
      <c r="N788" s="17">
        <v>9933713149</v>
      </c>
      <c r="O788" s="17">
        <v>24</v>
      </c>
      <c r="P788" s="17">
        <v>100</v>
      </c>
      <c r="Q788" s="17" t="s">
        <v>73</v>
      </c>
      <c r="R788" s="17" t="s">
        <v>74</v>
      </c>
      <c r="S788" s="17" t="s">
        <v>75</v>
      </c>
      <c r="T788" s="17"/>
      <c r="U788" s="17" t="s">
        <v>105</v>
      </c>
      <c r="V788" s="17" t="s">
        <v>77</v>
      </c>
      <c r="W788" s="17" t="s">
        <v>78</v>
      </c>
      <c r="X788" s="17">
        <v>4</v>
      </c>
      <c r="Y788" s="17">
        <v>1</v>
      </c>
      <c r="Z788" s="17"/>
      <c r="AA788" s="17" t="s">
        <v>73</v>
      </c>
      <c r="AB788" s="17" t="s">
        <v>79</v>
      </c>
      <c r="AC788" s="17">
        <v>2</v>
      </c>
      <c r="AD788" s="17">
        <v>0</v>
      </c>
      <c r="AE788" s="17">
        <v>0</v>
      </c>
      <c r="AF788" s="17"/>
      <c r="AG788" s="17" t="s">
        <v>124</v>
      </c>
      <c r="AH788" s="17" t="s">
        <v>82</v>
      </c>
      <c r="AI788" s="17" t="s">
        <v>83</v>
      </c>
      <c r="AJ788" s="17">
        <v>2111</v>
      </c>
      <c r="AK788" s="17" t="s">
        <v>75</v>
      </c>
      <c r="AL788" s="17" t="s">
        <v>75</v>
      </c>
      <c r="AM788" s="17" t="s">
        <v>75</v>
      </c>
      <c r="AN788" s="17" t="s">
        <v>125</v>
      </c>
      <c r="AO788" s="17" t="s">
        <v>75</v>
      </c>
      <c r="AP788" s="17"/>
      <c r="AQ788" s="17"/>
      <c r="AR788" s="17"/>
      <c r="AS788" s="17"/>
      <c r="AT788" s="17"/>
      <c r="AU788" s="17" t="s">
        <v>111</v>
      </c>
    </row>
    <row r="789" hidden="1">
      <c r="A789" s="17">
        <v>787</v>
      </c>
      <c r="B789" s="17" t="s">
        <v>52</v>
      </c>
      <c r="C789" s="34" t="s">
        <v>2297</v>
      </c>
      <c r="D789" s="35" t="s">
        <v>52</v>
      </c>
      <c r="E789" s="17" t="s">
        <v>2298</v>
      </c>
      <c r="F789" s="17" t="s">
        <v>2299</v>
      </c>
      <c r="G789" s="17">
        <v>22.414207999999999</v>
      </c>
      <c r="H789" s="17">
        <v>87.568363000000005</v>
      </c>
      <c r="I789" s="17"/>
      <c r="J789" s="17"/>
      <c r="K789" s="17"/>
      <c r="L789" s="17"/>
      <c r="M789" s="35" t="s">
        <v>2291</v>
      </c>
      <c r="N789" s="17">
        <v>9933713149</v>
      </c>
      <c r="O789" s="17">
        <v>22</v>
      </c>
      <c r="P789" s="17">
        <v>55</v>
      </c>
      <c r="Q789" s="17" t="s">
        <v>105</v>
      </c>
      <c r="R789" s="17" t="s">
        <v>2300</v>
      </c>
      <c r="S789" s="17" t="s">
        <v>75</v>
      </c>
      <c r="T789" s="17"/>
      <c r="U789" s="17" t="s">
        <v>441</v>
      </c>
      <c r="V789" s="17" t="s">
        <v>442</v>
      </c>
      <c r="W789" s="17" t="s">
        <v>123</v>
      </c>
      <c r="X789" s="17">
        <v>3</v>
      </c>
      <c r="Y789" s="17">
        <v>1</v>
      </c>
      <c r="Z789" s="17"/>
      <c r="AA789" s="17" t="s">
        <v>105</v>
      </c>
      <c r="AB789" s="17" t="s">
        <v>239</v>
      </c>
      <c r="AC789" s="17">
        <v>1</v>
      </c>
      <c r="AD789" s="17">
        <v>0</v>
      </c>
      <c r="AE789" s="17">
        <v>0</v>
      </c>
      <c r="AF789" s="17"/>
      <c r="AG789" s="17" t="s">
        <v>124</v>
      </c>
      <c r="AH789" s="17" t="s">
        <v>82</v>
      </c>
      <c r="AI789" s="17" t="s">
        <v>83</v>
      </c>
      <c r="AJ789" s="17">
        <v>2111</v>
      </c>
      <c r="AK789" s="17" t="s">
        <v>75</v>
      </c>
      <c r="AL789" s="17" t="s">
        <v>75</v>
      </c>
      <c r="AM789" s="17" t="s">
        <v>163</v>
      </c>
      <c r="AN789" s="17" t="s">
        <v>84</v>
      </c>
      <c r="AO789" s="17" t="s">
        <v>137</v>
      </c>
      <c r="AP789" s="17"/>
      <c r="AQ789" s="17"/>
      <c r="AR789" s="17"/>
      <c r="AS789" s="17"/>
      <c r="AT789" s="17" t="s">
        <v>2301</v>
      </c>
      <c r="AU789" s="17" t="s">
        <v>111</v>
      </c>
    </row>
    <row r="790" hidden="1">
      <c r="A790" s="17">
        <v>788</v>
      </c>
      <c r="B790" s="17" t="s">
        <v>52</v>
      </c>
      <c r="C790" s="34" t="s">
        <v>2302</v>
      </c>
      <c r="D790" s="35" t="s">
        <v>52</v>
      </c>
      <c r="E790" s="17" t="s">
        <v>2303</v>
      </c>
      <c r="F790" s="17" t="s">
        <v>2304</v>
      </c>
      <c r="G790" s="17">
        <v>22.333970999999998</v>
      </c>
      <c r="H790" s="17">
        <v>87.601412999999994</v>
      </c>
      <c r="I790" s="17"/>
      <c r="J790" s="17"/>
      <c r="K790" s="17"/>
      <c r="L790" s="17"/>
      <c r="M790" s="35" t="s">
        <v>1579</v>
      </c>
      <c r="N790" s="17">
        <v>7003188299</v>
      </c>
      <c r="O790" s="17">
        <v>22</v>
      </c>
      <c r="P790" s="17">
        <v>60</v>
      </c>
      <c r="Q790" s="17" t="s">
        <v>73</v>
      </c>
      <c r="R790" s="17" t="s">
        <v>74</v>
      </c>
      <c r="S790" s="17" t="s">
        <v>75</v>
      </c>
      <c r="T790" s="17"/>
      <c r="U790" s="17" t="s">
        <v>76</v>
      </c>
      <c r="V790" s="17" t="s">
        <v>77</v>
      </c>
      <c r="W790" s="17" t="s">
        <v>78</v>
      </c>
      <c r="X790" s="17">
        <v>2</v>
      </c>
      <c r="Y790" s="17">
        <v>0</v>
      </c>
      <c r="Z790" s="17"/>
      <c r="AA790" s="17" t="s">
        <v>73</v>
      </c>
      <c r="AB790" s="17" t="s">
        <v>79</v>
      </c>
      <c r="AC790" s="17">
        <v>1</v>
      </c>
      <c r="AD790" s="17">
        <v>0</v>
      </c>
      <c r="AE790" s="17">
        <v>0</v>
      </c>
      <c r="AF790" s="17" t="s">
        <v>2305</v>
      </c>
      <c r="AG790" s="17" t="s">
        <v>81</v>
      </c>
      <c r="AH790" s="17" t="s">
        <v>82</v>
      </c>
      <c r="AI790" s="17" t="s">
        <v>83</v>
      </c>
      <c r="AJ790" s="17">
        <v>2111</v>
      </c>
      <c r="AK790" s="17" t="s">
        <v>75</v>
      </c>
      <c r="AL790" s="17" t="s">
        <v>75</v>
      </c>
      <c r="AM790" s="17" t="s">
        <v>75</v>
      </c>
      <c r="AN790" s="17" t="s">
        <v>125</v>
      </c>
      <c r="AO790" s="17" t="s">
        <v>75</v>
      </c>
      <c r="AP790" s="17"/>
      <c r="AQ790" s="17"/>
      <c r="AR790" s="17"/>
      <c r="AS790" s="17"/>
      <c r="AT790" s="17" t="s">
        <v>2306</v>
      </c>
      <c r="AU790" s="17" t="s">
        <v>111</v>
      </c>
    </row>
    <row r="791" hidden="1">
      <c r="A791" s="17">
        <v>789</v>
      </c>
      <c r="B791" s="17" t="s">
        <v>52</v>
      </c>
      <c r="C791" s="34" t="s">
        <v>2307</v>
      </c>
      <c r="D791" s="35" t="s">
        <v>52</v>
      </c>
      <c r="E791" s="17" t="s">
        <v>2308</v>
      </c>
      <c r="F791" s="17" t="s">
        <v>2309</v>
      </c>
      <c r="G791" s="17">
        <v>22.349398999999998</v>
      </c>
      <c r="H791" s="17">
        <v>87.533612000000005</v>
      </c>
      <c r="I791" s="17"/>
      <c r="J791" s="17"/>
      <c r="K791" s="17"/>
      <c r="L791" s="17"/>
      <c r="M791" s="35" t="s">
        <v>1579</v>
      </c>
      <c r="N791" s="17">
        <v>7003188299</v>
      </c>
      <c r="O791" s="17">
        <v>21</v>
      </c>
      <c r="P791" s="17">
        <v>60</v>
      </c>
      <c r="Q791" s="17" t="s">
        <v>413</v>
      </c>
      <c r="R791" s="17" t="s">
        <v>74</v>
      </c>
      <c r="S791" s="17" t="s">
        <v>75</v>
      </c>
      <c r="T791" s="17"/>
      <c r="U791" s="17" t="s">
        <v>441</v>
      </c>
      <c r="V791" s="17" t="s">
        <v>442</v>
      </c>
      <c r="W791" s="17" t="s">
        <v>123</v>
      </c>
      <c r="X791" s="17">
        <v>3</v>
      </c>
      <c r="Y791" s="17">
        <v>2</v>
      </c>
      <c r="Z791" s="17"/>
      <c r="AA791" s="17" t="s">
        <v>413</v>
      </c>
      <c r="AB791" s="17" t="s">
        <v>79</v>
      </c>
      <c r="AC791" s="17">
        <v>5</v>
      </c>
      <c r="AD791" s="17">
        <v>0</v>
      </c>
      <c r="AE791" s="17">
        <v>0</v>
      </c>
      <c r="AF791" s="17"/>
      <c r="AG791" s="17" t="s">
        <v>81</v>
      </c>
      <c r="AH791" s="17" t="s">
        <v>82</v>
      </c>
      <c r="AI791" s="17" t="s">
        <v>83</v>
      </c>
      <c r="AJ791" s="17">
        <v>2111</v>
      </c>
      <c r="AK791" s="17" t="s">
        <v>75</v>
      </c>
      <c r="AL791" s="17" t="s">
        <v>75</v>
      </c>
      <c r="AM791" s="17" t="s">
        <v>137</v>
      </c>
      <c r="AN791" s="17" t="s">
        <v>84</v>
      </c>
      <c r="AO791" s="17" t="s">
        <v>137</v>
      </c>
      <c r="AP791" s="17"/>
      <c r="AQ791" s="17"/>
      <c r="AR791" s="17"/>
      <c r="AS791" s="17"/>
      <c r="AT791" s="17" t="s">
        <v>2310</v>
      </c>
      <c r="AU791" s="17" t="s">
        <v>111</v>
      </c>
    </row>
    <row r="792" hidden="1">
      <c r="A792" s="17">
        <v>790</v>
      </c>
      <c r="B792" s="17" t="s">
        <v>52</v>
      </c>
      <c r="C792" s="34" t="s">
        <v>2311</v>
      </c>
      <c r="D792" s="35" t="s">
        <v>52</v>
      </c>
      <c r="E792" s="17" t="s">
        <v>2312</v>
      </c>
      <c r="F792" s="17" t="s">
        <v>2313</v>
      </c>
      <c r="G792" s="17">
        <v>22.382739999999998</v>
      </c>
      <c r="H792" s="17">
        <v>87.528846000000001</v>
      </c>
      <c r="I792" s="17"/>
      <c r="J792" s="17"/>
      <c r="K792" s="17"/>
      <c r="L792" s="17"/>
      <c r="M792" s="35" t="s">
        <v>2291</v>
      </c>
      <c r="N792" s="17">
        <v>9933713149</v>
      </c>
      <c r="O792" s="17">
        <v>21</v>
      </c>
      <c r="P792" s="17">
        <v>50</v>
      </c>
      <c r="Q792" s="17" t="s">
        <v>413</v>
      </c>
      <c r="R792" s="17" t="s">
        <v>74</v>
      </c>
      <c r="S792" s="17" t="s">
        <v>75</v>
      </c>
      <c r="T792" s="17"/>
      <c r="U792" s="17" t="s">
        <v>441</v>
      </c>
      <c r="V792" s="17" t="s">
        <v>442</v>
      </c>
      <c r="W792" s="17" t="s">
        <v>2314</v>
      </c>
      <c r="X792" s="17">
        <v>3</v>
      </c>
      <c r="Y792" s="17">
        <v>1</v>
      </c>
      <c r="Z792" s="17"/>
      <c r="AA792" s="17" t="s">
        <v>413</v>
      </c>
      <c r="AB792" s="17" t="s">
        <v>79</v>
      </c>
      <c r="AC792" s="17">
        <v>5</v>
      </c>
      <c r="AD792" s="17">
        <v>0</v>
      </c>
      <c r="AE792" s="17">
        <v>0</v>
      </c>
      <c r="AF792" s="17"/>
      <c r="AG792" s="17" t="s">
        <v>81</v>
      </c>
      <c r="AH792" s="17" t="s">
        <v>82</v>
      </c>
      <c r="AI792" s="17" t="s">
        <v>83</v>
      </c>
      <c r="AJ792" s="17">
        <v>2111</v>
      </c>
      <c r="AK792" s="17" t="s">
        <v>75</v>
      </c>
      <c r="AL792" s="17" t="s">
        <v>75</v>
      </c>
      <c r="AM792" s="17" t="s">
        <v>163</v>
      </c>
      <c r="AN792" s="17" t="s">
        <v>84</v>
      </c>
      <c r="AO792" s="17" t="s">
        <v>137</v>
      </c>
      <c r="AP792" s="17"/>
      <c r="AQ792" s="17"/>
      <c r="AR792" s="17"/>
      <c r="AS792" s="17"/>
      <c r="AT792" s="17"/>
      <c r="AU792" s="17" t="s">
        <v>111</v>
      </c>
    </row>
    <row r="793" hidden="1">
      <c r="A793" s="17">
        <v>791</v>
      </c>
      <c r="B793" s="17" t="s">
        <v>52</v>
      </c>
      <c r="C793" s="34" t="s">
        <v>2315</v>
      </c>
      <c r="D793" s="35" t="s">
        <v>52</v>
      </c>
      <c r="E793" s="17" t="s">
        <v>2316</v>
      </c>
      <c r="F793" s="17" t="s">
        <v>2317</v>
      </c>
      <c r="G793" s="17">
        <v>22.546151999999999</v>
      </c>
      <c r="H793" s="17">
        <v>87.624858000000003</v>
      </c>
      <c r="I793" s="17"/>
      <c r="J793" s="17"/>
      <c r="K793" s="17"/>
      <c r="L793" s="17"/>
      <c r="M793" s="35" t="s">
        <v>2291</v>
      </c>
      <c r="N793" s="17">
        <v>9933713149</v>
      </c>
      <c r="O793" s="17">
        <v>24</v>
      </c>
      <c r="P793" s="17">
        <v>95</v>
      </c>
      <c r="Q793" s="17" t="s">
        <v>73</v>
      </c>
      <c r="R793" s="17" t="s">
        <v>74</v>
      </c>
      <c r="S793" s="17" t="s">
        <v>75</v>
      </c>
      <c r="T793" s="17"/>
      <c r="U793" s="17" t="s">
        <v>76</v>
      </c>
      <c r="V793" s="17" t="s">
        <v>77</v>
      </c>
      <c r="W793" s="17" t="s">
        <v>78</v>
      </c>
      <c r="X793" s="17">
        <v>3</v>
      </c>
      <c r="Y793" s="17">
        <v>0</v>
      </c>
      <c r="Z793" s="17"/>
      <c r="AA793" s="17" t="s">
        <v>73</v>
      </c>
      <c r="AB793" s="17" t="s">
        <v>79</v>
      </c>
      <c r="AC793" s="17">
        <v>2</v>
      </c>
      <c r="AD793" s="17">
        <v>0</v>
      </c>
      <c r="AE793" s="17">
        <v>0</v>
      </c>
      <c r="AF793" s="17"/>
      <c r="AG793" s="17" t="s">
        <v>81</v>
      </c>
      <c r="AH793" s="17" t="s">
        <v>82</v>
      </c>
      <c r="AI793" s="17" t="s">
        <v>83</v>
      </c>
      <c r="AJ793" s="17">
        <v>2111</v>
      </c>
      <c r="AK793" s="17" t="s">
        <v>75</v>
      </c>
      <c r="AL793" s="17" t="s">
        <v>75</v>
      </c>
      <c r="AM793" s="17" t="s">
        <v>75</v>
      </c>
      <c r="AN793" s="17" t="s">
        <v>84</v>
      </c>
      <c r="AO793" s="17" t="s">
        <v>75</v>
      </c>
      <c r="AP793" s="17"/>
      <c r="AQ793" s="17"/>
      <c r="AR793" s="17"/>
      <c r="AS793" s="17"/>
      <c r="AT793" s="17"/>
      <c r="AU793" s="17" t="s">
        <v>111</v>
      </c>
    </row>
    <row r="794" hidden="1">
      <c r="A794" s="17">
        <v>792</v>
      </c>
      <c r="B794" s="17" t="s">
        <v>52</v>
      </c>
      <c r="C794" s="34" t="s">
        <v>2318</v>
      </c>
      <c r="D794" s="35" t="s">
        <v>52</v>
      </c>
      <c r="E794" s="17" t="s">
        <v>2319</v>
      </c>
      <c r="F794" s="17" t="s">
        <v>2320</v>
      </c>
      <c r="G794" s="17">
        <v>22.333756000000001</v>
      </c>
      <c r="H794" s="17">
        <v>87.635437999999994</v>
      </c>
      <c r="I794" s="17"/>
      <c r="J794" s="17"/>
      <c r="K794" s="17"/>
      <c r="L794" s="17"/>
      <c r="M794" s="35" t="s">
        <v>1579</v>
      </c>
      <c r="N794" s="17">
        <v>7003188299</v>
      </c>
      <c r="O794" s="17">
        <v>21</v>
      </c>
      <c r="P794" s="17">
        <v>60</v>
      </c>
      <c r="Q794" s="17" t="s">
        <v>73</v>
      </c>
      <c r="R794" s="17" t="s">
        <v>74</v>
      </c>
      <c r="S794" s="17" t="s">
        <v>947</v>
      </c>
      <c r="T794" s="17"/>
      <c r="U794" s="17" t="s">
        <v>105</v>
      </c>
      <c r="V794" s="17" t="s">
        <v>77</v>
      </c>
      <c r="W794" s="17" t="s">
        <v>123</v>
      </c>
      <c r="X794" s="17">
        <v>3</v>
      </c>
      <c r="Y794" s="17">
        <v>2</v>
      </c>
      <c r="Z794" s="17"/>
      <c r="AA794" s="17" t="s">
        <v>73</v>
      </c>
      <c r="AB794" s="17" t="s">
        <v>79</v>
      </c>
      <c r="AC794" s="17">
        <v>1</v>
      </c>
      <c r="AD794" s="17">
        <v>0</v>
      </c>
      <c r="AE794" s="17">
        <v>0</v>
      </c>
      <c r="AF794" s="17" t="s">
        <v>2305</v>
      </c>
      <c r="AG794" s="17" t="s">
        <v>81</v>
      </c>
      <c r="AH794" s="17" t="s">
        <v>82</v>
      </c>
      <c r="AI794" s="17" t="s">
        <v>107</v>
      </c>
      <c r="AJ794" s="17"/>
      <c r="AK794" s="17" t="s">
        <v>75</v>
      </c>
      <c r="AL794" s="17" t="s">
        <v>75</v>
      </c>
      <c r="AM794" s="17" t="s">
        <v>75</v>
      </c>
      <c r="AN794" s="17" t="s">
        <v>125</v>
      </c>
      <c r="AO794" s="17" t="s">
        <v>75</v>
      </c>
      <c r="AP794" s="17"/>
      <c r="AQ794" s="17"/>
      <c r="AR794" s="17"/>
      <c r="AS794" s="17"/>
      <c r="AT794" s="17" t="s">
        <v>2321</v>
      </c>
      <c r="AU794" s="17" t="s">
        <v>127</v>
      </c>
    </row>
    <row r="795" hidden="1">
      <c r="A795" s="17">
        <v>793</v>
      </c>
      <c r="B795" s="17" t="s">
        <v>52</v>
      </c>
      <c r="C795" s="34" t="s">
        <v>2322</v>
      </c>
      <c r="D795" s="35" t="s">
        <v>52</v>
      </c>
      <c r="E795" s="17" t="s">
        <v>2323</v>
      </c>
      <c r="F795" s="17" t="s">
        <v>2324</v>
      </c>
      <c r="G795" s="17">
        <v>22.360672000000001</v>
      </c>
      <c r="H795" s="17">
        <v>87.498508999999999</v>
      </c>
      <c r="I795" s="17"/>
      <c r="J795" s="17"/>
      <c r="K795" s="17"/>
      <c r="L795" s="17"/>
      <c r="M795" s="35" t="s">
        <v>2284</v>
      </c>
      <c r="N795" s="17">
        <v>7003187431</v>
      </c>
      <c r="O795" s="17">
        <v>22</v>
      </c>
      <c r="P795" s="17">
        <v>95</v>
      </c>
      <c r="Q795" s="17" t="s">
        <v>413</v>
      </c>
      <c r="R795" s="17" t="s">
        <v>74</v>
      </c>
      <c r="S795" s="17" t="s">
        <v>75</v>
      </c>
      <c r="T795" s="17"/>
      <c r="U795" s="17" t="s">
        <v>160</v>
      </c>
      <c r="V795" s="17" t="s">
        <v>77</v>
      </c>
      <c r="W795" s="17" t="s">
        <v>161</v>
      </c>
      <c r="X795" s="17">
        <v>5</v>
      </c>
      <c r="Y795" s="17">
        <v>0</v>
      </c>
      <c r="Z795" s="17"/>
      <c r="AA795" s="17" t="s">
        <v>413</v>
      </c>
      <c r="AB795" s="17" t="s">
        <v>79</v>
      </c>
      <c r="AC795" s="17">
        <v>5</v>
      </c>
      <c r="AD795" s="17">
        <v>0</v>
      </c>
      <c r="AE795" s="17">
        <v>1</v>
      </c>
      <c r="AF795" s="22" t="s">
        <v>2325</v>
      </c>
      <c r="AG795" s="17" t="s">
        <v>81</v>
      </c>
      <c r="AH795" s="17" t="s">
        <v>82</v>
      </c>
      <c r="AI795" s="17" t="s">
        <v>83</v>
      </c>
      <c r="AJ795" s="17">
        <v>2111</v>
      </c>
      <c r="AK795" s="17" t="s">
        <v>189</v>
      </c>
      <c r="AL795" s="17" t="s">
        <v>75</v>
      </c>
      <c r="AM795" s="17" t="s">
        <v>75</v>
      </c>
      <c r="AN795" s="17" t="s">
        <v>84</v>
      </c>
      <c r="AO795" s="17"/>
      <c r="AP795" s="17"/>
      <c r="AQ795" s="17"/>
      <c r="AR795" s="17"/>
      <c r="AS795" s="17"/>
      <c r="AT795" s="17" t="s">
        <v>2326</v>
      </c>
      <c r="AU795" s="17" t="s">
        <v>127</v>
      </c>
    </row>
    <row r="796" hidden="1">
      <c r="A796" s="17">
        <v>794</v>
      </c>
      <c r="B796" s="17" t="s">
        <v>52</v>
      </c>
      <c r="C796" s="34" t="s">
        <v>2327</v>
      </c>
      <c r="D796" s="35" t="s">
        <v>52</v>
      </c>
      <c r="E796" s="17" t="s">
        <v>2328</v>
      </c>
      <c r="F796" s="17" t="s">
        <v>2329</v>
      </c>
      <c r="G796" s="17">
        <v>22.553961999999999</v>
      </c>
      <c r="H796" s="17">
        <v>87.601905000000002</v>
      </c>
      <c r="I796" s="17"/>
      <c r="J796" s="17"/>
      <c r="K796" s="17"/>
      <c r="L796" s="17"/>
      <c r="M796" s="35" t="s">
        <v>2291</v>
      </c>
      <c r="N796" s="17">
        <v>9933713149</v>
      </c>
      <c r="O796" s="17">
        <v>22</v>
      </c>
      <c r="P796" s="17">
        <v>55</v>
      </c>
      <c r="Q796" s="17" t="s">
        <v>105</v>
      </c>
      <c r="R796" s="17" t="s">
        <v>2300</v>
      </c>
      <c r="S796" s="17" t="s">
        <v>75</v>
      </c>
      <c r="T796" s="17"/>
      <c r="U796" s="17" t="s">
        <v>2285</v>
      </c>
      <c r="V796" s="17" t="s">
        <v>77</v>
      </c>
      <c r="W796" s="17" t="s">
        <v>330</v>
      </c>
      <c r="X796" s="17">
        <v>4</v>
      </c>
      <c r="Y796" s="17">
        <v>0</v>
      </c>
      <c r="Z796" s="17"/>
      <c r="AA796" s="17" t="s">
        <v>105</v>
      </c>
      <c r="AB796" s="17" t="s">
        <v>239</v>
      </c>
      <c r="AC796" s="17">
        <v>2</v>
      </c>
      <c r="AD796" s="17">
        <v>0</v>
      </c>
      <c r="AE796" s="17">
        <v>0</v>
      </c>
      <c r="AF796" s="17"/>
      <c r="AG796" s="17" t="s">
        <v>81</v>
      </c>
      <c r="AH796" s="17" t="s">
        <v>82</v>
      </c>
      <c r="AI796" s="17" t="s">
        <v>83</v>
      </c>
      <c r="AJ796" s="17">
        <v>2111</v>
      </c>
      <c r="AK796" s="17" t="s">
        <v>75</v>
      </c>
      <c r="AL796" s="17" t="s">
        <v>75</v>
      </c>
      <c r="AM796" s="17" t="s">
        <v>75</v>
      </c>
      <c r="AN796" s="17" t="s">
        <v>84</v>
      </c>
      <c r="AO796" s="17" t="s">
        <v>75</v>
      </c>
      <c r="AP796" s="17"/>
      <c r="AQ796" s="17"/>
      <c r="AR796" s="17"/>
      <c r="AS796" s="17"/>
      <c r="AT796" s="17"/>
      <c r="AU796" s="17" t="s">
        <v>127</v>
      </c>
    </row>
    <row r="797" hidden="1">
      <c r="A797" s="17">
        <v>795</v>
      </c>
      <c r="B797" s="17" t="s">
        <v>52</v>
      </c>
      <c r="C797" s="34" t="s">
        <v>2330</v>
      </c>
      <c r="D797" s="35" t="s">
        <v>52</v>
      </c>
      <c r="E797" s="17" t="s">
        <v>2331</v>
      </c>
      <c r="F797" s="17" t="s">
        <v>2332</v>
      </c>
      <c r="G797" s="17">
        <v>22.458418000000002</v>
      </c>
      <c r="H797" s="17">
        <v>87.613812999999993</v>
      </c>
      <c r="I797" s="17"/>
      <c r="J797" s="17"/>
      <c r="K797" s="17"/>
      <c r="L797" s="17"/>
      <c r="M797" s="35" t="s">
        <v>2291</v>
      </c>
      <c r="N797" s="17">
        <v>9933713149</v>
      </c>
      <c r="O797" s="17">
        <v>20</v>
      </c>
      <c r="P797" s="17">
        <v>130</v>
      </c>
      <c r="Q797" s="17" t="s">
        <v>105</v>
      </c>
      <c r="R797" s="17" t="s">
        <v>142</v>
      </c>
      <c r="S797" s="17" t="s">
        <v>75</v>
      </c>
      <c r="T797" s="17"/>
      <c r="U797" s="17" t="s">
        <v>105</v>
      </c>
      <c r="V797" s="17" t="s">
        <v>77</v>
      </c>
      <c r="W797" s="17" t="s">
        <v>454</v>
      </c>
      <c r="X797" s="17">
        <v>3</v>
      </c>
      <c r="Y797" s="17">
        <v>0</v>
      </c>
      <c r="Z797" s="17"/>
      <c r="AA797" s="17" t="s">
        <v>105</v>
      </c>
      <c r="AB797" s="17" t="s">
        <v>79</v>
      </c>
      <c r="AC797" s="17">
        <v>6</v>
      </c>
      <c r="AD797" s="17">
        <v>0</v>
      </c>
      <c r="AE797" s="17">
        <v>0</v>
      </c>
      <c r="AF797" s="17"/>
      <c r="AG797" s="17" t="s">
        <v>124</v>
      </c>
      <c r="AH797" s="17" t="s">
        <v>162</v>
      </c>
      <c r="AI797" s="17" t="s">
        <v>83</v>
      </c>
      <c r="AJ797" s="17">
        <v>2111</v>
      </c>
      <c r="AK797" s="17" t="s">
        <v>137</v>
      </c>
      <c r="AL797" s="17" t="s">
        <v>75</v>
      </c>
      <c r="AM797" s="17" t="s">
        <v>163</v>
      </c>
      <c r="AN797" s="17" t="s">
        <v>125</v>
      </c>
      <c r="AO797" s="17" t="s">
        <v>75</v>
      </c>
      <c r="AP797" s="17"/>
      <c r="AQ797" s="17"/>
      <c r="AR797" s="17"/>
      <c r="AS797" s="17"/>
      <c r="AT797" s="17"/>
      <c r="AU797" s="17" t="s">
        <v>127</v>
      </c>
    </row>
    <row r="798" hidden="1">
      <c r="A798" s="17">
        <v>796</v>
      </c>
      <c r="B798" s="17" t="s">
        <v>52</v>
      </c>
      <c r="C798" s="34" t="s">
        <v>2333</v>
      </c>
      <c r="D798" s="35" t="s">
        <v>52</v>
      </c>
      <c r="E798" s="17" t="s">
        <v>2334</v>
      </c>
      <c r="F798" s="17" t="s">
        <v>2335</v>
      </c>
      <c r="G798" s="17">
        <v>22.395377</v>
      </c>
      <c r="H798" s="17">
        <v>87.527897999999993</v>
      </c>
      <c r="I798" s="17"/>
      <c r="J798" s="17"/>
      <c r="K798" s="17"/>
      <c r="L798" s="17"/>
      <c r="M798" s="35" t="s">
        <v>2291</v>
      </c>
      <c r="N798" s="17">
        <v>9933713149</v>
      </c>
      <c r="O798" s="17">
        <v>22</v>
      </c>
      <c r="P798" s="17">
        <v>95</v>
      </c>
      <c r="Q798" s="17" t="s">
        <v>73</v>
      </c>
      <c r="R798" s="17" t="s">
        <v>74</v>
      </c>
      <c r="S798" s="17" t="s">
        <v>75</v>
      </c>
      <c r="T798" s="17"/>
      <c r="U798" s="17" t="s">
        <v>105</v>
      </c>
      <c r="V798" s="17" t="s">
        <v>77</v>
      </c>
      <c r="W798" s="17" t="s">
        <v>330</v>
      </c>
      <c r="X798" s="17">
        <v>4</v>
      </c>
      <c r="Y798" s="17">
        <v>1</v>
      </c>
      <c r="Z798" s="17"/>
      <c r="AA798" s="17" t="s">
        <v>73</v>
      </c>
      <c r="AB798" s="17" t="s">
        <v>79</v>
      </c>
      <c r="AC798" s="17">
        <v>2</v>
      </c>
      <c r="AD798" s="17">
        <v>0</v>
      </c>
      <c r="AE798" s="17">
        <v>0</v>
      </c>
      <c r="AF798" s="17"/>
      <c r="AG798" s="17" t="s">
        <v>124</v>
      </c>
      <c r="AH798" s="17" t="s">
        <v>82</v>
      </c>
      <c r="AI798" s="17" t="s">
        <v>83</v>
      </c>
      <c r="AJ798" s="17">
        <v>2111</v>
      </c>
      <c r="AK798" s="17" t="s">
        <v>137</v>
      </c>
      <c r="AL798" s="17" t="s">
        <v>75</v>
      </c>
      <c r="AM798" s="17" t="s">
        <v>163</v>
      </c>
      <c r="AN798" s="17" t="s">
        <v>125</v>
      </c>
      <c r="AO798" s="17" t="s">
        <v>75</v>
      </c>
      <c r="AP798" s="17"/>
      <c r="AQ798" s="17"/>
      <c r="AR798" s="17"/>
      <c r="AS798" s="17"/>
      <c r="AT798" s="17"/>
      <c r="AU798" s="17" t="s">
        <v>111</v>
      </c>
    </row>
    <row r="799" hidden="1">
      <c r="A799" s="17">
        <v>797</v>
      </c>
      <c r="B799" s="17" t="s">
        <v>52</v>
      </c>
      <c r="C799" s="34" t="s">
        <v>2336</v>
      </c>
      <c r="D799" s="35" t="s">
        <v>52</v>
      </c>
      <c r="E799" s="17" t="s">
        <v>2337</v>
      </c>
      <c r="F799" s="17" t="s">
        <v>2338</v>
      </c>
      <c r="G799" s="17">
        <v>22.460609999999999</v>
      </c>
      <c r="H799" s="17">
        <v>87.651369000000003</v>
      </c>
      <c r="I799" s="17"/>
      <c r="J799" s="17"/>
      <c r="K799" s="17"/>
      <c r="L799" s="17"/>
      <c r="M799" s="35" t="s">
        <v>2291</v>
      </c>
      <c r="N799" s="17">
        <v>9933713149</v>
      </c>
      <c r="O799" s="17">
        <v>23</v>
      </c>
      <c r="P799" s="17">
        <v>145</v>
      </c>
      <c r="Q799" s="17" t="s">
        <v>105</v>
      </c>
      <c r="R799" s="17" t="s">
        <v>142</v>
      </c>
      <c r="S799" s="17" t="s">
        <v>75</v>
      </c>
      <c r="T799" s="17"/>
      <c r="U799" s="17" t="s">
        <v>105</v>
      </c>
      <c r="V799" s="17" t="s">
        <v>77</v>
      </c>
      <c r="W799" s="17" t="s">
        <v>78</v>
      </c>
      <c r="X799" s="17">
        <v>5</v>
      </c>
      <c r="Y799" s="17">
        <v>0</v>
      </c>
      <c r="Z799" s="17"/>
      <c r="AA799" s="17" t="s">
        <v>105</v>
      </c>
      <c r="AB799" s="17" t="s">
        <v>79</v>
      </c>
      <c r="AC799" s="17">
        <v>6</v>
      </c>
      <c r="AD799" s="17">
        <v>0</v>
      </c>
      <c r="AE799" s="17">
        <v>0</v>
      </c>
      <c r="AF799" s="17"/>
      <c r="AG799" s="17" t="s">
        <v>81</v>
      </c>
      <c r="AH799" s="17" t="s">
        <v>162</v>
      </c>
      <c r="AI799" s="17" t="s">
        <v>107</v>
      </c>
      <c r="AJ799" s="17"/>
      <c r="AK799" s="17" t="s">
        <v>75</v>
      </c>
      <c r="AL799" s="17" t="s">
        <v>75</v>
      </c>
      <c r="AM799" s="17" t="s">
        <v>75</v>
      </c>
      <c r="AN799" s="17" t="s">
        <v>84</v>
      </c>
      <c r="AO799" s="17" t="s">
        <v>75</v>
      </c>
      <c r="AP799" s="17"/>
      <c r="AQ799" s="17"/>
      <c r="AR799" s="17"/>
      <c r="AS799" s="17"/>
      <c r="AT799" s="17"/>
      <c r="AU799" s="17" t="s">
        <v>111</v>
      </c>
    </row>
    <row r="800" hidden="1">
      <c r="A800" s="17">
        <v>798</v>
      </c>
      <c r="B800" s="17" t="s">
        <v>52</v>
      </c>
      <c r="C800" s="34" t="s">
        <v>2339</v>
      </c>
      <c r="D800" s="35" t="s">
        <v>52</v>
      </c>
      <c r="E800" s="17" t="s">
        <v>2340</v>
      </c>
      <c r="F800" s="17" t="s">
        <v>2341</v>
      </c>
      <c r="G800" s="17">
        <v>22.422585000000002</v>
      </c>
      <c r="H800" s="17">
        <v>87.631403000000006</v>
      </c>
      <c r="I800" s="17"/>
      <c r="J800" s="17"/>
      <c r="K800" s="17"/>
      <c r="L800" s="17"/>
      <c r="M800" s="35" t="s">
        <v>2291</v>
      </c>
      <c r="N800" s="17">
        <v>9933713149</v>
      </c>
      <c r="O800" s="17" t="s">
        <v>2342</v>
      </c>
      <c r="P800" s="17"/>
      <c r="Q800" s="17"/>
      <c r="R800" s="17"/>
      <c r="S800" s="17"/>
      <c r="T800" s="17"/>
      <c r="U800" s="17" t="s">
        <v>76</v>
      </c>
      <c r="V800" s="17" t="s">
        <v>77</v>
      </c>
      <c r="W800" s="17" t="s">
        <v>161</v>
      </c>
      <c r="X800" s="17">
        <v>7</v>
      </c>
      <c r="Y800" s="17">
        <v>2</v>
      </c>
      <c r="Z800" s="17"/>
      <c r="AA800" s="17"/>
      <c r="AB800" s="17"/>
      <c r="AC800" s="17"/>
      <c r="AD800" s="17"/>
      <c r="AE800" s="17"/>
      <c r="AF800" s="17"/>
      <c r="AG800" s="17" t="s">
        <v>81</v>
      </c>
      <c r="AH800" s="17" t="s">
        <v>82</v>
      </c>
      <c r="AI800" s="17" t="s">
        <v>107</v>
      </c>
      <c r="AJ800" s="17"/>
      <c r="AK800" s="17" t="s">
        <v>75</v>
      </c>
      <c r="AL800" s="17" t="s">
        <v>75</v>
      </c>
      <c r="AM800" s="17" t="s">
        <v>75</v>
      </c>
      <c r="AN800" s="17" t="s">
        <v>84</v>
      </c>
      <c r="AO800" s="17" t="s">
        <v>75</v>
      </c>
      <c r="AP800" s="17" t="s">
        <v>73</v>
      </c>
      <c r="AQ800" s="17" t="s">
        <v>2343</v>
      </c>
      <c r="AR800" s="17">
        <v>3</v>
      </c>
      <c r="AS800" s="17">
        <v>2</v>
      </c>
      <c r="AT800" s="17" t="s">
        <v>2344</v>
      </c>
      <c r="AU800" s="17" t="s">
        <v>127</v>
      </c>
    </row>
    <row r="801" hidden="1">
      <c r="A801" s="17">
        <v>799</v>
      </c>
      <c r="B801" s="17" t="s">
        <v>52</v>
      </c>
      <c r="C801" s="34" t="s">
        <v>2345</v>
      </c>
      <c r="D801" s="35" t="s">
        <v>52</v>
      </c>
      <c r="E801" s="17" t="s">
        <v>2346</v>
      </c>
      <c r="F801" s="17" t="s">
        <v>2347</v>
      </c>
      <c r="G801" s="17">
        <v>22.498888999999998</v>
      </c>
      <c r="H801" s="17">
        <v>87.628349</v>
      </c>
      <c r="I801" s="17"/>
      <c r="J801" s="17"/>
      <c r="K801" s="17"/>
      <c r="L801" s="17"/>
      <c r="M801" s="35" t="s">
        <v>2291</v>
      </c>
      <c r="N801" s="17">
        <v>9933713149</v>
      </c>
      <c r="O801" s="17">
        <v>22</v>
      </c>
      <c r="P801" s="17">
        <v>130</v>
      </c>
      <c r="Q801" s="17" t="s">
        <v>105</v>
      </c>
      <c r="R801" s="17" t="s">
        <v>142</v>
      </c>
      <c r="S801" s="17" t="s">
        <v>75</v>
      </c>
      <c r="T801" s="17"/>
      <c r="U801" s="17" t="s">
        <v>503</v>
      </c>
      <c r="V801" s="17" t="s">
        <v>504</v>
      </c>
      <c r="W801" s="17" t="s">
        <v>593</v>
      </c>
      <c r="X801" s="17">
        <v>3</v>
      </c>
      <c r="Y801" s="17">
        <v>0</v>
      </c>
      <c r="Z801" s="17"/>
      <c r="AA801" s="17" t="s">
        <v>105</v>
      </c>
      <c r="AB801" s="17" t="s">
        <v>79</v>
      </c>
      <c r="AC801" s="17">
        <v>6</v>
      </c>
      <c r="AD801" s="17">
        <v>0</v>
      </c>
      <c r="AE801" s="17">
        <v>0</v>
      </c>
      <c r="AF801" s="17"/>
      <c r="AG801" s="17" t="s">
        <v>81</v>
      </c>
      <c r="AH801" s="17" t="s">
        <v>82</v>
      </c>
      <c r="AI801" s="17" t="s">
        <v>107</v>
      </c>
      <c r="AJ801" s="17"/>
      <c r="AK801" s="17" t="s">
        <v>75</v>
      </c>
      <c r="AL801" s="17" t="s">
        <v>75</v>
      </c>
      <c r="AM801" s="17" t="s">
        <v>75</v>
      </c>
      <c r="AN801" s="17" t="s">
        <v>125</v>
      </c>
      <c r="AO801" s="17" t="s">
        <v>75</v>
      </c>
      <c r="AP801" s="17"/>
      <c r="AQ801" s="17"/>
      <c r="AR801" s="17"/>
      <c r="AS801" s="17"/>
      <c r="AT801" s="17" t="s">
        <v>2348</v>
      </c>
      <c r="AU801" s="17" t="s">
        <v>127</v>
      </c>
    </row>
    <row r="802" hidden="1">
      <c r="A802" s="17">
        <v>800</v>
      </c>
      <c r="B802" s="17" t="s">
        <v>52</v>
      </c>
      <c r="C802" s="34" t="s">
        <v>2349</v>
      </c>
      <c r="D802" s="35" t="s">
        <v>52</v>
      </c>
      <c r="E802" s="17" t="s">
        <v>2350</v>
      </c>
      <c r="F802" s="17" t="s">
        <v>2351</v>
      </c>
      <c r="G802" s="17">
        <v>22.482445999999999</v>
      </c>
      <c r="H802" s="17">
        <v>87.612365999999994</v>
      </c>
      <c r="I802" s="17"/>
      <c r="J802" s="17"/>
      <c r="K802" s="17"/>
      <c r="L802" s="17"/>
      <c r="M802" s="35" t="s">
        <v>2291</v>
      </c>
      <c r="N802" s="17">
        <v>9933713149</v>
      </c>
      <c r="O802" s="17">
        <v>23</v>
      </c>
      <c r="P802" s="17">
        <v>55</v>
      </c>
      <c r="Q802" s="17" t="s">
        <v>73</v>
      </c>
      <c r="R802" s="17" t="s">
        <v>74</v>
      </c>
      <c r="S802" s="17" t="s">
        <v>75</v>
      </c>
      <c r="T802" s="17"/>
      <c r="U802" s="17" t="s">
        <v>76</v>
      </c>
      <c r="V802" s="17" t="s">
        <v>77</v>
      </c>
      <c r="W802" s="17" t="s">
        <v>454</v>
      </c>
      <c r="X802" s="17">
        <v>3</v>
      </c>
      <c r="Y802" s="17">
        <v>1</v>
      </c>
      <c r="Z802" s="17"/>
      <c r="AA802" s="17" t="s">
        <v>73</v>
      </c>
      <c r="AB802" s="17" t="s">
        <v>79</v>
      </c>
      <c r="AC802" s="17">
        <v>4</v>
      </c>
      <c r="AD802" s="17">
        <v>0</v>
      </c>
      <c r="AE802" s="17">
        <v>2</v>
      </c>
      <c r="AF802" s="17"/>
      <c r="AG802" s="17" t="s">
        <v>124</v>
      </c>
      <c r="AH802" s="17" t="s">
        <v>82</v>
      </c>
      <c r="AI802" s="17" t="s">
        <v>83</v>
      </c>
      <c r="AJ802" s="17">
        <v>2111</v>
      </c>
      <c r="AK802" s="17" t="s">
        <v>75</v>
      </c>
      <c r="AL802" s="17" t="s">
        <v>75</v>
      </c>
      <c r="AM802" s="17" t="s">
        <v>75</v>
      </c>
      <c r="AN802" s="17" t="s">
        <v>125</v>
      </c>
      <c r="AO802" s="17" t="s">
        <v>75</v>
      </c>
      <c r="AP802" s="17"/>
      <c r="AQ802" s="17"/>
      <c r="AR802" s="17"/>
      <c r="AS802" s="17"/>
      <c r="AT802" s="17"/>
      <c r="AU802" s="17" t="s">
        <v>111</v>
      </c>
    </row>
    <row r="803" hidden="1">
      <c r="A803" s="17">
        <v>801</v>
      </c>
      <c r="B803" s="17" t="s">
        <v>52</v>
      </c>
      <c r="C803" s="34" t="s">
        <v>2352</v>
      </c>
      <c r="D803" s="35" t="s">
        <v>52</v>
      </c>
      <c r="E803" s="17" t="s">
        <v>2353</v>
      </c>
      <c r="F803" s="17" t="s">
        <v>2354</v>
      </c>
      <c r="G803" s="17">
        <v>22.402820999999999</v>
      </c>
      <c r="H803" s="17">
        <v>87.587142</v>
      </c>
      <c r="I803" s="17"/>
      <c r="J803" s="17"/>
      <c r="K803" s="17"/>
      <c r="L803" s="17"/>
      <c r="M803" s="35" t="s">
        <v>2291</v>
      </c>
      <c r="N803" s="17">
        <v>9933713149</v>
      </c>
      <c r="O803" s="17">
        <v>23</v>
      </c>
      <c r="P803" s="17">
        <v>90</v>
      </c>
      <c r="Q803" s="17" t="s">
        <v>73</v>
      </c>
      <c r="R803" s="17" t="s">
        <v>74</v>
      </c>
      <c r="S803" s="17" t="s">
        <v>75</v>
      </c>
      <c r="T803" s="17"/>
      <c r="U803" s="17" t="s">
        <v>105</v>
      </c>
      <c r="V803" s="17" t="s">
        <v>77</v>
      </c>
      <c r="W803" s="17" t="s">
        <v>123</v>
      </c>
      <c r="X803" s="17">
        <v>2</v>
      </c>
      <c r="Y803" s="17">
        <v>0</v>
      </c>
      <c r="Z803" s="17" t="s">
        <v>2355</v>
      </c>
      <c r="AA803" s="17" t="s">
        <v>73</v>
      </c>
      <c r="AB803" s="17" t="s">
        <v>79</v>
      </c>
      <c r="AC803" s="17">
        <v>2</v>
      </c>
      <c r="AD803" s="17">
        <v>0</v>
      </c>
      <c r="AE803" s="17">
        <v>0</v>
      </c>
      <c r="AF803" s="17"/>
      <c r="AG803" s="17" t="s">
        <v>124</v>
      </c>
      <c r="AH803" s="17" t="s">
        <v>82</v>
      </c>
      <c r="AI803" s="17" t="s">
        <v>83</v>
      </c>
      <c r="AJ803" s="17">
        <v>2111</v>
      </c>
      <c r="AK803" s="17" t="s">
        <v>75</v>
      </c>
      <c r="AL803" s="17" t="s">
        <v>75</v>
      </c>
      <c r="AM803" s="17" t="s">
        <v>75</v>
      </c>
      <c r="AN803" s="17" t="s">
        <v>125</v>
      </c>
      <c r="AO803" s="17" t="s">
        <v>75</v>
      </c>
      <c r="AP803" s="17"/>
      <c r="AQ803" s="17"/>
      <c r="AR803" s="17"/>
      <c r="AS803" s="17"/>
      <c r="AT803" s="17"/>
      <c r="AU803" s="17" t="s">
        <v>127</v>
      </c>
    </row>
    <row r="804" hidden="1">
      <c r="A804" s="17">
        <v>802</v>
      </c>
      <c r="B804" s="17" t="s">
        <v>52</v>
      </c>
      <c r="C804" s="34" t="s">
        <v>2356</v>
      </c>
      <c r="D804" s="35" t="s">
        <v>52</v>
      </c>
      <c r="E804" s="17" t="s">
        <v>2357</v>
      </c>
      <c r="F804" s="17" t="s">
        <v>2358</v>
      </c>
      <c r="G804" s="17">
        <v>22.431272</v>
      </c>
      <c r="H804" s="17">
        <v>87.541471999999999</v>
      </c>
      <c r="I804" s="17"/>
      <c r="J804" s="17"/>
      <c r="K804" s="17"/>
      <c r="L804" s="17"/>
      <c r="M804" s="35" t="s">
        <v>2291</v>
      </c>
      <c r="N804" s="17">
        <v>9933713149</v>
      </c>
      <c r="O804" s="17">
        <v>12</v>
      </c>
      <c r="P804" s="17">
        <v>110</v>
      </c>
      <c r="Q804" s="17" t="s">
        <v>73</v>
      </c>
      <c r="R804" s="17" t="s">
        <v>74</v>
      </c>
      <c r="S804" s="17" t="s">
        <v>75</v>
      </c>
      <c r="T804" s="17"/>
      <c r="U804" s="17" t="s">
        <v>105</v>
      </c>
      <c r="V804" s="17" t="s">
        <v>77</v>
      </c>
      <c r="W804" s="17" t="s">
        <v>330</v>
      </c>
      <c r="X804" s="17">
        <v>6</v>
      </c>
      <c r="Y804" s="17">
        <v>0</v>
      </c>
      <c r="Z804" s="17"/>
      <c r="AA804" s="17" t="s">
        <v>73</v>
      </c>
      <c r="AB804" s="17" t="s">
        <v>79</v>
      </c>
      <c r="AC804" s="17">
        <v>2</v>
      </c>
      <c r="AD804" s="17">
        <v>0</v>
      </c>
      <c r="AE804" s="17">
        <v>0</v>
      </c>
      <c r="AF804" s="17"/>
      <c r="AG804" s="17" t="s">
        <v>81</v>
      </c>
      <c r="AH804" s="17" t="s">
        <v>82</v>
      </c>
      <c r="AI804" s="17" t="s">
        <v>107</v>
      </c>
      <c r="AJ804" s="17"/>
      <c r="AK804" s="17" t="s">
        <v>75</v>
      </c>
      <c r="AL804" s="17" t="s">
        <v>75</v>
      </c>
      <c r="AM804" s="17" t="s">
        <v>75</v>
      </c>
      <c r="AN804" s="17" t="s">
        <v>84</v>
      </c>
      <c r="AO804" s="17" t="s">
        <v>75</v>
      </c>
      <c r="AP804" s="17"/>
      <c r="AQ804" s="17"/>
      <c r="AR804" s="17"/>
      <c r="AS804" s="17"/>
      <c r="AT804" s="17" t="s">
        <v>2359</v>
      </c>
      <c r="AU804" s="17" t="s">
        <v>111</v>
      </c>
    </row>
    <row r="805" hidden="1">
      <c r="A805" s="17">
        <v>803</v>
      </c>
      <c r="B805" s="17" t="s">
        <v>52</v>
      </c>
      <c r="C805" s="34" t="s">
        <v>2360</v>
      </c>
      <c r="D805" s="35" t="s">
        <v>52</v>
      </c>
      <c r="E805" s="17" t="s">
        <v>2361</v>
      </c>
      <c r="F805" s="17" t="s">
        <v>2362</v>
      </c>
      <c r="G805" s="17">
        <v>22.401754</v>
      </c>
      <c r="H805" s="17">
        <v>87.560283999999996</v>
      </c>
      <c r="I805" s="17"/>
      <c r="J805" s="17"/>
      <c r="K805" s="17"/>
      <c r="L805" s="17"/>
      <c r="M805" s="35" t="s">
        <v>2291</v>
      </c>
      <c r="N805" s="17">
        <v>9933713149</v>
      </c>
      <c r="O805" s="17">
        <v>23</v>
      </c>
      <c r="P805" s="17">
        <v>100</v>
      </c>
      <c r="Q805" s="17" t="s">
        <v>187</v>
      </c>
      <c r="R805" s="17" t="s">
        <v>339</v>
      </c>
      <c r="S805" s="17" t="s">
        <v>75</v>
      </c>
      <c r="T805" s="17"/>
      <c r="U805" s="17" t="s">
        <v>76</v>
      </c>
      <c r="V805" s="17" t="s">
        <v>77</v>
      </c>
      <c r="W805" s="17" t="s">
        <v>78</v>
      </c>
      <c r="X805" s="17">
        <v>5</v>
      </c>
      <c r="Y805" s="17">
        <v>2</v>
      </c>
      <c r="Z805" s="17" t="s">
        <v>2363</v>
      </c>
      <c r="AA805" s="17" t="s">
        <v>187</v>
      </c>
      <c r="AB805" s="17" t="s">
        <v>79</v>
      </c>
      <c r="AC805" s="17">
        <v>4</v>
      </c>
      <c r="AD805" s="17">
        <v>0</v>
      </c>
      <c r="AE805" s="17">
        <v>0</v>
      </c>
      <c r="AF805" s="17"/>
      <c r="AG805" s="17" t="s">
        <v>124</v>
      </c>
      <c r="AH805" s="17" t="s">
        <v>82</v>
      </c>
      <c r="AI805" s="17" t="s">
        <v>83</v>
      </c>
      <c r="AJ805" s="17">
        <v>2111</v>
      </c>
      <c r="AK805" s="17" t="s">
        <v>75</v>
      </c>
      <c r="AL805" s="17" t="s">
        <v>75</v>
      </c>
      <c r="AM805" s="17" t="s">
        <v>75</v>
      </c>
      <c r="AN805" s="17" t="s">
        <v>125</v>
      </c>
      <c r="AO805" s="17" t="s">
        <v>75</v>
      </c>
      <c r="AP805" s="17"/>
      <c r="AQ805" s="17"/>
      <c r="AR805" s="17"/>
      <c r="AS805" s="17"/>
      <c r="AT805" s="17"/>
      <c r="AU805" s="17" t="s">
        <v>111</v>
      </c>
    </row>
    <row r="806" hidden="1">
      <c r="A806" s="17">
        <v>804</v>
      </c>
      <c r="B806" s="17" t="s">
        <v>52</v>
      </c>
      <c r="C806" s="34" t="s">
        <v>2364</v>
      </c>
      <c r="D806" s="35" t="s">
        <v>52</v>
      </c>
      <c r="E806" s="17" t="s">
        <v>2365</v>
      </c>
      <c r="F806" s="17" t="s">
        <v>2366</v>
      </c>
      <c r="G806" s="17">
        <v>22.333410000000001</v>
      </c>
      <c r="H806" s="17">
        <v>87.554919999999996</v>
      </c>
      <c r="I806" s="17"/>
      <c r="J806" s="17"/>
      <c r="K806" s="17"/>
      <c r="L806" s="17"/>
      <c r="M806" s="35" t="s">
        <v>1579</v>
      </c>
      <c r="N806" s="17">
        <v>7003188299</v>
      </c>
      <c r="O806" s="17">
        <v>22</v>
      </c>
      <c r="P806" s="17">
        <v>60</v>
      </c>
      <c r="Q806" s="17" t="s">
        <v>73</v>
      </c>
      <c r="R806" s="17" t="s">
        <v>74</v>
      </c>
      <c r="S806" s="17" t="s">
        <v>75</v>
      </c>
      <c r="T806" s="17"/>
      <c r="U806" s="17" t="s">
        <v>76</v>
      </c>
      <c r="V806" s="17" t="s">
        <v>77</v>
      </c>
      <c r="W806" s="17" t="s">
        <v>78</v>
      </c>
      <c r="X806" s="17">
        <v>3</v>
      </c>
      <c r="Y806" s="17">
        <v>1</v>
      </c>
      <c r="Z806" s="17"/>
      <c r="AA806" s="17" t="s">
        <v>73</v>
      </c>
      <c r="AB806" s="17" t="s">
        <v>79</v>
      </c>
      <c r="AC806" s="17">
        <v>1</v>
      </c>
      <c r="AD806" s="17">
        <v>0</v>
      </c>
      <c r="AE806" s="17">
        <v>0</v>
      </c>
      <c r="AF806" s="17" t="s">
        <v>2305</v>
      </c>
      <c r="AG806" s="17" t="s">
        <v>81</v>
      </c>
      <c r="AH806" s="17" t="s">
        <v>82</v>
      </c>
      <c r="AI806" s="17" t="s">
        <v>107</v>
      </c>
      <c r="AJ806" s="17"/>
      <c r="AK806" s="17" t="s">
        <v>137</v>
      </c>
      <c r="AL806" s="17" t="s">
        <v>75</v>
      </c>
      <c r="AM806" s="17" t="s">
        <v>137</v>
      </c>
      <c r="AN806" s="17" t="s">
        <v>84</v>
      </c>
      <c r="AO806" s="17" t="s">
        <v>109</v>
      </c>
      <c r="AP806" s="17"/>
      <c r="AQ806" s="17"/>
      <c r="AR806" s="17"/>
      <c r="AS806" s="17"/>
      <c r="AT806" s="17" t="s">
        <v>2367</v>
      </c>
      <c r="AU806" s="17" t="s">
        <v>2368</v>
      </c>
    </row>
    <row r="807" hidden="1">
      <c r="A807" s="17">
        <v>805</v>
      </c>
      <c r="B807" s="17" t="s">
        <v>52</v>
      </c>
      <c r="C807" s="34" t="s">
        <v>2369</v>
      </c>
      <c r="D807" s="35" t="s">
        <v>52</v>
      </c>
      <c r="E807" s="17" t="s">
        <v>2370</v>
      </c>
      <c r="F807" s="17" t="s">
        <v>2371</v>
      </c>
      <c r="G807" s="17">
        <v>22.362130000000001</v>
      </c>
      <c r="H807" s="17">
        <v>87.611135000000004</v>
      </c>
      <c r="I807" s="17"/>
      <c r="J807" s="17"/>
      <c r="K807" s="17"/>
      <c r="L807" s="17"/>
      <c r="M807" s="35" t="s">
        <v>1579</v>
      </c>
      <c r="N807" s="17">
        <v>7003188299</v>
      </c>
      <c r="O807" s="17">
        <v>21</v>
      </c>
      <c r="P807" s="17">
        <v>180</v>
      </c>
      <c r="Q807" s="17" t="s">
        <v>187</v>
      </c>
      <c r="R807" s="17" t="s">
        <v>74</v>
      </c>
      <c r="S807" s="17" t="s">
        <v>75</v>
      </c>
      <c r="T807" s="17"/>
      <c r="U807" s="17" t="s">
        <v>76</v>
      </c>
      <c r="V807" s="17" t="s">
        <v>77</v>
      </c>
      <c r="W807" s="17" t="s">
        <v>454</v>
      </c>
      <c r="X807" s="17">
        <v>5</v>
      </c>
      <c r="Y807" s="17">
        <v>1</v>
      </c>
      <c r="Z807" s="17"/>
      <c r="AA807" s="17" t="s">
        <v>187</v>
      </c>
      <c r="AB807" s="17" t="s">
        <v>79</v>
      </c>
      <c r="AC807" s="17">
        <v>3</v>
      </c>
      <c r="AD807" s="17">
        <v>0</v>
      </c>
      <c r="AE807" s="17">
        <v>0</v>
      </c>
      <c r="AF807" s="17" t="s">
        <v>2372</v>
      </c>
      <c r="AG807" s="17" t="s">
        <v>81</v>
      </c>
      <c r="AH807" s="17" t="s">
        <v>82</v>
      </c>
      <c r="AI807" s="17" t="s">
        <v>107</v>
      </c>
      <c r="AJ807" s="17"/>
      <c r="AK807" s="17" t="s">
        <v>75</v>
      </c>
      <c r="AL807" s="17" t="s">
        <v>75</v>
      </c>
      <c r="AM807" s="17" t="s">
        <v>75</v>
      </c>
      <c r="AN807" s="17" t="s">
        <v>84</v>
      </c>
      <c r="AO807" s="17" t="s">
        <v>109</v>
      </c>
      <c r="AP807" s="17"/>
      <c r="AQ807" s="17"/>
      <c r="AR807" s="17"/>
      <c r="AS807" s="17"/>
      <c r="AT807" s="17" t="s">
        <v>2373</v>
      </c>
      <c r="AU807" s="17" t="s">
        <v>111</v>
      </c>
    </row>
    <row r="808" hidden="1">
      <c r="A808" s="17">
        <v>806</v>
      </c>
      <c r="B808" s="17" t="s">
        <v>52</v>
      </c>
      <c r="C808" s="34" t="s">
        <v>2374</v>
      </c>
      <c r="D808" s="35" t="s">
        <v>52</v>
      </c>
      <c r="E808" s="17" t="s">
        <v>2375</v>
      </c>
      <c r="F808" s="17" t="s">
        <v>2376</v>
      </c>
      <c r="G808" s="17">
        <v>22.323685000000001</v>
      </c>
      <c r="H808" s="17">
        <v>87.52431</v>
      </c>
      <c r="I808" s="17"/>
      <c r="J808" s="17"/>
      <c r="K808" s="17"/>
      <c r="L808" s="17"/>
      <c r="M808" s="35" t="s">
        <v>1579</v>
      </c>
      <c r="N808" s="17">
        <v>7003188299</v>
      </c>
      <c r="O808" s="17">
        <v>21</v>
      </c>
      <c r="P808" s="17">
        <v>180</v>
      </c>
      <c r="Q808" s="17" t="s">
        <v>73</v>
      </c>
      <c r="R808" s="17" t="s">
        <v>74</v>
      </c>
      <c r="S808" s="17" t="s">
        <v>75</v>
      </c>
      <c r="T808" s="17"/>
      <c r="U808" s="17" t="s">
        <v>160</v>
      </c>
      <c r="V808" s="17" t="s">
        <v>77</v>
      </c>
      <c r="W808" s="17" t="s">
        <v>136</v>
      </c>
      <c r="X808" s="17">
        <v>3</v>
      </c>
      <c r="Y808" s="17">
        <v>1</v>
      </c>
      <c r="Z808" s="17"/>
      <c r="AA808" s="17" t="s">
        <v>73</v>
      </c>
      <c r="AB808" s="17" t="s">
        <v>79</v>
      </c>
      <c r="AC808" s="17">
        <v>2</v>
      </c>
      <c r="AD808" s="17">
        <v>0</v>
      </c>
      <c r="AE808" s="17">
        <v>0</v>
      </c>
      <c r="AF808" s="17" t="s">
        <v>2377</v>
      </c>
      <c r="AG808" s="17" t="s">
        <v>124</v>
      </c>
      <c r="AH808" s="17" t="s">
        <v>82</v>
      </c>
      <c r="AI808" s="17" t="s">
        <v>83</v>
      </c>
      <c r="AJ808" s="17">
        <v>2111</v>
      </c>
      <c r="AK808" s="17" t="s">
        <v>75</v>
      </c>
      <c r="AL808" s="17" t="s">
        <v>75</v>
      </c>
      <c r="AM808" s="17" t="s">
        <v>75</v>
      </c>
      <c r="AN808" s="17" t="s">
        <v>84</v>
      </c>
      <c r="AO808" s="17" t="s">
        <v>137</v>
      </c>
      <c r="AP808" s="17"/>
      <c r="AQ808" s="17"/>
      <c r="AR808" s="17"/>
      <c r="AS808" s="17"/>
      <c r="AT808" s="17" t="s">
        <v>2378</v>
      </c>
      <c r="AU808" s="17" t="s">
        <v>111</v>
      </c>
    </row>
    <row r="809" hidden="1">
      <c r="A809" s="17">
        <v>807</v>
      </c>
      <c r="B809" s="17" t="s">
        <v>52</v>
      </c>
      <c r="C809" s="34" t="s">
        <v>2379</v>
      </c>
      <c r="D809" s="35" t="s">
        <v>52</v>
      </c>
      <c r="E809" s="17" t="s">
        <v>2380</v>
      </c>
      <c r="F809" s="17" t="s">
        <v>2381</v>
      </c>
      <c r="G809" s="17">
        <v>22.36655</v>
      </c>
      <c r="H809" s="17">
        <v>87.53546</v>
      </c>
      <c r="I809" s="17"/>
      <c r="J809" s="17"/>
      <c r="K809" s="17"/>
      <c r="L809" s="17"/>
      <c r="M809" s="35" t="s">
        <v>2291</v>
      </c>
      <c r="N809" s="17">
        <v>9933713149</v>
      </c>
      <c r="O809" s="17">
        <v>22</v>
      </c>
      <c r="P809" s="17">
        <v>100</v>
      </c>
      <c r="Q809" s="17" t="s">
        <v>105</v>
      </c>
      <c r="R809" s="17" t="s">
        <v>238</v>
      </c>
      <c r="S809" s="17" t="s">
        <v>75</v>
      </c>
      <c r="T809" s="17"/>
      <c r="U809" s="17" t="s">
        <v>2285</v>
      </c>
      <c r="V809" s="17" t="s">
        <v>77</v>
      </c>
      <c r="W809" s="17" t="s">
        <v>454</v>
      </c>
      <c r="X809" s="17">
        <v>5</v>
      </c>
      <c r="Y809" s="17">
        <v>2</v>
      </c>
      <c r="Z809" s="17"/>
      <c r="AA809" s="17" t="s">
        <v>105</v>
      </c>
      <c r="AB809" s="17" t="s">
        <v>239</v>
      </c>
      <c r="AC809" s="17">
        <v>6</v>
      </c>
      <c r="AD809" s="17">
        <v>0</v>
      </c>
      <c r="AE809" s="17">
        <v>3</v>
      </c>
      <c r="AF809" s="17" t="s">
        <v>2382</v>
      </c>
      <c r="AG809" s="17" t="s">
        <v>124</v>
      </c>
      <c r="AH809" s="17" t="s">
        <v>82</v>
      </c>
      <c r="AI809" s="17" t="s">
        <v>83</v>
      </c>
      <c r="AJ809" s="17">
        <v>2111</v>
      </c>
      <c r="AK809" s="17" t="s">
        <v>75</v>
      </c>
      <c r="AL809" s="17" t="s">
        <v>75</v>
      </c>
      <c r="AM809" s="17" t="s">
        <v>163</v>
      </c>
      <c r="AN809" s="17" t="s">
        <v>84</v>
      </c>
      <c r="AO809" s="17" t="s">
        <v>137</v>
      </c>
      <c r="AP809" s="17"/>
      <c r="AQ809" s="17"/>
      <c r="AR809" s="17"/>
      <c r="AS809" s="17"/>
      <c r="AT809" s="17"/>
      <c r="AU809" s="17" t="s">
        <v>127</v>
      </c>
    </row>
    <row r="810" hidden="1">
      <c r="A810" s="17">
        <v>808</v>
      </c>
      <c r="B810" s="17" t="s">
        <v>52</v>
      </c>
      <c r="C810" s="34" t="s">
        <v>2383</v>
      </c>
      <c r="D810" s="35" t="s">
        <v>52</v>
      </c>
      <c r="E810" s="17" t="s">
        <v>2384</v>
      </c>
      <c r="F810" s="17" t="s">
        <v>2385</v>
      </c>
      <c r="G810" s="17">
        <v>22.312760000000001</v>
      </c>
      <c r="H810" s="17">
        <v>87.574437000000003</v>
      </c>
      <c r="I810" s="17"/>
      <c r="J810" s="17"/>
      <c r="K810" s="17"/>
      <c r="L810" s="17"/>
      <c r="M810" s="35" t="s">
        <v>1579</v>
      </c>
      <c r="N810" s="17">
        <v>7003188299</v>
      </c>
      <c r="O810" s="17">
        <v>22</v>
      </c>
      <c r="P810" s="17">
        <v>60</v>
      </c>
      <c r="Q810" s="17" t="s">
        <v>73</v>
      </c>
      <c r="R810" s="17" t="s">
        <v>74</v>
      </c>
      <c r="S810" s="17" t="s">
        <v>75</v>
      </c>
      <c r="T810" s="17"/>
      <c r="U810" s="17" t="s">
        <v>160</v>
      </c>
      <c r="V810" s="17" t="s">
        <v>77</v>
      </c>
      <c r="W810" s="17" t="s">
        <v>454</v>
      </c>
      <c r="X810" s="17">
        <v>2</v>
      </c>
      <c r="Y810" s="17">
        <v>0</v>
      </c>
      <c r="Z810" s="17"/>
      <c r="AA810" s="17" t="s">
        <v>73</v>
      </c>
      <c r="AB810" s="17" t="s">
        <v>79</v>
      </c>
      <c r="AC810" s="17">
        <v>1</v>
      </c>
      <c r="AD810" s="17">
        <v>0</v>
      </c>
      <c r="AE810" s="17">
        <v>0</v>
      </c>
      <c r="AF810" s="17" t="s">
        <v>2386</v>
      </c>
      <c r="AG810" s="17" t="s">
        <v>124</v>
      </c>
      <c r="AH810" s="17" t="s">
        <v>82</v>
      </c>
      <c r="AI810" s="17" t="s">
        <v>83</v>
      </c>
      <c r="AJ810" s="17">
        <v>2111</v>
      </c>
      <c r="AK810" s="17" t="s">
        <v>75</v>
      </c>
      <c r="AL810" s="17" t="s">
        <v>75</v>
      </c>
      <c r="AM810" s="17" t="s">
        <v>75</v>
      </c>
      <c r="AN810" s="17" t="s">
        <v>84</v>
      </c>
      <c r="AO810" s="17" t="s">
        <v>75</v>
      </c>
      <c r="AP810" s="17"/>
      <c r="AQ810" s="17"/>
      <c r="AR810" s="17"/>
      <c r="AS810" s="17"/>
      <c r="AT810" s="17" t="s">
        <v>2387</v>
      </c>
      <c r="AU810" s="17" t="s">
        <v>111</v>
      </c>
    </row>
    <row r="811" hidden="1">
      <c r="A811" s="17">
        <v>809</v>
      </c>
      <c r="B811" s="17" t="s">
        <v>52</v>
      </c>
      <c r="C811" s="34" t="s">
        <v>2388</v>
      </c>
      <c r="D811" s="35" t="s">
        <v>52</v>
      </c>
      <c r="E811" s="17" t="s">
        <v>2389</v>
      </c>
      <c r="F811" s="17" t="s">
        <v>2390</v>
      </c>
      <c r="G811" s="17">
        <v>22.33521</v>
      </c>
      <c r="H811" s="17">
        <v>87.577439999999996</v>
      </c>
      <c r="I811" s="17"/>
      <c r="J811" s="17"/>
      <c r="K811" s="17"/>
      <c r="L811" s="17"/>
      <c r="M811" s="35" t="s">
        <v>1579</v>
      </c>
      <c r="N811" s="17">
        <v>7003188299</v>
      </c>
      <c r="O811" s="17">
        <v>22</v>
      </c>
      <c r="P811" s="17">
        <v>60</v>
      </c>
      <c r="Q811" s="17" t="s">
        <v>105</v>
      </c>
      <c r="R811" s="17" t="s">
        <v>74</v>
      </c>
      <c r="S811" s="17" t="s">
        <v>947</v>
      </c>
      <c r="T811" s="17" t="s">
        <v>584</v>
      </c>
      <c r="U811" s="17" t="s">
        <v>160</v>
      </c>
      <c r="V811" s="17" t="s">
        <v>77</v>
      </c>
      <c r="W811" s="17" t="s">
        <v>123</v>
      </c>
      <c r="X811" s="17">
        <v>2</v>
      </c>
      <c r="Y811" s="17">
        <v>0</v>
      </c>
      <c r="Z811" s="17"/>
      <c r="AA811" s="17" t="s">
        <v>105</v>
      </c>
      <c r="AB811" s="17" t="s">
        <v>79</v>
      </c>
      <c r="AC811" s="17">
        <v>2</v>
      </c>
      <c r="AD811" s="17">
        <v>0</v>
      </c>
      <c r="AE811" s="17">
        <v>0</v>
      </c>
      <c r="AF811" s="17"/>
      <c r="AG811" s="17" t="s">
        <v>124</v>
      </c>
      <c r="AH811" s="17" t="s">
        <v>82</v>
      </c>
      <c r="AI811" s="17" t="s">
        <v>83</v>
      </c>
      <c r="AJ811" s="17">
        <v>2111</v>
      </c>
      <c r="AK811" s="17" t="s">
        <v>75</v>
      </c>
      <c r="AL811" s="17" t="s">
        <v>75</v>
      </c>
      <c r="AM811" s="17" t="s">
        <v>75</v>
      </c>
      <c r="AN811" s="17" t="s">
        <v>84</v>
      </c>
      <c r="AO811" s="17" t="s">
        <v>109</v>
      </c>
      <c r="AP811" s="17"/>
      <c r="AQ811" s="17"/>
      <c r="AR811" s="17"/>
      <c r="AS811" s="17"/>
      <c r="AT811" s="17" t="s">
        <v>2391</v>
      </c>
      <c r="AU811" s="17" t="s">
        <v>111</v>
      </c>
    </row>
    <row r="812" hidden="1">
      <c r="A812" s="17">
        <v>810</v>
      </c>
      <c r="B812" s="17" t="s">
        <v>52</v>
      </c>
      <c r="C812" s="34" t="s">
        <v>2392</v>
      </c>
      <c r="D812" s="35" t="s">
        <v>52</v>
      </c>
      <c r="E812" s="17" t="s">
        <v>2393</v>
      </c>
      <c r="F812" s="17" t="s">
        <v>2394</v>
      </c>
      <c r="G812" s="17">
        <v>22.51652</v>
      </c>
      <c r="H812" s="17">
        <v>87.601560000000006</v>
      </c>
      <c r="I812" s="17"/>
      <c r="J812" s="17"/>
      <c r="K812" s="17"/>
      <c r="L812" s="17"/>
      <c r="M812" s="35" t="s">
        <v>2291</v>
      </c>
      <c r="N812" s="17">
        <v>9933713149</v>
      </c>
      <c r="O812" s="17">
        <v>22</v>
      </c>
      <c r="P812" s="17">
        <v>90</v>
      </c>
      <c r="Q812" s="17" t="s">
        <v>73</v>
      </c>
      <c r="R812" s="17" t="s">
        <v>74</v>
      </c>
      <c r="S812" s="17" t="s">
        <v>75</v>
      </c>
      <c r="T812" s="17"/>
      <c r="U812" s="17" t="s">
        <v>2285</v>
      </c>
      <c r="V812" s="17" t="s">
        <v>77</v>
      </c>
      <c r="W812" s="17" t="s">
        <v>78</v>
      </c>
      <c r="X812" s="17">
        <v>3</v>
      </c>
      <c r="Y812" s="17">
        <v>0</v>
      </c>
      <c r="Z812" s="17"/>
      <c r="AA812" s="17" t="s">
        <v>73</v>
      </c>
      <c r="AB812" s="17" t="s">
        <v>79</v>
      </c>
      <c r="AC812" s="17">
        <v>3</v>
      </c>
      <c r="AD812" s="17">
        <v>0</v>
      </c>
      <c r="AE812" s="17">
        <v>0</v>
      </c>
      <c r="AF812" s="17"/>
      <c r="AG812" s="17" t="s">
        <v>124</v>
      </c>
      <c r="AH812" s="17" t="s">
        <v>162</v>
      </c>
      <c r="AI812" s="17" t="s">
        <v>83</v>
      </c>
      <c r="AJ812" s="17">
        <v>2112</v>
      </c>
      <c r="AK812" s="17" t="s">
        <v>75</v>
      </c>
      <c r="AL812" s="17" t="s">
        <v>75</v>
      </c>
      <c r="AM812" s="17" t="s">
        <v>75</v>
      </c>
      <c r="AN812" s="17" t="s">
        <v>84</v>
      </c>
      <c r="AO812" s="17" t="s">
        <v>75</v>
      </c>
      <c r="AP812" s="17"/>
      <c r="AQ812" s="17"/>
      <c r="AR812" s="17"/>
      <c r="AS812" s="17"/>
      <c r="AT812" s="17" t="s">
        <v>2395</v>
      </c>
      <c r="AU812" s="17" t="s">
        <v>127</v>
      </c>
    </row>
    <row r="813" hidden="1">
      <c r="A813" s="17">
        <v>811</v>
      </c>
      <c r="B813" s="17" t="s">
        <v>52</v>
      </c>
      <c r="C813" s="34" t="s">
        <v>2396</v>
      </c>
      <c r="D813" s="35" t="s">
        <v>52</v>
      </c>
      <c r="E813" s="17" t="s">
        <v>2397</v>
      </c>
      <c r="F813" s="17" t="s">
        <v>2398</v>
      </c>
      <c r="G813" s="17">
        <v>22.40802</v>
      </c>
      <c r="H813" s="17">
        <v>87.611959999999996</v>
      </c>
      <c r="I813" s="17"/>
      <c r="J813" s="17"/>
      <c r="K813" s="17"/>
      <c r="L813" s="17"/>
      <c r="M813" s="35" t="s">
        <v>2291</v>
      </c>
      <c r="N813" s="17">
        <v>9933713149</v>
      </c>
      <c r="O813" s="17">
        <v>22</v>
      </c>
      <c r="P813" s="17">
        <v>120</v>
      </c>
      <c r="Q813" s="17" t="s">
        <v>187</v>
      </c>
      <c r="R813" s="17" t="s">
        <v>74</v>
      </c>
      <c r="S813" s="17" t="s">
        <v>137</v>
      </c>
      <c r="T813" s="17" t="s">
        <v>947</v>
      </c>
      <c r="U813" s="17" t="s">
        <v>105</v>
      </c>
      <c r="V813" s="17" t="s">
        <v>340</v>
      </c>
      <c r="W813" s="17" t="s">
        <v>454</v>
      </c>
      <c r="X813" s="17">
        <v>4</v>
      </c>
      <c r="Y813" s="17">
        <v>0</v>
      </c>
      <c r="Z813" s="17"/>
      <c r="AA813" s="17" t="s">
        <v>187</v>
      </c>
      <c r="AB813" s="17" t="s">
        <v>79</v>
      </c>
      <c r="AC813" s="17">
        <v>3</v>
      </c>
      <c r="AD813" s="17">
        <v>0</v>
      </c>
      <c r="AE813" s="17">
        <v>0</v>
      </c>
      <c r="AF813" s="17"/>
      <c r="AG813" s="17" t="s">
        <v>124</v>
      </c>
      <c r="AH813" s="17" t="s">
        <v>82</v>
      </c>
      <c r="AI813" s="17" t="s">
        <v>83</v>
      </c>
      <c r="AJ813" s="17">
        <v>2111</v>
      </c>
      <c r="AK813" s="17" t="s">
        <v>75</v>
      </c>
      <c r="AL813" s="17" t="s">
        <v>75</v>
      </c>
      <c r="AM813" s="17" t="s">
        <v>75</v>
      </c>
      <c r="AN813" s="17" t="s">
        <v>84</v>
      </c>
      <c r="AO813" s="17" t="s">
        <v>75</v>
      </c>
      <c r="AP813" s="17"/>
      <c r="AQ813" s="17"/>
      <c r="AR813" s="17"/>
      <c r="AS813" s="17"/>
      <c r="AT813" s="17"/>
      <c r="AU813" s="17" t="s">
        <v>127</v>
      </c>
    </row>
    <row r="814" hidden="1">
      <c r="A814" s="17">
        <v>812</v>
      </c>
      <c r="B814" s="17" t="s">
        <v>52</v>
      </c>
      <c r="C814" s="34" t="s">
        <v>2399</v>
      </c>
      <c r="D814" s="35" t="s">
        <v>52</v>
      </c>
      <c r="E814" s="17" t="s">
        <v>2400</v>
      </c>
      <c r="F814" s="17" t="s">
        <v>2401</v>
      </c>
      <c r="G814" s="17">
        <v>22.391169999999999</v>
      </c>
      <c r="H814" s="17">
        <v>87.63485</v>
      </c>
      <c r="I814" s="17"/>
      <c r="J814" s="17"/>
      <c r="K814" s="17"/>
      <c r="L814" s="17"/>
      <c r="M814" s="35" t="s">
        <v>2291</v>
      </c>
      <c r="N814" s="17">
        <v>9933713149</v>
      </c>
      <c r="O814" s="17">
        <v>23</v>
      </c>
      <c r="P814" s="17">
        <v>90</v>
      </c>
      <c r="Q814" s="17" t="s">
        <v>105</v>
      </c>
      <c r="R814" s="17" t="s">
        <v>74</v>
      </c>
      <c r="S814" s="17" t="s">
        <v>75</v>
      </c>
      <c r="T814" s="17"/>
      <c r="U814" s="17" t="s">
        <v>76</v>
      </c>
      <c r="V814" s="17" t="s">
        <v>77</v>
      </c>
      <c r="W814" s="17" t="s">
        <v>252</v>
      </c>
      <c r="X814" s="17">
        <v>5</v>
      </c>
      <c r="Y814" s="17">
        <v>0</v>
      </c>
      <c r="Z814" s="17"/>
      <c r="AA814" s="17" t="s">
        <v>105</v>
      </c>
      <c r="AB814" s="17" t="s">
        <v>79</v>
      </c>
      <c r="AC814" s="17">
        <v>4</v>
      </c>
      <c r="AD814" s="17">
        <v>0</v>
      </c>
      <c r="AE814" s="17">
        <v>0</v>
      </c>
      <c r="AF814" s="17"/>
      <c r="AG814" s="17" t="s">
        <v>124</v>
      </c>
      <c r="AH814" s="17" t="s">
        <v>162</v>
      </c>
      <c r="AI814" s="17" t="s">
        <v>83</v>
      </c>
      <c r="AJ814" s="17">
        <v>2112</v>
      </c>
      <c r="AK814" s="17" t="s">
        <v>75</v>
      </c>
      <c r="AL814" s="17" t="s">
        <v>75</v>
      </c>
      <c r="AM814" s="17" t="s">
        <v>163</v>
      </c>
      <c r="AN814" s="17" t="s">
        <v>84</v>
      </c>
      <c r="AO814" s="17" t="s">
        <v>137</v>
      </c>
      <c r="AP814" s="17"/>
      <c r="AQ814" s="17"/>
      <c r="AR814" s="17"/>
      <c r="AS814" s="17"/>
      <c r="AT814" s="17"/>
      <c r="AU814" s="17" t="s">
        <v>127</v>
      </c>
    </row>
    <row r="815" hidden="1">
      <c r="A815" s="17">
        <v>813</v>
      </c>
      <c r="B815" s="17" t="s">
        <v>52</v>
      </c>
      <c r="C815" s="34" t="s">
        <v>2402</v>
      </c>
      <c r="D815" s="35" t="s">
        <v>52</v>
      </c>
      <c r="E815" s="17" t="s">
        <v>2403</v>
      </c>
      <c r="F815" s="17" t="s">
        <v>2404</v>
      </c>
      <c r="G815" s="17">
        <v>22.506982000000001</v>
      </c>
      <c r="H815" s="17">
        <v>87.666685999999999</v>
      </c>
      <c r="I815" s="17"/>
      <c r="J815" s="17"/>
      <c r="K815" s="17"/>
      <c r="L815" s="17"/>
      <c r="M815" s="35" t="s">
        <v>2291</v>
      </c>
      <c r="N815" s="17">
        <v>9933713149</v>
      </c>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row>
    <row r="816" hidden="1">
      <c r="A816" s="17">
        <v>814</v>
      </c>
      <c r="B816" s="17" t="s">
        <v>52</v>
      </c>
      <c r="C816" s="34" t="s">
        <v>2405</v>
      </c>
      <c r="D816" s="35" t="s">
        <v>52</v>
      </c>
      <c r="E816" s="17" t="s">
        <v>2406</v>
      </c>
      <c r="F816" s="17" t="s">
        <v>2407</v>
      </c>
      <c r="G816" s="17">
        <v>22.518675999999999</v>
      </c>
      <c r="H816" s="17">
        <v>87.630090999999993</v>
      </c>
      <c r="I816" s="17"/>
      <c r="J816" s="17"/>
      <c r="K816" s="17"/>
      <c r="L816" s="17"/>
      <c r="M816" s="35" t="s">
        <v>2291</v>
      </c>
      <c r="N816" s="17">
        <v>9933713149</v>
      </c>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row>
    <row r="817" hidden="1">
      <c r="A817" s="17">
        <v>815</v>
      </c>
      <c r="B817" s="17" t="s">
        <v>52</v>
      </c>
      <c r="C817" s="34" t="s">
        <v>2408</v>
      </c>
      <c r="D817" s="35" t="s">
        <v>52</v>
      </c>
      <c r="E817" s="17" t="s">
        <v>2409</v>
      </c>
      <c r="F817" s="17" t="s">
        <v>2410</v>
      </c>
      <c r="G817" s="17">
        <v>22.310362999999999</v>
      </c>
      <c r="H817" s="17">
        <v>87.591368000000003</v>
      </c>
      <c r="I817" s="17"/>
      <c r="J817" s="17"/>
      <c r="K817" s="17"/>
      <c r="L817" s="17"/>
      <c r="M817" s="35" t="s">
        <v>1579</v>
      </c>
      <c r="N817" s="17">
        <v>7003188299</v>
      </c>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row>
    <row r="818" hidden="1">
      <c r="A818" s="17">
        <v>816</v>
      </c>
      <c r="B818" s="17" t="s">
        <v>52</v>
      </c>
      <c r="C818" s="34" t="s">
        <v>2411</v>
      </c>
      <c r="D818" s="35" t="s">
        <v>52</v>
      </c>
      <c r="E818" s="17" t="s">
        <v>2412</v>
      </c>
      <c r="F818" s="17" t="s">
        <v>2413</v>
      </c>
      <c r="G818" s="17">
        <v>22.489656</v>
      </c>
      <c r="H818" s="17">
        <v>87.659576000000001</v>
      </c>
      <c r="I818" s="17"/>
      <c r="J818" s="17"/>
      <c r="K818" s="17"/>
      <c r="L818" s="17"/>
      <c r="M818" s="35" t="s">
        <v>2291</v>
      </c>
      <c r="N818" s="17">
        <v>9933713149</v>
      </c>
      <c r="O818" s="17">
        <v>22</v>
      </c>
      <c r="P818" s="17">
        <v>60</v>
      </c>
      <c r="Q818" s="17" t="s">
        <v>73</v>
      </c>
      <c r="R818" s="17" t="s">
        <v>104</v>
      </c>
      <c r="S818" s="17" t="s">
        <v>75</v>
      </c>
      <c r="T818" s="17"/>
      <c r="U818" s="17" t="s">
        <v>76</v>
      </c>
      <c r="V818" s="17" t="s">
        <v>77</v>
      </c>
      <c r="W818" s="17" t="s">
        <v>330</v>
      </c>
      <c r="X818" s="17">
        <v>5</v>
      </c>
      <c r="Y818" s="17">
        <v>1</v>
      </c>
      <c r="Z818" s="17"/>
      <c r="AA818" s="17" t="s">
        <v>73</v>
      </c>
      <c r="AB818" s="17" t="s">
        <v>79</v>
      </c>
      <c r="AC818" s="17">
        <v>2</v>
      </c>
      <c r="AD818" s="17">
        <v>0</v>
      </c>
      <c r="AE818" s="17">
        <v>0</v>
      </c>
      <c r="AF818" s="17"/>
      <c r="AG818" s="17" t="s">
        <v>724</v>
      </c>
      <c r="AH818" s="17"/>
      <c r="AI818" s="17"/>
      <c r="AJ818" s="17"/>
      <c r="AK818" s="17"/>
      <c r="AL818" s="17"/>
      <c r="AM818" s="17"/>
      <c r="AN818" s="17"/>
      <c r="AO818" s="17"/>
      <c r="AP818" s="17"/>
      <c r="AQ818" s="17"/>
      <c r="AR818" s="17"/>
      <c r="AS818" s="17"/>
      <c r="AT818" s="17" t="s">
        <v>2414</v>
      </c>
      <c r="AU818" s="17" t="s">
        <v>127</v>
      </c>
    </row>
    <row r="819" hidden="1">
      <c r="A819" s="17">
        <v>817</v>
      </c>
      <c r="B819" s="17" t="s">
        <v>52</v>
      </c>
      <c r="C819" s="34" t="s">
        <v>2415</v>
      </c>
      <c r="D819" s="35" t="s">
        <v>52</v>
      </c>
      <c r="E819" s="17" t="s">
        <v>2416</v>
      </c>
      <c r="F819" s="17" t="s">
        <v>2417</v>
      </c>
      <c r="G819" s="17">
        <v>22.465527000000002</v>
      </c>
      <c r="H819" s="17">
        <v>87.598178000000004</v>
      </c>
      <c r="I819" s="17"/>
      <c r="J819" s="17"/>
      <c r="K819" s="17"/>
      <c r="L819" s="17"/>
      <c r="M819" s="35" t="s">
        <v>2291</v>
      </c>
      <c r="N819" s="17">
        <v>9933713149</v>
      </c>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row>
    <row r="820" hidden="1">
      <c r="A820" s="17">
        <v>818</v>
      </c>
      <c r="B820" s="17" t="s">
        <v>52</v>
      </c>
      <c r="C820" s="34" t="s">
        <v>2418</v>
      </c>
      <c r="D820" s="35" t="s">
        <v>52</v>
      </c>
      <c r="E820" s="17" t="s">
        <v>2419</v>
      </c>
      <c r="F820" s="17" t="s">
        <v>2420</v>
      </c>
      <c r="G820" s="17">
        <v>22.440408000000001</v>
      </c>
      <c r="H820" s="17">
        <v>87.629127999999994</v>
      </c>
      <c r="I820" s="17"/>
      <c r="J820" s="17"/>
      <c r="K820" s="17"/>
      <c r="L820" s="17"/>
      <c r="M820" s="35" t="s">
        <v>2291</v>
      </c>
      <c r="N820" s="17">
        <v>9933713149</v>
      </c>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row>
    <row r="821" hidden="1">
      <c r="A821" s="17">
        <v>819</v>
      </c>
      <c r="B821" s="17" t="s">
        <v>52</v>
      </c>
      <c r="C821" s="34" t="s">
        <v>2421</v>
      </c>
      <c r="D821" s="35" t="s">
        <v>52</v>
      </c>
      <c r="E821" s="17" t="s">
        <v>2422</v>
      </c>
      <c r="F821" s="17" t="s">
        <v>2423</v>
      </c>
      <c r="G821" s="17">
        <v>22.315852</v>
      </c>
      <c r="H821" s="17">
        <v>87.554067000000003</v>
      </c>
      <c r="I821" s="17"/>
      <c r="J821" s="17"/>
      <c r="K821" s="17"/>
      <c r="L821" s="17"/>
      <c r="M821" s="35" t="s">
        <v>1579</v>
      </c>
      <c r="N821" s="17">
        <v>7003188299</v>
      </c>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row>
    <row r="822" hidden="1">
      <c r="A822" s="17">
        <v>820</v>
      </c>
      <c r="B822" s="17" t="s">
        <v>52</v>
      </c>
      <c r="C822" s="34" t="s">
        <v>2424</v>
      </c>
      <c r="D822" s="35" t="s">
        <v>52</v>
      </c>
      <c r="E822" s="17" t="s">
        <v>2425</v>
      </c>
      <c r="F822" s="17" t="s">
        <v>2426</v>
      </c>
      <c r="G822" s="17">
        <v>22.531806</v>
      </c>
      <c r="H822" s="17">
        <v>87.586320999999998</v>
      </c>
      <c r="I822" s="17"/>
      <c r="J822" s="17"/>
      <c r="K822" s="17"/>
      <c r="L822" s="17"/>
      <c r="M822" s="35" t="s">
        <v>2291</v>
      </c>
      <c r="N822" s="17">
        <v>9933713149</v>
      </c>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row>
    <row r="823" hidden="1">
      <c r="A823" s="17">
        <v>821</v>
      </c>
      <c r="B823" s="17" t="s">
        <v>52</v>
      </c>
      <c r="C823" s="34" t="s">
        <v>2427</v>
      </c>
      <c r="D823" s="35" t="s">
        <v>52</v>
      </c>
      <c r="E823" s="17" t="s">
        <v>2428</v>
      </c>
      <c r="F823" s="17" t="s">
        <v>2429</v>
      </c>
      <c r="G823" s="17">
        <v>22.433105000000001</v>
      </c>
      <c r="H823" s="17">
        <v>87.568164999999993</v>
      </c>
      <c r="I823" s="17"/>
      <c r="J823" s="17"/>
      <c r="K823" s="17"/>
      <c r="L823" s="17"/>
      <c r="M823" s="35" t="s">
        <v>2291</v>
      </c>
      <c r="N823" s="17">
        <v>9933713149</v>
      </c>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row>
    <row r="824" hidden="1">
      <c r="A824" s="17">
        <v>822</v>
      </c>
      <c r="B824" s="17" t="s">
        <v>52</v>
      </c>
      <c r="C824" s="34" t="s">
        <v>2430</v>
      </c>
      <c r="D824" s="35" t="s">
        <v>52</v>
      </c>
      <c r="E824" s="17" t="s">
        <v>2431</v>
      </c>
      <c r="F824" s="17" t="s">
        <v>2432</v>
      </c>
      <c r="G824" s="17">
        <v>22.330235999999999</v>
      </c>
      <c r="H824" s="17">
        <v>87.499521000000001</v>
      </c>
      <c r="I824" s="17"/>
      <c r="J824" s="17"/>
      <c r="K824" s="17"/>
      <c r="L824" s="17"/>
      <c r="M824" s="35" t="s">
        <v>1579</v>
      </c>
      <c r="N824" s="17">
        <v>7003188299</v>
      </c>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row>
    <row r="825" hidden="1">
      <c r="A825" s="17">
        <v>823</v>
      </c>
      <c r="B825" s="17" t="s">
        <v>52</v>
      </c>
      <c r="C825" s="34" t="s">
        <v>2433</v>
      </c>
      <c r="D825" s="35" t="s">
        <v>52</v>
      </c>
      <c r="E825" s="17" t="s">
        <v>2434</v>
      </c>
      <c r="F825" s="17" t="s">
        <v>2435</v>
      </c>
      <c r="G825" s="17">
        <v>22.37642</v>
      </c>
      <c r="H825" s="17">
        <v>87.559467999999995</v>
      </c>
      <c r="I825" s="17"/>
      <c r="J825" s="17"/>
      <c r="K825" s="17"/>
      <c r="L825" s="17"/>
      <c r="M825" s="35" t="s">
        <v>1579</v>
      </c>
      <c r="N825" s="17">
        <v>7003188299</v>
      </c>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row>
    <row r="826" hidden="1">
      <c r="A826" s="17">
        <v>824</v>
      </c>
      <c r="B826" s="17" t="s">
        <v>52</v>
      </c>
      <c r="C826" s="34" t="s">
        <v>2436</v>
      </c>
      <c r="D826" s="35" t="s">
        <v>52</v>
      </c>
      <c r="E826" s="17" t="s">
        <v>2437</v>
      </c>
      <c r="F826" s="17" t="s">
        <v>2438</v>
      </c>
      <c r="G826" s="17">
        <v>22.416008999999999</v>
      </c>
      <c r="H826" s="17">
        <v>87.532157999999995</v>
      </c>
      <c r="I826" s="17"/>
      <c r="J826" s="17"/>
      <c r="K826" s="17"/>
      <c r="L826" s="17"/>
      <c r="M826" s="35" t="s">
        <v>2291</v>
      </c>
      <c r="N826" s="17">
        <v>9933713149</v>
      </c>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row>
    <row r="827" hidden="1">
      <c r="A827" s="17">
        <v>825</v>
      </c>
      <c r="B827" s="17" t="s">
        <v>52</v>
      </c>
      <c r="C827" s="34" t="s">
        <v>2439</v>
      </c>
      <c r="D827" s="35" t="s">
        <v>52</v>
      </c>
      <c r="E827" s="17" t="s">
        <v>2440</v>
      </c>
      <c r="F827" s="17" t="s">
        <v>2441</v>
      </c>
      <c r="G827" s="17">
        <v>22.506789000000001</v>
      </c>
      <c r="H827" s="17">
        <v>87.586044999999999</v>
      </c>
      <c r="I827" s="17"/>
      <c r="J827" s="17"/>
      <c r="K827" s="17"/>
      <c r="L827" s="17"/>
      <c r="M827" s="35" t="s">
        <v>2291</v>
      </c>
      <c r="N827" s="17">
        <v>9933713149</v>
      </c>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row>
    <row r="828" hidden="1">
      <c r="A828" s="17">
        <v>826</v>
      </c>
      <c r="B828" s="17" t="s">
        <v>52</v>
      </c>
      <c r="C828" s="34" t="s">
        <v>2442</v>
      </c>
      <c r="D828" s="35" t="s">
        <v>52</v>
      </c>
      <c r="E828" s="17" t="s">
        <v>2443</v>
      </c>
      <c r="F828" s="17" t="s">
        <v>2444</v>
      </c>
      <c r="G828" s="17">
        <v>22.534362999999999</v>
      </c>
      <c r="H828" s="17">
        <v>87.610242</v>
      </c>
      <c r="I828" s="17"/>
      <c r="J828" s="17"/>
      <c r="K828" s="17"/>
      <c r="L828" s="17"/>
      <c r="M828" s="35" t="s">
        <v>2291</v>
      </c>
      <c r="N828" s="17">
        <v>9933713149</v>
      </c>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row>
    <row r="829" hidden="1">
      <c r="A829" s="17">
        <v>827</v>
      </c>
      <c r="B829" s="17" t="s">
        <v>52</v>
      </c>
      <c r="C829" s="34" t="s">
        <v>2445</v>
      </c>
      <c r="D829" s="35" t="s">
        <v>52</v>
      </c>
      <c r="E829" s="17" t="s">
        <v>2446</v>
      </c>
      <c r="F829" s="17" t="s">
        <v>2447</v>
      </c>
      <c r="G829" s="17">
        <v>22.468741999999999</v>
      </c>
      <c r="H829" s="17">
        <v>87.551321999999999</v>
      </c>
      <c r="I829" s="17"/>
      <c r="J829" s="17"/>
      <c r="K829" s="17"/>
      <c r="L829" s="17"/>
      <c r="M829" s="35" t="s">
        <v>2291</v>
      </c>
      <c r="N829" s="17">
        <v>9933713149</v>
      </c>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row>
    <row r="830" hidden="1">
      <c r="A830" s="17">
        <v>828</v>
      </c>
      <c r="B830" s="17" t="s">
        <v>52</v>
      </c>
      <c r="C830" s="34" t="s">
        <v>2448</v>
      </c>
      <c r="D830" s="35" t="s">
        <v>52</v>
      </c>
      <c r="E830" s="17" t="s">
        <v>2449</v>
      </c>
      <c r="F830" s="17" t="s">
        <v>2450</v>
      </c>
      <c r="G830" s="17">
        <v>22.370308000000001</v>
      </c>
      <c r="H830" s="17">
        <v>87.621594000000002</v>
      </c>
      <c r="I830" s="17"/>
      <c r="J830" s="17"/>
      <c r="K830" s="17"/>
      <c r="L830" s="17"/>
      <c r="M830" s="35" t="s">
        <v>1579</v>
      </c>
      <c r="N830" s="17">
        <v>7003188299</v>
      </c>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row>
    <row r="831" hidden="1">
      <c r="A831" s="17">
        <v>829</v>
      </c>
      <c r="B831" s="17" t="s">
        <v>52</v>
      </c>
      <c r="C831" s="34" t="s">
        <v>2451</v>
      </c>
      <c r="D831" s="35" t="s">
        <v>52</v>
      </c>
      <c r="E831" s="17" t="s">
        <v>2452</v>
      </c>
      <c r="F831" s="17" t="s">
        <v>2453</v>
      </c>
      <c r="G831" s="17">
        <v>22.395156</v>
      </c>
      <c r="H831" s="17">
        <v>87.596168000000006</v>
      </c>
      <c r="I831" s="17"/>
      <c r="J831" s="17"/>
      <c r="K831" s="17"/>
      <c r="L831" s="17"/>
      <c r="M831" s="35" t="s">
        <v>2291</v>
      </c>
      <c r="N831" s="17">
        <v>9933713149</v>
      </c>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row>
    <row r="832" hidden="1">
      <c r="A832" s="17">
        <v>830</v>
      </c>
      <c r="B832" s="17" t="s">
        <v>52</v>
      </c>
      <c r="C832" s="34" t="s">
        <v>2454</v>
      </c>
      <c r="D832" s="35" t="s">
        <v>52</v>
      </c>
      <c r="E832" s="17" t="s">
        <v>2455</v>
      </c>
      <c r="F832" s="17" t="s">
        <v>2456</v>
      </c>
      <c r="G832" s="17">
        <v>22.354057999999998</v>
      </c>
      <c r="H832" s="17">
        <v>87.593924999999999</v>
      </c>
      <c r="I832" s="17"/>
      <c r="J832" s="17"/>
      <c r="K832" s="17"/>
      <c r="L832" s="17"/>
      <c r="M832" s="35" t="s">
        <v>1579</v>
      </c>
      <c r="N832" s="17">
        <v>7003188299</v>
      </c>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row>
    <row r="833" hidden="1">
      <c r="A833" s="17">
        <v>831</v>
      </c>
      <c r="B833" s="17" t="s">
        <v>52</v>
      </c>
      <c r="C833" s="34" t="s">
        <v>2457</v>
      </c>
      <c r="D833" s="35" t="s">
        <v>52</v>
      </c>
      <c r="E833" s="17" t="s">
        <v>2458</v>
      </c>
      <c r="F833" s="17" t="s">
        <v>2459</v>
      </c>
      <c r="G833" s="17">
        <v>22.447416</v>
      </c>
      <c r="H833" s="17">
        <v>87.602410000000006</v>
      </c>
      <c r="I833" s="17"/>
      <c r="J833" s="17"/>
      <c r="K833" s="17"/>
      <c r="L833" s="17"/>
      <c r="M833" s="35" t="s">
        <v>2291</v>
      </c>
      <c r="N833" s="17">
        <v>9933713149</v>
      </c>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row>
    <row r="834" hidden="1">
      <c r="A834" s="17">
        <v>832</v>
      </c>
      <c r="B834" s="17" t="s">
        <v>52</v>
      </c>
      <c r="C834" s="34" t="s">
        <v>2460</v>
      </c>
      <c r="D834" s="35" t="s">
        <v>52</v>
      </c>
      <c r="E834" s="17" t="s">
        <v>2461</v>
      </c>
      <c r="F834" s="17" t="s">
        <v>2462</v>
      </c>
      <c r="G834" s="17">
        <v>21.934805000000001</v>
      </c>
      <c r="H834" s="17">
        <v>87.275913000000003</v>
      </c>
      <c r="I834" s="17"/>
      <c r="J834" s="17"/>
      <c r="K834" s="17"/>
      <c r="L834" s="17"/>
      <c r="M834" s="35" t="s">
        <v>2242</v>
      </c>
      <c r="N834" s="17">
        <v>7439932070</v>
      </c>
      <c r="O834" s="17">
        <v>24</v>
      </c>
      <c r="P834" s="17">
        <v>120</v>
      </c>
      <c r="Q834" s="17" t="s">
        <v>187</v>
      </c>
      <c r="R834" s="17" t="s">
        <v>74</v>
      </c>
      <c r="S834" s="17" t="s">
        <v>75</v>
      </c>
      <c r="T834" s="17"/>
      <c r="U834" s="17" t="s">
        <v>160</v>
      </c>
      <c r="V834" s="17" t="s">
        <v>77</v>
      </c>
      <c r="W834" s="17" t="s">
        <v>252</v>
      </c>
      <c r="X834" s="17">
        <v>5</v>
      </c>
      <c r="Y834" s="17">
        <v>1</v>
      </c>
      <c r="Z834" s="17"/>
      <c r="AA834" s="17" t="s">
        <v>187</v>
      </c>
      <c r="AB834" s="17" t="s">
        <v>79</v>
      </c>
      <c r="AC834" s="17">
        <v>5</v>
      </c>
      <c r="AD834" s="17">
        <v>0</v>
      </c>
      <c r="AE834" s="17">
        <v>0</v>
      </c>
      <c r="AF834" s="17"/>
      <c r="AG834" s="17" t="s">
        <v>2463</v>
      </c>
      <c r="AH834" s="17" t="s">
        <v>415</v>
      </c>
      <c r="AI834" s="17" t="s">
        <v>163</v>
      </c>
      <c r="AJ834" s="17"/>
      <c r="AK834" s="17" t="s">
        <v>137</v>
      </c>
      <c r="AL834" s="17" t="s">
        <v>137</v>
      </c>
      <c r="AM834" s="17" t="s">
        <v>137</v>
      </c>
      <c r="AN834" s="17" t="s">
        <v>84</v>
      </c>
      <c r="AO834" s="17" t="s">
        <v>75</v>
      </c>
      <c r="AP834" s="17"/>
      <c r="AQ834" s="17"/>
      <c r="AR834" s="17"/>
      <c r="AS834" s="17"/>
      <c r="AT834" s="17"/>
      <c r="AU834" s="17" t="s">
        <v>111</v>
      </c>
    </row>
    <row r="835" hidden="1">
      <c r="A835" s="17">
        <v>833</v>
      </c>
      <c r="B835" s="17" t="s">
        <v>52</v>
      </c>
      <c r="C835" s="34" t="s">
        <v>2464</v>
      </c>
      <c r="D835" s="35" t="s">
        <v>52</v>
      </c>
      <c r="E835" s="17" t="s">
        <v>2461</v>
      </c>
      <c r="F835" s="17" t="s">
        <v>2465</v>
      </c>
      <c r="G835" s="17">
        <v>21.964727</v>
      </c>
      <c r="H835" s="17">
        <v>87.295787000000004</v>
      </c>
      <c r="I835" s="17"/>
      <c r="J835" s="17"/>
      <c r="K835" s="17"/>
      <c r="L835" s="17"/>
      <c r="M835" s="35" t="s">
        <v>2242</v>
      </c>
      <c r="N835" s="17">
        <v>7439932070</v>
      </c>
      <c r="O835" s="17">
        <v>0</v>
      </c>
      <c r="P835" s="17">
        <v>70</v>
      </c>
      <c r="Q835" s="17" t="s">
        <v>73</v>
      </c>
      <c r="R835" s="17" t="s">
        <v>104</v>
      </c>
      <c r="S835" s="17" t="s">
        <v>2466</v>
      </c>
      <c r="T835" s="17" t="s">
        <v>2467</v>
      </c>
      <c r="U835" s="17" t="s">
        <v>105</v>
      </c>
      <c r="V835" s="17" t="s">
        <v>77</v>
      </c>
      <c r="W835" s="17" t="s">
        <v>454</v>
      </c>
      <c r="X835" s="17">
        <v>5</v>
      </c>
      <c r="Y835" s="17">
        <v>0</v>
      </c>
      <c r="Z835" s="17" t="s">
        <v>2468</v>
      </c>
      <c r="AA835" s="17" t="s">
        <v>73</v>
      </c>
      <c r="AB835" s="17" t="s">
        <v>79</v>
      </c>
      <c r="AC835" s="17">
        <v>4</v>
      </c>
      <c r="AD835" s="17">
        <v>0</v>
      </c>
      <c r="AE835" s="17">
        <v>1</v>
      </c>
      <c r="AF835" s="17"/>
      <c r="AG835" s="17" t="s">
        <v>124</v>
      </c>
      <c r="AH835" s="17" t="s">
        <v>162</v>
      </c>
      <c r="AI835" s="17" t="s">
        <v>83</v>
      </c>
      <c r="AJ835" s="17" t="s">
        <v>2469</v>
      </c>
      <c r="AK835" s="17" t="s">
        <v>75</v>
      </c>
      <c r="AL835" s="17" t="s">
        <v>137</v>
      </c>
      <c r="AM835" s="17" t="s">
        <v>75</v>
      </c>
      <c r="AN835" s="17" t="s">
        <v>84</v>
      </c>
      <c r="AO835" s="17" t="s">
        <v>75</v>
      </c>
      <c r="AP835" s="17"/>
      <c r="AQ835" s="17"/>
      <c r="AR835" s="17"/>
      <c r="AS835" s="17"/>
      <c r="AT835" s="17" t="s">
        <v>2470</v>
      </c>
      <c r="AU835" s="17" t="s">
        <v>111</v>
      </c>
    </row>
    <row r="836" hidden="1">
      <c r="A836" s="17">
        <v>834</v>
      </c>
      <c r="B836" s="17" t="s">
        <v>52</v>
      </c>
      <c r="C836" s="34" t="s">
        <v>2471</v>
      </c>
      <c r="D836" s="35" t="s">
        <v>52</v>
      </c>
      <c r="E836" s="17" t="s">
        <v>2472</v>
      </c>
      <c r="F836" s="17" t="s">
        <v>2473</v>
      </c>
      <c r="G836" s="17">
        <v>21.862131000000002</v>
      </c>
      <c r="H836" s="17">
        <v>87.256388999999999</v>
      </c>
      <c r="I836" s="17"/>
      <c r="J836" s="17"/>
      <c r="K836" s="17"/>
      <c r="L836" s="17"/>
      <c r="M836" s="35" t="s">
        <v>2242</v>
      </c>
      <c r="N836" s="17">
        <v>7439932070</v>
      </c>
      <c r="O836" s="17">
        <v>24</v>
      </c>
      <c r="P836" s="17">
        <v>100</v>
      </c>
      <c r="Q836" s="17" t="s">
        <v>413</v>
      </c>
      <c r="R836" s="17" t="s">
        <v>339</v>
      </c>
      <c r="S836" s="17" t="s">
        <v>947</v>
      </c>
      <c r="T836" s="17" t="s">
        <v>2474</v>
      </c>
      <c r="U836" s="17" t="s">
        <v>105</v>
      </c>
      <c r="V836" s="17" t="s">
        <v>77</v>
      </c>
      <c r="W836" s="17" t="s">
        <v>252</v>
      </c>
      <c r="X836" s="17">
        <v>6</v>
      </c>
      <c r="Y836" s="17">
        <v>1</v>
      </c>
      <c r="Z836" s="17"/>
      <c r="AA836" s="17" t="s">
        <v>413</v>
      </c>
      <c r="AB836" s="17" t="s">
        <v>79</v>
      </c>
      <c r="AC836" s="17">
        <v>5</v>
      </c>
      <c r="AD836" s="17">
        <v>0</v>
      </c>
      <c r="AE836" s="17">
        <v>1</v>
      </c>
      <c r="AF836" s="17"/>
      <c r="AG836" s="17" t="s">
        <v>124</v>
      </c>
      <c r="AH836" s="17" t="s">
        <v>162</v>
      </c>
      <c r="AI836" s="17" t="s">
        <v>83</v>
      </c>
      <c r="AJ836" s="17" t="s">
        <v>2475</v>
      </c>
      <c r="AK836" s="17" t="s">
        <v>75</v>
      </c>
      <c r="AL836" s="17" t="s">
        <v>75</v>
      </c>
      <c r="AM836" s="17" t="s">
        <v>137</v>
      </c>
      <c r="AN836" s="17" t="s">
        <v>84</v>
      </c>
      <c r="AO836" s="17" t="s">
        <v>137</v>
      </c>
      <c r="AP836" s="17"/>
      <c r="AQ836" s="17"/>
      <c r="AR836" s="17"/>
      <c r="AS836" s="17"/>
      <c r="AT836" s="17"/>
      <c r="AU836" s="17" t="s">
        <v>111</v>
      </c>
    </row>
    <row r="837" hidden="1">
      <c r="A837" s="17">
        <v>835</v>
      </c>
      <c r="B837" s="17" t="s">
        <v>52</v>
      </c>
      <c r="C837" s="34" t="s">
        <v>2476</v>
      </c>
      <c r="D837" s="35" t="s">
        <v>52</v>
      </c>
      <c r="E837" s="17" t="s">
        <v>2477</v>
      </c>
      <c r="F837" s="17" t="s">
        <v>2478</v>
      </c>
      <c r="G837" s="17">
        <v>21.896328</v>
      </c>
      <c r="H837" s="17">
        <v>87.266664000000006</v>
      </c>
      <c r="I837" s="17"/>
      <c r="J837" s="17"/>
      <c r="K837" s="17"/>
      <c r="L837" s="17"/>
      <c r="M837" s="35" t="s">
        <v>2242</v>
      </c>
      <c r="N837" s="17">
        <v>7439932070</v>
      </c>
      <c r="O837" s="17">
        <v>24</v>
      </c>
      <c r="P837" s="17">
        <v>100</v>
      </c>
      <c r="Q837" s="17" t="s">
        <v>73</v>
      </c>
      <c r="R837" s="17" t="s">
        <v>104</v>
      </c>
      <c r="S837" s="17" t="s">
        <v>2479</v>
      </c>
      <c r="T837" s="17"/>
      <c r="U837" s="17" t="s">
        <v>2285</v>
      </c>
      <c r="V837" s="17" t="s">
        <v>77</v>
      </c>
      <c r="W837" s="17" t="s">
        <v>78</v>
      </c>
      <c r="X837" s="17">
        <v>4</v>
      </c>
      <c r="Y837" s="17">
        <v>0</v>
      </c>
      <c r="Z837" s="17"/>
      <c r="AA837" s="17" t="s">
        <v>73</v>
      </c>
      <c r="AB837" s="17" t="s">
        <v>79</v>
      </c>
      <c r="AC837" s="17">
        <v>4</v>
      </c>
      <c r="AD837" s="17">
        <v>0</v>
      </c>
      <c r="AE837" s="17">
        <v>0</v>
      </c>
      <c r="AF837" s="17"/>
      <c r="AG837" s="17" t="s">
        <v>124</v>
      </c>
      <c r="AH837" s="17" t="s">
        <v>82</v>
      </c>
      <c r="AI837" s="17" t="s">
        <v>83</v>
      </c>
      <c r="AJ837" s="17" t="s">
        <v>366</v>
      </c>
      <c r="AK837" s="17" t="s">
        <v>75</v>
      </c>
      <c r="AL837" s="17" t="s">
        <v>75</v>
      </c>
      <c r="AM837" s="17" t="s">
        <v>75</v>
      </c>
      <c r="AN837" s="17" t="s">
        <v>84</v>
      </c>
      <c r="AO837" s="17" t="s">
        <v>75</v>
      </c>
      <c r="AP837" s="17"/>
      <c r="AQ837" s="17"/>
      <c r="AR837" s="17"/>
      <c r="AS837" s="17"/>
      <c r="AT837" s="17" t="s">
        <v>2480</v>
      </c>
      <c r="AU837" s="17" t="s">
        <v>111</v>
      </c>
    </row>
    <row r="838" hidden="1">
      <c r="A838" s="17">
        <v>836</v>
      </c>
      <c r="B838" s="17" t="s">
        <v>52</v>
      </c>
      <c r="C838" s="34" t="s">
        <v>2481</v>
      </c>
      <c r="D838" s="35" t="s">
        <v>52</v>
      </c>
      <c r="E838" s="17" t="s">
        <v>2482</v>
      </c>
      <c r="F838" s="17" t="s">
        <v>2483</v>
      </c>
      <c r="G838" s="17">
        <v>21.941299999999998</v>
      </c>
      <c r="H838" s="17">
        <v>87.353610000000003</v>
      </c>
      <c r="I838" s="17"/>
      <c r="J838" s="17"/>
      <c r="K838" s="17"/>
      <c r="L838" s="17"/>
      <c r="M838" s="35" t="s">
        <v>2484</v>
      </c>
      <c r="N838" s="17">
        <v>7003158683</v>
      </c>
      <c r="O838" s="17">
        <v>14</v>
      </c>
      <c r="P838" s="17">
        <v>100</v>
      </c>
      <c r="Q838" s="17" t="s">
        <v>187</v>
      </c>
      <c r="R838" s="17" t="s">
        <v>74</v>
      </c>
      <c r="S838" s="17"/>
      <c r="T838" s="17"/>
      <c r="U838" s="17" t="s">
        <v>76</v>
      </c>
      <c r="V838" s="17" t="s">
        <v>77</v>
      </c>
      <c r="W838" s="17" t="s">
        <v>330</v>
      </c>
      <c r="X838" s="17">
        <v>5</v>
      </c>
      <c r="Y838" s="17">
        <v>2</v>
      </c>
      <c r="Z838" s="17"/>
      <c r="AA838" s="17" t="s">
        <v>187</v>
      </c>
      <c r="AB838" s="17" t="s">
        <v>1838</v>
      </c>
      <c r="AC838" s="17">
        <v>2</v>
      </c>
      <c r="AD838" s="17">
        <v>0</v>
      </c>
      <c r="AE838" s="17">
        <v>0</v>
      </c>
      <c r="AF838" s="17"/>
      <c r="AG838" s="17" t="s">
        <v>81</v>
      </c>
      <c r="AH838" s="17" t="s">
        <v>82</v>
      </c>
      <c r="AI838" s="17" t="s">
        <v>83</v>
      </c>
      <c r="AJ838" s="17">
        <v>2111</v>
      </c>
      <c r="AK838" s="17" t="s">
        <v>75</v>
      </c>
      <c r="AL838" s="17" t="s">
        <v>75</v>
      </c>
      <c r="AM838" s="17" t="s">
        <v>163</v>
      </c>
      <c r="AN838" s="17" t="s">
        <v>84</v>
      </c>
      <c r="AO838" s="17" t="s">
        <v>75</v>
      </c>
      <c r="AP838" s="17"/>
      <c r="AQ838" s="17"/>
      <c r="AR838" s="17"/>
      <c r="AS838" s="17"/>
      <c r="AT838" s="17" t="s">
        <v>2485</v>
      </c>
      <c r="AU838" s="17" t="s">
        <v>111</v>
      </c>
    </row>
    <row r="839" hidden="1">
      <c r="A839" s="17">
        <v>837</v>
      </c>
      <c r="B839" s="17" t="s">
        <v>52</v>
      </c>
      <c r="C839" s="34" t="s">
        <v>2486</v>
      </c>
      <c r="D839" s="35" t="s">
        <v>52</v>
      </c>
      <c r="E839" s="17" t="s">
        <v>2487</v>
      </c>
      <c r="F839" s="17" t="s">
        <v>2488</v>
      </c>
      <c r="G839" s="17">
        <v>21.9208</v>
      </c>
      <c r="H839" s="17">
        <v>87.274387000000004</v>
      </c>
      <c r="I839" s="17"/>
      <c r="J839" s="17"/>
      <c r="K839" s="17"/>
      <c r="L839" s="17"/>
      <c r="M839" s="35" t="s">
        <v>2242</v>
      </c>
      <c r="N839" s="17">
        <v>7439932070</v>
      </c>
      <c r="O839" s="17">
        <v>24</v>
      </c>
      <c r="P839" s="17">
        <v>110</v>
      </c>
      <c r="Q839" s="17" t="s">
        <v>105</v>
      </c>
      <c r="R839" s="17" t="s">
        <v>74</v>
      </c>
      <c r="S839" s="17" t="s">
        <v>75</v>
      </c>
      <c r="T839" s="17" t="s">
        <v>2254</v>
      </c>
      <c r="U839" s="17" t="s">
        <v>76</v>
      </c>
      <c r="V839" s="17" t="s">
        <v>77</v>
      </c>
      <c r="W839" s="17" t="s">
        <v>136</v>
      </c>
      <c r="X839" s="17">
        <v>4</v>
      </c>
      <c r="Y839" s="17">
        <v>2</v>
      </c>
      <c r="Z839" s="17"/>
      <c r="AA839" s="17" t="s">
        <v>105</v>
      </c>
      <c r="AB839" s="17" t="s">
        <v>79</v>
      </c>
      <c r="AC839" s="17">
        <v>4</v>
      </c>
      <c r="AD839" s="17">
        <v>0</v>
      </c>
      <c r="AE839" s="17">
        <v>1</v>
      </c>
      <c r="AF839" s="17"/>
      <c r="AG839" s="17" t="s">
        <v>124</v>
      </c>
      <c r="AH839" s="17" t="s">
        <v>82</v>
      </c>
      <c r="AI839" s="17" t="s">
        <v>83</v>
      </c>
      <c r="AJ839" s="17" t="s">
        <v>2489</v>
      </c>
      <c r="AK839" s="17" t="s">
        <v>75</v>
      </c>
      <c r="AL839" s="17" t="s">
        <v>137</v>
      </c>
      <c r="AM839" s="17" t="s">
        <v>75</v>
      </c>
      <c r="AN839" s="17" t="s">
        <v>84</v>
      </c>
      <c r="AO839" s="17" t="s">
        <v>137</v>
      </c>
      <c r="AP839" s="17"/>
      <c r="AQ839" s="17"/>
      <c r="AR839" s="17"/>
      <c r="AS839" s="17"/>
      <c r="AT839" s="17" t="s">
        <v>2490</v>
      </c>
      <c r="AU839" s="17" t="s">
        <v>111</v>
      </c>
    </row>
    <row r="840" hidden="1">
      <c r="A840" s="17">
        <v>838</v>
      </c>
      <c r="B840" s="17" t="s">
        <v>52</v>
      </c>
      <c r="C840" s="34" t="s">
        <v>2491</v>
      </c>
      <c r="D840" s="35" t="s">
        <v>52</v>
      </c>
      <c r="E840" s="17" t="s">
        <v>2492</v>
      </c>
      <c r="F840" s="17" t="s">
        <v>2493</v>
      </c>
      <c r="G840" s="17">
        <v>22.032326999999999</v>
      </c>
      <c r="H840" s="17">
        <v>87.215672999999995</v>
      </c>
      <c r="I840" s="17"/>
      <c r="J840" s="17"/>
      <c r="K840" s="17"/>
      <c r="L840" s="17"/>
      <c r="M840" s="35" t="s">
        <v>2242</v>
      </c>
      <c r="N840" s="17">
        <v>7439932070</v>
      </c>
      <c r="O840" s="17">
        <v>6</v>
      </c>
      <c r="P840" s="17">
        <v>100</v>
      </c>
      <c r="Q840" s="17" t="s">
        <v>105</v>
      </c>
      <c r="R840" s="17" t="s">
        <v>74</v>
      </c>
      <c r="S840" s="17" t="s">
        <v>2494</v>
      </c>
      <c r="T840" s="17" t="s">
        <v>2254</v>
      </c>
      <c r="U840" s="17" t="s">
        <v>76</v>
      </c>
      <c r="V840" s="17" t="s">
        <v>77</v>
      </c>
      <c r="W840" s="17" t="s">
        <v>123</v>
      </c>
      <c r="X840" s="17">
        <v>5</v>
      </c>
      <c r="Y840" s="17">
        <v>1</v>
      </c>
      <c r="Z840" s="17" t="s">
        <v>2495</v>
      </c>
      <c r="AA840" s="17" t="s">
        <v>105</v>
      </c>
      <c r="AB840" s="17" t="s">
        <v>79</v>
      </c>
      <c r="AC840" s="17">
        <v>5</v>
      </c>
      <c r="AD840" s="17">
        <v>0</v>
      </c>
      <c r="AE840" s="17">
        <v>2</v>
      </c>
      <c r="AF840" s="17"/>
      <c r="AG840" s="17" t="s">
        <v>81</v>
      </c>
      <c r="AH840" s="17" t="s">
        <v>82</v>
      </c>
      <c r="AI840" s="17" t="s">
        <v>83</v>
      </c>
      <c r="AJ840" s="17" t="s">
        <v>366</v>
      </c>
      <c r="AK840" s="17" t="s">
        <v>137</v>
      </c>
      <c r="AL840" s="17" t="s">
        <v>75</v>
      </c>
      <c r="AM840" s="17" t="s">
        <v>137</v>
      </c>
      <c r="AN840" s="17" t="s">
        <v>84</v>
      </c>
      <c r="AO840" s="17" t="s">
        <v>75</v>
      </c>
      <c r="AP840" s="17"/>
      <c r="AQ840" s="17"/>
      <c r="AR840" s="17"/>
      <c r="AS840" s="17"/>
      <c r="AT840" s="17" t="s">
        <v>2496</v>
      </c>
      <c r="AU840" s="17" t="s">
        <v>111</v>
      </c>
    </row>
    <row r="841" hidden="1">
      <c r="A841" s="17">
        <v>839</v>
      </c>
      <c r="B841" s="17" t="s">
        <v>52</v>
      </c>
      <c r="C841" s="34" t="s">
        <v>2497</v>
      </c>
      <c r="D841" s="35" t="s">
        <v>52</v>
      </c>
      <c r="E841" s="17" t="s">
        <v>2498</v>
      </c>
      <c r="F841" s="17" t="s">
        <v>2499</v>
      </c>
      <c r="G841" s="17">
        <v>21.891864999999999</v>
      </c>
      <c r="H841" s="17">
        <v>87.299160000000001</v>
      </c>
      <c r="I841" s="17"/>
      <c r="J841" s="17"/>
      <c r="K841" s="17"/>
      <c r="L841" s="17"/>
      <c r="M841" s="35" t="s">
        <v>2484</v>
      </c>
      <c r="N841" s="17">
        <v>7003158683</v>
      </c>
      <c r="O841" s="17">
        <v>14</v>
      </c>
      <c r="P841" s="17">
        <v>55</v>
      </c>
      <c r="Q841" s="17" t="s">
        <v>73</v>
      </c>
      <c r="R841" s="17" t="s">
        <v>74</v>
      </c>
      <c r="S841" s="17"/>
      <c r="T841" s="17"/>
      <c r="U841" s="17" t="s">
        <v>105</v>
      </c>
      <c r="V841" s="17" t="s">
        <v>77</v>
      </c>
      <c r="W841" s="17" t="s">
        <v>143</v>
      </c>
      <c r="X841" s="17">
        <v>2</v>
      </c>
      <c r="Y841" s="17">
        <v>2</v>
      </c>
      <c r="Z841" s="17"/>
      <c r="AA841" s="17" t="s">
        <v>73</v>
      </c>
      <c r="AB841" s="17" t="s">
        <v>1838</v>
      </c>
      <c r="AC841" s="17">
        <v>1</v>
      </c>
      <c r="AD841" s="17">
        <v>0</v>
      </c>
      <c r="AE841" s="17">
        <v>0</v>
      </c>
      <c r="AF841" s="17"/>
      <c r="AG841" s="17" t="s">
        <v>124</v>
      </c>
      <c r="AH841" s="17" t="s">
        <v>82</v>
      </c>
      <c r="AI841" s="17" t="s">
        <v>83</v>
      </c>
      <c r="AJ841" s="17">
        <v>2111</v>
      </c>
      <c r="AK841" s="17" t="s">
        <v>75</v>
      </c>
      <c r="AL841" s="17" t="s">
        <v>2500</v>
      </c>
      <c r="AM841" s="17" t="s">
        <v>75</v>
      </c>
      <c r="AN841" s="17" t="s">
        <v>125</v>
      </c>
      <c r="AO841" s="17" t="s">
        <v>75</v>
      </c>
      <c r="AP841" s="17"/>
      <c r="AQ841" s="17"/>
      <c r="AR841" s="17"/>
      <c r="AS841" s="17"/>
      <c r="AT841" s="17" t="s">
        <v>2501</v>
      </c>
      <c r="AU841" s="17" t="s">
        <v>127</v>
      </c>
    </row>
    <row r="842" hidden="1">
      <c r="A842" s="17">
        <v>840</v>
      </c>
      <c r="B842" s="17" t="s">
        <v>52</v>
      </c>
      <c r="C842" s="34" t="s">
        <v>2502</v>
      </c>
      <c r="D842" s="35" t="s">
        <v>52</v>
      </c>
      <c r="E842" s="17" t="s">
        <v>2503</v>
      </c>
      <c r="F842" s="17" t="s">
        <v>2504</v>
      </c>
      <c r="G842" s="17">
        <v>21.997702</v>
      </c>
      <c r="H842" s="17">
        <v>87.274214999999998</v>
      </c>
      <c r="I842" s="17"/>
      <c r="J842" s="17"/>
      <c r="K842" s="17"/>
      <c r="L842" s="17"/>
      <c r="M842" s="35" t="s">
        <v>2242</v>
      </c>
      <c r="N842" s="17">
        <v>7439932070</v>
      </c>
      <c r="O842" s="17">
        <v>8</v>
      </c>
      <c r="P842" s="17">
        <v>100</v>
      </c>
      <c r="Q842" s="17" t="s">
        <v>105</v>
      </c>
      <c r="R842" s="17" t="s">
        <v>74</v>
      </c>
      <c r="S842" s="17" t="s">
        <v>75</v>
      </c>
      <c r="T842" s="17" t="s">
        <v>2254</v>
      </c>
      <c r="U842" s="17" t="s">
        <v>160</v>
      </c>
      <c r="V842" s="17" t="s">
        <v>77</v>
      </c>
      <c r="W842" s="17" t="s">
        <v>252</v>
      </c>
      <c r="X842" s="17">
        <v>4</v>
      </c>
      <c r="Y842" s="17">
        <v>0</v>
      </c>
      <c r="Z842" s="17"/>
      <c r="AA842" s="17" t="s">
        <v>105</v>
      </c>
      <c r="AB842" s="17" t="s">
        <v>1838</v>
      </c>
      <c r="AC842" s="17">
        <v>5</v>
      </c>
      <c r="AD842" s="17">
        <v>0</v>
      </c>
      <c r="AE842" s="17">
        <v>0</v>
      </c>
      <c r="AF842" s="17"/>
      <c r="AG842" s="17" t="s">
        <v>81</v>
      </c>
      <c r="AH842" s="17" t="s">
        <v>82</v>
      </c>
      <c r="AI842" s="17" t="s">
        <v>83</v>
      </c>
      <c r="AJ842" s="17" t="s">
        <v>366</v>
      </c>
      <c r="AK842" s="17" t="s">
        <v>75</v>
      </c>
      <c r="AL842" s="17" t="s">
        <v>75</v>
      </c>
      <c r="AM842" s="17" t="s">
        <v>75</v>
      </c>
      <c r="AN842" s="17" t="s">
        <v>84</v>
      </c>
      <c r="AO842" s="17" t="s">
        <v>75</v>
      </c>
      <c r="AP842" s="17"/>
      <c r="AQ842" s="17"/>
      <c r="AR842" s="17"/>
      <c r="AS842" s="17"/>
      <c r="AT842" s="17" t="s">
        <v>585</v>
      </c>
      <c r="AU842" s="17" t="s">
        <v>127</v>
      </c>
    </row>
    <row r="843" hidden="1">
      <c r="A843" s="17">
        <v>841</v>
      </c>
      <c r="B843" s="17" t="s">
        <v>52</v>
      </c>
      <c r="C843" s="34" t="s">
        <v>2505</v>
      </c>
      <c r="D843" s="35" t="s">
        <v>52</v>
      </c>
      <c r="E843" s="17" t="s">
        <v>2506</v>
      </c>
      <c r="F843" s="17" t="s">
        <v>2507</v>
      </c>
      <c r="G843" s="17">
        <v>22.016566000000001</v>
      </c>
      <c r="H843" s="17">
        <v>87.247451999999996</v>
      </c>
      <c r="I843" s="17"/>
      <c r="J843" s="17"/>
      <c r="K843" s="17"/>
      <c r="L843" s="17"/>
      <c r="M843" s="35" t="s">
        <v>2242</v>
      </c>
      <c r="N843" s="17">
        <v>7439932070</v>
      </c>
      <c r="O843" s="17">
        <v>10</v>
      </c>
      <c r="P843" s="17">
        <v>60</v>
      </c>
      <c r="Q843" s="17" t="s">
        <v>105</v>
      </c>
      <c r="R843" s="17" t="s">
        <v>142</v>
      </c>
      <c r="S843" s="17" t="s">
        <v>75</v>
      </c>
      <c r="T843" s="17"/>
      <c r="U843" s="17" t="s">
        <v>105</v>
      </c>
      <c r="V843" s="17" t="s">
        <v>77</v>
      </c>
      <c r="W843" s="17" t="s">
        <v>78</v>
      </c>
      <c r="X843" s="17">
        <v>3</v>
      </c>
      <c r="Y843" s="17">
        <v>1</v>
      </c>
      <c r="Z843" s="17"/>
      <c r="AA843" s="17" t="s">
        <v>105</v>
      </c>
      <c r="AB843" s="17" t="s">
        <v>1838</v>
      </c>
      <c r="AC843" s="17">
        <v>5</v>
      </c>
      <c r="AD843" s="17">
        <v>0</v>
      </c>
      <c r="AE843" s="17">
        <v>0</v>
      </c>
      <c r="AF843" s="17"/>
      <c r="AG843" s="17" t="s">
        <v>81</v>
      </c>
      <c r="AH843" s="17" t="s">
        <v>82</v>
      </c>
      <c r="AI843" s="17" t="s">
        <v>83</v>
      </c>
      <c r="AJ843" s="17" t="s">
        <v>366</v>
      </c>
      <c r="AK843" s="17" t="s">
        <v>75</v>
      </c>
      <c r="AL843" s="17" t="s">
        <v>75</v>
      </c>
      <c r="AM843" s="17" t="s">
        <v>75</v>
      </c>
      <c r="AN843" s="17" t="s">
        <v>84</v>
      </c>
      <c r="AO843" s="17" t="s">
        <v>75</v>
      </c>
      <c r="AP843" s="17"/>
      <c r="AQ843" s="17"/>
      <c r="AR843" s="17"/>
      <c r="AS843" s="17"/>
      <c r="AT843" s="17"/>
      <c r="AU843" s="17" t="s">
        <v>111</v>
      </c>
    </row>
    <row r="844" hidden="1">
      <c r="A844" s="17">
        <v>842</v>
      </c>
      <c r="B844" s="17" t="s">
        <v>52</v>
      </c>
      <c r="C844" s="34" t="s">
        <v>2508</v>
      </c>
      <c r="D844" s="35" t="s">
        <v>52</v>
      </c>
      <c r="E844" s="17" t="s">
        <v>2509</v>
      </c>
      <c r="F844" s="17" t="s">
        <v>2510</v>
      </c>
      <c r="G844" s="17">
        <v>21.880116999999998</v>
      </c>
      <c r="H844" s="17">
        <v>87.258296000000001</v>
      </c>
      <c r="I844" s="17"/>
      <c r="J844" s="17"/>
      <c r="K844" s="17"/>
      <c r="L844" s="17"/>
      <c r="M844" s="35" t="s">
        <v>2242</v>
      </c>
      <c r="N844" s="17">
        <v>7439932070</v>
      </c>
      <c r="O844" s="17">
        <v>14</v>
      </c>
      <c r="P844" s="17">
        <v>50</v>
      </c>
      <c r="Q844" s="17" t="s">
        <v>73</v>
      </c>
      <c r="R844" s="17" t="s">
        <v>74</v>
      </c>
      <c r="S844" s="17" t="s">
        <v>2511</v>
      </c>
      <c r="T844" s="17"/>
      <c r="U844" s="17" t="s">
        <v>105</v>
      </c>
      <c r="V844" s="17" t="s">
        <v>77</v>
      </c>
      <c r="W844" s="17" t="s">
        <v>2512</v>
      </c>
      <c r="X844" s="17">
        <v>5</v>
      </c>
      <c r="Y844" s="17">
        <v>1</v>
      </c>
      <c r="Z844" s="17"/>
      <c r="AA844" s="17" t="s">
        <v>73</v>
      </c>
      <c r="AB844" s="17" t="s">
        <v>1838</v>
      </c>
      <c r="AC844" s="17">
        <v>3</v>
      </c>
      <c r="AD844" s="17">
        <v>0</v>
      </c>
      <c r="AE844" s="17">
        <v>0</v>
      </c>
      <c r="AF844" s="17"/>
      <c r="AG844" s="17" t="s">
        <v>81</v>
      </c>
      <c r="AH844" s="17" t="s">
        <v>82</v>
      </c>
      <c r="AI844" s="17" t="s">
        <v>83</v>
      </c>
      <c r="AJ844" s="17" t="s">
        <v>366</v>
      </c>
      <c r="AK844" s="17" t="s">
        <v>75</v>
      </c>
      <c r="AL844" s="17" t="s">
        <v>75</v>
      </c>
      <c r="AM844" s="17" t="s">
        <v>75</v>
      </c>
      <c r="AN844" s="17" t="s">
        <v>125</v>
      </c>
      <c r="AO844" s="17" t="s">
        <v>137</v>
      </c>
      <c r="AP844" s="17" t="s">
        <v>73</v>
      </c>
      <c r="AQ844" s="17" t="s">
        <v>79</v>
      </c>
      <c r="AR844" s="17">
        <v>4</v>
      </c>
      <c r="AS844" s="17">
        <v>2</v>
      </c>
      <c r="AT844" s="17" t="s">
        <v>2513</v>
      </c>
      <c r="AU844" s="17" t="s">
        <v>111</v>
      </c>
    </row>
    <row r="845" hidden="1">
      <c r="A845" s="17">
        <v>843</v>
      </c>
      <c r="B845" s="17" t="s">
        <v>52</v>
      </c>
      <c r="C845" s="34" t="s">
        <v>2514</v>
      </c>
      <c r="D845" s="35" t="s">
        <v>52</v>
      </c>
      <c r="E845" s="17" t="s">
        <v>2515</v>
      </c>
      <c r="F845" s="17" t="s">
        <v>2516</v>
      </c>
      <c r="G845" s="17">
        <v>21.994388000000001</v>
      </c>
      <c r="H845" s="17">
        <v>87.298974999999999</v>
      </c>
      <c r="I845" s="17"/>
      <c r="J845" s="17"/>
      <c r="K845" s="17"/>
      <c r="L845" s="17"/>
      <c r="M845" s="35" t="s">
        <v>2223</v>
      </c>
      <c r="N845" s="36">
        <v>9734686678</v>
      </c>
      <c r="O845" s="17">
        <v>20</v>
      </c>
      <c r="P845" s="17">
        <v>110</v>
      </c>
      <c r="Q845" s="17" t="s">
        <v>73</v>
      </c>
      <c r="R845" s="17" t="s">
        <v>74</v>
      </c>
      <c r="S845" s="17" t="s">
        <v>75</v>
      </c>
      <c r="T845" s="17"/>
      <c r="U845" s="17" t="s">
        <v>105</v>
      </c>
      <c r="V845" s="17" t="s">
        <v>77</v>
      </c>
      <c r="W845" s="17" t="s">
        <v>2517</v>
      </c>
      <c r="X845" s="17">
        <v>2</v>
      </c>
      <c r="Y845" s="17">
        <v>0</v>
      </c>
      <c r="Z845" s="17"/>
      <c r="AA845" s="17" t="s">
        <v>73</v>
      </c>
      <c r="AB845" s="17" t="s">
        <v>79</v>
      </c>
      <c r="AC845" s="17">
        <v>3</v>
      </c>
      <c r="AD845" s="17">
        <v>0</v>
      </c>
      <c r="AE845" s="17">
        <v>0</v>
      </c>
      <c r="AF845" s="17"/>
      <c r="AG845" s="17" t="s">
        <v>2518</v>
      </c>
      <c r="AH845" s="17" t="s">
        <v>82</v>
      </c>
      <c r="AI845" s="17" t="s">
        <v>107</v>
      </c>
      <c r="AJ845" s="17"/>
      <c r="AK845" s="17" t="s">
        <v>137</v>
      </c>
      <c r="AL845" s="17" t="s">
        <v>75</v>
      </c>
      <c r="AM845" s="17" t="s">
        <v>2519</v>
      </c>
      <c r="AN845" s="17" t="s">
        <v>84</v>
      </c>
      <c r="AO845" s="17" t="s">
        <v>75</v>
      </c>
      <c r="AP845" s="17"/>
      <c r="AQ845" s="17"/>
      <c r="AR845" s="17"/>
      <c r="AS845" s="17"/>
      <c r="AT845" s="17" t="s">
        <v>2520</v>
      </c>
      <c r="AU845" s="17" t="s">
        <v>111</v>
      </c>
    </row>
    <row r="846" hidden="1">
      <c r="A846" s="17">
        <v>844</v>
      </c>
      <c r="B846" s="17" t="s">
        <v>52</v>
      </c>
      <c r="C846" s="34" t="s">
        <v>2521</v>
      </c>
      <c r="D846" s="35" t="s">
        <v>52</v>
      </c>
      <c r="E846" s="17" t="s">
        <v>2522</v>
      </c>
      <c r="F846" s="17" t="s">
        <v>2523</v>
      </c>
      <c r="G846" s="17">
        <v>21.930914000000001</v>
      </c>
      <c r="H846" s="17">
        <v>87.351423999999994</v>
      </c>
      <c r="I846" s="17"/>
      <c r="J846" s="17"/>
      <c r="K846" s="17"/>
      <c r="L846" s="17"/>
      <c r="M846" s="35" t="s">
        <v>2484</v>
      </c>
      <c r="N846" s="17">
        <v>7003158683</v>
      </c>
      <c r="O846" s="17">
        <v>14</v>
      </c>
      <c r="P846" s="17">
        <v>120</v>
      </c>
      <c r="Q846" s="17" t="s">
        <v>73</v>
      </c>
      <c r="R846" s="17" t="s">
        <v>1180</v>
      </c>
      <c r="S846" s="17" t="s">
        <v>137</v>
      </c>
      <c r="T846" s="17" t="s">
        <v>2524</v>
      </c>
      <c r="U846" s="17" t="s">
        <v>105</v>
      </c>
      <c r="V846" s="17" t="s">
        <v>77</v>
      </c>
      <c r="W846" s="17" t="s">
        <v>443</v>
      </c>
      <c r="X846" s="17">
        <v>4</v>
      </c>
      <c r="Y846" s="17">
        <v>1</v>
      </c>
      <c r="Z846" s="17" t="s">
        <v>2525</v>
      </c>
      <c r="AA846" s="17" t="s">
        <v>73</v>
      </c>
      <c r="AB846" s="17" t="s">
        <v>1838</v>
      </c>
      <c r="AC846" s="17">
        <v>2</v>
      </c>
      <c r="AD846" s="17">
        <v>0</v>
      </c>
      <c r="AE846" s="17">
        <v>0</v>
      </c>
      <c r="AF846" s="17"/>
      <c r="AG846" s="17" t="s">
        <v>124</v>
      </c>
      <c r="AH846" s="17" t="s">
        <v>82</v>
      </c>
      <c r="AI846" s="17" t="s">
        <v>83</v>
      </c>
      <c r="AJ846" s="17">
        <v>2111</v>
      </c>
      <c r="AK846" s="17" t="s">
        <v>75</v>
      </c>
      <c r="AL846" s="17" t="s">
        <v>75</v>
      </c>
      <c r="AM846" s="17" t="s">
        <v>163</v>
      </c>
      <c r="AN846" s="17" t="s">
        <v>125</v>
      </c>
      <c r="AO846" s="17" t="s">
        <v>137</v>
      </c>
      <c r="AP846" s="17"/>
      <c r="AQ846" s="17"/>
      <c r="AR846" s="17"/>
      <c r="AS846" s="17"/>
      <c r="AT846" s="17" t="s">
        <v>2526</v>
      </c>
      <c r="AU846" s="17" t="s">
        <v>127</v>
      </c>
    </row>
    <row r="847" hidden="1">
      <c r="A847" s="17">
        <v>845</v>
      </c>
      <c r="B847" s="17" t="s">
        <v>52</v>
      </c>
      <c r="C847" s="34" t="s">
        <v>2527</v>
      </c>
      <c r="D847" s="35" t="s">
        <v>52</v>
      </c>
      <c r="E847" s="17" t="s">
        <v>2528</v>
      </c>
      <c r="F847" s="17" t="s">
        <v>2529</v>
      </c>
      <c r="G847" s="17">
        <v>21.949400000000001</v>
      </c>
      <c r="H847" s="17">
        <v>87.336861999999996</v>
      </c>
      <c r="I847" s="17"/>
      <c r="J847" s="17"/>
      <c r="K847" s="17"/>
      <c r="L847" s="17"/>
      <c r="M847" s="35" t="s">
        <v>2484</v>
      </c>
      <c r="N847" s="17">
        <v>7003158683</v>
      </c>
      <c r="O847" s="17">
        <v>12</v>
      </c>
      <c r="P847" s="17">
        <v>55</v>
      </c>
      <c r="Q847" s="17" t="s">
        <v>187</v>
      </c>
      <c r="R847" s="17" t="s">
        <v>74</v>
      </c>
      <c r="S847" s="17"/>
      <c r="T847" s="17"/>
      <c r="U847" s="17" t="s">
        <v>105</v>
      </c>
      <c r="V847" s="17" t="s">
        <v>77</v>
      </c>
      <c r="W847" s="17" t="s">
        <v>123</v>
      </c>
      <c r="X847" s="17">
        <v>3</v>
      </c>
      <c r="Y847" s="17">
        <v>1</v>
      </c>
      <c r="Z847" s="17" t="s">
        <v>2530</v>
      </c>
      <c r="AA847" s="17" t="s">
        <v>187</v>
      </c>
      <c r="AB847" s="17" t="s">
        <v>1838</v>
      </c>
      <c r="AC847" s="17">
        <v>2</v>
      </c>
      <c r="AD847" s="17">
        <v>0</v>
      </c>
      <c r="AE847" s="17">
        <v>0</v>
      </c>
      <c r="AF847" s="17"/>
      <c r="AG847" s="17" t="s">
        <v>124</v>
      </c>
      <c r="AH847" s="17" t="s">
        <v>82</v>
      </c>
      <c r="AI847" s="17" t="s">
        <v>83</v>
      </c>
      <c r="AJ847" s="17">
        <v>2111</v>
      </c>
      <c r="AK847" s="17" t="s">
        <v>75</v>
      </c>
      <c r="AL847" s="17" t="s">
        <v>75</v>
      </c>
      <c r="AM847" s="17" t="s">
        <v>75</v>
      </c>
      <c r="AN847" s="17" t="s">
        <v>84</v>
      </c>
      <c r="AO847" s="17" t="s">
        <v>75</v>
      </c>
      <c r="AP847" s="17"/>
      <c r="AQ847" s="17"/>
      <c r="AR847" s="17"/>
      <c r="AS847" s="17"/>
      <c r="AT847" s="17" t="s">
        <v>2531</v>
      </c>
      <c r="AU847" s="17" t="s">
        <v>127</v>
      </c>
    </row>
    <row r="848" hidden="1">
      <c r="A848" s="17">
        <v>846</v>
      </c>
      <c r="B848" s="17" t="s">
        <v>52</v>
      </c>
      <c r="C848" s="34" t="s">
        <v>2532</v>
      </c>
      <c r="D848" s="35" t="s">
        <v>52</v>
      </c>
      <c r="E848" s="17" t="s">
        <v>2533</v>
      </c>
      <c r="F848" s="17" t="s">
        <v>2534</v>
      </c>
      <c r="G848" s="17">
        <v>21.990524000000001</v>
      </c>
      <c r="H848" s="17">
        <v>87.318894</v>
      </c>
      <c r="I848" s="17"/>
      <c r="J848" s="17"/>
      <c r="K848" s="17"/>
      <c r="L848" s="17"/>
      <c r="M848" s="35" t="s">
        <v>2223</v>
      </c>
      <c r="N848" s="36">
        <v>9734686678</v>
      </c>
      <c r="O848" s="17">
        <v>22</v>
      </c>
      <c r="P848" s="17">
        <v>50</v>
      </c>
      <c r="Q848" s="17" t="s">
        <v>73</v>
      </c>
      <c r="R848" s="17" t="s">
        <v>74</v>
      </c>
      <c r="S848" s="17" t="s">
        <v>75</v>
      </c>
      <c r="T848" s="17"/>
      <c r="U848" s="17" t="s">
        <v>105</v>
      </c>
      <c r="V848" s="17" t="s">
        <v>77</v>
      </c>
      <c r="W848" s="17" t="s">
        <v>454</v>
      </c>
      <c r="X848" s="17">
        <v>3</v>
      </c>
      <c r="Y848" s="17">
        <v>1</v>
      </c>
      <c r="Z848" s="17"/>
      <c r="AA848" s="17" t="s">
        <v>73</v>
      </c>
      <c r="AB848" s="17" t="s">
        <v>79</v>
      </c>
      <c r="AC848" s="17">
        <v>3</v>
      </c>
      <c r="AD848" s="17">
        <v>0</v>
      </c>
      <c r="AE848" s="17">
        <v>0</v>
      </c>
      <c r="AF848" s="17"/>
      <c r="AG848" s="17" t="s">
        <v>124</v>
      </c>
      <c r="AH848" s="17" t="s">
        <v>82</v>
      </c>
      <c r="AI848" s="17" t="s">
        <v>83</v>
      </c>
      <c r="AJ848" s="17">
        <v>2111</v>
      </c>
      <c r="AK848" s="17" t="s">
        <v>137</v>
      </c>
      <c r="AL848" s="17" t="s">
        <v>75</v>
      </c>
      <c r="AM848" s="17" t="s">
        <v>137</v>
      </c>
      <c r="AN848" s="17" t="s">
        <v>84</v>
      </c>
      <c r="AO848" s="17" t="s">
        <v>75</v>
      </c>
      <c r="AP848" s="17"/>
      <c r="AQ848" s="17"/>
      <c r="AR848" s="17"/>
      <c r="AS848" s="17"/>
      <c r="AT848" s="17" t="s">
        <v>2535</v>
      </c>
      <c r="AU848" s="17" t="s">
        <v>2536</v>
      </c>
    </row>
    <row r="849" hidden="1">
      <c r="A849" s="17">
        <v>847</v>
      </c>
      <c r="B849" s="17" t="s">
        <v>52</v>
      </c>
      <c r="C849" s="34" t="s">
        <v>2537</v>
      </c>
      <c r="D849" s="35" t="s">
        <v>52</v>
      </c>
      <c r="E849" s="17" t="s">
        <v>2538</v>
      </c>
      <c r="F849" s="17" t="s">
        <v>2539</v>
      </c>
      <c r="G849" s="17">
        <v>21.930475999999999</v>
      </c>
      <c r="H849" s="17">
        <v>87.272115999999997</v>
      </c>
      <c r="I849" s="17"/>
      <c r="J849" s="17"/>
      <c r="K849" s="17"/>
      <c r="L849" s="17"/>
      <c r="M849" s="35" t="s">
        <v>2242</v>
      </c>
      <c r="N849" s="17">
        <v>7439932070</v>
      </c>
      <c r="O849" s="17">
        <v>24</v>
      </c>
      <c r="P849" s="17">
        <v>100</v>
      </c>
      <c r="Q849" s="17" t="s">
        <v>73</v>
      </c>
      <c r="R849" s="17" t="s">
        <v>74</v>
      </c>
      <c r="S849" s="17" t="s">
        <v>75</v>
      </c>
      <c r="T849" s="17"/>
      <c r="U849" s="17" t="s">
        <v>160</v>
      </c>
      <c r="V849" s="17" t="s">
        <v>77</v>
      </c>
      <c r="W849" s="17" t="s">
        <v>161</v>
      </c>
      <c r="X849" s="17">
        <v>5</v>
      </c>
      <c r="Y849" s="17">
        <v>0</v>
      </c>
      <c r="Z849" s="17"/>
      <c r="AA849" s="17" t="s">
        <v>73</v>
      </c>
      <c r="AB849" s="17" t="s">
        <v>79</v>
      </c>
      <c r="AC849" s="17">
        <v>5</v>
      </c>
      <c r="AD849" s="17">
        <v>0</v>
      </c>
      <c r="AE849" s="17">
        <v>2</v>
      </c>
      <c r="AF849" s="17"/>
      <c r="AG849" s="17" t="s">
        <v>81</v>
      </c>
      <c r="AH849" s="17" t="s">
        <v>82</v>
      </c>
      <c r="AI849" s="17" t="s">
        <v>107</v>
      </c>
      <c r="AJ849" s="17" t="s">
        <v>2540</v>
      </c>
      <c r="AK849" s="17" t="s">
        <v>75</v>
      </c>
      <c r="AL849" s="17" t="s">
        <v>75</v>
      </c>
      <c r="AM849" s="17" t="s">
        <v>75</v>
      </c>
      <c r="AN849" s="17" t="s">
        <v>84</v>
      </c>
      <c r="AO849" s="17" t="s">
        <v>75</v>
      </c>
      <c r="AP849" s="17"/>
      <c r="AQ849" s="17"/>
      <c r="AR849" s="17"/>
      <c r="AS849" s="17"/>
      <c r="AT849" s="17" t="s">
        <v>190</v>
      </c>
      <c r="AU849" s="17" t="s">
        <v>111</v>
      </c>
    </row>
    <row r="850" hidden="1">
      <c r="A850" s="17">
        <v>848</v>
      </c>
      <c r="B850" s="17" t="s">
        <v>52</v>
      </c>
      <c r="C850" s="34" t="s">
        <v>2541</v>
      </c>
      <c r="D850" s="35" t="s">
        <v>52</v>
      </c>
      <c r="E850" s="17" t="s">
        <v>2542</v>
      </c>
      <c r="F850" s="17" t="s">
        <v>2543</v>
      </c>
      <c r="G850" s="17">
        <v>21.839227000000001</v>
      </c>
      <c r="H850" s="17">
        <v>87.322058999999996</v>
      </c>
      <c r="I850" s="17"/>
      <c r="J850" s="17"/>
      <c r="K850" s="17"/>
      <c r="L850" s="17"/>
      <c r="M850" s="35" t="s">
        <v>2484</v>
      </c>
      <c r="N850" s="17">
        <v>7003158683</v>
      </c>
      <c r="O850" s="17">
        <v>14</v>
      </c>
      <c r="P850" s="17">
        <v>65</v>
      </c>
      <c r="Q850" s="17" t="s">
        <v>73</v>
      </c>
      <c r="R850" s="17" t="s">
        <v>74</v>
      </c>
      <c r="S850" s="17"/>
      <c r="T850" s="17"/>
      <c r="U850" s="17" t="s">
        <v>105</v>
      </c>
      <c r="V850" s="17" t="s">
        <v>77</v>
      </c>
      <c r="W850" s="17" t="s">
        <v>252</v>
      </c>
      <c r="X850" s="17">
        <v>3</v>
      </c>
      <c r="Y850" s="17">
        <v>1</v>
      </c>
      <c r="Z850" s="17"/>
      <c r="AA850" s="17" t="s">
        <v>73</v>
      </c>
      <c r="AB850" s="17" t="s">
        <v>1838</v>
      </c>
      <c r="AC850" s="17">
        <v>1</v>
      </c>
      <c r="AD850" s="17">
        <v>0</v>
      </c>
      <c r="AE850" s="17">
        <v>0</v>
      </c>
      <c r="AF850" s="17"/>
      <c r="AG850" s="17" t="s">
        <v>81</v>
      </c>
      <c r="AH850" s="17" t="s">
        <v>82</v>
      </c>
      <c r="AI850" s="17" t="s">
        <v>107</v>
      </c>
      <c r="AJ850" s="17"/>
      <c r="AK850" s="17" t="s">
        <v>75</v>
      </c>
      <c r="AL850" s="17" t="s">
        <v>2544</v>
      </c>
      <c r="AM850" s="17" t="s">
        <v>75</v>
      </c>
      <c r="AN850" s="17" t="s">
        <v>84</v>
      </c>
      <c r="AO850" s="17" t="s">
        <v>75</v>
      </c>
      <c r="AP850" s="17"/>
      <c r="AQ850" s="17"/>
      <c r="AR850" s="17"/>
      <c r="AS850" s="17"/>
      <c r="AT850" s="17" t="s">
        <v>80</v>
      </c>
      <c r="AU850" s="17" t="s">
        <v>111</v>
      </c>
    </row>
    <row r="851" hidden="1">
      <c r="A851" s="17">
        <v>849</v>
      </c>
      <c r="B851" s="17" t="s">
        <v>52</v>
      </c>
      <c r="C851" s="34" t="s">
        <v>2545</v>
      </c>
      <c r="D851" s="35" t="s">
        <v>52</v>
      </c>
      <c r="E851" s="17" t="s">
        <v>2546</v>
      </c>
      <c r="F851" s="17" t="s">
        <v>2547</v>
      </c>
      <c r="G851" s="17">
        <v>21.808679000000001</v>
      </c>
      <c r="H851" s="17">
        <v>87.306926000000004</v>
      </c>
      <c r="I851" s="17"/>
      <c r="J851" s="17"/>
      <c r="K851" s="17"/>
      <c r="L851" s="17"/>
      <c r="M851" s="35" t="s">
        <v>2484</v>
      </c>
      <c r="N851" s="17">
        <v>7003158683</v>
      </c>
      <c r="O851" s="17">
        <v>14</v>
      </c>
      <c r="P851" s="17">
        <v>75</v>
      </c>
      <c r="Q851" s="17" t="s">
        <v>73</v>
      </c>
      <c r="R851" s="17" t="s">
        <v>74</v>
      </c>
      <c r="S851" s="17"/>
      <c r="T851" s="17"/>
      <c r="U851" s="17" t="s">
        <v>105</v>
      </c>
      <c r="V851" s="17" t="s">
        <v>340</v>
      </c>
      <c r="W851" s="17" t="s">
        <v>78</v>
      </c>
      <c r="X851" s="17">
        <v>6</v>
      </c>
      <c r="Y851" s="17">
        <v>2</v>
      </c>
      <c r="Z851" s="17"/>
      <c r="AA851" s="17" t="s">
        <v>73</v>
      </c>
      <c r="AB851" s="17" t="s">
        <v>1838</v>
      </c>
      <c r="AC851" s="17">
        <v>1</v>
      </c>
      <c r="AD851" s="17">
        <v>0</v>
      </c>
      <c r="AE851" s="17">
        <v>0</v>
      </c>
      <c r="AF851" s="17"/>
      <c r="AG851" s="17" t="s">
        <v>81</v>
      </c>
      <c r="AH851" s="17" t="s">
        <v>82</v>
      </c>
      <c r="AI851" s="17" t="s">
        <v>107</v>
      </c>
      <c r="AJ851" s="17"/>
      <c r="AK851" s="17" t="s">
        <v>2548</v>
      </c>
      <c r="AL851" s="17" t="s">
        <v>2549</v>
      </c>
      <c r="AM851" s="17" t="s">
        <v>75</v>
      </c>
      <c r="AN851" s="17" t="s">
        <v>84</v>
      </c>
      <c r="AO851" s="17" t="s">
        <v>75</v>
      </c>
      <c r="AP851" s="17"/>
      <c r="AQ851" s="17"/>
      <c r="AR851" s="17"/>
      <c r="AS851" s="17"/>
      <c r="AT851" s="17" t="s">
        <v>2550</v>
      </c>
      <c r="AU851" s="17" t="s">
        <v>111</v>
      </c>
    </row>
    <row r="852" hidden="1">
      <c r="A852" s="17">
        <v>850</v>
      </c>
      <c r="B852" s="17" t="s">
        <v>52</v>
      </c>
      <c r="C852" s="34" t="s">
        <v>2551</v>
      </c>
      <c r="D852" s="35" t="s">
        <v>52</v>
      </c>
      <c r="E852" s="17" t="s">
        <v>2552</v>
      </c>
      <c r="F852" s="17" t="s">
        <v>2553</v>
      </c>
      <c r="G852" s="17">
        <v>21.957930000000001</v>
      </c>
      <c r="H852" s="17">
        <v>87.252920000000003</v>
      </c>
      <c r="I852" s="17"/>
      <c r="J852" s="17"/>
      <c r="K852" s="17"/>
      <c r="L852" s="17"/>
      <c r="M852" s="35" t="s">
        <v>2242</v>
      </c>
      <c r="N852" s="17">
        <v>7439932070</v>
      </c>
      <c r="O852" s="17">
        <v>15</v>
      </c>
      <c r="P852" s="17">
        <v>140</v>
      </c>
      <c r="Q852" s="17" t="s">
        <v>187</v>
      </c>
      <c r="R852" s="17" t="s">
        <v>339</v>
      </c>
      <c r="S852" s="17" t="s">
        <v>75</v>
      </c>
      <c r="T852" s="17"/>
      <c r="U852" s="17" t="s">
        <v>76</v>
      </c>
      <c r="V852" s="17" t="s">
        <v>77</v>
      </c>
      <c r="W852" s="17" t="s">
        <v>1182</v>
      </c>
      <c r="X852" s="17">
        <v>4</v>
      </c>
      <c r="Y852" s="17">
        <v>0</v>
      </c>
      <c r="Z852" s="17" t="s">
        <v>2554</v>
      </c>
      <c r="AA852" s="17" t="s">
        <v>187</v>
      </c>
      <c r="AB852" s="17" t="s">
        <v>79</v>
      </c>
      <c r="AC852" s="17">
        <v>6</v>
      </c>
      <c r="AD852" s="17">
        <v>0</v>
      </c>
      <c r="AE852" s="17">
        <v>0</v>
      </c>
      <c r="AF852" s="17"/>
      <c r="AG852" s="17" t="s">
        <v>124</v>
      </c>
      <c r="AH852" s="17" t="s">
        <v>162</v>
      </c>
      <c r="AI852" s="17" t="s">
        <v>83</v>
      </c>
      <c r="AJ852" s="17" t="s">
        <v>2475</v>
      </c>
      <c r="AK852" s="17" t="s">
        <v>2548</v>
      </c>
      <c r="AL852" s="17" t="s">
        <v>75</v>
      </c>
      <c r="AM852" s="17" t="s">
        <v>75</v>
      </c>
      <c r="AN852" s="17" t="s">
        <v>84</v>
      </c>
      <c r="AO852" s="17" t="s">
        <v>75</v>
      </c>
      <c r="AP852" s="17"/>
      <c r="AQ852" s="17"/>
      <c r="AR852" s="17"/>
      <c r="AS852" s="17"/>
      <c r="AT852" s="17" t="s">
        <v>2555</v>
      </c>
      <c r="AU852" s="17" t="s">
        <v>111</v>
      </c>
    </row>
    <row r="853" hidden="1">
      <c r="A853" s="17">
        <v>851</v>
      </c>
      <c r="B853" s="17" t="s">
        <v>52</v>
      </c>
      <c r="C853" s="34" t="s">
        <v>2556</v>
      </c>
      <c r="D853" s="35" t="s">
        <v>52</v>
      </c>
      <c r="E853" s="17" t="s">
        <v>2557</v>
      </c>
      <c r="F853" s="17" t="s">
        <v>2558</v>
      </c>
      <c r="G853" s="17">
        <v>21.853739999999998</v>
      </c>
      <c r="H853" s="17">
        <v>87.266739999999999</v>
      </c>
      <c r="I853" s="17"/>
      <c r="J853" s="17"/>
      <c r="K853" s="17"/>
      <c r="L853" s="17"/>
      <c r="M853" s="35" t="s">
        <v>2484</v>
      </c>
      <c r="N853" s="17">
        <v>7003158683</v>
      </c>
      <c r="O853" s="17">
        <v>15</v>
      </c>
      <c r="P853" s="17">
        <v>85</v>
      </c>
      <c r="Q853" s="17" t="s">
        <v>187</v>
      </c>
      <c r="R853" s="17" t="s">
        <v>74</v>
      </c>
      <c r="S853" s="17"/>
      <c r="T853" s="17"/>
      <c r="U853" s="17" t="s">
        <v>76</v>
      </c>
      <c r="V853" s="17" t="s">
        <v>77</v>
      </c>
      <c r="W853" s="17" t="s">
        <v>454</v>
      </c>
      <c r="X853" s="17">
        <v>4</v>
      </c>
      <c r="Y853" s="17">
        <v>2</v>
      </c>
      <c r="Z853" s="17"/>
      <c r="AA853" s="17" t="s">
        <v>187</v>
      </c>
      <c r="AB853" s="17" t="s">
        <v>1838</v>
      </c>
      <c r="AC853" s="17">
        <v>3</v>
      </c>
      <c r="AD853" s="17">
        <v>0</v>
      </c>
      <c r="AE853" s="17">
        <v>0</v>
      </c>
      <c r="AF853" s="17"/>
      <c r="AG853" s="17" t="s">
        <v>124</v>
      </c>
      <c r="AH853" s="17" t="s">
        <v>82</v>
      </c>
      <c r="AI853" s="17" t="s">
        <v>83</v>
      </c>
      <c r="AJ853" s="17">
        <v>2111</v>
      </c>
      <c r="AK853" s="17" t="s">
        <v>2548</v>
      </c>
      <c r="AL853" s="17" t="s">
        <v>75</v>
      </c>
      <c r="AM853" s="17" t="s">
        <v>75</v>
      </c>
      <c r="AN853" s="17" t="s">
        <v>125</v>
      </c>
      <c r="AO853" s="17" t="s">
        <v>75</v>
      </c>
      <c r="AP853" s="17" t="s">
        <v>187</v>
      </c>
      <c r="AQ853" s="17" t="s">
        <v>2343</v>
      </c>
      <c r="AR853" s="17">
        <v>1</v>
      </c>
      <c r="AS853" s="17">
        <v>0</v>
      </c>
      <c r="AT853" s="17" t="s">
        <v>2559</v>
      </c>
      <c r="AU853" s="17" t="s">
        <v>111</v>
      </c>
    </row>
    <row r="854" hidden="1">
      <c r="A854" s="17">
        <v>852</v>
      </c>
      <c r="B854" s="17" t="s">
        <v>52</v>
      </c>
      <c r="C854" s="34" t="s">
        <v>2560</v>
      </c>
      <c r="D854" s="35" t="s">
        <v>52</v>
      </c>
      <c r="E854" s="17" t="s">
        <v>2561</v>
      </c>
      <c r="F854" s="17" t="s">
        <v>2562</v>
      </c>
      <c r="G854" s="17">
        <v>21.868278</v>
      </c>
      <c r="H854" s="17">
        <v>87.285844999999995</v>
      </c>
      <c r="I854" s="17"/>
      <c r="J854" s="17"/>
      <c r="K854" s="17"/>
      <c r="L854" s="17"/>
      <c r="M854" s="35" t="s">
        <v>2484</v>
      </c>
      <c r="N854" s="17">
        <v>7003158683</v>
      </c>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row>
    <row r="855" hidden="1">
      <c r="A855" s="17">
        <v>853</v>
      </c>
      <c r="B855" s="17" t="s">
        <v>52</v>
      </c>
      <c r="C855" s="34" t="s">
        <v>2563</v>
      </c>
      <c r="D855" s="35" t="s">
        <v>52</v>
      </c>
      <c r="E855" s="17" t="s">
        <v>2564</v>
      </c>
      <c r="F855" s="17" t="s">
        <v>2565</v>
      </c>
      <c r="G855" s="17">
        <v>22.030352000000001</v>
      </c>
      <c r="H855" s="17">
        <v>87.269155999999995</v>
      </c>
      <c r="I855" s="17"/>
      <c r="J855" s="17"/>
      <c r="K855" s="17"/>
      <c r="L855" s="17"/>
      <c r="M855" s="35" t="s">
        <v>2242</v>
      </c>
      <c r="N855" s="17">
        <v>7439932070</v>
      </c>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row>
    <row r="856" hidden="1">
      <c r="A856" s="17">
        <v>854</v>
      </c>
      <c r="B856" s="17" t="s">
        <v>52</v>
      </c>
      <c r="C856" s="34" t="s">
        <v>2566</v>
      </c>
      <c r="D856" s="35" t="s">
        <v>52</v>
      </c>
      <c r="E856" s="17" t="s">
        <v>2567</v>
      </c>
      <c r="F856" s="17" t="s">
        <v>2568</v>
      </c>
      <c r="G856" s="17">
        <v>21.833759000000001</v>
      </c>
      <c r="H856" s="17">
        <v>87.292053999999993</v>
      </c>
      <c r="I856" s="17"/>
      <c r="J856" s="17"/>
      <c r="K856" s="17"/>
      <c r="L856" s="17"/>
      <c r="M856" s="35" t="s">
        <v>2484</v>
      </c>
      <c r="N856" s="17">
        <v>7003158683</v>
      </c>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row>
    <row r="857" hidden="1">
      <c r="A857" s="17">
        <v>855</v>
      </c>
      <c r="B857" s="17" t="s">
        <v>52</v>
      </c>
      <c r="C857" s="34" t="s">
        <v>2569</v>
      </c>
      <c r="D857" s="35" t="s">
        <v>52</v>
      </c>
      <c r="E857" s="17" t="s">
        <v>2570</v>
      </c>
      <c r="F857" s="17" t="s">
        <v>2571</v>
      </c>
      <c r="G857" s="17">
        <v>21.850019</v>
      </c>
      <c r="H857" s="17">
        <v>87.323616000000001</v>
      </c>
      <c r="I857" s="17"/>
      <c r="J857" s="17"/>
      <c r="K857" s="17"/>
      <c r="L857" s="17"/>
      <c r="M857" s="35" t="s">
        <v>2484</v>
      </c>
      <c r="N857" s="17">
        <v>7003158683</v>
      </c>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row>
    <row r="858" hidden="1">
      <c r="A858" s="17">
        <v>856</v>
      </c>
      <c r="B858" s="17" t="s">
        <v>52</v>
      </c>
      <c r="C858" s="34" t="s">
        <v>2572</v>
      </c>
      <c r="D858" s="35" t="s">
        <v>52</v>
      </c>
      <c r="E858" s="17" t="s">
        <v>2573</v>
      </c>
      <c r="F858" s="17" t="s">
        <v>2574</v>
      </c>
      <c r="G858" s="17">
        <v>21.981396</v>
      </c>
      <c r="H858" s="17">
        <v>87.248797999999994</v>
      </c>
      <c r="I858" s="17"/>
      <c r="J858" s="17"/>
      <c r="K858" s="17"/>
      <c r="L858" s="17"/>
      <c r="M858" s="35" t="s">
        <v>2242</v>
      </c>
      <c r="N858" s="17">
        <v>7439932070</v>
      </c>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row>
    <row r="859" hidden="1">
      <c r="A859" s="17">
        <v>857</v>
      </c>
      <c r="B859" s="17" t="s">
        <v>52</v>
      </c>
      <c r="C859" s="34" t="s">
        <v>2575</v>
      </c>
      <c r="D859" s="35" t="s">
        <v>52</v>
      </c>
      <c r="E859" s="17" t="s">
        <v>2576</v>
      </c>
      <c r="F859" s="17" t="s">
        <v>2577</v>
      </c>
      <c r="G859" s="17">
        <v>21.949846000000001</v>
      </c>
      <c r="H859" s="17">
        <v>87.276584</v>
      </c>
      <c r="I859" s="17"/>
      <c r="J859" s="17"/>
      <c r="K859" s="17"/>
      <c r="L859" s="17"/>
      <c r="M859" s="35" t="s">
        <v>2242</v>
      </c>
      <c r="N859" s="17">
        <v>7439932070</v>
      </c>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row>
    <row r="860" hidden="1">
      <c r="A860" s="17">
        <v>858</v>
      </c>
      <c r="B860" s="17" t="s">
        <v>52</v>
      </c>
      <c r="C860" s="34" t="s">
        <v>2578</v>
      </c>
      <c r="D860" s="35" t="s">
        <v>52</v>
      </c>
      <c r="E860" s="17" t="s">
        <v>597</v>
      </c>
      <c r="F860" s="17" t="s">
        <v>2579</v>
      </c>
      <c r="G860" s="17">
        <v>22.013615000000001</v>
      </c>
      <c r="H860" s="17">
        <v>87.22354</v>
      </c>
      <c r="I860" s="17"/>
      <c r="J860" s="17"/>
      <c r="K860" s="17"/>
      <c r="L860" s="17"/>
      <c r="M860" s="35" t="s">
        <v>2484</v>
      </c>
      <c r="N860" s="17">
        <v>7003158683</v>
      </c>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row>
    <row r="861" hidden="1">
      <c r="A861" s="17">
        <v>859</v>
      </c>
      <c r="B861" s="17" t="s">
        <v>52</v>
      </c>
      <c r="C861" s="34" t="s">
        <v>2580</v>
      </c>
      <c r="D861" s="35" t="s">
        <v>52</v>
      </c>
      <c r="E861" s="17" t="s">
        <v>2581</v>
      </c>
      <c r="F861" s="17" t="s">
        <v>2582</v>
      </c>
      <c r="G861" s="17">
        <v>21.91742</v>
      </c>
      <c r="H861" s="17">
        <v>87.344109000000003</v>
      </c>
      <c r="I861" s="17"/>
      <c r="J861" s="17"/>
      <c r="K861" s="17"/>
      <c r="L861" s="17"/>
      <c r="M861" s="35" t="s">
        <v>2484</v>
      </c>
      <c r="N861" s="17">
        <v>7003158683</v>
      </c>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row>
    <row r="862" hidden="1">
      <c r="A862" s="17">
        <v>860</v>
      </c>
      <c r="B862" s="17" t="s">
        <v>52</v>
      </c>
      <c r="C862" s="34" t="s">
        <v>2583</v>
      </c>
      <c r="D862" s="35" t="s">
        <v>52</v>
      </c>
      <c r="E862" s="17" t="s">
        <v>2584</v>
      </c>
      <c r="F862" s="17" t="s">
        <v>2585</v>
      </c>
      <c r="G862" s="17">
        <v>21.813444</v>
      </c>
      <c r="H862" s="17">
        <v>87.282819000000003</v>
      </c>
      <c r="I862" s="17"/>
      <c r="J862" s="17"/>
      <c r="K862" s="17"/>
      <c r="L862" s="17"/>
      <c r="M862" s="35" t="s">
        <v>2484</v>
      </c>
      <c r="N862" s="17">
        <v>7003158683</v>
      </c>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row>
    <row r="863" hidden="1">
      <c r="A863" s="17">
        <v>861</v>
      </c>
      <c r="B863" s="17" t="s">
        <v>52</v>
      </c>
      <c r="C863" s="34" t="s">
        <v>2586</v>
      </c>
      <c r="D863" s="35" t="s">
        <v>52</v>
      </c>
      <c r="E863" s="17" t="s">
        <v>2587</v>
      </c>
      <c r="F863" s="17" t="s">
        <v>2588</v>
      </c>
      <c r="G863" s="17">
        <v>21.934235999999999</v>
      </c>
      <c r="H863" s="17">
        <v>87.313534000000004</v>
      </c>
      <c r="I863" s="17"/>
      <c r="J863" s="17"/>
      <c r="K863" s="17"/>
      <c r="L863" s="17"/>
      <c r="M863" s="35" t="s">
        <v>2484</v>
      </c>
      <c r="N863" s="17">
        <v>7003158683</v>
      </c>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row>
    <row r="864" hidden="1">
      <c r="A864" s="17">
        <v>862</v>
      </c>
      <c r="B864" s="17" t="s">
        <v>52</v>
      </c>
      <c r="C864" s="34" t="s">
        <v>2589</v>
      </c>
      <c r="D864" s="35" t="s">
        <v>52</v>
      </c>
      <c r="E864" s="17" t="s">
        <v>2590</v>
      </c>
      <c r="F864" s="17" t="s">
        <v>2590</v>
      </c>
      <c r="G864" s="17">
        <v>21.979614999999999</v>
      </c>
      <c r="H864" s="17">
        <v>87.317312999999999</v>
      </c>
      <c r="I864" s="17"/>
      <c r="J864" s="17"/>
      <c r="K864" s="17"/>
      <c r="L864" s="17"/>
      <c r="M864" s="35" t="s">
        <v>2484</v>
      </c>
      <c r="N864" s="17">
        <v>7003158683</v>
      </c>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row>
    <row r="865" hidden="1">
      <c r="A865" s="17">
        <v>863</v>
      </c>
      <c r="B865" s="17" t="s">
        <v>52</v>
      </c>
      <c r="C865" s="34" t="s">
        <v>2591</v>
      </c>
      <c r="D865" s="35" t="s">
        <v>52</v>
      </c>
      <c r="E865" s="17" t="s">
        <v>2592</v>
      </c>
      <c r="F865" s="17" t="s">
        <v>2593</v>
      </c>
      <c r="G865" s="17">
        <v>21.818635</v>
      </c>
      <c r="H865" s="17">
        <v>87.313773999999995</v>
      </c>
      <c r="I865" s="17"/>
      <c r="J865" s="17"/>
      <c r="K865" s="17"/>
      <c r="L865" s="17"/>
      <c r="M865" s="35" t="s">
        <v>2484</v>
      </c>
      <c r="N865" s="17">
        <v>7003158683</v>
      </c>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row>
    <row r="866" hidden="1">
      <c r="A866" s="17">
        <v>864</v>
      </c>
      <c r="B866" s="17" t="s">
        <v>52</v>
      </c>
      <c r="C866" s="34" t="s">
        <v>2594</v>
      </c>
      <c r="D866" s="35" t="s">
        <v>52</v>
      </c>
      <c r="E866" s="17" t="s">
        <v>2595</v>
      </c>
      <c r="F866" s="17" t="s">
        <v>2596</v>
      </c>
      <c r="G866" s="17">
        <v>21.984656000000001</v>
      </c>
      <c r="H866" s="17">
        <v>87.292264000000003</v>
      </c>
      <c r="I866" s="17"/>
      <c r="J866" s="17"/>
      <c r="K866" s="17"/>
      <c r="L866" s="17"/>
      <c r="M866" s="35" t="s">
        <v>2484</v>
      </c>
      <c r="N866" s="17">
        <v>7003158683</v>
      </c>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row>
    <row r="867" hidden="1">
      <c r="A867" s="17">
        <v>865</v>
      </c>
      <c r="B867" s="17" t="s">
        <v>52</v>
      </c>
      <c r="C867" s="34" t="s">
        <v>2597</v>
      </c>
      <c r="D867" s="35" t="s">
        <v>52</v>
      </c>
      <c r="E867" s="17" t="s">
        <v>2598</v>
      </c>
      <c r="F867" s="17" t="s">
        <v>2599</v>
      </c>
      <c r="G867" s="17">
        <v>21.879588999999999</v>
      </c>
      <c r="H867" s="17">
        <v>87.319541999999998</v>
      </c>
      <c r="I867" s="17"/>
      <c r="J867" s="17"/>
      <c r="K867" s="17"/>
      <c r="L867" s="17"/>
      <c r="M867" s="35" t="s">
        <v>2484</v>
      </c>
      <c r="N867" s="17">
        <v>7003158683</v>
      </c>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row>
    <row r="868" hidden="1">
      <c r="A868" s="17">
        <v>866</v>
      </c>
      <c r="B868" s="17" t="s">
        <v>52</v>
      </c>
      <c r="C868" s="34" t="s">
        <v>2600</v>
      </c>
      <c r="D868" s="35" t="s">
        <v>52</v>
      </c>
      <c r="E868" s="17" t="s">
        <v>2601</v>
      </c>
      <c r="F868" s="17" t="s">
        <v>2602</v>
      </c>
      <c r="G868" s="17">
        <v>21.903835000000001</v>
      </c>
      <c r="H868" s="17">
        <v>87.443308000000002</v>
      </c>
      <c r="I868" s="17"/>
      <c r="J868" s="17"/>
      <c r="K868" s="17"/>
      <c r="L868" s="17"/>
      <c r="M868" s="35" t="s">
        <v>2603</v>
      </c>
      <c r="N868" s="17">
        <v>8348990602</v>
      </c>
      <c r="O868" s="17">
        <v>20</v>
      </c>
      <c r="P868" s="17">
        <v>130</v>
      </c>
      <c r="Q868" s="17" t="s">
        <v>105</v>
      </c>
      <c r="R868" s="17" t="s">
        <v>142</v>
      </c>
      <c r="S868" s="17" t="s">
        <v>75</v>
      </c>
      <c r="T868" s="17"/>
      <c r="U868" s="17" t="s">
        <v>105</v>
      </c>
      <c r="V868" s="17" t="s">
        <v>77</v>
      </c>
      <c r="W868" s="17" t="s">
        <v>1094</v>
      </c>
      <c r="X868" s="17">
        <v>5</v>
      </c>
      <c r="Y868" s="17">
        <v>1</v>
      </c>
      <c r="Z868" s="17"/>
      <c r="AA868" s="17" t="s">
        <v>105</v>
      </c>
      <c r="AB868" s="17" t="s">
        <v>79</v>
      </c>
      <c r="AC868" s="17">
        <v>3</v>
      </c>
      <c r="AD868" s="17">
        <v>0</v>
      </c>
      <c r="AE868" s="17">
        <v>1</v>
      </c>
      <c r="AF868" s="17"/>
      <c r="AG868" s="17" t="s">
        <v>81</v>
      </c>
      <c r="AH868" s="17" t="s">
        <v>82</v>
      </c>
      <c r="AI868" s="17" t="s">
        <v>107</v>
      </c>
      <c r="AJ868" s="17"/>
      <c r="AK868" s="17" t="s">
        <v>75</v>
      </c>
      <c r="AL868" s="17" t="s">
        <v>75</v>
      </c>
      <c r="AM868" s="17" t="s">
        <v>75</v>
      </c>
      <c r="AN868" s="17" t="s">
        <v>84</v>
      </c>
      <c r="AO868" s="17" t="s">
        <v>75</v>
      </c>
      <c r="AP868" s="17"/>
      <c r="AQ868" s="17"/>
      <c r="AR868" s="17"/>
      <c r="AS868" s="17"/>
      <c r="AT868" s="17" t="s">
        <v>2604</v>
      </c>
      <c r="AU868" s="17" t="s">
        <v>111</v>
      </c>
    </row>
    <row r="869" hidden="1">
      <c r="A869" s="17">
        <v>867</v>
      </c>
      <c r="B869" s="17" t="s">
        <v>52</v>
      </c>
      <c r="C869" s="34" t="s">
        <v>2605</v>
      </c>
      <c r="D869" s="35" t="s">
        <v>52</v>
      </c>
      <c r="E869" s="17" t="s">
        <v>2606</v>
      </c>
      <c r="F869" s="17" t="s">
        <v>2607</v>
      </c>
      <c r="G869" s="17">
        <v>21.878166</v>
      </c>
      <c r="H869" s="17">
        <v>87.378004000000004</v>
      </c>
      <c r="I869" s="17"/>
      <c r="J869" s="17"/>
      <c r="K869" s="17"/>
      <c r="L869" s="17"/>
      <c r="M869" s="35" t="s">
        <v>2484</v>
      </c>
      <c r="N869" s="17">
        <v>7003158683</v>
      </c>
      <c r="O869" s="17">
        <v>16</v>
      </c>
      <c r="P869" s="17">
        <v>65</v>
      </c>
      <c r="Q869" s="17" t="s">
        <v>73</v>
      </c>
      <c r="R869" s="17" t="s">
        <v>104</v>
      </c>
      <c r="S869" s="17"/>
      <c r="T869" s="17"/>
      <c r="U869" s="17" t="s">
        <v>105</v>
      </c>
      <c r="V869" s="17" t="s">
        <v>77</v>
      </c>
      <c r="W869" s="17" t="s">
        <v>252</v>
      </c>
      <c r="X869" s="17">
        <v>3</v>
      </c>
      <c r="Y869" s="17">
        <v>1</v>
      </c>
      <c r="Z869" s="17" t="s">
        <v>2608</v>
      </c>
      <c r="AA869" s="17" t="s">
        <v>73</v>
      </c>
      <c r="AB869" s="17" t="s">
        <v>79</v>
      </c>
      <c r="AC869" s="17">
        <v>2</v>
      </c>
      <c r="AD869" s="17">
        <v>0</v>
      </c>
      <c r="AE869" s="17">
        <v>0</v>
      </c>
      <c r="AF869" s="17"/>
      <c r="AG869" s="17" t="s">
        <v>124</v>
      </c>
      <c r="AH869" s="17" t="s">
        <v>82</v>
      </c>
      <c r="AI869" s="17" t="s">
        <v>83</v>
      </c>
      <c r="AJ869" s="17">
        <v>2111</v>
      </c>
      <c r="AK869" s="17" t="s">
        <v>75</v>
      </c>
      <c r="AL869" s="17" t="s">
        <v>137</v>
      </c>
      <c r="AM869" s="17" t="s">
        <v>75</v>
      </c>
      <c r="AN869" s="17" t="s">
        <v>84</v>
      </c>
      <c r="AO869" s="17" t="s">
        <v>75</v>
      </c>
      <c r="AP869" s="17"/>
      <c r="AQ869" s="17"/>
      <c r="AR869" s="17"/>
      <c r="AS869" s="17"/>
      <c r="AT869" s="17" t="s">
        <v>2609</v>
      </c>
      <c r="AU869" s="17" t="s">
        <v>111</v>
      </c>
    </row>
    <row r="870" hidden="1">
      <c r="A870" s="17">
        <v>868</v>
      </c>
      <c r="B870" s="17" t="s">
        <v>52</v>
      </c>
      <c r="C870" s="34" t="s">
        <v>2610</v>
      </c>
      <c r="D870" s="35" t="s">
        <v>52</v>
      </c>
      <c r="E870" s="17" t="s">
        <v>2611</v>
      </c>
      <c r="F870" s="17" t="s">
        <v>2612</v>
      </c>
      <c r="G870" s="17">
        <v>21.914771999999999</v>
      </c>
      <c r="H870" s="17">
        <v>87.413239000000004</v>
      </c>
      <c r="I870" s="17"/>
      <c r="J870" s="17"/>
      <c r="K870" s="17"/>
      <c r="L870" s="17"/>
      <c r="M870" s="35" t="s">
        <v>2603</v>
      </c>
      <c r="N870" s="17">
        <v>8348990602</v>
      </c>
      <c r="O870" s="17">
        <v>18</v>
      </c>
      <c r="P870" s="17">
        <v>140</v>
      </c>
      <c r="Q870" s="17" t="s">
        <v>73</v>
      </c>
      <c r="R870" s="17" t="s">
        <v>74</v>
      </c>
      <c r="S870" s="17" t="s">
        <v>137</v>
      </c>
      <c r="T870" s="17" t="s">
        <v>2613</v>
      </c>
      <c r="U870" s="17" t="s">
        <v>105</v>
      </c>
      <c r="V870" s="17" t="s">
        <v>2614</v>
      </c>
      <c r="W870" s="17" t="s">
        <v>593</v>
      </c>
      <c r="X870" s="17">
        <v>6</v>
      </c>
      <c r="Y870" s="17">
        <v>0</v>
      </c>
      <c r="Z870" s="17"/>
      <c r="AA870" s="17" t="s">
        <v>73</v>
      </c>
      <c r="AB870" s="17" t="s">
        <v>79</v>
      </c>
      <c r="AC870" s="17">
        <v>2</v>
      </c>
      <c r="AD870" s="17">
        <v>0</v>
      </c>
      <c r="AE870" s="17">
        <v>0</v>
      </c>
      <c r="AF870" s="17"/>
      <c r="AG870" s="17" t="s">
        <v>124</v>
      </c>
      <c r="AH870" s="17" t="s">
        <v>162</v>
      </c>
      <c r="AI870" s="17" t="s">
        <v>83</v>
      </c>
      <c r="AJ870" s="17">
        <v>2112</v>
      </c>
      <c r="AK870" s="17" t="s">
        <v>75</v>
      </c>
      <c r="AL870" s="17" t="s">
        <v>75</v>
      </c>
      <c r="AM870" s="17" t="s">
        <v>75</v>
      </c>
      <c r="AN870" s="17" t="s">
        <v>125</v>
      </c>
      <c r="AO870" s="17" t="s">
        <v>75</v>
      </c>
      <c r="AP870" s="17"/>
      <c r="AQ870" s="17"/>
      <c r="AR870" s="17"/>
      <c r="AS870" s="17"/>
      <c r="AT870" s="17" t="s">
        <v>2615</v>
      </c>
      <c r="AU870" s="17" t="s">
        <v>111</v>
      </c>
    </row>
    <row r="871" hidden="1">
      <c r="A871" s="17">
        <v>869</v>
      </c>
      <c r="B871" s="17" t="s">
        <v>52</v>
      </c>
      <c r="C871" s="34" t="s">
        <v>2616</v>
      </c>
      <c r="D871" s="35" t="s">
        <v>52</v>
      </c>
      <c r="E871" s="17" t="s">
        <v>2617</v>
      </c>
      <c r="F871" s="17" t="s">
        <v>2618</v>
      </c>
      <c r="G871" s="17">
        <v>21.983924999999999</v>
      </c>
      <c r="H871" s="17">
        <v>87.469381999999996</v>
      </c>
      <c r="I871" s="17"/>
      <c r="J871" s="17"/>
      <c r="K871" s="17"/>
      <c r="L871" s="17"/>
      <c r="M871" s="35" t="s">
        <v>2603</v>
      </c>
      <c r="N871" s="17">
        <v>8348990602</v>
      </c>
      <c r="O871" s="17">
        <v>17</v>
      </c>
      <c r="P871" s="17">
        <v>75</v>
      </c>
      <c r="Q871" s="17" t="s">
        <v>187</v>
      </c>
      <c r="R871" s="17" t="s">
        <v>74</v>
      </c>
      <c r="S871" s="17" t="s">
        <v>75</v>
      </c>
      <c r="T871" s="17"/>
      <c r="U871" s="17" t="s">
        <v>105</v>
      </c>
      <c r="V871" s="17" t="s">
        <v>77</v>
      </c>
      <c r="W871" s="17" t="s">
        <v>161</v>
      </c>
      <c r="X871" s="17">
        <v>5</v>
      </c>
      <c r="Y871" s="17">
        <v>1</v>
      </c>
      <c r="Z871" s="17"/>
      <c r="AA871" s="17" t="s">
        <v>187</v>
      </c>
      <c r="AB871" s="17" t="s">
        <v>79</v>
      </c>
      <c r="AC871" s="17">
        <v>2</v>
      </c>
      <c r="AD871" s="17">
        <v>0</v>
      </c>
      <c r="AE871" s="17">
        <v>0</v>
      </c>
      <c r="AF871" s="17"/>
      <c r="AG871" s="17" t="s">
        <v>124</v>
      </c>
      <c r="AH871" s="17" t="s">
        <v>82</v>
      </c>
      <c r="AI871" s="17" t="s">
        <v>83</v>
      </c>
      <c r="AJ871" s="17">
        <v>2111</v>
      </c>
      <c r="AK871" s="17" t="s">
        <v>75</v>
      </c>
      <c r="AL871" s="17" t="s">
        <v>75</v>
      </c>
      <c r="AM871" s="17" t="s">
        <v>75</v>
      </c>
      <c r="AN871" s="17" t="s">
        <v>84</v>
      </c>
      <c r="AO871" s="17" t="s">
        <v>75</v>
      </c>
      <c r="AP871" s="17" t="s">
        <v>187</v>
      </c>
      <c r="AQ871" s="17" t="s">
        <v>2343</v>
      </c>
      <c r="AR871" s="17">
        <v>4</v>
      </c>
      <c r="AS871" s="17">
        <v>0</v>
      </c>
      <c r="AT871" s="17" t="s">
        <v>2619</v>
      </c>
      <c r="AU871" s="17" t="s">
        <v>111</v>
      </c>
    </row>
    <row r="872" hidden="1">
      <c r="A872" s="17">
        <v>870</v>
      </c>
      <c r="B872" s="17" t="s">
        <v>52</v>
      </c>
      <c r="C872" s="34" t="s">
        <v>2620</v>
      </c>
      <c r="D872" s="35" t="s">
        <v>52</v>
      </c>
      <c r="E872" s="17" t="s">
        <v>2621</v>
      </c>
      <c r="F872" s="17" t="s">
        <v>2622</v>
      </c>
      <c r="G872" s="17">
        <v>21.957173999999998</v>
      </c>
      <c r="H872" s="17">
        <v>87.362893</v>
      </c>
      <c r="I872" s="17"/>
      <c r="J872" s="17"/>
      <c r="K872" s="17"/>
      <c r="L872" s="17"/>
      <c r="M872" s="35" t="s">
        <v>2603</v>
      </c>
      <c r="N872" s="17">
        <v>8348990602</v>
      </c>
      <c r="O872" s="17">
        <v>15</v>
      </c>
      <c r="P872" s="17">
        <v>210</v>
      </c>
      <c r="Q872" s="17" t="s">
        <v>105</v>
      </c>
      <c r="R872" s="17" t="s">
        <v>142</v>
      </c>
      <c r="S872" s="17" t="s">
        <v>137</v>
      </c>
      <c r="T872" s="17" t="s">
        <v>2623</v>
      </c>
      <c r="U872" s="17" t="s">
        <v>76</v>
      </c>
      <c r="V872" s="17" t="s">
        <v>77</v>
      </c>
      <c r="W872" s="17" t="s">
        <v>252</v>
      </c>
      <c r="X872" s="17">
        <v>5</v>
      </c>
      <c r="Y872" s="17">
        <v>0</v>
      </c>
      <c r="Z872" s="17" t="s">
        <v>2624</v>
      </c>
      <c r="AA872" s="17" t="s">
        <v>105</v>
      </c>
      <c r="AB872" s="17" t="s">
        <v>79</v>
      </c>
      <c r="AC872" s="17">
        <v>4</v>
      </c>
      <c r="AD872" s="17">
        <v>0</v>
      </c>
      <c r="AE872" s="17">
        <v>1</v>
      </c>
      <c r="AF872" s="17"/>
      <c r="AG872" s="17" t="s">
        <v>81</v>
      </c>
      <c r="AH872" s="17" t="s">
        <v>82</v>
      </c>
      <c r="AI872" s="17" t="s">
        <v>107</v>
      </c>
      <c r="AJ872" s="17"/>
      <c r="AK872" s="17" t="s">
        <v>137</v>
      </c>
      <c r="AL872" s="17" t="s">
        <v>75</v>
      </c>
      <c r="AM872" s="17" t="s">
        <v>163</v>
      </c>
      <c r="AN872" s="17" t="s">
        <v>125</v>
      </c>
      <c r="AO872" s="17" t="s">
        <v>137</v>
      </c>
      <c r="AP872" s="17"/>
      <c r="AQ872" s="17"/>
      <c r="AR872" s="17"/>
      <c r="AS872" s="17"/>
      <c r="AT872" s="17" t="s">
        <v>2625</v>
      </c>
      <c r="AU872" s="17" t="s">
        <v>127</v>
      </c>
    </row>
    <row r="873" hidden="1">
      <c r="A873" s="17">
        <v>871</v>
      </c>
      <c r="B873" s="17" t="s">
        <v>52</v>
      </c>
      <c r="C873" s="34" t="s">
        <v>2626</v>
      </c>
      <c r="D873" s="35" t="s">
        <v>52</v>
      </c>
      <c r="E873" s="17" t="s">
        <v>2627</v>
      </c>
      <c r="F873" s="17" t="s">
        <v>2628</v>
      </c>
      <c r="G873" s="17">
        <v>21.889707000000001</v>
      </c>
      <c r="H873" s="17">
        <v>87.338131000000004</v>
      </c>
      <c r="I873" s="17"/>
      <c r="J873" s="17"/>
      <c r="K873" s="17"/>
      <c r="L873" s="17"/>
      <c r="M873" s="35" t="s">
        <v>2484</v>
      </c>
      <c r="N873" s="17">
        <v>7003158683</v>
      </c>
      <c r="O873" s="17">
        <v>12</v>
      </c>
      <c r="P873" s="17">
        <v>60</v>
      </c>
      <c r="Q873" s="17" t="s">
        <v>73</v>
      </c>
      <c r="R873" s="17" t="s">
        <v>74</v>
      </c>
      <c r="S873" s="17"/>
      <c r="T873" s="17"/>
      <c r="U873" s="17" t="s">
        <v>160</v>
      </c>
      <c r="V873" s="17" t="s">
        <v>77</v>
      </c>
      <c r="W873" s="17" t="s">
        <v>123</v>
      </c>
      <c r="X873" s="17">
        <v>3</v>
      </c>
      <c r="Y873" s="17">
        <v>2</v>
      </c>
      <c r="Z873" s="17"/>
      <c r="AA873" s="17" t="s">
        <v>73</v>
      </c>
      <c r="AB873" s="17" t="s">
        <v>79</v>
      </c>
      <c r="AC873" s="17">
        <v>2</v>
      </c>
      <c r="AD873" s="17">
        <v>0</v>
      </c>
      <c r="AE873" s="17">
        <v>0</v>
      </c>
      <c r="AF873" s="17"/>
      <c r="AG873" s="17" t="s">
        <v>124</v>
      </c>
      <c r="AH873" s="17" t="s">
        <v>82</v>
      </c>
      <c r="AI873" s="17" t="s">
        <v>83</v>
      </c>
      <c r="AJ873" s="17">
        <v>2111</v>
      </c>
      <c r="AK873" s="17" t="s">
        <v>75</v>
      </c>
      <c r="AL873" s="17" t="s">
        <v>75</v>
      </c>
      <c r="AM873" s="17" t="s">
        <v>75</v>
      </c>
      <c r="AN873" s="17" t="s">
        <v>125</v>
      </c>
      <c r="AO873" s="17" t="s">
        <v>75</v>
      </c>
      <c r="AP873" s="17"/>
      <c r="AQ873" s="17"/>
      <c r="AR873" s="17"/>
      <c r="AS873" s="17"/>
      <c r="AT873" s="17" t="s">
        <v>2629</v>
      </c>
      <c r="AU873" s="17" t="s">
        <v>111</v>
      </c>
    </row>
    <row r="874" hidden="1">
      <c r="A874" s="17">
        <v>872</v>
      </c>
      <c r="B874" s="17" t="s">
        <v>52</v>
      </c>
      <c r="C874" s="34" t="s">
        <v>2630</v>
      </c>
      <c r="D874" s="35" t="s">
        <v>52</v>
      </c>
      <c r="E874" s="17" t="s">
        <v>2631</v>
      </c>
      <c r="F874" s="17" t="s">
        <v>2632</v>
      </c>
      <c r="G874" s="17">
        <v>21.925000000000001</v>
      </c>
      <c r="H874" s="17">
        <v>87.442250000000001</v>
      </c>
      <c r="I874" s="17"/>
      <c r="J874" s="17"/>
      <c r="K874" s="17"/>
      <c r="L874" s="17"/>
      <c r="M874" s="35" t="s">
        <v>2603</v>
      </c>
      <c r="N874" s="17">
        <v>8348990602</v>
      </c>
      <c r="O874" s="17">
        <v>20</v>
      </c>
      <c r="P874" s="17">
        <v>75</v>
      </c>
      <c r="Q874" s="17" t="s">
        <v>105</v>
      </c>
      <c r="R874" s="17" t="s">
        <v>74</v>
      </c>
      <c r="S874" s="17" t="s">
        <v>75</v>
      </c>
      <c r="T874" s="17" t="s">
        <v>584</v>
      </c>
      <c r="U874" s="17" t="s">
        <v>2285</v>
      </c>
      <c r="V874" s="17" t="s">
        <v>77</v>
      </c>
      <c r="W874" s="17" t="s">
        <v>78</v>
      </c>
      <c r="X874" s="17">
        <v>3</v>
      </c>
      <c r="Y874" s="17">
        <v>1</v>
      </c>
      <c r="Z874" s="17"/>
      <c r="AA874" s="17" t="s">
        <v>105</v>
      </c>
      <c r="AB874" s="17" t="s">
        <v>1838</v>
      </c>
      <c r="AC874" s="17">
        <v>1</v>
      </c>
      <c r="AD874" s="17">
        <v>0</v>
      </c>
      <c r="AE874" s="17">
        <v>0</v>
      </c>
      <c r="AF874" s="17"/>
      <c r="AG874" s="17" t="s">
        <v>124</v>
      </c>
      <c r="AH874" s="17" t="s">
        <v>82</v>
      </c>
      <c r="AI874" s="17" t="s">
        <v>83</v>
      </c>
      <c r="AJ874" s="17">
        <v>2111</v>
      </c>
      <c r="AK874" s="17" t="s">
        <v>75</v>
      </c>
      <c r="AL874" s="17" t="s">
        <v>75</v>
      </c>
      <c r="AM874" s="17" t="s">
        <v>75</v>
      </c>
      <c r="AN874" s="17" t="s">
        <v>84</v>
      </c>
      <c r="AO874" s="17" t="s">
        <v>75</v>
      </c>
      <c r="AP874" s="17"/>
      <c r="AQ874" s="17"/>
      <c r="AR874" s="17"/>
      <c r="AS874" s="17"/>
      <c r="AT874" s="17" t="s">
        <v>2633</v>
      </c>
      <c r="AU874" s="17" t="s">
        <v>111</v>
      </c>
    </row>
    <row r="875" hidden="1">
      <c r="A875" s="17">
        <v>873</v>
      </c>
      <c r="B875" s="17" t="s">
        <v>52</v>
      </c>
      <c r="C875" s="34" t="s">
        <v>2634</v>
      </c>
      <c r="D875" s="35" t="s">
        <v>52</v>
      </c>
      <c r="E875" s="17" t="s">
        <v>2635</v>
      </c>
      <c r="F875" s="17" t="s">
        <v>2636</v>
      </c>
      <c r="G875" s="17">
        <v>21.926600000000001</v>
      </c>
      <c r="H875" s="17">
        <v>87.463099999999997</v>
      </c>
      <c r="I875" s="17"/>
      <c r="J875" s="17"/>
      <c r="K875" s="17"/>
      <c r="L875" s="17"/>
      <c r="M875" s="35" t="s">
        <v>2603</v>
      </c>
      <c r="N875" s="17">
        <v>8348990602</v>
      </c>
      <c r="O875" s="17">
        <v>20</v>
      </c>
      <c r="P875" s="17">
        <v>65</v>
      </c>
      <c r="Q875" s="17" t="s">
        <v>187</v>
      </c>
      <c r="R875" s="17" t="s">
        <v>74</v>
      </c>
      <c r="S875" s="17" t="s">
        <v>75</v>
      </c>
      <c r="T875" s="17"/>
      <c r="U875" s="17" t="s">
        <v>105</v>
      </c>
      <c r="V875" s="17" t="s">
        <v>77</v>
      </c>
      <c r="W875" s="17" t="s">
        <v>252</v>
      </c>
      <c r="X875" s="17">
        <v>3</v>
      </c>
      <c r="Y875" s="17">
        <v>0</v>
      </c>
      <c r="Z875" s="17"/>
      <c r="AA875" s="17" t="s">
        <v>187</v>
      </c>
      <c r="AB875" s="17" t="s">
        <v>79</v>
      </c>
      <c r="AC875" s="17">
        <v>2</v>
      </c>
      <c r="AD875" s="17">
        <v>0</v>
      </c>
      <c r="AE875" s="17">
        <v>0</v>
      </c>
      <c r="AF875" s="17"/>
      <c r="AG875" s="17" t="s">
        <v>124</v>
      </c>
      <c r="AH875" s="17" t="s">
        <v>82</v>
      </c>
      <c r="AI875" s="17" t="s">
        <v>83</v>
      </c>
      <c r="AJ875" s="17">
        <v>2111</v>
      </c>
      <c r="AK875" s="17" t="s">
        <v>75</v>
      </c>
      <c r="AL875" s="17" t="s">
        <v>75</v>
      </c>
      <c r="AM875" s="17" t="s">
        <v>75</v>
      </c>
      <c r="AN875" s="17" t="s">
        <v>84</v>
      </c>
      <c r="AO875" s="17" t="s">
        <v>75</v>
      </c>
      <c r="AP875" s="17"/>
      <c r="AQ875" s="17"/>
      <c r="AR875" s="17"/>
      <c r="AS875" s="17"/>
      <c r="AT875" s="17"/>
      <c r="AU875" s="17" t="s">
        <v>111</v>
      </c>
    </row>
    <row r="876" hidden="1">
      <c r="A876" s="17">
        <v>874</v>
      </c>
      <c r="B876" s="17" t="s">
        <v>52</v>
      </c>
      <c r="C876" s="34" t="s">
        <v>2637</v>
      </c>
      <c r="D876" s="35" t="s">
        <v>52</v>
      </c>
      <c r="E876" s="17"/>
      <c r="F876" s="17">
        <v>0</v>
      </c>
      <c r="G876" s="17">
        <v>21.950569999999999</v>
      </c>
      <c r="H876" s="17">
        <v>87.430189999999996</v>
      </c>
      <c r="I876" s="17"/>
      <c r="J876" s="17"/>
      <c r="K876" s="17"/>
      <c r="L876" s="17"/>
      <c r="M876" s="35" t="s">
        <v>2603</v>
      </c>
      <c r="N876" s="17">
        <v>8348990602</v>
      </c>
      <c r="O876" s="17">
        <v>20</v>
      </c>
      <c r="P876" s="17">
        <v>120</v>
      </c>
      <c r="Q876" s="17" t="s">
        <v>73</v>
      </c>
      <c r="R876" s="17" t="s">
        <v>142</v>
      </c>
      <c r="S876" s="17" t="s">
        <v>75</v>
      </c>
      <c r="T876" s="17"/>
      <c r="U876" s="17" t="s">
        <v>503</v>
      </c>
      <c r="V876" s="17" t="s">
        <v>504</v>
      </c>
      <c r="W876" s="17" t="s">
        <v>252</v>
      </c>
      <c r="X876" s="17">
        <v>2</v>
      </c>
      <c r="Y876" s="17">
        <v>0</v>
      </c>
      <c r="Z876" s="17" t="s">
        <v>2638</v>
      </c>
      <c r="AA876" s="17" t="s">
        <v>73</v>
      </c>
      <c r="AB876" s="17" t="s">
        <v>1838</v>
      </c>
      <c r="AC876" s="17">
        <v>1</v>
      </c>
      <c r="AD876" s="17">
        <v>0</v>
      </c>
      <c r="AE876" s="17">
        <v>0</v>
      </c>
      <c r="AF876" s="17"/>
      <c r="AG876" s="17" t="s">
        <v>124</v>
      </c>
      <c r="AH876" s="17" t="s">
        <v>82</v>
      </c>
      <c r="AI876" s="17" t="s">
        <v>83</v>
      </c>
      <c r="AJ876" s="17">
        <v>2111</v>
      </c>
      <c r="AK876" s="17" t="s">
        <v>137</v>
      </c>
      <c r="AL876" s="17" t="s">
        <v>75</v>
      </c>
      <c r="AM876" s="17" t="s">
        <v>163</v>
      </c>
      <c r="AN876" s="17" t="s">
        <v>84</v>
      </c>
      <c r="AO876" s="17" t="s">
        <v>137</v>
      </c>
      <c r="AP876" s="17"/>
      <c r="AQ876" s="17"/>
      <c r="AR876" s="17"/>
      <c r="AS876" s="17"/>
      <c r="AT876" s="17"/>
      <c r="AU876" s="17" t="s">
        <v>111</v>
      </c>
    </row>
    <row r="877" hidden="1">
      <c r="A877" s="17">
        <v>875</v>
      </c>
      <c r="B877" s="17" t="s">
        <v>52</v>
      </c>
      <c r="C877" s="34" t="s">
        <v>2639</v>
      </c>
      <c r="D877" s="35" t="s">
        <v>52</v>
      </c>
      <c r="E877" s="17"/>
      <c r="F877" s="17"/>
      <c r="G877" s="17"/>
      <c r="H877" s="17"/>
      <c r="I877" s="17"/>
      <c r="J877" s="17"/>
      <c r="K877" s="17"/>
      <c r="L877" s="17"/>
      <c r="M877" s="35" t="s">
        <v>2603</v>
      </c>
      <c r="N877" s="17">
        <v>8348990602</v>
      </c>
      <c r="O877" s="17">
        <v>20</v>
      </c>
      <c r="P877" s="17">
        <v>55</v>
      </c>
      <c r="Q877" s="17" t="s">
        <v>105</v>
      </c>
      <c r="R877" s="17" t="s">
        <v>142</v>
      </c>
      <c r="S877" s="17" t="s">
        <v>75</v>
      </c>
      <c r="T877" s="17"/>
      <c r="U877" s="17" t="s">
        <v>105</v>
      </c>
      <c r="V877" s="17" t="s">
        <v>77</v>
      </c>
      <c r="W877" s="17" t="s">
        <v>252</v>
      </c>
      <c r="X877" s="17">
        <v>3</v>
      </c>
      <c r="Y877" s="17">
        <v>0</v>
      </c>
      <c r="Z877" s="17" t="s">
        <v>2640</v>
      </c>
      <c r="AA877" s="17" t="s">
        <v>105</v>
      </c>
      <c r="AB877" s="17" t="s">
        <v>1838</v>
      </c>
      <c r="AC877" s="17">
        <v>1</v>
      </c>
      <c r="AD877" s="17">
        <v>0</v>
      </c>
      <c r="AE877" s="17">
        <v>0</v>
      </c>
      <c r="AF877" s="17"/>
      <c r="AG877" s="17" t="s">
        <v>2641</v>
      </c>
      <c r="AH877" s="17"/>
      <c r="AI877" s="17"/>
      <c r="AJ877" s="17"/>
      <c r="AK877" s="17"/>
      <c r="AL877" s="17"/>
      <c r="AM877" s="17"/>
      <c r="AN877" s="17"/>
      <c r="AO877" s="17"/>
      <c r="AP877" s="17"/>
      <c r="AQ877" s="17"/>
      <c r="AR877" s="17"/>
      <c r="AS877" s="17"/>
      <c r="AT877" s="17"/>
      <c r="AU877" s="17" t="s">
        <v>111</v>
      </c>
    </row>
    <row r="878" hidden="1">
      <c r="A878" s="17">
        <v>876</v>
      </c>
      <c r="B878" s="17" t="s">
        <v>52</v>
      </c>
      <c r="C878" s="34" t="s">
        <v>2642</v>
      </c>
      <c r="D878" s="35" t="s">
        <v>52</v>
      </c>
      <c r="E878" s="17" t="s">
        <v>2643</v>
      </c>
      <c r="F878" s="17" t="s">
        <v>2644</v>
      </c>
      <c r="G878" s="17">
        <v>22.012504</v>
      </c>
      <c r="H878" s="17">
        <v>87.391351</v>
      </c>
      <c r="I878" s="17"/>
      <c r="J878" s="17"/>
      <c r="K878" s="17"/>
      <c r="L878" s="17"/>
      <c r="M878" s="35" t="s">
        <v>2223</v>
      </c>
      <c r="N878" s="36">
        <v>9734686678</v>
      </c>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t="s">
        <v>2520</v>
      </c>
      <c r="AU878" s="17"/>
    </row>
    <row r="879" hidden="1">
      <c r="A879" s="17">
        <v>877</v>
      </c>
      <c r="B879" s="17" t="s">
        <v>52</v>
      </c>
      <c r="C879" s="34" t="s">
        <v>2645</v>
      </c>
      <c r="D879" s="35" t="s">
        <v>52</v>
      </c>
      <c r="E879" s="17" t="s">
        <v>2646</v>
      </c>
      <c r="F879" s="17" t="s">
        <v>2647</v>
      </c>
      <c r="G879" s="17">
        <v>21.957815</v>
      </c>
      <c r="H879" s="17">
        <v>87.414985000000001</v>
      </c>
      <c r="I879" s="17"/>
      <c r="J879" s="17"/>
      <c r="K879" s="17"/>
      <c r="L879" s="17"/>
      <c r="M879" s="35" t="s">
        <v>2603</v>
      </c>
      <c r="N879" s="17">
        <v>8348990602</v>
      </c>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row>
    <row r="880" hidden="1">
      <c r="A880" s="17">
        <v>878</v>
      </c>
      <c r="B880" s="17" t="s">
        <v>52</v>
      </c>
      <c r="C880" s="34" t="s">
        <v>2648</v>
      </c>
      <c r="D880" s="35" t="s">
        <v>52</v>
      </c>
      <c r="E880" s="17" t="s">
        <v>2649</v>
      </c>
      <c r="F880" s="17" t="s">
        <v>2650</v>
      </c>
      <c r="G880" s="17">
        <v>22.024632</v>
      </c>
      <c r="H880" s="17">
        <v>87.456525999999997</v>
      </c>
      <c r="I880" s="17"/>
      <c r="J880" s="17"/>
      <c r="K880" s="17"/>
      <c r="L880" s="17"/>
      <c r="M880" s="35" t="s">
        <v>2603</v>
      </c>
      <c r="N880" s="17">
        <v>8348990602</v>
      </c>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row>
    <row r="881" hidden="1">
      <c r="A881" s="17">
        <v>879</v>
      </c>
      <c r="B881" s="17" t="s">
        <v>52</v>
      </c>
      <c r="C881" s="34" t="s">
        <v>2651</v>
      </c>
      <c r="D881" s="35" t="s">
        <v>52</v>
      </c>
      <c r="E881" s="17" t="s">
        <v>2652</v>
      </c>
      <c r="F881" s="17" t="s">
        <v>2653</v>
      </c>
      <c r="G881" s="17">
        <v>21.947054000000001</v>
      </c>
      <c r="H881" s="17">
        <v>87.456703000000005</v>
      </c>
      <c r="I881" s="17"/>
      <c r="J881" s="17"/>
      <c r="K881" s="17"/>
      <c r="L881" s="17"/>
      <c r="M881" s="35" t="s">
        <v>2603</v>
      </c>
      <c r="N881" s="17">
        <v>8348990602</v>
      </c>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row>
    <row r="882" hidden="1">
      <c r="A882" s="17">
        <v>880</v>
      </c>
      <c r="B882" s="17" t="s">
        <v>52</v>
      </c>
      <c r="C882" s="34" t="s">
        <v>2654</v>
      </c>
      <c r="D882" s="35" t="s">
        <v>52</v>
      </c>
      <c r="E882" s="17" t="s">
        <v>2655</v>
      </c>
      <c r="F882" s="17" t="s">
        <v>2656</v>
      </c>
      <c r="G882" s="17">
        <v>21.994809</v>
      </c>
      <c r="H882" s="17">
        <v>87.450844000000004</v>
      </c>
      <c r="I882" s="17"/>
      <c r="J882" s="17"/>
      <c r="K882" s="17"/>
      <c r="L882" s="17"/>
      <c r="M882" s="35" t="s">
        <v>2603</v>
      </c>
      <c r="N882" s="17">
        <v>8348990602</v>
      </c>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row>
    <row r="883" hidden="1">
      <c r="A883" s="17">
        <v>881</v>
      </c>
      <c r="B883" s="17" t="s">
        <v>52</v>
      </c>
      <c r="C883" s="34" t="s">
        <v>2657</v>
      </c>
      <c r="D883" s="35" t="s">
        <v>52</v>
      </c>
      <c r="E883" s="17" t="s">
        <v>2658</v>
      </c>
      <c r="F883" s="17" t="s">
        <v>2659</v>
      </c>
      <c r="G883" s="17">
        <v>21.941844</v>
      </c>
      <c r="H883" s="17">
        <v>87.489861000000005</v>
      </c>
      <c r="I883" s="17"/>
      <c r="J883" s="17"/>
      <c r="K883" s="17"/>
      <c r="L883" s="17"/>
      <c r="M883" s="35" t="s">
        <v>2603</v>
      </c>
      <c r="N883" s="17">
        <v>8348990602</v>
      </c>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row>
    <row r="884" hidden="1">
      <c r="A884" s="17">
        <v>882</v>
      </c>
      <c r="B884" s="17" t="s">
        <v>52</v>
      </c>
      <c r="C884" s="34" t="s">
        <v>2660</v>
      </c>
      <c r="D884" s="35" t="s">
        <v>52</v>
      </c>
      <c r="E884" s="17" t="s">
        <v>2661</v>
      </c>
      <c r="F884" s="17" t="s">
        <v>2662</v>
      </c>
      <c r="G884" s="17">
        <v>21.940954999999999</v>
      </c>
      <c r="H884" s="17">
        <v>87.395769000000001</v>
      </c>
      <c r="I884" s="17"/>
      <c r="J884" s="17"/>
      <c r="K884" s="17"/>
      <c r="L884" s="17"/>
      <c r="M884" s="35" t="s">
        <v>2603</v>
      </c>
      <c r="N884" s="17">
        <v>8348990602</v>
      </c>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row>
    <row r="885" hidden="1">
      <c r="A885" s="17">
        <v>883</v>
      </c>
      <c r="B885" s="17" t="s">
        <v>52</v>
      </c>
      <c r="C885" s="34" t="s">
        <v>2663</v>
      </c>
      <c r="D885" s="35" t="s">
        <v>52</v>
      </c>
      <c r="E885" s="17" t="s">
        <v>2664</v>
      </c>
      <c r="F885" s="17" t="s">
        <v>2665</v>
      </c>
      <c r="G885" s="17">
        <v>21.982935000000001</v>
      </c>
      <c r="H885" s="17">
        <v>87.409360000000007</v>
      </c>
      <c r="I885" s="17"/>
      <c r="J885" s="17"/>
      <c r="K885" s="17"/>
      <c r="L885" s="17"/>
      <c r="M885" s="35" t="s">
        <v>2603</v>
      </c>
      <c r="N885" s="17">
        <v>8348990602</v>
      </c>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row>
    <row r="886" hidden="1">
      <c r="A886" s="17">
        <v>884</v>
      </c>
      <c r="B886" s="17" t="s">
        <v>52</v>
      </c>
      <c r="C886" s="34" t="s">
        <v>2666</v>
      </c>
      <c r="D886" s="35" t="s">
        <v>52</v>
      </c>
      <c r="E886" s="17" t="s">
        <v>2667</v>
      </c>
      <c r="F886" s="17" t="s">
        <v>2668</v>
      </c>
      <c r="G886" s="17">
        <v>21.983388000000001</v>
      </c>
      <c r="H886" s="17">
        <v>87.353437</v>
      </c>
      <c r="I886" s="17"/>
      <c r="J886" s="17"/>
      <c r="K886" s="17"/>
      <c r="L886" s="17"/>
      <c r="M886" s="35" t="s">
        <v>2603</v>
      </c>
      <c r="N886" s="17">
        <v>8348990602</v>
      </c>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row>
    <row r="887" hidden="1">
      <c r="A887" s="17">
        <v>885</v>
      </c>
      <c r="B887" s="17" t="s">
        <v>52</v>
      </c>
      <c r="C887" s="34" t="s">
        <v>2669</v>
      </c>
      <c r="D887" s="35" t="s">
        <v>52</v>
      </c>
      <c r="E887" s="17" t="s">
        <v>2670</v>
      </c>
      <c r="F887" s="17" t="s">
        <v>2671</v>
      </c>
      <c r="G887" s="17">
        <v>21.899083000000001</v>
      </c>
      <c r="H887" s="17">
        <v>87.375778999999994</v>
      </c>
      <c r="I887" s="17"/>
      <c r="J887" s="17"/>
      <c r="K887" s="17"/>
      <c r="L887" s="17"/>
      <c r="M887" s="35" t="s">
        <v>2603</v>
      </c>
      <c r="N887" s="17">
        <v>8348990602</v>
      </c>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row>
    <row r="888" hidden="1">
      <c r="A888" s="17">
        <v>886</v>
      </c>
      <c r="B888" s="17" t="s">
        <v>52</v>
      </c>
      <c r="C888" s="34" t="s">
        <v>2672</v>
      </c>
      <c r="D888" s="35" t="s">
        <v>52</v>
      </c>
      <c r="E888" s="17"/>
      <c r="F888" s="17"/>
      <c r="G888" s="17"/>
      <c r="H888" s="17"/>
      <c r="I888" s="17"/>
      <c r="J888" s="17"/>
      <c r="K888" s="17"/>
      <c r="L888" s="17"/>
      <c r="M888" s="35" t="s">
        <v>166</v>
      </c>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row>
    <row r="889" hidden="1">
      <c r="A889" s="17">
        <v>887</v>
      </c>
      <c r="B889" s="17" t="s">
        <v>52</v>
      </c>
      <c r="C889" s="34" t="s">
        <v>2673</v>
      </c>
      <c r="D889" s="35" t="s">
        <v>52</v>
      </c>
      <c r="E889" s="17" t="s">
        <v>2674</v>
      </c>
      <c r="F889" s="17" t="s">
        <v>2675</v>
      </c>
      <c r="G889" s="17">
        <v>22.241282000000002</v>
      </c>
      <c r="H889" s="17">
        <v>87.684099000000003</v>
      </c>
      <c r="I889" s="17"/>
      <c r="J889" s="17"/>
      <c r="K889" s="17"/>
      <c r="L889" s="17"/>
      <c r="M889" s="35" t="s">
        <v>166</v>
      </c>
      <c r="N889" s="17">
        <v>9064976019</v>
      </c>
      <c r="O889" s="17">
        <v>16</v>
      </c>
      <c r="P889" s="17">
        <v>95</v>
      </c>
      <c r="Q889" s="17" t="s">
        <v>105</v>
      </c>
      <c r="R889" s="17" t="s">
        <v>74</v>
      </c>
      <c r="S889" s="17" t="s">
        <v>75</v>
      </c>
      <c r="T889" s="17"/>
      <c r="U889" s="17" t="s">
        <v>105</v>
      </c>
      <c r="V889" s="17" t="s">
        <v>77</v>
      </c>
      <c r="W889" s="17" t="s">
        <v>443</v>
      </c>
      <c r="X889" s="17">
        <v>3</v>
      </c>
      <c r="Y889" s="17">
        <v>1</v>
      </c>
      <c r="Z889" s="17"/>
      <c r="AA889" s="17" t="s">
        <v>105</v>
      </c>
      <c r="AB889" s="17" t="s">
        <v>79</v>
      </c>
      <c r="AC889" s="17">
        <v>4</v>
      </c>
      <c r="AD889" s="17">
        <v>0</v>
      </c>
      <c r="AE889" s="17">
        <v>0</v>
      </c>
      <c r="AF889" s="17"/>
      <c r="AG889" s="17" t="s">
        <v>124</v>
      </c>
      <c r="AH889" s="17" t="s">
        <v>82</v>
      </c>
      <c r="AI889" s="17" t="s">
        <v>83</v>
      </c>
      <c r="AJ889" s="17">
        <v>2111</v>
      </c>
      <c r="AK889" s="17" t="s">
        <v>75</v>
      </c>
      <c r="AL889" s="17" t="s">
        <v>75</v>
      </c>
      <c r="AM889" s="17" t="s">
        <v>75</v>
      </c>
      <c r="AN889" s="17" t="s">
        <v>84</v>
      </c>
      <c r="AO889" s="17" t="s">
        <v>75</v>
      </c>
      <c r="AP889" s="17"/>
      <c r="AQ889" s="17"/>
      <c r="AR889" s="17"/>
      <c r="AS889" s="17"/>
      <c r="AT889" s="17" t="s">
        <v>2676</v>
      </c>
      <c r="AU889" s="17" t="s">
        <v>127</v>
      </c>
    </row>
    <row r="890" hidden="1">
      <c r="A890" s="17">
        <v>888</v>
      </c>
      <c r="B890" s="17" t="s">
        <v>52</v>
      </c>
      <c r="C890" s="34" t="s">
        <v>2677</v>
      </c>
      <c r="D890" s="35" t="s">
        <v>52</v>
      </c>
      <c r="E890" s="17" t="s">
        <v>2678</v>
      </c>
      <c r="F890" s="17" t="s">
        <v>2679</v>
      </c>
      <c r="G890" s="17">
        <v>22.298598999999999</v>
      </c>
      <c r="H890" s="17">
        <v>87.640557999999999</v>
      </c>
      <c r="I890" s="17"/>
      <c r="J890" s="17"/>
      <c r="K890" s="17"/>
      <c r="L890" s="17"/>
      <c r="M890" s="35" t="s">
        <v>2680</v>
      </c>
      <c r="N890" s="17">
        <v>8240995955</v>
      </c>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row>
    <row r="891" hidden="1">
      <c r="A891" s="17">
        <v>889</v>
      </c>
      <c r="B891" s="17" t="s">
        <v>52</v>
      </c>
      <c r="C891" s="34" t="s">
        <v>2681</v>
      </c>
      <c r="D891" s="35" t="s">
        <v>52</v>
      </c>
      <c r="E891" s="17" t="s">
        <v>2682</v>
      </c>
      <c r="F891" s="17" t="s">
        <v>2683</v>
      </c>
      <c r="G891" s="17">
        <v>22.4298</v>
      </c>
      <c r="H891" s="17">
        <v>87.520799999999994</v>
      </c>
      <c r="I891" s="17"/>
      <c r="J891" s="17"/>
      <c r="K891" s="17"/>
      <c r="L891" s="17"/>
      <c r="M891" s="35" t="s">
        <v>2291</v>
      </c>
      <c r="N891" s="17">
        <v>9933713149</v>
      </c>
      <c r="O891" s="17">
        <v>22</v>
      </c>
      <c r="P891" s="17">
        <v>55</v>
      </c>
      <c r="Q891" s="17" t="s">
        <v>187</v>
      </c>
      <c r="R891" s="17" t="s">
        <v>74</v>
      </c>
      <c r="S891" s="17" t="s">
        <v>75</v>
      </c>
      <c r="T891" s="17"/>
      <c r="U891" s="17" t="s">
        <v>105</v>
      </c>
      <c r="V891" s="17" t="s">
        <v>77</v>
      </c>
      <c r="W891" s="17" t="s">
        <v>2684</v>
      </c>
      <c r="X891" s="17">
        <v>8</v>
      </c>
      <c r="Y891" s="17">
        <v>0</v>
      </c>
      <c r="Z891" s="17"/>
      <c r="AA891" s="17" t="s">
        <v>187</v>
      </c>
      <c r="AB891" s="17" t="s">
        <v>79</v>
      </c>
      <c r="AC891" s="17">
        <v>5</v>
      </c>
      <c r="AD891" s="17">
        <v>0</v>
      </c>
      <c r="AE891" s="17">
        <v>2</v>
      </c>
      <c r="AF891" s="17"/>
      <c r="AG891" s="17" t="s">
        <v>124</v>
      </c>
      <c r="AH891" s="17" t="s">
        <v>82</v>
      </c>
      <c r="AI891" s="17" t="s">
        <v>83</v>
      </c>
      <c r="AJ891" s="17">
        <v>2111</v>
      </c>
      <c r="AK891" s="17" t="s">
        <v>75</v>
      </c>
      <c r="AL891" s="17" t="s">
        <v>75</v>
      </c>
      <c r="AM891" s="17" t="s">
        <v>75</v>
      </c>
      <c r="AN891" s="17" t="s">
        <v>84</v>
      </c>
      <c r="AO891" s="17" t="s">
        <v>75</v>
      </c>
      <c r="AP891" s="17"/>
      <c r="AQ891" s="17"/>
      <c r="AR891" s="17"/>
      <c r="AS891" s="17"/>
      <c r="AT891" s="17"/>
      <c r="AU891" s="17" t="s">
        <v>111</v>
      </c>
    </row>
    <row r="892" hidden="1">
      <c r="A892" s="17">
        <v>890</v>
      </c>
      <c r="B892" s="17" t="s">
        <v>52</v>
      </c>
      <c r="C892" s="34" t="s">
        <v>2685</v>
      </c>
      <c r="D892" s="35" t="s">
        <v>52</v>
      </c>
      <c r="E892" s="17" t="s">
        <v>2686</v>
      </c>
      <c r="F892" s="17" t="s">
        <v>2687</v>
      </c>
      <c r="G892" s="17">
        <v>22.446491000000002</v>
      </c>
      <c r="H892" s="17">
        <v>87.533928000000003</v>
      </c>
      <c r="I892" s="17"/>
      <c r="J892" s="17"/>
      <c r="K892" s="17"/>
      <c r="L892" s="17"/>
      <c r="M892" s="35" t="s">
        <v>2291</v>
      </c>
      <c r="N892" s="17">
        <v>9933713149</v>
      </c>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row>
    <row r="893" hidden="1">
      <c r="A893" s="17">
        <v>891</v>
      </c>
      <c r="B893" s="17" t="s">
        <v>52</v>
      </c>
      <c r="C893" s="34" t="s">
        <v>2688</v>
      </c>
      <c r="D893" s="35" t="s">
        <v>52</v>
      </c>
      <c r="E893" s="17" t="s">
        <v>2689</v>
      </c>
      <c r="F893" s="17" t="s">
        <v>2690</v>
      </c>
      <c r="G893" s="17">
        <v>22.321043</v>
      </c>
      <c r="H893" s="17">
        <v>87.342369000000005</v>
      </c>
      <c r="I893" s="17"/>
      <c r="J893" s="17"/>
      <c r="K893" s="17"/>
      <c r="L893" s="17"/>
      <c r="M893" s="35" t="s">
        <v>2691</v>
      </c>
      <c r="N893" s="17">
        <v>6297992853</v>
      </c>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row>
    <row r="894" hidden="1">
      <c r="A894" s="17">
        <v>892</v>
      </c>
      <c r="B894" s="17" t="s">
        <v>52</v>
      </c>
      <c r="C894" s="34" t="s">
        <v>2692</v>
      </c>
      <c r="D894" s="35" t="s">
        <v>52</v>
      </c>
      <c r="E894" s="17" t="s">
        <v>2693</v>
      </c>
      <c r="F894" s="17" t="s">
        <v>2694</v>
      </c>
      <c r="G894" s="17">
        <v>22.382580999999998</v>
      </c>
      <c r="H894" s="17">
        <v>87.439922999999993</v>
      </c>
      <c r="I894" s="17"/>
      <c r="J894" s="17"/>
      <c r="K894" s="17"/>
      <c r="L894" s="17"/>
      <c r="M894" s="34" t="s">
        <v>2695</v>
      </c>
      <c r="N894" s="17">
        <v>6201045379</v>
      </c>
      <c r="O894" s="17" t="s">
        <v>2696</v>
      </c>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row>
    <row r="895" hidden="1">
      <c r="A895" s="17">
        <v>893</v>
      </c>
      <c r="B895" s="17" t="s">
        <v>52</v>
      </c>
      <c r="C895" s="34" t="s">
        <v>2697</v>
      </c>
      <c r="D895" s="35" t="s">
        <v>52</v>
      </c>
      <c r="E895" s="17" t="s">
        <v>2698</v>
      </c>
      <c r="F895" s="17" t="s">
        <v>2699</v>
      </c>
      <c r="G895" s="17">
        <v>22.365559999999999</v>
      </c>
      <c r="H895" s="17">
        <v>87.473274000000004</v>
      </c>
      <c r="I895" s="17"/>
      <c r="J895" s="17"/>
      <c r="K895" s="17"/>
      <c r="L895" s="17"/>
      <c r="M895" s="35" t="s">
        <v>2284</v>
      </c>
      <c r="N895" s="17">
        <v>7003187431</v>
      </c>
      <c r="O895" s="17">
        <v>21</v>
      </c>
      <c r="P895" s="17">
        <v>50</v>
      </c>
      <c r="Q895" s="17" t="s">
        <v>73</v>
      </c>
      <c r="R895" s="17" t="s">
        <v>74</v>
      </c>
      <c r="S895" s="17" t="s">
        <v>75</v>
      </c>
      <c r="T895" s="17"/>
      <c r="U895" s="17" t="s">
        <v>76</v>
      </c>
      <c r="V895" s="17" t="s">
        <v>340</v>
      </c>
      <c r="W895" s="17" t="s">
        <v>449</v>
      </c>
      <c r="X895" s="17">
        <v>3</v>
      </c>
      <c r="Y895" s="17">
        <v>1</v>
      </c>
      <c r="Z895" s="17"/>
      <c r="AA895" s="17" t="s">
        <v>73</v>
      </c>
      <c r="AB895" s="17" t="s">
        <v>79</v>
      </c>
      <c r="AC895" s="17">
        <v>1</v>
      </c>
      <c r="AD895" s="17">
        <v>0</v>
      </c>
      <c r="AE895" s="17">
        <v>0</v>
      </c>
      <c r="AF895" s="17"/>
      <c r="AG895" s="22" t="s">
        <v>124</v>
      </c>
      <c r="AH895" s="17" t="s">
        <v>82</v>
      </c>
      <c r="AI895" s="17" t="s">
        <v>83</v>
      </c>
      <c r="AJ895" s="17">
        <v>2111</v>
      </c>
      <c r="AK895" s="17" t="s">
        <v>189</v>
      </c>
      <c r="AL895" s="17" t="s">
        <v>75</v>
      </c>
      <c r="AM895" s="17" t="s">
        <v>75</v>
      </c>
      <c r="AN895" s="17" t="s">
        <v>125</v>
      </c>
      <c r="AO895" s="17" t="s">
        <v>75</v>
      </c>
      <c r="AP895" s="17"/>
      <c r="AQ895" s="17"/>
      <c r="AR895" s="17"/>
      <c r="AS895" s="17"/>
      <c r="AT895" s="17" t="s">
        <v>2700</v>
      </c>
      <c r="AU895" s="17"/>
    </row>
    <row r="896" hidden="1">
      <c r="A896" s="17">
        <v>894</v>
      </c>
      <c r="B896" s="17" t="s">
        <v>52</v>
      </c>
      <c r="C896" s="34" t="s">
        <v>2701</v>
      </c>
      <c r="D896" s="35" t="s">
        <v>52</v>
      </c>
      <c r="E896" s="17" t="s">
        <v>2702</v>
      </c>
      <c r="F896" s="17" t="s">
        <v>2703</v>
      </c>
      <c r="G896" s="17">
        <v>22.372681</v>
      </c>
      <c r="H896" s="17">
        <v>87.435263000000006</v>
      </c>
      <c r="I896" s="17"/>
      <c r="J896" s="17"/>
      <c r="K896" s="17"/>
      <c r="L896" s="17"/>
      <c r="M896" s="34" t="s">
        <v>2695</v>
      </c>
      <c r="N896" s="17"/>
      <c r="O896" s="17" t="s">
        <v>2696</v>
      </c>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row>
    <row r="897" hidden="1">
      <c r="A897" s="17">
        <v>895</v>
      </c>
      <c r="B897" s="17" t="s">
        <v>52</v>
      </c>
      <c r="C897" s="34" t="s">
        <v>2704</v>
      </c>
      <c r="D897" s="35" t="s">
        <v>52</v>
      </c>
      <c r="E897" s="17" t="s">
        <v>2705</v>
      </c>
      <c r="F897" s="17" t="s">
        <v>2706</v>
      </c>
      <c r="G897" s="17">
        <v>22.366423999999999</v>
      </c>
      <c r="H897" s="17">
        <v>87.400215000000003</v>
      </c>
      <c r="I897" s="17"/>
      <c r="J897" s="17"/>
      <c r="K897" s="17"/>
      <c r="L897" s="17"/>
      <c r="M897" s="34" t="s">
        <v>2695</v>
      </c>
      <c r="N897" s="17"/>
      <c r="O897" s="17" t="s">
        <v>2696</v>
      </c>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row>
    <row r="898" hidden="1">
      <c r="A898" s="17">
        <v>896</v>
      </c>
      <c r="B898" s="17" t="s">
        <v>52</v>
      </c>
      <c r="C898" s="34" t="s">
        <v>2707</v>
      </c>
      <c r="D898" s="35" t="s">
        <v>52</v>
      </c>
      <c r="E898" s="17" t="s">
        <v>2708</v>
      </c>
      <c r="F898" s="17" t="s">
        <v>2709</v>
      </c>
      <c r="G898" s="17">
        <v>22.310089999999999</v>
      </c>
      <c r="H898" s="17">
        <v>87.336534999999998</v>
      </c>
      <c r="I898" s="17"/>
      <c r="J898" s="17"/>
      <c r="K898" s="17"/>
      <c r="L898" s="17"/>
      <c r="M898" s="38" t="s">
        <v>2710</v>
      </c>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row>
    <row r="899" hidden="1">
      <c r="A899" s="17">
        <v>897</v>
      </c>
      <c r="B899" s="17" t="s">
        <v>52</v>
      </c>
      <c r="C899" s="34" t="s">
        <v>2711</v>
      </c>
      <c r="D899" s="35" t="s">
        <v>52</v>
      </c>
      <c r="E899" s="17" t="s">
        <v>2712</v>
      </c>
      <c r="F899" s="17" t="s">
        <v>2713</v>
      </c>
      <c r="G899" s="17">
        <v>22.392178000000001</v>
      </c>
      <c r="H899" s="17">
        <v>87.508815999999996</v>
      </c>
      <c r="I899" s="17"/>
      <c r="J899" s="17"/>
      <c r="K899" s="17"/>
      <c r="L899" s="17"/>
      <c r="M899" s="35" t="s">
        <v>2284</v>
      </c>
      <c r="N899" s="17">
        <v>7003187431</v>
      </c>
      <c r="O899" s="17" t="s">
        <v>2714</v>
      </c>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row>
    <row r="900" hidden="1">
      <c r="A900" s="17">
        <v>898</v>
      </c>
      <c r="B900" s="17" t="s">
        <v>52</v>
      </c>
      <c r="C900" s="34" t="s">
        <v>2715</v>
      </c>
      <c r="D900" s="35" t="s">
        <v>52</v>
      </c>
      <c r="E900" s="17" t="s">
        <v>2716</v>
      </c>
      <c r="F900" s="17" t="s">
        <v>2717</v>
      </c>
      <c r="G900" s="17">
        <v>22.322105000000001</v>
      </c>
      <c r="H900" s="17">
        <v>87.397356000000002</v>
      </c>
      <c r="I900" s="17"/>
      <c r="J900" s="17"/>
      <c r="K900" s="17"/>
      <c r="L900" s="17"/>
      <c r="M900" s="34" t="s">
        <v>2695</v>
      </c>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row>
    <row r="901" hidden="1">
      <c r="A901" s="17">
        <v>899</v>
      </c>
      <c r="B901" s="17" t="s">
        <v>52</v>
      </c>
      <c r="C901" s="34" t="s">
        <v>2718</v>
      </c>
      <c r="D901" s="35" t="s">
        <v>52</v>
      </c>
      <c r="E901" s="17" t="s">
        <v>2719</v>
      </c>
      <c r="F901" s="17" t="s">
        <v>2720</v>
      </c>
      <c r="G901" s="17">
        <v>22.279959000000002</v>
      </c>
      <c r="H901" s="17">
        <v>87.394121999999996</v>
      </c>
      <c r="I901" s="17"/>
      <c r="J901" s="17"/>
      <c r="K901" s="17"/>
      <c r="L901" s="17"/>
      <c r="M901" s="34" t="s">
        <v>2695</v>
      </c>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row>
    <row r="902" hidden="1">
      <c r="A902" s="17">
        <v>900</v>
      </c>
      <c r="B902" s="17" t="s">
        <v>52</v>
      </c>
      <c r="C902" s="34" t="s">
        <v>2721</v>
      </c>
      <c r="D902" s="35" t="s">
        <v>52</v>
      </c>
      <c r="E902" s="17" t="s">
        <v>2722</v>
      </c>
      <c r="F902" s="17" t="s">
        <v>2723</v>
      </c>
      <c r="G902" s="17">
        <v>22.384571000000001</v>
      </c>
      <c r="H902" s="17">
        <v>87.400206999999995</v>
      </c>
      <c r="I902" s="17"/>
      <c r="J902" s="17"/>
      <c r="K902" s="17"/>
      <c r="L902" s="17"/>
      <c r="M902" s="34" t="s">
        <v>2695</v>
      </c>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row>
    <row r="903" hidden="1">
      <c r="A903" s="17">
        <v>901</v>
      </c>
      <c r="B903" s="17" t="s">
        <v>52</v>
      </c>
      <c r="C903" s="34" t="s">
        <v>2724</v>
      </c>
      <c r="D903" s="35" t="s">
        <v>52</v>
      </c>
      <c r="E903" s="17" t="s">
        <v>1883</v>
      </c>
      <c r="F903" s="17" t="s">
        <v>2725</v>
      </c>
      <c r="G903" s="17">
        <v>22.396584000000001</v>
      </c>
      <c r="H903" s="17">
        <v>87.478613999999993</v>
      </c>
      <c r="I903" s="17"/>
      <c r="J903" s="17"/>
      <c r="K903" s="17"/>
      <c r="L903" s="17"/>
      <c r="M903" s="35" t="s">
        <v>2284</v>
      </c>
      <c r="N903" s="17">
        <v>7003187431</v>
      </c>
      <c r="O903" s="17" t="s">
        <v>2714</v>
      </c>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row>
    <row r="904" hidden="1">
      <c r="A904" s="17">
        <v>902</v>
      </c>
      <c r="B904" s="17" t="s">
        <v>52</v>
      </c>
      <c r="C904" s="34" t="s">
        <v>2726</v>
      </c>
      <c r="D904" s="35" t="s">
        <v>52</v>
      </c>
      <c r="E904" s="17" t="s">
        <v>2727</v>
      </c>
      <c r="F904" s="17" t="s">
        <v>2728</v>
      </c>
      <c r="G904" s="17">
        <v>22.312453999999999</v>
      </c>
      <c r="H904" s="17">
        <v>87.436351999999999</v>
      </c>
      <c r="I904" s="17"/>
      <c r="J904" s="17"/>
      <c r="K904" s="17"/>
      <c r="L904" s="17"/>
      <c r="M904" s="34" t="s">
        <v>2695</v>
      </c>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row>
    <row r="905" hidden="1">
      <c r="A905" s="17">
        <v>903</v>
      </c>
      <c r="B905" s="17" t="s">
        <v>52</v>
      </c>
      <c r="C905" s="34" t="s">
        <v>2729</v>
      </c>
      <c r="D905" s="35" t="s">
        <v>52</v>
      </c>
      <c r="E905" s="17" t="s">
        <v>2730</v>
      </c>
      <c r="F905" s="17" t="s">
        <v>2731</v>
      </c>
      <c r="G905" s="17">
        <v>22.384944000000001</v>
      </c>
      <c r="H905" s="17">
        <v>87.493617999999998</v>
      </c>
      <c r="I905" s="17"/>
      <c r="J905" s="17"/>
      <c r="K905" s="17"/>
      <c r="L905" s="17"/>
      <c r="M905" s="35" t="s">
        <v>2284</v>
      </c>
      <c r="N905" s="17">
        <v>7003187431</v>
      </c>
      <c r="O905" s="17">
        <v>21</v>
      </c>
      <c r="P905" s="17">
        <v>45</v>
      </c>
      <c r="Q905" s="17" t="s">
        <v>105</v>
      </c>
      <c r="R905" s="17" t="s">
        <v>154</v>
      </c>
      <c r="S905" s="17" t="s">
        <v>75</v>
      </c>
      <c r="T905" s="17"/>
      <c r="U905" s="17" t="s">
        <v>105</v>
      </c>
      <c r="V905" s="17" t="s">
        <v>77</v>
      </c>
      <c r="W905" s="17" t="s">
        <v>1182</v>
      </c>
      <c r="X905" s="17">
        <v>3</v>
      </c>
      <c r="Y905" s="17">
        <v>1</v>
      </c>
      <c r="Z905" s="17"/>
      <c r="AA905" s="17" t="s">
        <v>145</v>
      </c>
      <c r="AB905" s="17" t="s">
        <v>239</v>
      </c>
      <c r="AC905" s="17">
        <v>2</v>
      </c>
      <c r="AD905" s="17">
        <v>0</v>
      </c>
      <c r="AE905" s="17">
        <v>0</v>
      </c>
      <c r="AF905" s="17"/>
      <c r="AG905" s="17" t="s">
        <v>81</v>
      </c>
      <c r="AH905" s="17" t="s">
        <v>82</v>
      </c>
      <c r="AI905" s="17" t="s">
        <v>83</v>
      </c>
      <c r="AJ905" s="17">
        <v>2111</v>
      </c>
      <c r="AK905" s="17" t="s">
        <v>189</v>
      </c>
      <c r="AL905" s="17" t="s">
        <v>75</v>
      </c>
      <c r="AM905" s="17" t="s">
        <v>75</v>
      </c>
      <c r="AN905" s="17" t="s">
        <v>84</v>
      </c>
      <c r="AO905" s="17" t="s">
        <v>75</v>
      </c>
      <c r="AP905" s="17"/>
      <c r="AQ905" s="17"/>
      <c r="AR905" s="17"/>
      <c r="AS905" s="17"/>
      <c r="AT905" s="22" t="s">
        <v>2732</v>
      </c>
      <c r="AU905" s="17" t="s">
        <v>127</v>
      </c>
    </row>
    <row r="906" hidden="1">
      <c r="A906" s="17">
        <v>904</v>
      </c>
      <c r="B906" s="17" t="s">
        <v>52</v>
      </c>
      <c r="C906" s="34" t="s">
        <v>2733</v>
      </c>
      <c r="D906" s="35" t="s">
        <v>52</v>
      </c>
      <c r="E906" s="17" t="s">
        <v>2734</v>
      </c>
      <c r="F906" s="17" t="s">
        <v>2735</v>
      </c>
      <c r="G906" s="17">
        <v>22.243537</v>
      </c>
      <c r="H906" s="17">
        <v>87.509426000000005</v>
      </c>
      <c r="I906" s="17"/>
      <c r="J906" s="17"/>
      <c r="K906" s="17"/>
      <c r="L906" s="17"/>
      <c r="M906" s="35" t="s">
        <v>2680</v>
      </c>
      <c r="N906" s="17">
        <v>8240995955</v>
      </c>
      <c r="O906" s="17">
        <v>12</v>
      </c>
      <c r="P906" s="17">
        <v>120</v>
      </c>
      <c r="Q906" s="17" t="s">
        <v>105</v>
      </c>
      <c r="R906" s="17" t="s">
        <v>142</v>
      </c>
      <c r="S906" s="17" t="s">
        <v>75</v>
      </c>
      <c r="T906" s="17"/>
      <c r="U906" s="17" t="s">
        <v>441</v>
      </c>
      <c r="V906" s="17" t="s">
        <v>442</v>
      </c>
      <c r="W906" s="17" t="s">
        <v>2736</v>
      </c>
      <c r="X906" s="17">
        <v>4</v>
      </c>
      <c r="Y906" s="17">
        <v>1</v>
      </c>
      <c r="Z906" s="17"/>
      <c r="AA906" s="17" t="s">
        <v>145</v>
      </c>
      <c r="AB906" s="17" t="s">
        <v>79</v>
      </c>
      <c r="AC906" s="17">
        <v>6</v>
      </c>
      <c r="AD906" s="17">
        <v>0</v>
      </c>
      <c r="AE906" s="17">
        <v>0</v>
      </c>
      <c r="AF906" s="17"/>
      <c r="AG906" s="17" t="s">
        <v>81</v>
      </c>
      <c r="AH906" s="17" t="s">
        <v>82</v>
      </c>
      <c r="AI906" s="17" t="s">
        <v>83</v>
      </c>
      <c r="AJ906" s="17">
        <v>2111</v>
      </c>
      <c r="AK906" s="17" t="s">
        <v>75</v>
      </c>
      <c r="AL906" s="17" t="s">
        <v>75</v>
      </c>
      <c r="AM906" s="17" t="s">
        <v>75</v>
      </c>
      <c r="AN906" s="17" t="s">
        <v>84</v>
      </c>
      <c r="AO906" s="17" t="s">
        <v>137</v>
      </c>
      <c r="AP906" s="17"/>
      <c r="AQ906" s="17"/>
      <c r="AR906" s="17"/>
      <c r="AS906" s="17"/>
      <c r="AT906" s="17" t="s">
        <v>2737</v>
      </c>
      <c r="AU906" s="17" t="s">
        <v>111</v>
      </c>
      <c r="AV906" t="s">
        <v>2738</v>
      </c>
    </row>
    <row r="907" hidden="1">
      <c r="A907" s="17">
        <v>905</v>
      </c>
      <c r="B907" s="17" t="s">
        <v>52</v>
      </c>
      <c r="C907" s="34" t="s">
        <v>2739</v>
      </c>
      <c r="D907" s="35" t="s">
        <v>52</v>
      </c>
      <c r="E907" s="17" t="s">
        <v>2740</v>
      </c>
      <c r="F907" s="17" t="s">
        <v>2741</v>
      </c>
      <c r="G907" s="17">
        <v>22.354036000000001</v>
      </c>
      <c r="H907" s="17">
        <v>87.454892999999998</v>
      </c>
      <c r="I907" s="17"/>
      <c r="J907" s="17"/>
      <c r="K907" s="17"/>
      <c r="L907" s="17"/>
      <c r="M907" s="35" t="s">
        <v>2284</v>
      </c>
      <c r="N907" s="17">
        <v>7003187431</v>
      </c>
      <c r="O907" s="17">
        <v>23</v>
      </c>
      <c r="P907" s="17">
        <v>95</v>
      </c>
      <c r="Q907" s="17" t="s">
        <v>105</v>
      </c>
      <c r="R907" s="17" t="s">
        <v>154</v>
      </c>
      <c r="S907" s="17" t="s">
        <v>75</v>
      </c>
      <c r="T907" s="17"/>
      <c r="U907" s="17" t="s">
        <v>76</v>
      </c>
      <c r="V907" s="17" t="s">
        <v>77</v>
      </c>
      <c r="W907" s="17" t="s">
        <v>443</v>
      </c>
      <c r="X907" s="17">
        <v>4</v>
      </c>
      <c r="Y907" s="17">
        <v>2</v>
      </c>
      <c r="Z907" s="17"/>
      <c r="AA907" s="17" t="s">
        <v>105</v>
      </c>
      <c r="AB907" s="17" t="s">
        <v>239</v>
      </c>
      <c r="AC907" s="17">
        <v>3</v>
      </c>
      <c r="AD907" s="17">
        <v>0</v>
      </c>
      <c r="AE907" s="17">
        <v>0</v>
      </c>
      <c r="AF907" s="17"/>
      <c r="AG907" s="17" t="s">
        <v>81</v>
      </c>
      <c r="AH907" s="17" t="s">
        <v>82</v>
      </c>
      <c r="AI907" s="17" t="s">
        <v>107</v>
      </c>
      <c r="AJ907" s="17"/>
      <c r="AK907" s="17" t="s">
        <v>189</v>
      </c>
      <c r="AL907" s="17" t="s">
        <v>75</v>
      </c>
      <c r="AM907" s="17" t="s">
        <v>75</v>
      </c>
      <c r="AN907" s="17" t="s">
        <v>84</v>
      </c>
      <c r="AO907" s="17" t="s">
        <v>75</v>
      </c>
      <c r="AP907" s="17" t="s">
        <v>105</v>
      </c>
      <c r="AQ907" s="17" t="s">
        <v>2742</v>
      </c>
      <c r="AR907" s="17">
        <v>0</v>
      </c>
      <c r="AS907" s="17">
        <v>0</v>
      </c>
      <c r="AT907" s="22" t="s">
        <v>2743</v>
      </c>
      <c r="AU907" s="17" t="s">
        <v>127</v>
      </c>
    </row>
    <row r="908" hidden="1">
      <c r="A908" s="17">
        <v>906</v>
      </c>
      <c r="B908" s="17" t="s">
        <v>52</v>
      </c>
      <c r="C908" s="34" t="s">
        <v>2744</v>
      </c>
      <c r="D908" s="35" t="s">
        <v>52</v>
      </c>
      <c r="E908" s="17" t="s">
        <v>2745</v>
      </c>
      <c r="F908" s="17" t="s">
        <v>2746</v>
      </c>
      <c r="G908" s="17">
        <v>22.401322</v>
      </c>
      <c r="H908" s="17">
        <v>87.450507999999999</v>
      </c>
      <c r="I908" s="17"/>
      <c r="J908" s="17"/>
      <c r="K908" s="17"/>
      <c r="L908" s="17"/>
      <c r="M908" s="34" t="s">
        <v>2695</v>
      </c>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row>
    <row r="909" hidden="1">
      <c r="A909" s="17">
        <v>907</v>
      </c>
      <c r="B909" s="17" t="s">
        <v>52</v>
      </c>
      <c r="C909" s="34" t="s">
        <v>2747</v>
      </c>
      <c r="D909" s="35" t="s">
        <v>52</v>
      </c>
      <c r="E909" s="17" t="s">
        <v>2748</v>
      </c>
      <c r="F909" s="17" t="s">
        <v>2749</v>
      </c>
      <c r="G909" s="17">
        <v>22.381404</v>
      </c>
      <c r="H909" s="17">
        <v>87.420090999999999</v>
      </c>
      <c r="I909" s="17"/>
      <c r="J909" s="17"/>
      <c r="K909" s="17"/>
      <c r="L909" s="17"/>
      <c r="M909" s="34" t="s">
        <v>2695</v>
      </c>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row>
    <row r="910" hidden="1">
      <c r="A910" s="17">
        <v>908</v>
      </c>
      <c r="B910" s="17" t="s">
        <v>52</v>
      </c>
      <c r="C910" s="34" t="s">
        <v>2750</v>
      </c>
      <c r="D910" s="35" t="s">
        <v>52</v>
      </c>
      <c r="E910" s="17" t="s">
        <v>2751</v>
      </c>
      <c r="F910" s="17" t="s">
        <v>2752</v>
      </c>
      <c r="G910" s="17">
        <v>22.368144000000001</v>
      </c>
      <c r="H910" s="17">
        <v>87.441435999999996</v>
      </c>
      <c r="I910" s="17"/>
      <c r="J910" s="17"/>
      <c r="K910" s="17"/>
      <c r="L910" s="17"/>
      <c r="M910" s="34" t="s">
        <v>2695</v>
      </c>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row>
    <row r="911" hidden="1">
      <c r="A911" s="17">
        <v>909</v>
      </c>
      <c r="B911" s="17" t="s">
        <v>52</v>
      </c>
      <c r="C911" s="34" t="s">
        <v>2753</v>
      </c>
      <c r="D911" s="35" t="s">
        <v>52</v>
      </c>
      <c r="E911" s="17" t="s">
        <v>2754</v>
      </c>
      <c r="F911" s="17" t="s">
        <v>2755</v>
      </c>
      <c r="G911" s="17">
        <v>22.398056</v>
      </c>
      <c r="H911" s="17">
        <v>87.420783999999998</v>
      </c>
      <c r="I911" s="17"/>
      <c r="J911" s="17"/>
      <c r="K911" s="17"/>
      <c r="L911" s="17"/>
      <c r="M911" s="34" t="s">
        <v>2695</v>
      </c>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row>
    <row r="912" hidden="1">
      <c r="A912" s="17">
        <v>910</v>
      </c>
      <c r="B912" s="17" t="s">
        <v>52</v>
      </c>
      <c r="C912" s="34" t="s">
        <v>2756</v>
      </c>
      <c r="D912" s="35" t="s">
        <v>52</v>
      </c>
      <c r="E912" s="17" t="s">
        <v>2757</v>
      </c>
      <c r="F912" s="17" t="s">
        <v>2758</v>
      </c>
      <c r="G912" s="17">
        <v>22.375456</v>
      </c>
      <c r="H912" s="17">
        <v>87.381062</v>
      </c>
      <c r="I912" s="17"/>
      <c r="J912" s="17"/>
      <c r="K912" s="17"/>
      <c r="L912" s="17"/>
      <c r="M912" s="34" t="s">
        <v>2695</v>
      </c>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row>
    <row r="913" hidden="1">
      <c r="A913" s="17">
        <v>911</v>
      </c>
      <c r="B913" s="17" t="s">
        <v>52</v>
      </c>
      <c r="C913" s="34" t="s">
        <v>2759</v>
      </c>
      <c r="D913" s="35" t="s">
        <v>52</v>
      </c>
      <c r="E913" s="17" t="s">
        <v>2760</v>
      </c>
      <c r="F913" s="17" t="s">
        <v>2761</v>
      </c>
      <c r="G913" s="17">
        <v>22.322970999999999</v>
      </c>
      <c r="H913" s="17">
        <v>87.359183999999999</v>
      </c>
      <c r="I913" s="17"/>
      <c r="J913" s="17"/>
      <c r="K913" s="17"/>
      <c r="L913" s="17"/>
      <c r="M913" s="35" t="s">
        <v>2695</v>
      </c>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row>
    <row r="914" hidden="1">
      <c r="A914" s="17">
        <v>912</v>
      </c>
      <c r="B914" s="17" t="s">
        <v>52</v>
      </c>
      <c r="C914" s="34" t="s">
        <v>2762</v>
      </c>
      <c r="D914" s="35" t="s">
        <v>52</v>
      </c>
      <c r="E914" s="17" t="s">
        <v>2763</v>
      </c>
      <c r="F914" s="17" t="s">
        <v>2764</v>
      </c>
      <c r="G914" s="17">
        <v>22.36018</v>
      </c>
      <c r="H914" s="17">
        <v>87.393739999999994</v>
      </c>
      <c r="I914" s="17"/>
      <c r="J914" s="17"/>
      <c r="K914" s="17"/>
      <c r="L914" s="17"/>
      <c r="M914" s="34" t="s">
        <v>2695</v>
      </c>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row>
    <row r="915" hidden="1">
      <c r="A915" s="17">
        <v>913</v>
      </c>
      <c r="B915" s="17" t="s">
        <v>52</v>
      </c>
      <c r="C915" s="34" t="s">
        <v>2765</v>
      </c>
      <c r="D915" s="35" t="s">
        <v>52</v>
      </c>
      <c r="E915" s="17" t="s">
        <v>2766</v>
      </c>
      <c r="F915" s="17" t="s">
        <v>2767</v>
      </c>
      <c r="G915" s="17">
        <v>22.248871000000001</v>
      </c>
      <c r="H915" s="17">
        <v>87.378613999999999</v>
      </c>
      <c r="I915" s="17"/>
      <c r="J915" s="17"/>
      <c r="K915" s="17"/>
      <c r="L915" s="17"/>
      <c r="M915" s="34" t="s">
        <v>2695</v>
      </c>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row>
    <row r="916" hidden="1">
      <c r="A916" s="17">
        <v>914</v>
      </c>
      <c r="B916" s="17" t="s">
        <v>52</v>
      </c>
      <c r="C916" s="34" t="s">
        <v>2768</v>
      </c>
      <c r="D916" s="35" t="s">
        <v>52</v>
      </c>
      <c r="E916" s="17" t="s">
        <v>2769</v>
      </c>
      <c r="F916" s="17" t="s">
        <v>2770</v>
      </c>
      <c r="G916" s="17">
        <v>22.299517000000002</v>
      </c>
      <c r="H916" s="17">
        <v>87.341604000000004</v>
      </c>
      <c r="I916" s="17"/>
      <c r="J916" s="17"/>
      <c r="K916" s="17"/>
      <c r="L916" s="17"/>
      <c r="M916" s="38" t="s">
        <v>2710</v>
      </c>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row>
    <row r="917" hidden="1">
      <c r="A917" s="17">
        <v>915</v>
      </c>
      <c r="B917" s="17" t="s">
        <v>52</v>
      </c>
      <c r="C917" s="34" t="s">
        <v>2771</v>
      </c>
      <c r="D917" s="35" t="s">
        <v>52</v>
      </c>
      <c r="E917" s="17" t="s">
        <v>2772</v>
      </c>
      <c r="F917" s="17" t="s">
        <v>2773</v>
      </c>
      <c r="G917" s="17">
        <v>22.305070000000001</v>
      </c>
      <c r="H917" s="17">
        <v>87.413179999999997</v>
      </c>
      <c r="I917" s="17"/>
      <c r="J917" s="17"/>
      <c r="K917" s="17"/>
      <c r="L917" s="17"/>
      <c r="M917" s="34" t="s">
        <v>2695</v>
      </c>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row>
    <row r="918" hidden="1">
      <c r="A918" s="17">
        <v>916</v>
      </c>
      <c r="B918" s="17" t="s">
        <v>52</v>
      </c>
      <c r="C918" s="34" t="s">
        <v>2774</v>
      </c>
      <c r="D918" s="35" t="s">
        <v>52</v>
      </c>
      <c r="E918" s="17" t="s">
        <v>2775</v>
      </c>
      <c r="F918" s="17" t="s">
        <v>2776</v>
      </c>
      <c r="G918" s="17">
        <v>22.283545</v>
      </c>
      <c r="H918" s="17">
        <v>87.487093999999999</v>
      </c>
      <c r="I918" s="17"/>
      <c r="J918" s="17"/>
      <c r="K918" s="17"/>
      <c r="L918" s="17"/>
      <c r="M918" s="35" t="s">
        <v>2680</v>
      </c>
      <c r="N918" s="17">
        <v>8240995955</v>
      </c>
      <c r="O918" s="17">
        <v>12</v>
      </c>
      <c r="P918" s="17">
        <v>60</v>
      </c>
      <c r="Q918" s="17" t="s">
        <v>73</v>
      </c>
      <c r="R918" s="17" t="s">
        <v>74</v>
      </c>
      <c r="S918" s="17" t="s">
        <v>2777</v>
      </c>
      <c r="T918" s="17"/>
      <c r="U918" s="17" t="s">
        <v>105</v>
      </c>
      <c r="V918" s="17" t="s">
        <v>77</v>
      </c>
      <c r="W918" s="17" t="s">
        <v>330</v>
      </c>
      <c r="X918" s="17">
        <v>3</v>
      </c>
      <c r="Y918" s="17">
        <v>0</v>
      </c>
      <c r="Z918" s="17" t="s">
        <v>2778</v>
      </c>
      <c r="AA918" s="17" t="s">
        <v>73</v>
      </c>
      <c r="AB918" s="17" t="s">
        <v>79</v>
      </c>
      <c r="AC918" s="17">
        <v>3</v>
      </c>
      <c r="AD918" s="17">
        <v>0</v>
      </c>
      <c r="AE918" s="17">
        <v>2</v>
      </c>
      <c r="AF918" s="17"/>
      <c r="AG918" s="17" t="s">
        <v>124</v>
      </c>
      <c r="AH918" s="17" t="s">
        <v>82</v>
      </c>
      <c r="AI918" s="17" t="s">
        <v>83</v>
      </c>
      <c r="AJ918" s="17">
        <v>2111</v>
      </c>
      <c r="AK918" s="17" t="s">
        <v>75</v>
      </c>
      <c r="AL918" s="17" t="s">
        <v>75</v>
      </c>
      <c r="AM918" s="17" t="s">
        <v>75</v>
      </c>
      <c r="AN918" s="17" t="s">
        <v>84</v>
      </c>
      <c r="AO918" s="17" t="s">
        <v>137</v>
      </c>
      <c r="AP918" s="17"/>
      <c r="AQ918" s="17"/>
      <c r="AR918" s="17"/>
      <c r="AS918" s="17"/>
      <c r="AT918" s="17"/>
      <c r="AU918" s="17" t="s">
        <v>111</v>
      </c>
    </row>
    <row r="919" hidden="1">
      <c r="A919" s="17">
        <v>917</v>
      </c>
      <c r="B919" s="17" t="s">
        <v>52</v>
      </c>
      <c r="C919" s="34" t="s">
        <v>2779</v>
      </c>
      <c r="D919" s="35" t="s">
        <v>52</v>
      </c>
      <c r="E919" s="17" t="s">
        <v>2780</v>
      </c>
      <c r="F919" s="17" t="s">
        <v>2781</v>
      </c>
      <c r="G919" s="17">
        <v>22.410449</v>
      </c>
      <c r="H919" s="17">
        <v>87.501768999999996</v>
      </c>
      <c r="I919" s="17"/>
      <c r="J919" s="17"/>
      <c r="K919" s="17"/>
      <c r="L919" s="17"/>
      <c r="M919" s="35" t="s">
        <v>2291</v>
      </c>
      <c r="N919" s="17">
        <v>9933713149</v>
      </c>
      <c r="O919" s="17">
        <v>21</v>
      </c>
      <c r="P919" s="17">
        <v>100</v>
      </c>
      <c r="Q919" s="17" t="s">
        <v>73</v>
      </c>
      <c r="R919" s="17" t="s">
        <v>74</v>
      </c>
      <c r="S919" s="17" t="s">
        <v>2782</v>
      </c>
      <c r="T919" s="17" t="s">
        <v>2783</v>
      </c>
      <c r="U919" s="17" t="s">
        <v>160</v>
      </c>
      <c r="V919" s="17" t="s">
        <v>77</v>
      </c>
      <c r="W919" s="17" t="s">
        <v>78</v>
      </c>
      <c r="X919" s="17">
        <v>3</v>
      </c>
      <c r="Y919" s="17">
        <v>0</v>
      </c>
      <c r="Z919" s="17"/>
      <c r="AA919" s="17" t="s">
        <v>73</v>
      </c>
      <c r="AB919" s="17" t="s">
        <v>79</v>
      </c>
      <c r="AC919" s="17">
        <v>2</v>
      </c>
      <c r="AD919" s="17">
        <v>0</v>
      </c>
      <c r="AE919" s="17">
        <v>0</v>
      </c>
      <c r="AF919" s="17"/>
      <c r="AG919" s="17" t="s">
        <v>124</v>
      </c>
      <c r="AH919" s="17" t="s">
        <v>82</v>
      </c>
      <c r="AI919" s="17" t="s">
        <v>83</v>
      </c>
      <c r="AJ919" s="17">
        <v>2111</v>
      </c>
      <c r="AK919" s="17" t="s">
        <v>75</v>
      </c>
      <c r="AL919" s="17" t="s">
        <v>75</v>
      </c>
      <c r="AM919" s="17" t="s">
        <v>163</v>
      </c>
      <c r="AN919" s="17" t="s">
        <v>84</v>
      </c>
      <c r="AO919" s="17" t="s">
        <v>75</v>
      </c>
      <c r="AP919" s="17"/>
      <c r="AQ919" s="17"/>
      <c r="AR919" s="17"/>
      <c r="AS919" s="17"/>
      <c r="AT919" s="17" t="s">
        <v>2784</v>
      </c>
      <c r="AU919" s="17" t="s">
        <v>127</v>
      </c>
    </row>
    <row r="920" hidden="1">
      <c r="A920" s="17">
        <v>918</v>
      </c>
      <c r="B920" s="17" t="s">
        <v>52</v>
      </c>
      <c r="C920" s="34" t="s">
        <v>2785</v>
      </c>
      <c r="D920" s="35" t="s">
        <v>52</v>
      </c>
      <c r="E920" s="17" t="s">
        <v>2786</v>
      </c>
      <c r="F920" s="17" t="s">
        <v>2787</v>
      </c>
      <c r="G920" s="17">
        <v>22.329599999999999</v>
      </c>
      <c r="H920" s="17">
        <v>87.458200000000005</v>
      </c>
      <c r="I920" s="17"/>
      <c r="J920" s="17"/>
      <c r="K920" s="17"/>
      <c r="L920" s="17"/>
      <c r="M920" s="35" t="s">
        <v>2284</v>
      </c>
      <c r="N920" s="17">
        <v>7003187431</v>
      </c>
      <c r="O920" s="17">
        <v>22</v>
      </c>
      <c r="P920" s="17">
        <v>145</v>
      </c>
      <c r="Q920" s="17" t="s">
        <v>187</v>
      </c>
      <c r="R920" s="17" t="s">
        <v>74</v>
      </c>
      <c r="S920" s="17" t="s">
        <v>75</v>
      </c>
      <c r="T920" s="17"/>
      <c r="U920" s="17" t="s">
        <v>105</v>
      </c>
      <c r="V920" s="17" t="s">
        <v>77</v>
      </c>
      <c r="W920" s="17" t="s">
        <v>2788</v>
      </c>
      <c r="X920" s="17">
        <v>3</v>
      </c>
      <c r="Y920" s="17">
        <v>0</v>
      </c>
      <c r="Z920" s="17"/>
      <c r="AA920" s="17" t="s">
        <v>187</v>
      </c>
      <c r="AB920" s="17" t="s">
        <v>79</v>
      </c>
      <c r="AC920" s="17">
        <v>4</v>
      </c>
      <c r="AD920" s="17">
        <v>0</v>
      </c>
      <c r="AE920" s="17">
        <v>1</v>
      </c>
      <c r="AF920" s="17"/>
      <c r="AG920" s="22" t="s">
        <v>124</v>
      </c>
      <c r="AH920" s="17" t="s">
        <v>82</v>
      </c>
      <c r="AI920" s="17" t="s">
        <v>83</v>
      </c>
      <c r="AJ920" s="17">
        <v>2111</v>
      </c>
      <c r="AK920" s="17" t="s">
        <v>189</v>
      </c>
      <c r="AL920" s="17" t="s">
        <v>75</v>
      </c>
      <c r="AM920" s="17" t="s">
        <v>75</v>
      </c>
      <c r="AN920" s="17" t="s">
        <v>84</v>
      </c>
      <c r="AO920" s="17" t="s">
        <v>75</v>
      </c>
      <c r="AP920" s="17"/>
      <c r="AQ920" s="17"/>
      <c r="AR920" s="17"/>
      <c r="AS920" s="17"/>
      <c r="AT920" s="17" t="s">
        <v>2789</v>
      </c>
      <c r="AU920" s="17" t="s">
        <v>111</v>
      </c>
    </row>
    <row r="921" hidden="1">
      <c r="A921" s="17">
        <v>919</v>
      </c>
      <c r="B921" s="17" t="s">
        <v>52</v>
      </c>
      <c r="C921" s="34" t="s">
        <v>2790</v>
      </c>
      <c r="D921" s="35" t="s">
        <v>52</v>
      </c>
      <c r="E921" s="17" t="s">
        <v>2791</v>
      </c>
      <c r="F921" s="17" t="s">
        <v>2792</v>
      </c>
      <c r="G921" s="17">
        <v>22.261254000000001</v>
      </c>
      <c r="H921" s="17">
        <v>87.461608999999996</v>
      </c>
      <c r="I921" s="17"/>
      <c r="J921" s="17"/>
      <c r="K921" s="17"/>
      <c r="L921" s="17"/>
      <c r="M921" s="34" t="s">
        <v>2695</v>
      </c>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row>
    <row r="922" hidden="1">
      <c r="A922" s="17">
        <v>920</v>
      </c>
      <c r="B922" s="17" t="s">
        <v>52</v>
      </c>
      <c r="C922" s="34" t="s">
        <v>2793</v>
      </c>
      <c r="D922" s="35" t="s">
        <v>52</v>
      </c>
      <c r="E922" s="17" t="s">
        <v>2794</v>
      </c>
      <c r="F922" s="17" t="s">
        <v>2795</v>
      </c>
      <c r="G922" s="17">
        <v>22.285437000000002</v>
      </c>
      <c r="H922" s="17">
        <v>87.460746999999998</v>
      </c>
      <c r="I922" s="17"/>
      <c r="J922" s="17"/>
      <c r="K922" s="17"/>
      <c r="L922" s="17"/>
      <c r="M922" s="34" t="s">
        <v>2695</v>
      </c>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row>
    <row r="923" hidden="1">
      <c r="A923" s="17">
        <v>921</v>
      </c>
      <c r="B923" s="17" t="s">
        <v>52</v>
      </c>
      <c r="C923" s="34" t="s">
        <v>2796</v>
      </c>
      <c r="D923" s="35" t="s">
        <v>52</v>
      </c>
      <c r="E923" s="17" t="s">
        <v>2797</v>
      </c>
      <c r="F923" s="17" t="s">
        <v>2798</v>
      </c>
      <c r="G923" s="17">
        <v>22.341705999999999</v>
      </c>
      <c r="H923" s="17">
        <v>87.428490999999994</v>
      </c>
      <c r="I923" s="17"/>
      <c r="J923" s="17"/>
      <c r="K923" s="17"/>
      <c r="L923" s="17"/>
      <c r="M923" s="34" t="s">
        <v>2695</v>
      </c>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row>
    <row r="924" hidden="1">
      <c r="A924" s="17">
        <v>922</v>
      </c>
      <c r="B924" s="17" t="s">
        <v>52</v>
      </c>
      <c r="C924" s="34" t="s">
        <v>2799</v>
      </c>
      <c r="D924" s="35" t="s">
        <v>52</v>
      </c>
      <c r="E924" s="17" t="s">
        <v>2800</v>
      </c>
      <c r="F924" s="17" t="s">
        <v>2801</v>
      </c>
      <c r="G924" s="17">
        <v>22.252137999999999</v>
      </c>
      <c r="H924" s="17">
        <v>87.484227000000004</v>
      </c>
      <c r="I924" s="17"/>
      <c r="J924" s="17"/>
      <c r="K924" s="17"/>
      <c r="L924" s="17"/>
      <c r="M924" s="34" t="s">
        <v>2695</v>
      </c>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row>
    <row r="925" hidden="1">
      <c r="A925" s="17">
        <v>923</v>
      </c>
      <c r="B925" s="17" t="s">
        <v>52</v>
      </c>
      <c r="C925" s="34" t="s">
        <v>2802</v>
      </c>
      <c r="D925" s="35" t="s">
        <v>52</v>
      </c>
      <c r="E925" s="17" t="s">
        <v>2803</v>
      </c>
      <c r="F925" s="17" t="s">
        <v>2804</v>
      </c>
      <c r="G925" s="17">
        <v>22.283026</v>
      </c>
      <c r="H925" s="17">
        <v>87.418234999999996</v>
      </c>
      <c r="I925" s="17"/>
      <c r="J925" s="17"/>
      <c r="K925" s="17"/>
      <c r="L925" s="17"/>
      <c r="M925" s="34" t="s">
        <v>2695</v>
      </c>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row>
    <row r="926" hidden="1">
      <c r="A926" s="17">
        <v>924</v>
      </c>
      <c r="B926" s="17" t="s">
        <v>52</v>
      </c>
      <c r="C926" s="34" t="s">
        <v>2805</v>
      </c>
      <c r="D926" s="35" t="s">
        <v>52</v>
      </c>
      <c r="E926" s="17" t="s">
        <v>2806</v>
      </c>
      <c r="F926" s="17" t="s">
        <v>2807</v>
      </c>
      <c r="G926" s="17">
        <v>22.347425000000001</v>
      </c>
      <c r="H926" s="17">
        <v>87.471114</v>
      </c>
      <c r="I926" s="17"/>
      <c r="J926" s="17"/>
      <c r="K926" s="17"/>
      <c r="L926" s="17"/>
      <c r="M926" s="35" t="s">
        <v>2284</v>
      </c>
      <c r="N926" s="17">
        <v>7003187431</v>
      </c>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row>
    <row r="927" hidden="1">
      <c r="A927" s="17">
        <v>925</v>
      </c>
      <c r="B927" s="17" t="s">
        <v>52</v>
      </c>
      <c r="C927" s="34" t="s">
        <v>2808</v>
      </c>
      <c r="D927" s="35" t="s">
        <v>52</v>
      </c>
      <c r="E927" s="17" t="s">
        <v>2809</v>
      </c>
      <c r="F927" s="17" t="s">
        <v>2810</v>
      </c>
      <c r="G927" s="17">
        <v>22.265383</v>
      </c>
      <c r="H927" s="17">
        <v>87.387034</v>
      </c>
      <c r="I927" s="17"/>
      <c r="J927" s="17"/>
      <c r="K927" s="17"/>
      <c r="L927" s="17"/>
      <c r="M927" s="34" t="s">
        <v>2695</v>
      </c>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row>
    <row r="928" hidden="1">
      <c r="A928" s="17">
        <v>926</v>
      </c>
      <c r="B928" s="17" t="s">
        <v>52</v>
      </c>
      <c r="C928" s="34" t="s">
        <v>2811</v>
      </c>
      <c r="D928" s="35" t="s">
        <v>52</v>
      </c>
      <c r="E928" s="17" t="s">
        <v>2812</v>
      </c>
      <c r="F928" s="17" t="s">
        <v>2812</v>
      </c>
      <c r="G928" s="17">
        <v>22.438426</v>
      </c>
      <c r="H928" s="17">
        <v>87.499656000000002</v>
      </c>
      <c r="I928" s="17"/>
      <c r="J928" s="17"/>
      <c r="K928" s="17"/>
      <c r="L928" s="17"/>
      <c r="M928" s="35" t="s">
        <v>2284</v>
      </c>
      <c r="N928" s="17">
        <v>7003187431</v>
      </c>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row>
    <row r="929" hidden="1">
      <c r="A929" s="17">
        <v>927</v>
      </c>
      <c r="B929" s="17" t="s">
        <v>52</v>
      </c>
      <c r="C929" s="34" t="s">
        <v>2813</v>
      </c>
      <c r="D929" s="35" t="s">
        <v>52</v>
      </c>
      <c r="E929" s="17" t="s">
        <v>2814</v>
      </c>
      <c r="F929" s="17" t="s">
        <v>2815</v>
      </c>
      <c r="G929" s="17">
        <v>22.260866</v>
      </c>
      <c r="H929" s="17">
        <v>87.439205000000001</v>
      </c>
      <c r="I929" s="17"/>
      <c r="J929" s="17"/>
      <c r="K929" s="17"/>
      <c r="L929" s="17"/>
      <c r="M929" s="34" t="s">
        <v>2695</v>
      </c>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row>
    <row r="930" hidden="1">
      <c r="A930" s="17">
        <v>928</v>
      </c>
      <c r="B930" s="17" t="s">
        <v>52</v>
      </c>
      <c r="C930" s="34" t="s">
        <v>2816</v>
      </c>
      <c r="D930" s="35" t="s">
        <v>52</v>
      </c>
      <c r="E930" s="17" t="s">
        <v>2817</v>
      </c>
      <c r="F930" s="17"/>
      <c r="G930" s="17"/>
      <c r="H930" s="17"/>
      <c r="I930" s="17"/>
      <c r="J930" s="17"/>
      <c r="K930" s="17"/>
      <c r="L930" s="17"/>
      <c r="M930" s="35" t="s">
        <v>2691</v>
      </c>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row>
    <row r="931" hidden="1">
      <c r="A931" s="17">
        <v>929</v>
      </c>
      <c r="B931" s="17" t="s">
        <v>52</v>
      </c>
      <c r="C931" s="34" t="s">
        <v>2818</v>
      </c>
      <c r="D931" s="35" t="s">
        <v>52</v>
      </c>
      <c r="E931" s="17" t="s">
        <v>2819</v>
      </c>
      <c r="F931" s="17" t="s">
        <v>2820</v>
      </c>
      <c r="G931" s="17">
        <v>22.351101</v>
      </c>
      <c r="H931" s="17">
        <v>87.280814000000007</v>
      </c>
      <c r="I931" s="17"/>
      <c r="J931" s="17"/>
      <c r="K931" s="17"/>
      <c r="L931" s="17"/>
      <c r="M931" s="35" t="s">
        <v>2691</v>
      </c>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row>
    <row r="932" hidden="1">
      <c r="A932" s="17">
        <v>930</v>
      </c>
      <c r="B932" s="17" t="s">
        <v>52</v>
      </c>
      <c r="C932" s="34" t="s">
        <v>2821</v>
      </c>
      <c r="D932" s="35" t="s">
        <v>52</v>
      </c>
      <c r="E932" s="17" t="s">
        <v>2822</v>
      </c>
      <c r="F932" s="17" t="s">
        <v>2823</v>
      </c>
      <c r="G932" s="17">
        <v>22.344079000000001</v>
      </c>
      <c r="H932" s="17">
        <v>87.283216999999993</v>
      </c>
      <c r="I932" s="17"/>
      <c r="J932" s="17"/>
      <c r="K932" s="17"/>
      <c r="L932" s="17"/>
      <c r="M932" s="34" t="s">
        <v>2824</v>
      </c>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row>
    <row r="933" hidden="1">
      <c r="A933" s="17">
        <v>931</v>
      </c>
      <c r="B933" s="17" t="s">
        <v>52</v>
      </c>
      <c r="C933" s="34" t="s">
        <v>2825</v>
      </c>
      <c r="D933" s="35" t="s">
        <v>52</v>
      </c>
      <c r="E933" s="17" t="s">
        <v>2826</v>
      </c>
      <c r="F933" s="17" t="s">
        <v>2827</v>
      </c>
      <c r="G933" s="17">
        <v>22.341222999999999</v>
      </c>
      <c r="H933" s="17">
        <v>87.264846000000006</v>
      </c>
      <c r="I933" s="17"/>
      <c r="J933" s="17"/>
      <c r="K933" s="17"/>
      <c r="L933" s="17"/>
      <c r="M933" s="35" t="s">
        <v>2691</v>
      </c>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row>
    <row r="934" hidden="1">
      <c r="A934" s="17">
        <v>932</v>
      </c>
      <c r="B934" s="17" t="s">
        <v>52</v>
      </c>
      <c r="C934" s="34" t="s">
        <v>2828</v>
      </c>
      <c r="D934" s="35" t="s">
        <v>52</v>
      </c>
      <c r="E934" s="17" t="s">
        <v>2829</v>
      </c>
      <c r="F934" s="17" t="s">
        <v>2830</v>
      </c>
      <c r="G934" s="17">
        <v>22.348835000000001</v>
      </c>
      <c r="H934" s="17">
        <v>87.326249000000004</v>
      </c>
      <c r="I934" s="17"/>
      <c r="J934" s="17"/>
      <c r="K934" s="17"/>
      <c r="L934" s="17"/>
      <c r="M934" s="35" t="s">
        <v>2691</v>
      </c>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row>
    <row r="935" hidden="1">
      <c r="A935" s="17">
        <v>933</v>
      </c>
      <c r="B935" s="17" t="s">
        <v>52</v>
      </c>
      <c r="C935" s="34" t="s">
        <v>2831</v>
      </c>
      <c r="D935" s="35" t="s">
        <v>52</v>
      </c>
      <c r="E935" s="17" t="s">
        <v>2832</v>
      </c>
      <c r="F935" s="17" t="s">
        <v>2833</v>
      </c>
      <c r="G935" s="17">
        <v>22.346263</v>
      </c>
      <c r="H935" s="17">
        <v>87.338063000000005</v>
      </c>
      <c r="I935" s="17"/>
      <c r="J935" s="17"/>
      <c r="K935" s="17"/>
      <c r="L935" s="17"/>
      <c r="M935" s="35" t="s">
        <v>2691</v>
      </c>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row>
    <row r="936" hidden="1">
      <c r="A936" s="17">
        <v>934</v>
      </c>
      <c r="B936" s="17" t="s">
        <v>52</v>
      </c>
      <c r="C936" s="34" t="s">
        <v>2834</v>
      </c>
      <c r="D936" s="35" t="s">
        <v>52</v>
      </c>
      <c r="E936" s="17" t="s">
        <v>2835</v>
      </c>
      <c r="F936" s="17" t="s">
        <v>2836</v>
      </c>
      <c r="G936" s="17">
        <v>22.356352999999999</v>
      </c>
      <c r="H936" s="17">
        <v>87.336685000000003</v>
      </c>
      <c r="I936" s="17"/>
      <c r="J936" s="17"/>
      <c r="K936" s="17"/>
      <c r="L936" s="17"/>
      <c r="M936" s="35" t="s">
        <v>2691</v>
      </c>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row>
    <row r="937" hidden="1">
      <c r="A937" s="17">
        <v>935</v>
      </c>
      <c r="B937" s="17" t="s">
        <v>52</v>
      </c>
      <c r="C937" s="34" t="s">
        <v>2837</v>
      </c>
      <c r="D937" s="35" t="s">
        <v>52</v>
      </c>
      <c r="E937" s="17" t="s">
        <v>2838</v>
      </c>
      <c r="F937" s="17" t="s">
        <v>2839</v>
      </c>
      <c r="G937" s="17">
        <v>22.318259999999999</v>
      </c>
      <c r="H937" s="17">
        <v>87.284733000000003</v>
      </c>
      <c r="I937" s="17"/>
      <c r="J937" s="17"/>
      <c r="K937" s="17"/>
      <c r="L937" s="17"/>
      <c r="M937" s="35" t="s">
        <v>2691</v>
      </c>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row>
    <row r="938" hidden="1">
      <c r="A938" s="17">
        <v>936</v>
      </c>
      <c r="B938" s="17" t="s">
        <v>52</v>
      </c>
      <c r="C938" s="34" t="s">
        <v>2840</v>
      </c>
      <c r="D938" s="35" t="s">
        <v>52</v>
      </c>
      <c r="E938" s="17" t="s">
        <v>2841</v>
      </c>
      <c r="F938" s="17" t="s">
        <v>2842</v>
      </c>
      <c r="G938" s="17">
        <v>22.331161000000002</v>
      </c>
      <c r="H938" s="17">
        <v>87.295685000000006</v>
      </c>
      <c r="I938" s="17"/>
      <c r="J938" s="17"/>
      <c r="K938" s="17"/>
      <c r="L938" s="17"/>
      <c r="M938" s="38" t="s">
        <v>2710</v>
      </c>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row>
    <row r="939" hidden="1">
      <c r="A939" s="17">
        <v>937</v>
      </c>
      <c r="B939" s="17" t="s">
        <v>52</v>
      </c>
      <c r="C939" s="34" t="s">
        <v>2843</v>
      </c>
      <c r="D939" s="35" t="s">
        <v>52</v>
      </c>
      <c r="E939" s="17" t="s">
        <v>2844</v>
      </c>
      <c r="F939" s="17" t="s">
        <v>2845</v>
      </c>
      <c r="G939" s="17">
        <v>22.325050000000001</v>
      </c>
      <c r="H939" s="17">
        <v>87.335993999999999</v>
      </c>
      <c r="I939" s="17"/>
      <c r="J939" s="17"/>
      <c r="K939" s="17"/>
      <c r="L939" s="17"/>
      <c r="M939" s="38" t="s">
        <v>2710</v>
      </c>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row>
    <row r="940" hidden="1">
      <c r="A940" s="17">
        <v>938</v>
      </c>
      <c r="B940" s="17" t="s">
        <v>52</v>
      </c>
      <c r="C940" s="34" t="s">
        <v>2846</v>
      </c>
      <c r="D940" s="35" t="s">
        <v>52</v>
      </c>
      <c r="E940" s="17" t="s">
        <v>2847</v>
      </c>
      <c r="F940" s="17" t="s">
        <v>2848</v>
      </c>
      <c r="G940" s="17">
        <v>22.354927</v>
      </c>
      <c r="H940" s="17">
        <v>87.289732000000001</v>
      </c>
      <c r="I940" s="17"/>
      <c r="J940" s="17"/>
      <c r="K940" s="17"/>
      <c r="L940" s="17"/>
      <c r="M940" s="34" t="s">
        <v>2824</v>
      </c>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row>
    <row r="941" hidden="1">
      <c r="A941" s="17">
        <v>939</v>
      </c>
      <c r="B941" s="17" t="s">
        <v>52</v>
      </c>
      <c r="C941" s="34" t="s">
        <v>2849</v>
      </c>
      <c r="D941" s="35" t="s">
        <v>52</v>
      </c>
      <c r="E941" s="17" t="s">
        <v>2850</v>
      </c>
      <c r="F941" s="17" t="s">
        <v>2851</v>
      </c>
      <c r="G941" s="17">
        <v>22.327632000000001</v>
      </c>
      <c r="H941" s="17">
        <v>87.323757000000001</v>
      </c>
      <c r="I941" s="17"/>
      <c r="J941" s="17"/>
      <c r="K941" s="17"/>
      <c r="L941" s="17"/>
      <c r="M941" s="34" t="s">
        <v>2824</v>
      </c>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row>
    <row r="942" hidden="1">
      <c r="A942" s="17">
        <v>940</v>
      </c>
      <c r="B942" s="17" t="s">
        <v>52</v>
      </c>
      <c r="C942" s="34" t="s">
        <v>2852</v>
      </c>
      <c r="D942" s="35" t="s">
        <v>52</v>
      </c>
      <c r="E942" s="17" t="s">
        <v>2853</v>
      </c>
      <c r="F942" s="17" t="s">
        <v>2854</v>
      </c>
      <c r="G942" s="17">
        <v>22.326929</v>
      </c>
      <c r="H942" s="17">
        <v>87.309340000000006</v>
      </c>
      <c r="I942" s="17"/>
      <c r="J942" s="17"/>
      <c r="K942" s="17"/>
      <c r="L942" s="17"/>
      <c r="M942" s="35" t="s">
        <v>2691</v>
      </c>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row>
    <row r="943" hidden="1">
      <c r="A943" s="17">
        <v>941</v>
      </c>
      <c r="B943" s="17" t="s">
        <v>52</v>
      </c>
      <c r="C943" s="34" t="s">
        <v>2855</v>
      </c>
      <c r="D943" s="35" t="s">
        <v>52</v>
      </c>
      <c r="E943" s="17" t="s">
        <v>2856</v>
      </c>
      <c r="F943" s="17" t="s">
        <v>2857</v>
      </c>
      <c r="G943" s="17">
        <v>22.357074000000001</v>
      </c>
      <c r="H943" s="17">
        <v>87.330517999999998</v>
      </c>
      <c r="I943" s="17"/>
      <c r="J943" s="17"/>
      <c r="K943" s="17"/>
      <c r="L943" s="17"/>
      <c r="M943" s="35" t="s">
        <v>2691</v>
      </c>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row>
    <row r="944" hidden="1">
      <c r="A944" s="17">
        <v>942</v>
      </c>
      <c r="B944" s="17" t="s">
        <v>52</v>
      </c>
      <c r="C944" s="34" t="s">
        <v>2858</v>
      </c>
      <c r="D944" s="35" t="s">
        <v>52</v>
      </c>
      <c r="E944" s="17" t="s">
        <v>2859</v>
      </c>
      <c r="F944" s="17" t="s">
        <v>2860</v>
      </c>
      <c r="G944" s="17">
        <v>22.349219999999999</v>
      </c>
      <c r="H944" s="17">
        <v>87.32002</v>
      </c>
      <c r="I944" s="17"/>
      <c r="J944" s="17"/>
      <c r="K944" s="17"/>
      <c r="L944" s="17"/>
      <c r="M944" s="35" t="s">
        <v>2691</v>
      </c>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row>
    <row r="945" hidden="1">
      <c r="A945" s="17">
        <v>943</v>
      </c>
      <c r="B945" s="17" t="s">
        <v>52</v>
      </c>
      <c r="C945" s="34" t="s">
        <v>2861</v>
      </c>
      <c r="D945" s="35" t="s">
        <v>52</v>
      </c>
      <c r="E945" s="17" t="s">
        <v>2862</v>
      </c>
      <c r="F945" s="17" t="s">
        <v>2863</v>
      </c>
      <c r="G945" s="17">
        <v>22.352253000000001</v>
      </c>
      <c r="H945" s="17">
        <v>87.345164999999994</v>
      </c>
      <c r="I945" s="17"/>
      <c r="J945" s="17"/>
      <c r="K945" s="17"/>
      <c r="L945" s="17"/>
      <c r="M945" s="35" t="s">
        <v>2691</v>
      </c>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row>
    <row r="946" hidden="1">
      <c r="A946" s="17">
        <v>944</v>
      </c>
      <c r="B946" s="17" t="s">
        <v>52</v>
      </c>
      <c r="C946" s="34" t="s">
        <v>2864</v>
      </c>
      <c r="D946" s="35" t="s">
        <v>52</v>
      </c>
      <c r="E946" s="17" t="s">
        <v>2865</v>
      </c>
      <c r="F946" s="17" t="s">
        <v>2866</v>
      </c>
      <c r="G946" s="17">
        <v>22.320959999999999</v>
      </c>
      <c r="H946" s="17">
        <v>87.855950000000007</v>
      </c>
      <c r="I946" s="17"/>
      <c r="J946" s="17"/>
      <c r="K946" s="17"/>
      <c r="L946" s="17"/>
      <c r="M946" s="35" t="s">
        <v>2691</v>
      </c>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row>
    <row r="947" hidden="1">
      <c r="A947" s="17">
        <v>945</v>
      </c>
      <c r="B947" s="17" t="s">
        <v>52</v>
      </c>
      <c r="C947" s="34" t="s">
        <v>2867</v>
      </c>
      <c r="D947" s="35" t="s">
        <v>52</v>
      </c>
      <c r="E947" s="17"/>
      <c r="F947" s="17">
        <v>0</v>
      </c>
      <c r="G947" s="17">
        <v>22.314430000000002</v>
      </c>
      <c r="H947" s="17">
        <v>87.283590000000004</v>
      </c>
      <c r="I947" s="17"/>
      <c r="J947" s="17"/>
      <c r="K947" s="17"/>
      <c r="L947" s="17"/>
      <c r="M947" s="35" t="s">
        <v>2691</v>
      </c>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row>
    <row r="948" hidden="1">
      <c r="A948" s="17">
        <v>946</v>
      </c>
      <c r="B948" s="17" t="s">
        <v>52</v>
      </c>
      <c r="C948" s="34" t="s">
        <v>2868</v>
      </c>
      <c r="D948" s="35" t="s">
        <v>52</v>
      </c>
      <c r="E948" s="17" t="s">
        <v>2869</v>
      </c>
      <c r="F948" s="17" t="s">
        <v>2870</v>
      </c>
      <c r="G948" s="17">
        <v>22.291613999999999</v>
      </c>
      <c r="H948" s="17">
        <v>87.367064999999997</v>
      </c>
      <c r="I948" s="17"/>
      <c r="J948" s="17"/>
      <c r="K948" s="17"/>
      <c r="L948" s="17"/>
      <c r="M948" s="35" t="s">
        <v>2691</v>
      </c>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row>
    <row r="949" hidden="1">
      <c r="A949" s="17">
        <v>947</v>
      </c>
      <c r="B949" s="17" t="s">
        <v>52</v>
      </c>
      <c r="C949" s="34" t="s">
        <v>2871</v>
      </c>
      <c r="D949" s="35" t="s">
        <v>52</v>
      </c>
      <c r="E949" s="17" t="s">
        <v>2458</v>
      </c>
      <c r="F949" s="17" t="s">
        <v>2872</v>
      </c>
      <c r="G949" s="17">
        <v>22.349287</v>
      </c>
      <c r="H949" s="17">
        <v>87.306276999999994</v>
      </c>
      <c r="I949" s="17"/>
      <c r="J949" s="17"/>
      <c r="K949" s="17"/>
      <c r="L949" s="17"/>
      <c r="M949" s="35" t="s">
        <v>2691</v>
      </c>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row>
    <row r="950" hidden="1">
      <c r="A950" s="17">
        <v>948</v>
      </c>
      <c r="B950" s="17" t="s">
        <v>52</v>
      </c>
      <c r="C950" s="34" t="s">
        <v>2873</v>
      </c>
      <c r="D950" s="35" t="s">
        <v>52</v>
      </c>
      <c r="E950" s="17" t="s">
        <v>2874</v>
      </c>
      <c r="F950" s="17" t="s">
        <v>2875</v>
      </c>
      <c r="G950" s="17">
        <v>22.322227000000002</v>
      </c>
      <c r="H950" s="17">
        <v>87.322827000000004</v>
      </c>
      <c r="I950" s="17"/>
      <c r="J950" s="17"/>
      <c r="K950" s="17"/>
      <c r="L950" s="17"/>
      <c r="M950" s="35" t="s">
        <v>2691</v>
      </c>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row>
    <row r="951" hidden="1">
      <c r="A951" s="17">
        <v>949</v>
      </c>
      <c r="B951" s="17" t="s">
        <v>52</v>
      </c>
      <c r="C951" s="34" t="s">
        <v>2876</v>
      </c>
      <c r="D951" s="35" t="s">
        <v>52</v>
      </c>
      <c r="E951" s="17" t="s">
        <v>2877</v>
      </c>
      <c r="F951" s="17" t="s">
        <v>2878</v>
      </c>
      <c r="G951" s="17">
        <v>22.331301</v>
      </c>
      <c r="H951" s="17">
        <v>87.336932000000004</v>
      </c>
      <c r="I951" s="17"/>
      <c r="J951" s="17"/>
      <c r="K951" s="17"/>
      <c r="L951" s="17"/>
      <c r="M951" s="35" t="s">
        <v>2691</v>
      </c>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row>
    <row r="952" hidden="1">
      <c r="A952" s="17">
        <v>950</v>
      </c>
      <c r="B952" s="17" t="s">
        <v>52</v>
      </c>
      <c r="C952" s="34" t="s">
        <v>2879</v>
      </c>
      <c r="D952" s="35" t="s">
        <v>52</v>
      </c>
      <c r="E952" s="17" t="s">
        <v>2880</v>
      </c>
      <c r="F952" s="17" t="s">
        <v>2881</v>
      </c>
      <c r="G952" s="17">
        <v>22.350560999999999</v>
      </c>
      <c r="H952" s="17">
        <v>87.331850000000003</v>
      </c>
      <c r="I952" s="17"/>
      <c r="J952" s="17"/>
      <c r="K952" s="17"/>
      <c r="L952" s="17"/>
      <c r="M952" s="35" t="s">
        <v>2691</v>
      </c>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row>
    <row r="953" hidden="1">
      <c r="A953" s="17">
        <v>951</v>
      </c>
      <c r="B953" s="17" t="s">
        <v>52</v>
      </c>
      <c r="C953" s="34" t="s">
        <v>2882</v>
      </c>
      <c r="D953" s="35" t="s">
        <v>52</v>
      </c>
      <c r="E953" s="17" t="s">
        <v>2883</v>
      </c>
      <c r="F953" s="17" t="s">
        <v>2884</v>
      </c>
      <c r="G953" s="17">
        <v>22.320661999999999</v>
      </c>
      <c r="H953" s="17">
        <v>87.295334999999994</v>
      </c>
      <c r="I953" s="17"/>
      <c r="J953" s="17"/>
      <c r="K953" s="17"/>
      <c r="L953" s="17"/>
      <c r="M953" s="35" t="s">
        <v>2691</v>
      </c>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row>
    <row r="954" hidden="1">
      <c r="A954" s="17">
        <v>952</v>
      </c>
      <c r="B954" s="17" t="s">
        <v>52</v>
      </c>
      <c r="C954" s="34" t="s">
        <v>2885</v>
      </c>
      <c r="D954" s="35" t="s">
        <v>52</v>
      </c>
      <c r="E954" s="17" t="s">
        <v>2886</v>
      </c>
      <c r="F954" s="17" t="s">
        <v>2887</v>
      </c>
      <c r="G954" s="17">
        <v>22.344541</v>
      </c>
      <c r="H954" s="17">
        <v>87.297019000000006</v>
      </c>
      <c r="I954" s="17"/>
      <c r="J954" s="17"/>
      <c r="K954" s="17"/>
      <c r="L954" s="17"/>
      <c r="M954" s="34" t="s">
        <v>2824</v>
      </c>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row>
    <row r="955" hidden="1">
      <c r="A955" s="17">
        <v>953</v>
      </c>
      <c r="B955" s="17" t="s">
        <v>52</v>
      </c>
      <c r="C955" s="34" t="s">
        <v>2888</v>
      </c>
      <c r="D955" s="35" t="s">
        <v>52</v>
      </c>
      <c r="E955" s="17" t="s">
        <v>2889</v>
      </c>
      <c r="F955" s="17" t="s">
        <v>2890</v>
      </c>
      <c r="G955" s="17">
        <v>22.280282</v>
      </c>
      <c r="H955" s="17">
        <v>87.294668000000001</v>
      </c>
      <c r="I955" s="17"/>
      <c r="J955" s="17"/>
      <c r="K955" s="17"/>
      <c r="L955" s="17"/>
      <c r="M955" s="38" t="s">
        <v>2710</v>
      </c>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row>
    <row r="956" hidden="1">
      <c r="A956" s="17">
        <v>954</v>
      </c>
      <c r="B956" s="17" t="s">
        <v>52</v>
      </c>
      <c r="C956" s="34" t="s">
        <v>2891</v>
      </c>
      <c r="D956" s="35" t="s">
        <v>52</v>
      </c>
      <c r="E956" s="17" t="s">
        <v>2809</v>
      </c>
      <c r="F956" s="17" t="s">
        <v>2892</v>
      </c>
      <c r="G956" s="17">
        <v>22.276419000000001</v>
      </c>
      <c r="H956" s="17">
        <v>87.369726</v>
      </c>
      <c r="I956" s="17"/>
      <c r="J956" s="17"/>
      <c r="K956" s="17"/>
      <c r="L956" s="17"/>
      <c r="M956" s="35" t="s">
        <v>2695</v>
      </c>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row>
    <row r="957" hidden="1">
      <c r="A957" s="17">
        <v>955</v>
      </c>
      <c r="B957" s="17" t="s">
        <v>52</v>
      </c>
      <c r="C957" s="34" t="s">
        <v>2893</v>
      </c>
      <c r="D957" s="35" t="s">
        <v>52</v>
      </c>
      <c r="E957" s="17" t="s">
        <v>2894</v>
      </c>
      <c r="F957" s="17" t="s">
        <v>2895</v>
      </c>
      <c r="G957" s="17">
        <v>22.362828</v>
      </c>
      <c r="H957" s="17">
        <v>87.313894000000005</v>
      </c>
      <c r="I957" s="17"/>
      <c r="J957" s="17"/>
      <c r="K957" s="17"/>
      <c r="L957" s="17"/>
      <c r="M957" s="35" t="s">
        <v>2691</v>
      </c>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row>
    <row r="958" hidden="1">
      <c r="A958" s="17">
        <v>956</v>
      </c>
      <c r="B958" s="17" t="s">
        <v>52</v>
      </c>
      <c r="C958" s="34" t="s">
        <v>2896</v>
      </c>
      <c r="D958" s="35" t="s">
        <v>52</v>
      </c>
      <c r="E958" s="17" t="s">
        <v>2897</v>
      </c>
      <c r="F958" s="17" t="s">
        <v>2898</v>
      </c>
      <c r="G958" s="17">
        <v>22.396215000000002</v>
      </c>
      <c r="H958" s="17">
        <v>87.288610000000006</v>
      </c>
      <c r="I958" s="17"/>
      <c r="J958" s="17"/>
      <c r="K958" s="17"/>
      <c r="L958" s="17"/>
      <c r="M958" s="34" t="s">
        <v>2824</v>
      </c>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row>
    <row r="959" hidden="1">
      <c r="A959" s="17">
        <v>957</v>
      </c>
      <c r="B959" s="17" t="s">
        <v>52</v>
      </c>
      <c r="C959" s="34" t="s">
        <v>2899</v>
      </c>
      <c r="D959" s="35" t="s">
        <v>52</v>
      </c>
      <c r="E959" s="17" t="s">
        <v>2900</v>
      </c>
      <c r="F959" s="17" t="s">
        <v>2901</v>
      </c>
      <c r="G959" s="17">
        <v>22.333490000000001</v>
      </c>
      <c r="H959" s="17">
        <v>87.270270999999994</v>
      </c>
      <c r="I959" s="17"/>
      <c r="J959" s="17"/>
      <c r="K959" s="17"/>
      <c r="L959" s="17"/>
      <c r="M959" s="34" t="s">
        <v>2824</v>
      </c>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row>
    <row r="960" hidden="1">
      <c r="A960" s="17">
        <v>958</v>
      </c>
      <c r="B960" s="17" t="s">
        <v>52</v>
      </c>
      <c r="C960" s="34" t="s">
        <v>2902</v>
      </c>
      <c r="D960" s="35" t="s">
        <v>52</v>
      </c>
      <c r="E960" s="17" t="s">
        <v>2903</v>
      </c>
      <c r="F960" s="17" t="s">
        <v>2904</v>
      </c>
      <c r="G960" s="17">
        <v>22.355073000000001</v>
      </c>
      <c r="H960" s="17">
        <v>87.366146999999998</v>
      </c>
      <c r="I960" s="17"/>
      <c r="J960" s="17"/>
      <c r="K960" s="17"/>
      <c r="L960" s="17"/>
      <c r="M960" s="34" t="s">
        <v>2695</v>
      </c>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row>
    <row r="961" hidden="1">
      <c r="A961" s="17">
        <v>959</v>
      </c>
      <c r="B961" s="17" t="s">
        <v>52</v>
      </c>
      <c r="C961" s="34" t="s">
        <v>2905</v>
      </c>
      <c r="D961" s="35" t="s">
        <v>52</v>
      </c>
      <c r="E961" s="17" t="s">
        <v>2906</v>
      </c>
      <c r="F961" s="17" t="s">
        <v>2907</v>
      </c>
      <c r="G961" s="17">
        <v>22.379059999999999</v>
      </c>
      <c r="H961" s="17">
        <v>87.365908000000005</v>
      </c>
      <c r="I961" s="17"/>
      <c r="J961" s="17"/>
      <c r="K961" s="17"/>
      <c r="L961" s="17"/>
      <c r="M961" s="34" t="s">
        <v>2695</v>
      </c>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row>
    <row r="962" hidden="1">
      <c r="A962" s="17">
        <v>960</v>
      </c>
      <c r="B962" s="17" t="s">
        <v>52</v>
      </c>
      <c r="C962" s="34" t="s">
        <v>2908</v>
      </c>
      <c r="D962" s="35" t="s">
        <v>52</v>
      </c>
      <c r="E962" s="17" t="s">
        <v>2909</v>
      </c>
      <c r="F962" s="17" t="s">
        <v>2910</v>
      </c>
      <c r="G962" s="17">
        <v>22.326146000000001</v>
      </c>
      <c r="H962" s="17">
        <v>87.201341999999997</v>
      </c>
      <c r="I962" s="17"/>
      <c r="J962" s="17"/>
      <c r="K962" s="17"/>
      <c r="L962" s="17"/>
      <c r="M962" s="34" t="s">
        <v>2824</v>
      </c>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row>
    <row r="963" hidden="1">
      <c r="A963" s="17">
        <v>961</v>
      </c>
      <c r="B963" s="17" t="s">
        <v>52</v>
      </c>
      <c r="C963" s="34" t="s">
        <v>2911</v>
      </c>
      <c r="D963" s="35" t="s">
        <v>52</v>
      </c>
      <c r="E963" s="17" t="s">
        <v>2906</v>
      </c>
      <c r="F963" s="17" t="s">
        <v>2912</v>
      </c>
      <c r="G963" s="17">
        <v>22.372886999999999</v>
      </c>
      <c r="H963" s="17">
        <v>87.356193000000005</v>
      </c>
      <c r="I963" s="17"/>
      <c r="J963" s="17"/>
      <c r="K963" s="17"/>
      <c r="L963" s="17"/>
      <c r="M963" s="34" t="s">
        <v>2695</v>
      </c>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row>
    <row r="964" hidden="1">
      <c r="A964" s="17">
        <v>962</v>
      </c>
      <c r="B964" s="17" t="s">
        <v>52</v>
      </c>
      <c r="C964" s="34" t="s">
        <v>2913</v>
      </c>
      <c r="D964" s="35" t="s">
        <v>52</v>
      </c>
      <c r="E964" s="17" t="s">
        <v>2914</v>
      </c>
      <c r="F964" s="17" t="s">
        <v>2915</v>
      </c>
      <c r="G964" s="17">
        <v>22.241465000000002</v>
      </c>
      <c r="H964" s="17">
        <v>87.387693999999996</v>
      </c>
      <c r="I964" s="17"/>
      <c r="J964" s="17"/>
      <c r="K964" s="17"/>
      <c r="L964" s="17"/>
      <c r="M964" s="34" t="s">
        <v>2695</v>
      </c>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row>
    <row r="965" hidden="1">
      <c r="A965" s="17">
        <v>963</v>
      </c>
      <c r="B965" s="17" t="s">
        <v>52</v>
      </c>
      <c r="C965" s="34" t="s">
        <v>2916</v>
      </c>
      <c r="D965" s="35" t="s">
        <v>52</v>
      </c>
      <c r="E965" s="17" t="s">
        <v>2917</v>
      </c>
      <c r="F965" s="17" t="s">
        <v>2918</v>
      </c>
      <c r="G965" s="17">
        <v>22.297640000000001</v>
      </c>
      <c r="H965" s="17">
        <v>87.287621000000001</v>
      </c>
      <c r="I965" s="17"/>
      <c r="J965" s="17"/>
      <c r="K965" s="17"/>
      <c r="L965" s="17"/>
      <c r="M965" s="38" t="s">
        <v>2710</v>
      </c>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row>
    <row r="966" hidden="1">
      <c r="A966" s="17">
        <v>964</v>
      </c>
      <c r="B966" s="17" t="s">
        <v>52</v>
      </c>
      <c r="C966" s="34" t="s">
        <v>2919</v>
      </c>
      <c r="D966" s="35" t="s">
        <v>52</v>
      </c>
      <c r="E966" s="17" t="s">
        <v>2920</v>
      </c>
      <c r="F966" s="17" t="s">
        <v>2921</v>
      </c>
      <c r="G966" s="17">
        <v>22.310324000000001</v>
      </c>
      <c r="H966" s="17">
        <v>87.276303999999996</v>
      </c>
      <c r="I966" s="17"/>
      <c r="J966" s="17"/>
      <c r="K966" s="17"/>
      <c r="L966" s="17"/>
      <c r="M966" s="38" t="s">
        <v>2710</v>
      </c>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row>
    <row r="967" hidden="1">
      <c r="A967" s="17">
        <v>965</v>
      </c>
      <c r="B967" s="17" t="s">
        <v>52</v>
      </c>
      <c r="C967" s="34" t="s">
        <v>2922</v>
      </c>
      <c r="D967" s="35" t="s">
        <v>52</v>
      </c>
      <c r="E967" s="17" t="s">
        <v>2923</v>
      </c>
      <c r="F967" s="17" t="s">
        <v>2924</v>
      </c>
      <c r="G967" s="17">
        <v>22.390651999999999</v>
      </c>
      <c r="H967" s="17">
        <v>87.302734000000001</v>
      </c>
      <c r="I967" s="17"/>
      <c r="J967" s="17"/>
      <c r="K967" s="17"/>
      <c r="L967" s="17"/>
      <c r="M967" s="34" t="s">
        <v>2824</v>
      </c>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row>
    <row r="968" hidden="1">
      <c r="A968" s="17">
        <v>966</v>
      </c>
      <c r="B968" s="17" t="s">
        <v>52</v>
      </c>
      <c r="C968" s="34" t="s">
        <v>2925</v>
      </c>
      <c r="D968" s="35" t="s">
        <v>52</v>
      </c>
      <c r="E968" s="17" t="s">
        <v>2926</v>
      </c>
      <c r="F968" s="17" t="s">
        <v>2927</v>
      </c>
      <c r="G968" s="17">
        <v>22.322990000000001</v>
      </c>
      <c r="H968" s="17">
        <v>87.272189999999995</v>
      </c>
      <c r="I968" s="17"/>
      <c r="J968" s="17"/>
      <c r="K968" s="17"/>
      <c r="L968" s="17"/>
      <c r="M968" s="34" t="s">
        <v>2824</v>
      </c>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row>
    <row r="969" hidden="1">
      <c r="A969" s="17">
        <v>967</v>
      </c>
      <c r="B969" s="17" t="s">
        <v>52</v>
      </c>
      <c r="C969" s="34" t="s">
        <v>2928</v>
      </c>
      <c r="D969" s="35" t="s">
        <v>52</v>
      </c>
      <c r="E969" s="17" t="s">
        <v>2929</v>
      </c>
      <c r="F969" s="17" t="s">
        <v>2930</v>
      </c>
      <c r="G969" s="17">
        <v>22.348451000000001</v>
      </c>
      <c r="H969" s="17">
        <v>87.311659000000006</v>
      </c>
      <c r="I969" s="17"/>
      <c r="J969" s="17"/>
      <c r="K969" s="17"/>
      <c r="L969" s="17"/>
      <c r="M969" s="35" t="s">
        <v>2691</v>
      </c>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row>
    <row r="970" hidden="1">
      <c r="A970" s="17">
        <v>968</v>
      </c>
      <c r="B970" s="17" t="s">
        <v>52</v>
      </c>
      <c r="C970" s="34" t="s">
        <v>2931</v>
      </c>
      <c r="D970" s="35" t="s">
        <v>52</v>
      </c>
      <c r="E970" s="17" t="s">
        <v>2932</v>
      </c>
      <c r="F970" s="17" t="s">
        <v>2933</v>
      </c>
      <c r="G970" s="17">
        <v>22.249078999999998</v>
      </c>
      <c r="H970" s="17">
        <v>87.388209000000003</v>
      </c>
      <c r="I970" s="17"/>
      <c r="J970" s="17"/>
      <c r="K970" s="17"/>
      <c r="L970" s="17"/>
      <c r="M970" s="34" t="s">
        <v>2695</v>
      </c>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row>
    <row r="971" hidden="1">
      <c r="A971" s="17">
        <v>969</v>
      </c>
      <c r="B971" s="17" t="s">
        <v>52</v>
      </c>
      <c r="C971" s="34" t="s">
        <v>2934</v>
      </c>
      <c r="D971" s="35" t="s">
        <v>52</v>
      </c>
      <c r="E971" s="17" t="s">
        <v>2935</v>
      </c>
      <c r="F971" s="17" t="s">
        <v>2936</v>
      </c>
      <c r="G971" s="17">
        <v>22.375298999999998</v>
      </c>
      <c r="H971" s="17">
        <v>87.296374</v>
      </c>
      <c r="I971" s="17"/>
      <c r="J971" s="17"/>
      <c r="K971" s="17"/>
      <c r="L971" s="17"/>
      <c r="M971" s="34" t="s">
        <v>2824</v>
      </c>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row>
    <row r="972" hidden="1">
      <c r="A972" s="17">
        <v>970</v>
      </c>
      <c r="B972" s="17" t="s">
        <v>52</v>
      </c>
      <c r="C972" s="34" t="s">
        <v>2937</v>
      </c>
      <c r="D972" s="35" t="s">
        <v>52</v>
      </c>
      <c r="E972" s="17" t="s">
        <v>2938</v>
      </c>
      <c r="F972" s="17" t="s">
        <v>2939</v>
      </c>
      <c r="G972" s="17">
        <v>22.283048999999998</v>
      </c>
      <c r="H972" s="17">
        <v>87.224261999999996</v>
      </c>
      <c r="I972" s="17"/>
      <c r="J972" s="17"/>
      <c r="K972" s="17"/>
      <c r="L972" s="17"/>
      <c r="M972" s="38" t="s">
        <v>2710</v>
      </c>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row>
    <row r="973" hidden="1">
      <c r="A973" s="17">
        <v>971</v>
      </c>
      <c r="B973" s="17" t="s">
        <v>52</v>
      </c>
      <c r="C973" s="34" t="s">
        <v>2940</v>
      </c>
      <c r="D973" s="35" t="s">
        <v>52</v>
      </c>
      <c r="E973" s="17" t="s">
        <v>2941</v>
      </c>
      <c r="F973" s="17" t="s">
        <v>2942</v>
      </c>
      <c r="G973" s="17">
        <v>22.228232999999999</v>
      </c>
      <c r="H973" s="17">
        <v>87.266198000000003</v>
      </c>
      <c r="I973" s="17"/>
      <c r="J973" s="17"/>
      <c r="K973" s="17"/>
      <c r="L973" s="17"/>
      <c r="M973" s="38" t="s">
        <v>2710</v>
      </c>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row>
    <row r="974" hidden="1">
      <c r="A974" s="17">
        <v>972</v>
      </c>
      <c r="B974" s="17" t="s">
        <v>52</v>
      </c>
      <c r="C974" s="34" t="s">
        <v>2943</v>
      </c>
      <c r="D974" s="35" t="s">
        <v>52</v>
      </c>
      <c r="E974" s="17" t="s">
        <v>2944</v>
      </c>
      <c r="F974" s="17" t="s">
        <v>2945</v>
      </c>
      <c r="G974" s="17">
        <v>22.269955</v>
      </c>
      <c r="H974" s="17">
        <v>87.315146999999996</v>
      </c>
      <c r="I974" s="17"/>
      <c r="J974" s="17"/>
      <c r="K974" s="17"/>
      <c r="L974" s="17"/>
      <c r="M974" s="38" t="s">
        <v>2710</v>
      </c>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row>
    <row r="975" hidden="1">
      <c r="A975" s="17">
        <v>973</v>
      </c>
      <c r="B975" s="17" t="s">
        <v>52</v>
      </c>
      <c r="C975" s="34" t="s">
        <v>2946</v>
      </c>
      <c r="D975" s="35" t="s">
        <v>52</v>
      </c>
      <c r="E975" s="17" t="s">
        <v>2947</v>
      </c>
      <c r="F975" s="17" t="s">
        <v>2948</v>
      </c>
      <c r="G975" s="17">
        <v>22.23452</v>
      </c>
      <c r="H975" s="17">
        <v>87.294336999999999</v>
      </c>
      <c r="I975" s="17"/>
      <c r="J975" s="17"/>
      <c r="K975" s="17"/>
      <c r="L975" s="17"/>
      <c r="M975" s="38" t="s">
        <v>2710</v>
      </c>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row>
    <row r="976" hidden="1">
      <c r="A976" s="17">
        <v>974</v>
      </c>
      <c r="B976" s="17" t="s">
        <v>52</v>
      </c>
      <c r="C976" s="34" t="s">
        <v>2949</v>
      </c>
      <c r="D976" s="35" t="s">
        <v>52</v>
      </c>
      <c r="E976" s="17" t="s">
        <v>2950</v>
      </c>
      <c r="F976" s="17" t="s">
        <v>2951</v>
      </c>
      <c r="G976" s="17">
        <v>22.374562000000001</v>
      </c>
      <c r="H976" s="17">
        <v>87.343953999999997</v>
      </c>
      <c r="I976" s="17"/>
      <c r="J976" s="17"/>
      <c r="K976" s="17"/>
      <c r="L976" s="17"/>
      <c r="M976" s="34" t="s">
        <v>2695</v>
      </c>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row>
    <row r="977" hidden="1">
      <c r="A977" s="17">
        <v>975</v>
      </c>
      <c r="B977" s="17" t="s">
        <v>52</v>
      </c>
      <c r="C977" s="34" t="s">
        <v>2952</v>
      </c>
      <c r="D977" s="35" t="s">
        <v>52</v>
      </c>
      <c r="E977" s="17" t="s">
        <v>2953</v>
      </c>
      <c r="F977" s="17" t="s">
        <v>2954</v>
      </c>
      <c r="G977" s="17">
        <v>22.338998</v>
      </c>
      <c r="H977" s="17">
        <v>87.180396000000002</v>
      </c>
      <c r="I977" s="17"/>
      <c r="J977" s="17"/>
      <c r="K977" s="17"/>
      <c r="L977" s="17"/>
      <c r="M977" s="34" t="s">
        <v>2824</v>
      </c>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row>
    <row r="978" hidden="1">
      <c r="A978" s="17">
        <v>976</v>
      </c>
      <c r="B978" s="17" t="s">
        <v>52</v>
      </c>
      <c r="C978" s="34" t="s">
        <v>2955</v>
      </c>
      <c r="D978" s="35" t="s">
        <v>52</v>
      </c>
      <c r="E978" s="17" t="s">
        <v>2956</v>
      </c>
      <c r="F978" s="17" t="s">
        <v>2957</v>
      </c>
      <c r="G978" s="17">
        <v>22.399467999999999</v>
      </c>
      <c r="H978" s="17">
        <v>87.273887000000002</v>
      </c>
      <c r="I978" s="17"/>
      <c r="J978" s="17"/>
      <c r="K978" s="17"/>
      <c r="L978" s="17"/>
      <c r="M978" s="34" t="s">
        <v>2824</v>
      </c>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row>
    <row r="979" hidden="1">
      <c r="A979" s="17">
        <v>977</v>
      </c>
      <c r="B979" s="17" t="s">
        <v>52</v>
      </c>
      <c r="C979" s="34" t="s">
        <v>2958</v>
      </c>
      <c r="D979" s="35" t="s">
        <v>52</v>
      </c>
      <c r="E979" s="17" t="s">
        <v>2959</v>
      </c>
      <c r="F979" s="17" t="s">
        <v>2960</v>
      </c>
      <c r="G979" s="17">
        <v>22.381879999999999</v>
      </c>
      <c r="H979" s="17">
        <v>87.337969999999999</v>
      </c>
      <c r="I979" s="17"/>
      <c r="J979" s="17"/>
      <c r="K979" s="17"/>
      <c r="L979" s="17"/>
      <c r="M979" s="34" t="s">
        <v>2695</v>
      </c>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row>
    <row r="980" hidden="1">
      <c r="A980" s="17">
        <v>978</v>
      </c>
      <c r="B980" s="17" t="s">
        <v>52</v>
      </c>
      <c r="C980" s="34" t="s">
        <v>2961</v>
      </c>
      <c r="D980" s="35" t="s">
        <v>52</v>
      </c>
      <c r="E980" s="17" t="s">
        <v>2962</v>
      </c>
      <c r="F980" s="17" t="s">
        <v>2963</v>
      </c>
      <c r="G980" s="17">
        <v>22.259931999999999</v>
      </c>
      <c r="H980" s="17">
        <v>87.276213999999996</v>
      </c>
      <c r="I980" s="17"/>
      <c r="J980" s="17"/>
      <c r="K980" s="17"/>
      <c r="L980" s="17"/>
      <c r="M980" s="38" t="s">
        <v>2710</v>
      </c>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row>
    <row r="981" hidden="1">
      <c r="A981" s="17">
        <v>979</v>
      </c>
      <c r="B981" s="17" t="s">
        <v>52</v>
      </c>
      <c r="C981" s="34" t="s">
        <v>2964</v>
      </c>
      <c r="D981" s="35" t="s">
        <v>52</v>
      </c>
      <c r="E981" s="17" t="s">
        <v>2965</v>
      </c>
      <c r="F981" s="17" t="s">
        <v>2966</v>
      </c>
      <c r="G981" s="17">
        <v>22.267299999999999</v>
      </c>
      <c r="H981" s="17">
        <v>87.339600000000004</v>
      </c>
      <c r="I981" s="17"/>
      <c r="J981" s="17"/>
      <c r="K981" s="17"/>
      <c r="L981" s="17"/>
      <c r="M981" s="35" t="s">
        <v>2695</v>
      </c>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row>
    <row r="982" hidden="1">
      <c r="A982" s="17">
        <v>980</v>
      </c>
      <c r="B982" s="17" t="s">
        <v>52</v>
      </c>
      <c r="C982" s="34" t="s">
        <v>2967</v>
      </c>
      <c r="D982" s="35" t="s">
        <v>52</v>
      </c>
      <c r="E982" s="17" t="s">
        <v>2968</v>
      </c>
      <c r="F982" s="17" t="s">
        <v>2969</v>
      </c>
      <c r="G982" s="17">
        <v>22.278316</v>
      </c>
      <c r="H982" s="17">
        <v>87.256747000000004</v>
      </c>
      <c r="I982" s="17"/>
      <c r="J982" s="17"/>
      <c r="K982" s="17"/>
      <c r="L982" s="17"/>
      <c r="M982" s="38" t="s">
        <v>2710</v>
      </c>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row>
    <row r="983" hidden="1">
      <c r="A983" s="17">
        <v>981</v>
      </c>
      <c r="B983" s="17" t="s">
        <v>52</v>
      </c>
      <c r="C983" s="34" t="s">
        <v>2970</v>
      </c>
      <c r="D983" s="35" t="s">
        <v>52</v>
      </c>
      <c r="E983" s="17" t="s">
        <v>2971</v>
      </c>
      <c r="F983" s="17" t="s">
        <v>2972</v>
      </c>
      <c r="G983" s="17">
        <v>22.252443</v>
      </c>
      <c r="H983" s="17">
        <v>87.245952000000003</v>
      </c>
      <c r="I983" s="17"/>
      <c r="J983" s="17"/>
      <c r="K983" s="17"/>
      <c r="L983" s="17"/>
      <c r="M983" s="38" t="s">
        <v>2710</v>
      </c>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row>
    <row r="984" hidden="1">
      <c r="A984" s="17">
        <v>982</v>
      </c>
      <c r="B984" s="17" t="s">
        <v>52</v>
      </c>
      <c r="C984" s="34" t="s">
        <v>2973</v>
      </c>
      <c r="D984" s="35" t="s">
        <v>52</v>
      </c>
      <c r="E984" s="17" t="s">
        <v>2974</v>
      </c>
      <c r="F984" s="17" t="s">
        <v>2975</v>
      </c>
      <c r="G984" s="17">
        <v>22.377623</v>
      </c>
      <c r="H984" s="17">
        <v>87.289510000000007</v>
      </c>
      <c r="I984" s="17"/>
      <c r="J984" s="17"/>
      <c r="K984" s="17"/>
      <c r="L984" s="17"/>
      <c r="M984" s="34" t="s">
        <v>2824</v>
      </c>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row>
    <row r="985" hidden="1">
      <c r="A985" s="17">
        <v>983</v>
      </c>
      <c r="B985" s="17" t="s">
        <v>52</v>
      </c>
      <c r="C985" s="34" t="s">
        <v>2976</v>
      </c>
      <c r="D985" s="35" t="s">
        <v>52</v>
      </c>
      <c r="E985" s="17" t="s">
        <v>2977</v>
      </c>
      <c r="F985" s="17" t="s">
        <v>2978</v>
      </c>
      <c r="G985" s="17">
        <v>22.40579</v>
      </c>
      <c r="H985" s="17">
        <v>87.285929999999993</v>
      </c>
      <c r="I985" s="17"/>
      <c r="J985" s="17"/>
      <c r="K985" s="17"/>
      <c r="L985" s="17"/>
      <c r="M985" s="34" t="s">
        <v>2824</v>
      </c>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row>
    <row r="986" hidden="1">
      <c r="A986" s="17">
        <v>984</v>
      </c>
      <c r="B986" s="17" t="s">
        <v>52</v>
      </c>
      <c r="C986" s="34" t="s">
        <v>2979</v>
      </c>
      <c r="D986" s="35" t="s">
        <v>52</v>
      </c>
      <c r="E986" s="17" t="s">
        <v>2980</v>
      </c>
      <c r="F986" s="17" t="s">
        <v>2981</v>
      </c>
      <c r="G986" s="17">
        <v>22.370518000000001</v>
      </c>
      <c r="H986" s="17">
        <v>87.260848999999993</v>
      </c>
      <c r="I986" s="17"/>
      <c r="J986" s="17"/>
      <c r="K986" s="17"/>
      <c r="L986" s="17"/>
      <c r="M986" s="34" t="s">
        <v>2824</v>
      </c>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row>
    <row r="987" hidden="1">
      <c r="A987" s="17">
        <v>985</v>
      </c>
      <c r="B987" s="17" t="s">
        <v>52</v>
      </c>
      <c r="C987" s="34" t="s">
        <v>2982</v>
      </c>
      <c r="D987" s="35" t="s">
        <v>52</v>
      </c>
      <c r="E987" s="17" t="s">
        <v>2983</v>
      </c>
      <c r="F987" s="17" t="s">
        <v>2984</v>
      </c>
      <c r="G987" s="17">
        <v>22.361021999999998</v>
      </c>
      <c r="H987" s="17">
        <v>87.303715999999994</v>
      </c>
      <c r="I987" s="17"/>
      <c r="J987" s="17"/>
      <c r="K987" s="17"/>
      <c r="L987" s="17"/>
      <c r="M987" s="34" t="s">
        <v>2695</v>
      </c>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row>
    <row r="988" hidden="1">
      <c r="A988" s="17">
        <v>986</v>
      </c>
      <c r="B988" s="17" t="s">
        <v>52</v>
      </c>
      <c r="C988" s="34" t="s">
        <v>2985</v>
      </c>
      <c r="D988" s="35" t="s">
        <v>52</v>
      </c>
      <c r="E988" s="17"/>
      <c r="F988" s="17">
        <v>0</v>
      </c>
      <c r="G988" s="17">
        <v>22.359629999999999</v>
      </c>
      <c r="H988" s="17">
        <v>87.296199999999999</v>
      </c>
      <c r="I988" s="17"/>
      <c r="J988" s="17"/>
      <c r="K988" s="17"/>
      <c r="L988" s="17"/>
      <c r="M988" s="34" t="s">
        <v>2824</v>
      </c>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row>
    <row r="989" hidden="1">
      <c r="A989" s="17">
        <v>987</v>
      </c>
      <c r="B989" s="17" t="s">
        <v>52</v>
      </c>
      <c r="C989" s="34" t="s">
        <v>2986</v>
      </c>
      <c r="D989" s="35" t="s">
        <v>52</v>
      </c>
      <c r="E989" s="17" t="s">
        <v>2987</v>
      </c>
      <c r="F989" s="17" t="s">
        <v>2988</v>
      </c>
      <c r="G989" s="17">
        <v>22.3842</v>
      </c>
      <c r="H989" s="17">
        <v>87.285399999999996</v>
      </c>
      <c r="I989" s="17"/>
      <c r="J989" s="17"/>
      <c r="K989" s="17"/>
      <c r="L989" s="17"/>
      <c r="M989" s="34" t="s">
        <v>2824</v>
      </c>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row>
    <row r="990" hidden="1">
      <c r="A990" s="17">
        <v>988</v>
      </c>
      <c r="B990" s="17" t="s">
        <v>52</v>
      </c>
      <c r="C990" s="34" t="s">
        <v>2989</v>
      </c>
      <c r="D990" s="35" t="s">
        <v>52</v>
      </c>
      <c r="E990" s="17"/>
      <c r="F990" s="17" t="s">
        <v>2990</v>
      </c>
      <c r="G990" s="17">
        <v>22.394390000000001</v>
      </c>
      <c r="H990" s="17">
        <v>87.357759999999999</v>
      </c>
      <c r="I990" s="17"/>
      <c r="J990" s="17"/>
      <c r="K990" s="17"/>
      <c r="L990" s="17"/>
      <c r="M990" s="35" t="s">
        <v>2695</v>
      </c>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row>
    <row r="991" hidden="1">
      <c r="A991" s="17">
        <v>989</v>
      </c>
      <c r="B991" s="17" t="s">
        <v>52</v>
      </c>
      <c r="C991" s="34" t="s">
        <v>2991</v>
      </c>
      <c r="D991" s="35" t="s">
        <v>52</v>
      </c>
      <c r="E991" s="17"/>
      <c r="F991" s="17"/>
      <c r="G991" s="17"/>
      <c r="H991" s="17"/>
      <c r="I991" s="17"/>
      <c r="J991" s="17"/>
      <c r="K991" s="17"/>
      <c r="L991" s="17"/>
      <c r="M991" s="35" t="s">
        <v>2691</v>
      </c>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row>
    <row r="992" hidden="1">
      <c r="A992" s="17">
        <v>990</v>
      </c>
      <c r="B992" s="17" t="s">
        <v>52</v>
      </c>
      <c r="C992" s="34" t="s">
        <v>2992</v>
      </c>
      <c r="D992" s="35" t="s">
        <v>52</v>
      </c>
      <c r="E992" s="17" t="s">
        <v>2993</v>
      </c>
      <c r="F992" s="17" t="s">
        <v>2994</v>
      </c>
      <c r="G992" s="17">
        <v>22.344989000000002</v>
      </c>
      <c r="H992" s="17">
        <v>87.288259999999994</v>
      </c>
      <c r="I992" s="17"/>
      <c r="J992" s="17"/>
      <c r="K992" s="17"/>
      <c r="L992" s="17"/>
      <c r="M992" s="34" t="s">
        <v>2824</v>
      </c>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row>
    <row r="993" hidden="1">
      <c r="A993" s="17">
        <v>991</v>
      </c>
      <c r="B993" s="17" t="s">
        <v>52</v>
      </c>
      <c r="C993" s="34" t="s">
        <v>2995</v>
      </c>
      <c r="D993" s="35" t="s">
        <v>52</v>
      </c>
      <c r="E993" s="17" t="s">
        <v>2929</v>
      </c>
      <c r="F993" s="17" t="s">
        <v>2996</v>
      </c>
      <c r="G993" s="17">
        <v>22.345293999999999</v>
      </c>
      <c r="H993" s="17">
        <v>87.309360999999996</v>
      </c>
      <c r="I993" s="17"/>
      <c r="J993" s="17"/>
      <c r="K993" s="17"/>
      <c r="L993" s="17"/>
      <c r="M993" s="34" t="s">
        <v>2824</v>
      </c>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row>
    <row r="994" hidden="1">
      <c r="A994" s="17">
        <v>992</v>
      </c>
      <c r="B994" s="17" t="s">
        <v>52</v>
      </c>
      <c r="C994" s="34" t="s">
        <v>2997</v>
      </c>
      <c r="D994" s="35" t="s">
        <v>52</v>
      </c>
      <c r="E994" s="17" t="s">
        <v>2998</v>
      </c>
      <c r="F994" s="17" t="s">
        <v>2999</v>
      </c>
      <c r="G994" s="17">
        <v>22.338903999999999</v>
      </c>
      <c r="H994" s="17">
        <v>87.325941999999998</v>
      </c>
      <c r="I994" s="17"/>
      <c r="J994" s="17"/>
      <c r="K994" s="17"/>
      <c r="L994" s="17"/>
      <c r="M994" s="35" t="s">
        <v>2691</v>
      </c>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row>
    <row r="995" hidden="1">
      <c r="A995" s="17">
        <v>993</v>
      </c>
      <c r="B995" s="17" t="s">
        <v>52</v>
      </c>
      <c r="C995" s="34" t="s">
        <v>3000</v>
      </c>
      <c r="D995" s="35" t="s">
        <v>52</v>
      </c>
      <c r="E995" s="17" t="s">
        <v>3001</v>
      </c>
      <c r="F995" s="17" t="s">
        <v>3002</v>
      </c>
      <c r="G995" s="17">
        <v>22.311881</v>
      </c>
      <c r="H995" s="17">
        <v>87.298670999999999</v>
      </c>
      <c r="I995" s="17"/>
      <c r="J995" s="17"/>
      <c r="K995" s="17"/>
      <c r="L995" s="17"/>
      <c r="M995" s="34" t="s">
        <v>2695</v>
      </c>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row>
    <row r="996" hidden="1">
      <c r="A996" s="17">
        <v>994</v>
      </c>
      <c r="B996" s="17" t="s">
        <v>52</v>
      </c>
      <c r="C996" s="34" t="s">
        <v>3003</v>
      </c>
      <c r="D996" s="35" t="s">
        <v>52</v>
      </c>
      <c r="E996" s="17" t="s">
        <v>2716</v>
      </c>
      <c r="F996" s="17" t="s">
        <v>3004</v>
      </c>
      <c r="G996" s="17">
        <v>22.319799</v>
      </c>
      <c r="H996" s="17">
        <v>87.376838000000006</v>
      </c>
      <c r="I996" s="17"/>
      <c r="J996" s="17"/>
      <c r="K996" s="17"/>
      <c r="L996" s="17"/>
      <c r="M996" s="35" t="s">
        <v>2691</v>
      </c>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row>
    <row r="997" hidden="1">
      <c r="A997" s="17">
        <v>995</v>
      </c>
      <c r="B997" s="17" t="s">
        <v>52</v>
      </c>
      <c r="C997" s="34" t="s">
        <v>3005</v>
      </c>
      <c r="D997" s="35" t="s">
        <v>52</v>
      </c>
      <c r="E997" s="17" t="s">
        <v>3006</v>
      </c>
      <c r="F997" s="17" t="s">
        <v>3007</v>
      </c>
      <c r="G997" s="17">
        <v>22.254742</v>
      </c>
      <c r="H997" s="17">
        <v>87.353656000000001</v>
      </c>
      <c r="I997" s="17"/>
      <c r="J997" s="17"/>
      <c r="K997" s="17"/>
      <c r="L997" s="17"/>
      <c r="M997" s="34" t="s">
        <v>2695</v>
      </c>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row>
    <row r="998" hidden="1">
      <c r="A998" s="17">
        <v>996</v>
      </c>
      <c r="B998" s="17" t="s">
        <v>52</v>
      </c>
      <c r="C998" s="34" t="s">
        <v>3008</v>
      </c>
      <c r="D998" s="35" t="s">
        <v>52</v>
      </c>
      <c r="E998" s="17" t="s">
        <v>3009</v>
      </c>
      <c r="F998" s="17" t="s">
        <v>3010</v>
      </c>
      <c r="G998" s="17">
        <v>22.345677999999999</v>
      </c>
      <c r="H998" s="17">
        <v>87.269636000000006</v>
      </c>
      <c r="I998" s="17"/>
      <c r="J998" s="17"/>
      <c r="K998" s="17"/>
      <c r="L998" s="17"/>
      <c r="M998" s="34" t="s">
        <v>2824</v>
      </c>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row>
    <row r="999" hidden="1">
      <c r="A999" s="17">
        <v>997</v>
      </c>
      <c r="B999" s="17" t="s">
        <v>52</v>
      </c>
      <c r="C999" s="34" t="s">
        <v>3011</v>
      </c>
      <c r="D999" s="35" t="s">
        <v>52</v>
      </c>
      <c r="E999" s="17" t="s">
        <v>3012</v>
      </c>
      <c r="F999" s="17" t="s">
        <v>3013</v>
      </c>
      <c r="G999" s="17">
        <v>22.341429000000002</v>
      </c>
      <c r="H999" s="17">
        <v>87.256417999999996</v>
      </c>
      <c r="I999" s="17"/>
      <c r="J999" s="17"/>
      <c r="K999" s="17"/>
      <c r="L999" s="17"/>
      <c r="M999" s="34" t="s">
        <v>2824</v>
      </c>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row>
    <row r="1000" hidden="1">
      <c r="A1000" s="17">
        <v>998</v>
      </c>
      <c r="B1000" s="17" t="s">
        <v>52</v>
      </c>
      <c r="C1000" s="34" t="s">
        <v>3014</v>
      </c>
      <c r="D1000" s="35" t="s">
        <v>52</v>
      </c>
      <c r="E1000" s="17" t="s">
        <v>3015</v>
      </c>
      <c r="F1000" s="17" t="s">
        <v>3016</v>
      </c>
      <c r="G1000" s="17">
        <v>22.344916000000001</v>
      </c>
      <c r="H1000" s="17">
        <v>87.278713999999994</v>
      </c>
      <c r="I1000" s="17"/>
      <c r="J1000" s="17"/>
      <c r="K1000" s="17"/>
      <c r="L1000" s="17"/>
      <c r="M1000" s="34" t="s">
        <v>2824</v>
      </c>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row>
    <row r="1001" hidden="1">
      <c r="A1001" s="17">
        <v>999</v>
      </c>
      <c r="B1001" s="17" t="s">
        <v>52</v>
      </c>
      <c r="C1001" s="34" t="s">
        <v>3017</v>
      </c>
      <c r="D1001" s="35" t="s">
        <v>52</v>
      </c>
      <c r="E1001" s="17" t="s">
        <v>3018</v>
      </c>
      <c r="F1001" s="17" t="s">
        <v>3019</v>
      </c>
      <c r="G1001" s="17">
        <v>22.329211000000001</v>
      </c>
      <c r="H1001" s="17">
        <v>87.277338999999998</v>
      </c>
      <c r="I1001" s="17"/>
      <c r="J1001" s="17"/>
      <c r="K1001" s="17"/>
      <c r="L1001" s="17"/>
      <c r="M1001" s="34" t="s">
        <v>2824</v>
      </c>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row>
    <row r="1002" hidden="1">
      <c r="A1002" s="17">
        <v>1000</v>
      </c>
      <c r="B1002" s="17" t="s">
        <v>52</v>
      </c>
      <c r="C1002" s="34" t="s">
        <v>3020</v>
      </c>
      <c r="D1002" s="35" t="s">
        <v>52</v>
      </c>
      <c r="E1002" s="17" t="s">
        <v>3021</v>
      </c>
      <c r="F1002" s="17" t="s">
        <v>3022</v>
      </c>
      <c r="G1002" s="17">
        <v>22.329951999999999</v>
      </c>
      <c r="H1002" s="17">
        <v>87.286210999999994</v>
      </c>
      <c r="I1002" s="17"/>
      <c r="J1002" s="17"/>
      <c r="K1002" s="17"/>
      <c r="L1002" s="17"/>
      <c r="M1002" s="34" t="s">
        <v>2824</v>
      </c>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row>
    <row r="1003" hidden="1">
      <c r="A1003" s="17">
        <v>1001</v>
      </c>
      <c r="B1003" s="17" t="s">
        <v>52</v>
      </c>
      <c r="C1003" s="34" t="s">
        <v>3023</v>
      </c>
      <c r="D1003" s="35" t="s">
        <v>52</v>
      </c>
      <c r="E1003" s="17" t="s">
        <v>3024</v>
      </c>
      <c r="F1003" s="17" t="s">
        <v>3025</v>
      </c>
      <c r="G1003" s="17">
        <v>22.339321000000002</v>
      </c>
      <c r="H1003" s="17">
        <v>87.335209000000006</v>
      </c>
      <c r="I1003" s="17"/>
      <c r="J1003" s="17"/>
      <c r="K1003" s="17"/>
      <c r="L1003" s="17"/>
      <c r="M1003" s="35" t="s">
        <v>2691</v>
      </c>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row>
    <row r="1004" hidden="1">
      <c r="A1004" s="17">
        <v>1002</v>
      </c>
      <c r="B1004" s="17" t="s">
        <v>52</v>
      </c>
      <c r="C1004" s="34" t="s">
        <v>3026</v>
      </c>
      <c r="D1004" s="35" t="s">
        <v>52</v>
      </c>
      <c r="E1004" s="17" t="s">
        <v>3027</v>
      </c>
      <c r="F1004" s="17" t="s">
        <v>3028</v>
      </c>
      <c r="G1004" s="17">
        <v>22.350669</v>
      </c>
      <c r="H1004" s="17">
        <v>87.259367999999995</v>
      </c>
      <c r="I1004" s="17"/>
      <c r="J1004" s="17"/>
      <c r="K1004" s="17"/>
      <c r="L1004" s="17"/>
      <c r="M1004" s="34" t="s">
        <v>2824</v>
      </c>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row>
    <row r="1005" hidden="1">
      <c r="A1005" s="17">
        <v>1003</v>
      </c>
      <c r="B1005" s="17" t="s">
        <v>52</v>
      </c>
      <c r="C1005" s="34" t="s">
        <v>3029</v>
      </c>
      <c r="D1005" s="35" t="s">
        <v>52</v>
      </c>
      <c r="E1005" s="17" t="s">
        <v>3030</v>
      </c>
      <c r="F1005" s="17">
        <v>0</v>
      </c>
      <c r="G1005" s="17">
        <v>22.317699999999999</v>
      </c>
      <c r="H1005" s="17">
        <v>87.290300000000002</v>
      </c>
      <c r="I1005" s="17"/>
      <c r="J1005" s="17"/>
      <c r="K1005" s="17"/>
      <c r="L1005" s="17"/>
      <c r="M1005" s="38" t="s">
        <v>2710</v>
      </c>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row>
    <row r="1006" hidden="1">
      <c r="A1006" s="17">
        <v>1004</v>
      </c>
      <c r="B1006" s="17" t="s">
        <v>52</v>
      </c>
      <c r="C1006" s="34" t="s">
        <v>3031</v>
      </c>
      <c r="D1006" s="35" t="s">
        <v>52</v>
      </c>
      <c r="E1006" s="17" t="s">
        <v>3032</v>
      </c>
      <c r="F1006" s="17" t="s">
        <v>3033</v>
      </c>
      <c r="G1006" s="17">
        <v>22.304470999999999</v>
      </c>
      <c r="H1006" s="17">
        <v>87.292537999999993</v>
      </c>
      <c r="I1006" s="17"/>
      <c r="J1006" s="17"/>
      <c r="K1006" s="17"/>
      <c r="L1006" s="17"/>
      <c r="M1006" s="38" t="s">
        <v>2710</v>
      </c>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row>
    <row r="1007" hidden="1">
      <c r="A1007" s="17">
        <v>1005</v>
      </c>
      <c r="B1007" s="17" t="s">
        <v>52</v>
      </c>
      <c r="C1007" s="34" t="s">
        <v>3034</v>
      </c>
      <c r="D1007" s="35" t="s">
        <v>52</v>
      </c>
      <c r="E1007" s="17" t="s">
        <v>3035</v>
      </c>
      <c r="F1007" s="17" t="s">
        <v>3036</v>
      </c>
      <c r="G1007" s="17">
        <v>22.335287999999998</v>
      </c>
      <c r="H1007" s="17">
        <v>87.336293999999995</v>
      </c>
      <c r="I1007" s="17"/>
      <c r="J1007" s="17"/>
      <c r="K1007" s="17"/>
      <c r="L1007" s="17"/>
      <c r="M1007" s="34" t="s">
        <v>2695</v>
      </c>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row>
    <row r="1008" hidden="1">
      <c r="A1008" s="17">
        <v>1006</v>
      </c>
      <c r="B1008" s="17" t="s">
        <v>52</v>
      </c>
      <c r="C1008" s="34" t="s">
        <v>3037</v>
      </c>
      <c r="D1008" s="35" t="s">
        <v>52</v>
      </c>
      <c r="E1008" s="17" t="s">
        <v>3038</v>
      </c>
      <c r="F1008" s="17" t="s">
        <v>3039</v>
      </c>
      <c r="G1008" s="17">
        <v>22.358744000000002</v>
      </c>
      <c r="H1008" s="17">
        <v>87.207250999999999</v>
      </c>
      <c r="I1008" s="17"/>
      <c r="J1008" s="17"/>
      <c r="K1008" s="17"/>
      <c r="L1008" s="17"/>
      <c r="M1008" s="34" t="s">
        <v>2824</v>
      </c>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row>
    <row r="1009" hidden="1">
      <c r="A1009" s="17">
        <v>1007</v>
      </c>
      <c r="B1009" s="17" t="s">
        <v>52</v>
      </c>
      <c r="C1009" s="34" t="s">
        <v>3040</v>
      </c>
      <c r="D1009" s="35" t="s">
        <v>52</v>
      </c>
      <c r="E1009" s="17" t="s">
        <v>3041</v>
      </c>
      <c r="F1009" s="17" t="s">
        <v>3042</v>
      </c>
      <c r="G1009" s="17">
        <v>22.391511000000001</v>
      </c>
      <c r="H1009" s="17">
        <v>87.251279999999994</v>
      </c>
      <c r="I1009" s="17"/>
      <c r="J1009" s="17"/>
      <c r="K1009" s="17"/>
      <c r="L1009" s="17"/>
      <c r="M1009" s="34" t="s">
        <v>2824</v>
      </c>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row>
    <row r="1010" hidden="1">
      <c r="A1010" s="17">
        <v>1008</v>
      </c>
      <c r="B1010" s="17" t="s">
        <v>52</v>
      </c>
      <c r="C1010" s="34" t="s">
        <v>3043</v>
      </c>
      <c r="D1010" s="35" t="s">
        <v>52</v>
      </c>
      <c r="E1010" s="17" t="s">
        <v>3006</v>
      </c>
      <c r="F1010" s="17" t="s">
        <v>3044</v>
      </c>
      <c r="G1010" s="17">
        <v>22.246134000000001</v>
      </c>
      <c r="H1010" s="17">
        <v>87.353703999999993</v>
      </c>
      <c r="I1010" s="17"/>
      <c r="J1010" s="17"/>
      <c r="K1010" s="17"/>
      <c r="L1010" s="17"/>
      <c r="M1010" s="34" t="s">
        <v>2695</v>
      </c>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row>
    <row r="1011" hidden="1">
      <c r="A1011" s="17">
        <v>1009</v>
      </c>
      <c r="B1011" s="17" t="s">
        <v>52</v>
      </c>
      <c r="C1011" s="34" t="s">
        <v>3045</v>
      </c>
      <c r="D1011" s="35" t="s">
        <v>52</v>
      </c>
      <c r="E1011" s="17" t="s">
        <v>3046</v>
      </c>
      <c r="F1011" s="17" t="s">
        <v>3047</v>
      </c>
      <c r="G1011" s="17">
        <v>22.377949999999998</v>
      </c>
      <c r="H1011" s="17">
        <v>87.311058000000003</v>
      </c>
      <c r="I1011" s="17"/>
      <c r="J1011" s="17"/>
      <c r="K1011" s="17"/>
      <c r="L1011" s="17"/>
      <c r="M1011" s="34" t="s">
        <v>2824</v>
      </c>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row>
    <row r="1012" hidden="1">
      <c r="A1012" s="17">
        <v>1010</v>
      </c>
      <c r="B1012" s="17" t="s">
        <v>52</v>
      </c>
      <c r="C1012" s="34" t="s">
        <v>3048</v>
      </c>
      <c r="D1012" s="35" t="s">
        <v>52</v>
      </c>
      <c r="E1012" s="17" t="s">
        <v>3049</v>
      </c>
      <c r="F1012" s="17" t="s">
        <v>3050</v>
      </c>
      <c r="G1012" s="17">
        <v>22.311078999999999</v>
      </c>
      <c r="H1012" s="17">
        <v>87.284936999999999</v>
      </c>
      <c r="I1012" s="17"/>
      <c r="J1012" s="17"/>
      <c r="K1012" s="17"/>
      <c r="L1012" s="17"/>
      <c r="M1012" s="34" t="s">
        <v>2695</v>
      </c>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row>
    <row r="1013" hidden="1">
      <c r="A1013" s="17">
        <v>1011</v>
      </c>
      <c r="B1013" s="17" t="s">
        <v>52</v>
      </c>
      <c r="C1013" s="34" t="s">
        <v>3051</v>
      </c>
      <c r="D1013" s="35" t="s">
        <v>52</v>
      </c>
      <c r="E1013" s="17" t="s">
        <v>3052</v>
      </c>
      <c r="F1013" s="17" t="s">
        <v>3053</v>
      </c>
      <c r="G1013" s="17">
        <v>22.245577000000001</v>
      </c>
      <c r="H1013" s="17">
        <v>87.320250999999999</v>
      </c>
      <c r="I1013" s="17"/>
      <c r="J1013" s="17"/>
      <c r="K1013" s="17"/>
      <c r="L1013" s="17"/>
      <c r="M1013" s="38" t="s">
        <v>2710</v>
      </c>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row>
    <row r="1014" hidden="1">
      <c r="A1014" s="17">
        <v>1012</v>
      </c>
      <c r="B1014" s="17" t="s">
        <v>52</v>
      </c>
      <c r="C1014" s="34" t="s">
        <v>3054</v>
      </c>
      <c r="D1014" s="35" t="s">
        <v>52</v>
      </c>
      <c r="E1014" s="17" t="s">
        <v>3055</v>
      </c>
      <c r="F1014" s="17" t="s">
        <v>3056</v>
      </c>
      <c r="G1014" s="17">
        <v>22.023444000000001</v>
      </c>
      <c r="H1014" s="17">
        <v>87.320021999999994</v>
      </c>
      <c r="I1014" s="17"/>
      <c r="J1014" s="17"/>
      <c r="K1014" s="17"/>
      <c r="L1014" s="17"/>
      <c r="M1014" s="35" t="s">
        <v>2223</v>
      </c>
      <c r="N1014" s="36">
        <v>9734686678</v>
      </c>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t="s">
        <v>2520</v>
      </c>
      <c r="AU1014" s="17"/>
    </row>
    <row r="1015" hidden="1">
      <c r="A1015" s="17">
        <v>1013</v>
      </c>
      <c r="B1015" s="17" t="s">
        <v>52</v>
      </c>
      <c r="C1015" s="34" t="s">
        <v>3057</v>
      </c>
      <c r="D1015" s="35" t="s">
        <v>52</v>
      </c>
      <c r="E1015" s="17" t="s">
        <v>3058</v>
      </c>
      <c r="F1015" s="17" t="s">
        <v>3059</v>
      </c>
      <c r="G1015" s="17">
        <v>22.288844000000001</v>
      </c>
      <c r="H1015" s="17">
        <v>87.323348999999993</v>
      </c>
      <c r="I1015" s="17"/>
      <c r="J1015" s="17"/>
      <c r="K1015" s="17"/>
      <c r="L1015" s="17"/>
      <c r="M1015" s="38" t="s">
        <v>2710</v>
      </c>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row>
    <row r="1016" hidden="1">
      <c r="A1016" s="17">
        <v>1014</v>
      </c>
      <c r="B1016" s="17" t="s">
        <v>52</v>
      </c>
      <c r="C1016" s="34" t="s">
        <v>3060</v>
      </c>
      <c r="D1016" s="35" t="s">
        <v>52</v>
      </c>
      <c r="E1016" s="17" t="s">
        <v>3061</v>
      </c>
      <c r="F1016" s="17" t="s">
        <v>3062</v>
      </c>
      <c r="G1016" s="17">
        <v>22.268225999999999</v>
      </c>
      <c r="H1016" s="17">
        <v>87.282557999999995</v>
      </c>
      <c r="I1016" s="17"/>
      <c r="J1016" s="17"/>
      <c r="K1016" s="17"/>
      <c r="L1016" s="17"/>
      <c r="M1016" s="38" t="s">
        <v>2710</v>
      </c>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row>
    <row r="1017" hidden="1">
      <c r="A1017" s="17">
        <v>1015</v>
      </c>
      <c r="B1017" s="17" t="s">
        <v>52</v>
      </c>
      <c r="C1017" s="34" t="s">
        <v>3063</v>
      </c>
      <c r="D1017" s="35" t="s">
        <v>52</v>
      </c>
      <c r="E1017" s="17" t="s">
        <v>3064</v>
      </c>
      <c r="F1017" s="17" t="s">
        <v>3065</v>
      </c>
      <c r="G1017" s="17">
        <v>22.357218</v>
      </c>
      <c r="H1017" s="17">
        <v>87.379710000000003</v>
      </c>
      <c r="I1017" s="17"/>
      <c r="J1017" s="17"/>
      <c r="K1017" s="17"/>
      <c r="L1017" s="17"/>
      <c r="M1017" s="34" t="s">
        <v>2695</v>
      </c>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row>
    <row r="1018" hidden="1">
      <c r="A1018" s="17">
        <v>1016</v>
      </c>
      <c r="B1018" s="17" t="s">
        <v>52</v>
      </c>
      <c r="C1018" s="34" t="s">
        <v>3066</v>
      </c>
      <c r="D1018" s="35" t="s">
        <v>52</v>
      </c>
      <c r="E1018" s="17" t="s">
        <v>3067</v>
      </c>
      <c r="F1018" s="17" t="s">
        <v>3068</v>
      </c>
      <c r="G1018" s="17">
        <v>22.327037000000001</v>
      </c>
      <c r="H1018" s="17">
        <v>87.340503999999996</v>
      </c>
      <c r="I1018" s="17"/>
      <c r="J1018" s="17"/>
      <c r="K1018" s="17"/>
      <c r="L1018" s="17"/>
      <c r="M1018" s="34" t="s">
        <v>2695</v>
      </c>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row>
    <row r="1019" hidden="1">
      <c r="A1019" s="17">
        <v>1017</v>
      </c>
      <c r="B1019" s="17" t="s">
        <v>52</v>
      </c>
      <c r="C1019" s="34" t="s">
        <v>3069</v>
      </c>
      <c r="D1019" s="35" t="s">
        <v>52</v>
      </c>
      <c r="E1019" s="17" t="s">
        <v>2458</v>
      </c>
      <c r="F1019" s="17" t="s">
        <v>3070</v>
      </c>
      <c r="G1019" s="17">
        <v>22.317934999999999</v>
      </c>
      <c r="H1019" s="17">
        <v>87.278812000000002</v>
      </c>
      <c r="I1019" s="17"/>
      <c r="J1019" s="17"/>
      <c r="K1019" s="17"/>
      <c r="L1019" s="17"/>
      <c r="M1019" s="38" t="s">
        <v>2710</v>
      </c>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row>
    <row r="1020" hidden="1">
      <c r="A1020" s="17">
        <v>1018</v>
      </c>
      <c r="B1020" s="17" t="s">
        <v>52</v>
      </c>
      <c r="C1020" s="34" t="s">
        <v>3071</v>
      </c>
      <c r="D1020" s="35" t="s">
        <v>52</v>
      </c>
      <c r="E1020" s="17" t="s">
        <v>3072</v>
      </c>
      <c r="F1020" s="17">
        <v>0</v>
      </c>
      <c r="G1020" s="17">
        <v>22.321490000000001</v>
      </c>
      <c r="H1020" s="17">
        <v>87.299599999999998</v>
      </c>
      <c r="I1020" s="17"/>
      <c r="J1020" s="17"/>
      <c r="K1020" s="17"/>
      <c r="L1020" s="17"/>
      <c r="M1020" s="38" t="s">
        <v>2710</v>
      </c>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row>
    <row r="1021" hidden="1">
      <c r="A1021" s="17">
        <v>1019</v>
      </c>
      <c r="B1021" s="17" t="s">
        <v>52</v>
      </c>
      <c r="C1021" s="34" t="s">
        <v>3073</v>
      </c>
      <c r="D1021" s="35" t="s">
        <v>52</v>
      </c>
      <c r="E1021" s="17" t="s">
        <v>3074</v>
      </c>
      <c r="F1021" s="17">
        <v>0</v>
      </c>
      <c r="G1021" s="17">
        <v>22.3157</v>
      </c>
      <c r="H1021" s="17">
        <v>87.316680000000005</v>
      </c>
      <c r="I1021" s="17"/>
      <c r="J1021" s="17"/>
      <c r="K1021" s="17"/>
      <c r="L1021" s="17"/>
      <c r="M1021" s="34" t="s">
        <v>2824</v>
      </c>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row>
    <row r="1022" hidden="1">
      <c r="A1022" s="17">
        <v>1020</v>
      </c>
      <c r="B1022" s="17" t="s">
        <v>52</v>
      </c>
      <c r="C1022" s="34" t="s">
        <v>3075</v>
      </c>
      <c r="D1022" s="35" t="s">
        <v>52</v>
      </c>
      <c r="E1022" s="17" t="s">
        <v>3076</v>
      </c>
      <c r="F1022" s="17">
        <v>0</v>
      </c>
      <c r="G1022" s="17">
        <v>22.313696</v>
      </c>
      <c r="H1022" s="17">
        <v>87.307050000000004</v>
      </c>
      <c r="I1022" s="17"/>
      <c r="J1022" s="17"/>
      <c r="K1022" s="17"/>
      <c r="L1022" s="17"/>
      <c r="M1022" s="38" t="s">
        <v>2710</v>
      </c>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row>
    <row r="1023" hidden="1">
      <c r="A1023" s="17">
        <v>1021</v>
      </c>
      <c r="B1023" s="17" t="s">
        <v>52</v>
      </c>
      <c r="C1023" s="34" t="s">
        <v>3077</v>
      </c>
      <c r="D1023" s="35" t="s">
        <v>52</v>
      </c>
      <c r="E1023" s="17" t="s">
        <v>3078</v>
      </c>
      <c r="F1023" s="17" t="s">
        <v>3079</v>
      </c>
      <c r="G1023" s="17">
        <v>22.335090000000001</v>
      </c>
      <c r="H1023" s="17">
        <v>87.308087</v>
      </c>
      <c r="I1023" s="17"/>
      <c r="J1023" s="17"/>
      <c r="K1023" s="17"/>
      <c r="L1023" s="17"/>
      <c r="M1023" s="35" t="s">
        <v>2691</v>
      </c>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row>
    <row r="1024" hidden="1">
      <c r="A1024" s="17">
        <v>1022</v>
      </c>
      <c r="B1024" s="17" t="s">
        <v>52</v>
      </c>
      <c r="C1024" s="34" t="s">
        <v>3080</v>
      </c>
      <c r="D1024" s="35" t="s">
        <v>52</v>
      </c>
      <c r="E1024" s="17" t="s">
        <v>3081</v>
      </c>
      <c r="F1024" s="17" t="s">
        <v>3082</v>
      </c>
      <c r="G1024" s="17">
        <v>22.329671999999999</v>
      </c>
      <c r="H1024" s="17">
        <v>87.327130999999994</v>
      </c>
      <c r="I1024" s="17"/>
      <c r="J1024" s="17"/>
      <c r="K1024" s="17"/>
      <c r="L1024" s="17"/>
      <c r="M1024" s="35" t="s">
        <v>2691</v>
      </c>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row>
    <row r="1025" hidden="1">
      <c r="A1025" s="17">
        <v>1023</v>
      </c>
      <c r="B1025" s="17" t="s">
        <v>52</v>
      </c>
      <c r="C1025" s="34" t="s">
        <v>3083</v>
      </c>
      <c r="D1025" s="35" t="s">
        <v>52</v>
      </c>
      <c r="E1025" s="17" t="s">
        <v>3084</v>
      </c>
      <c r="F1025" s="17" t="s">
        <v>3085</v>
      </c>
      <c r="G1025" s="17">
        <v>22.338366000000001</v>
      </c>
      <c r="H1025" s="17">
        <v>87.323965999999999</v>
      </c>
      <c r="I1025" s="17"/>
      <c r="J1025" s="17"/>
      <c r="K1025" s="17"/>
      <c r="L1025" s="17"/>
      <c r="M1025" s="35" t="s">
        <v>2691</v>
      </c>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row>
    <row r="1026" hidden="1">
      <c r="A1026" s="17">
        <v>1024</v>
      </c>
      <c r="B1026" s="17" t="s">
        <v>52</v>
      </c>
      <c r="C1026" s="34" t="s">
        <v>3086</v>
      </c>
      <c r="D1026" s="35" t="s">
        <v>52</v>
      </c>
      <c r="E1026" s="17" t="s">
        <v>3087</v>
      </c>
      <c r="F1026" s="17" t="s">
        <v>3088</v>
      </c>
      <c r="G1026" s="17">
        <v>22.32789</v>
      </c>
      <c r="H1026" s="17">
        <v>87.328918999999999</v>
      </c>
      <c r="I1026" s="17"/>
      <c r="J1026" s="17"/>
      <c r="K1026" s="17"/>
      <c r="L1026" s="17"/>
      <c r="M1026" s="35" t="s">
        <v>2691</v>
      </c>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row>
    <row r="1027" hidden="1">
      <c r="A1027" s="17">
        <v>1025</v>
      </c>
      <c r="B1027" s="17" t="s">
        <v>52</v>
      </c>
      <c r="C1027" s="34" t="s">
        <v>3089</v>
      </c>
      <c r="D1027" s="35" t="s">
        <v>52</v>
      </c>
      <c r="E1027" s="17" t="s">
        <v>3090</v>
      </c>
      <c r="F1027" s="17" t="s">
        <v>3091</v>
      </c>
      <c r="G1027" s="17">
        <v>22.312463999999999</v>
      </c>
      <c r="H1027" s="17">
        <v>87.292486999999994</v>
      </c>
      <c r="I1027" s="17"/>
      <c r="J1027" s="17"/>
      <c r="K1027" s="17"/>
      <c r="L1027" s="17"/>
      <c r="M1027" s="35" t="s">
        <v>2691</v>
      </c>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row>
    <row r="1028" hidden="1">
      <c r="A1028" s="17">
        <v>1026</v>
      </c>
      <c r="B1028" s="17" t="s">
        <v>52</v>
      </c>
      <c r="C1028" s="34" t="s">
        <v>3092</v>
      </c>
      <c r="D1028" s="35" t="s">
        <v>52</v>
      </c>
      <c r="E1028" s="17" t="s">
        <v>3093</v>
      </c>
      <c r="F1028" s="17" t="s">
        <v>3094</v>
      </c>
      <c r="G1028" s="17">
        <v>22.305996</v>
      </c>
      <c r="H1028" s="17">
        <v>87.304910000000007</v>
      </c>
      <c r="I1028" s="17"/>
      <c r="J1028" s="17"/>
      <c r="K1028" s="17"/>
      <c r="L1028" s="17"/>
      <c r="M1028" s="38" t="s">
        <v>2710</v>
      </c>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row>
    <row r="1029" hidden="1">
      <c r="A1029" s="17">
        <v>1027</v>
      </c>
      <c r="B1029" s="17" t="s">
        <v>52</v>
      </c>
      <c r="C1029" s="34" t="s">
        <v>3095</v>
      </c>
      <c r="D1029" s="35" t="s">
        <v>52</v>
      </c>
      <c r="E1029" s="17" t="s">
        <v>3096</v>
      </c>
      <c r="F1029" s="17" t="s">
        <v>3097</v>
      </c>
      <c r="G1029" s="17">
        <v>22.326165</v>
      </c>
      <c r="H1029" s="17">
        <v>87.233143999999996</v>
      </c>
      <c r="I1029" s="17"/>
      <c r="J1029" s="17"/>
      <c r="K1029" s="17"/>
      <c r="L1029" s="17"/>
      <c r="M1029" s="34" t="s">
        <v>2824</v>
      </c>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row>
    <row r="1030" hidden="1">
      <c r="A1030" s="17">
        <v>1028</v>
      </c>
      <c r="B1030" s="17" t="s">
        <v>52</v>
      </c>
      <c r="C1030" s="34" t="s">
        <v>3098</v>
      </c>
      <c r="D1030" s="35" t="s">
        <v>52</v>
      </c>
      <c r="E1030" s="17" t="s">
        <v>3099</v>
      </c>
      <c r="F1030" s="17" t="s">
        <v>3100</v>
      </c>
      <c r="G1030" s="17">
        <v>22.325437000000001</v>
      </c>
      <c r="H1030" s="17">
        <v>87.314266000000003</v>
      </c>
      <c r="I1030" s="17"/>
      <c r="J1030" s="17"/>
      <c r="K1030" s="17"/>
      <c r="L1030" s="17"/>
      <c r="M1030" s="35" t="s">
        <v>2691</v>
      </c>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row>
    <row r="1031" hidden="1">
      <c r="A1031" s="17">
        <v>1029</v>
      </c>
      <c r="B1031" s="17" t="s">
        <v>52</v>
      </c>
      <c r="C1031" s="34" t="s">
        <v>3101</v>
      </c>
      <c r="D1031" s="35" t="s">
        <v>52</v>
      </c>
      <c r="E1031" s="17" t="s">
        <v>3102</v>
      </c>
      <c r="F1031" s="17" t="s">
        <v>3103</v>
      </c>
      <c r="G1031" s="17">
        <v>22.344556000000001</v>
      </c>
      <c r="H1031" s="17">
        <v>87.303612000000001</v>
      </c>
      <c r="I1031" s="17"/>
      <c r="J1031" s="17"/>
      <c r="K1031" s="17"/>
      <c r="L1031" s="17"/>
      <c r="M1031" s="34" t="s">
        <v>2824</v>
      </c>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row>
    <row r="1032" hidden="1">
      <c r="A1032" s="17">
        <v>1030</v>
      </c>
      <c r="B1032" s="17" t="s">
        <v>52</v>
      </c>
      <c r="C1032" s="34" t="s">
        <v>3104</v>
      </c>
      <c r="D1032" s="35" t="s">
        <v>52</v>
      </c>
      <c r="E1032" s="17" t="s">
        <v>3105</v>
      </c>
      <c r="F1032" s="17" t="s">
        <v>3106</v>
      </c>
      <c r="G1032" s="17">
        <v>22.346959999999999</v>
      </c>
      <c r="H1032" s="17">
        <v>87.315888000000001</v>
      </c>
      <c r="I1032" s="17"/>
      <c r="J1032" s="17"/>
      <c r="K1032" s="17"/>
      <c r="L1032" s="17"/>
      <c r="M1032" s="34" t="s">
        <v>2824</v>
      </c>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row>
    <row r="1033" hidden="1">
      <c r="A1033" s="17">
        <v>1031</v>
      </c>
      <c r="B1033" s="17" t="s">
        <v>52</v>
      </c>
      <c r="C1033" s="34" t="s">
        <v>3107</v>
      </c>
      <c r="D1033" s="35" t="s">
        <v>52</v>
      </c>
      <c r="E1033" s="17" t="s">
        <v>3108</v>
      </c>
      <c r="F1033" s="17" t="s">
        <v>3109</v>
      </c>
      <c r="G1033" s="17">
        <v>22.346391000000001</v>
      </c>
      <c r="H1033" s="17">
        <v>87.300013000000007</v>
      </c>
      <c r="I1033" s="17"/>
      <c r="J1033" s="17"/>
      <c r="K1033" s="17"/>
      <c r="L1033" s="17"/>
      <c r="M1033" s="34" t="s">
        <v>2824</v>
      </c>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row>
    <row r="1034" hidden="1">
      <c r="A1034" s="17">
        <v>1032</v>
      </c>
      <c r="B1034" s="17" t="s">
        <v>52</v>
      </c>
      <c r="C1034" s="34" t="s">
        <v>3110</v>
      </c>
      <c r="D1034" s="35" t="s">
        <v>52</v>
      </c>
      <c r="E1034" s="17" t="s">
        <v>3111</v>
      </c>
      <c r="F1034" s="17" t="s">
        <v>3112</v>
      </c>
      <c r="G1034" s="17">
        <v>22.339061999999998</v>
      </c>
      <c r="H1034" s="17">
        <v>87.271221999999995</v>
      </c>
      <c r="I1034" s="17"/>
      <c r="J1034" s="17"/>
      <c r="K1034" s="17"/>
      <c r="L1034" s="17"/>
      <c r="M1034" s="35" t="s">
        <v>2691</v>
      </c>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row>
    <row r="1035" hidden="1">
      <c r="A1035" s="17">
        <v>1033</v>
      </c>
      <c r="B1035" s="17" t="s">
        <v>52</v>
      </c>
      <c r="C1035" s="34" t="s">
        <v>3113</v>
      </c>
      <c r="D1035" s="35" t="s">
        <v>52</v>
      </c>
      <c r="E1035" s="17" t="s">
        <v>3114</v>
      </c>
      <c r="F1035" s="17" t="s">
        <v>3115</v>
      </c>
      <c r="G1035" s="17">
        <v>22.347363000000001</v>
      </c>
      <c r="H1035" s="17">
        <v>87.27158</v>
      </c>
      <c r="I1035" s="17"/>
      <c r="J1035" s="17"/>
      <c r="K1035" s="17"/>
      <c r="L1035" s="17"/>
      <c r="M1035" s="34" t="s">
        <v>2824</v>
      </c>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row>
    <row r="1036" hidden="1">
      <c r="A1036" s="17">
        <v>1034</v>
      </c>
      <c r="B1036" s="17" t="s">
        <v>52</v>
      </c>
      <c r="C1036" s="34" t="s">
        <v>3116</v>
      </c>
      <c r="D1036" s="35" t="s">
        <v>52</v>
      </c>
      <c r="E1036" s="17" t="s">
        <v>3117</v>
      </c>
      <c r="F1036" s="17" t="s">
        <v>3118</v>
      </c>
      <c r="G1036" s="17">
        <v>22.388542999999999</v>
      </c>
      <c r="H1036" s="17">
        <v>87.283398000000005</v>
      </c>
      <c r="I1036" s="17"/>
      <c r="J1036" s="17"/>
      <c r="K1036" s="17"/>
      <c r="L1036" s="17"/>
      <c r="M1036" s="34" t="s">
        <v>2824</v>
      </c>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row>
    <row r="1037" hidden="1">
      <c r="A1037" s="17">
        <v>1035</v>
      </c>
      <c r="B1037" s="17" t="s">
        <v>52</v>
      </c>
      <c r="C1037" s="34" t="s">
        <v>3119</v>
      </c>
      <c r="D1037" s="35" t="s">
        <v>52</v>
      </c>
      <c r="E1037" s="17" t="s">
        <v>3120</v>
      </c>
      <c r="F1037" s="17" t="s">
        <v>3121</v>
      </c>
      <c r="G1037" s="17">
        <v>22.389346</v>
      </c>
      <c r="H1037" s="17">
        <v>87.380683000000005</v>
      </c>
      <c r="I1037" s="17"/>
      <c r="J1037" s="17"/>
      <c r="K1037" s="17"/>
      <c r="L1037" s="17"/>
      <c r="M1037" s="34" t="s">
        <v>2695</v>
      </c>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row>
    <row r="1038" hidden="1">
      <c r="A1038" s="17">
        <v>1036</v>
      </c>
      <c r="B1038" s="17" t="s">
        <v>52</v>
      </c>
      <c r="C1038" s="34" t="s">
        <v>3122</v>
      </c>
      <c r="D1038" s="35" t="s">
        <v>52</v>
      </c>
      <c r="E1038" s="17" t="s">
        <v>2458</v>
      </c>
      <c r="F1038" s="17" t="s">
        <v>3123</v>
      </c>
      <c r="G1038" s="17">
        <v>22.314402999999999</v>
      </c>
      <c r="H1038" s="17">
        <v>87.283797000000007</v>
      </c>
      <c r="I1038" s="17"/>
      <c r="J1038" s="17"/>
      <c r="K1038" s="17"/>
      <c r="L1038" s="17"/>
      <c r="M1038" s="38" t="s">
        <v>2710</v>
      </c>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row>
    <row r="1039" hidden="1">
      <c r="A1039" s="17">
        <v>1037</v>
      </c>
      <c r="B1039" s="17" t="s">
        <v>52</v>
      </c>
      <c r="C1039" s="34" t="s">
        <v>3124</v>
      </c>
      <c r="D1039" s="35" t="s">
        <v>52</v>
      </c>
      <c r="E1039" s="17" t="s">
        <v>2458</v>
      </c>
      <c r="F1039" s="17" t="s">
        <v>3125</v>
      </c>
      <c r="G1039" s="17">
        <v>22.340933</v>
      </c>
      <c r="H1039" s="17">
        <v>87.228556999999995</v>
      </c>
      <c r="I1039" s="17"/>
      <c r="J1039" s="17"/>
      <c r="K1039" s="17"/>
      <c r="L1039" s="17"/>
      <c r="M1039" s="34" t="s">
        <v>2824</v>
      </c>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row>
    <row r="1040" hidden="1">
      <c r="A1040" s="17">
        <v>1038</v>
      </c>
      <c r="B1040" s="17" t="s">
        <v>52</v>
      </c>
      <c r="C1040" s="34" t="s">
        <v>3126</v>
      </c>
      <c r="D1040" s="35" t="s">
        <v>52</v>
      </c>
      <c r="E1040" s="17" t="s">
        <v>2458</v>
      </c>
      <c r="F1040" s="17" t="s">
        <v>3127</v>
      </c>
      <c r="G1040" s="17">
        <v>22.333857999999999</v>
      </c>
      <c r="H1040" s="17">
        <v>87.222976000000003</v>
      </c>
      <c r="I1040" s="17"/>
      <c r="J1040" s="17"/>
      <c r="K1040" s="17"/>
      <c r="L1040" s="17"/>
      <c r="M1040" s="34" t="s">
        <v>2824</v>
      </c>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row>
    <row r="1041" hidden="1">
      <c r="A1041" s="17">
        <v>1039</v>
      </c>
      <c r="B1041" s="17" t="s">
        <v>52</v>
      </c>
      <c r="C1041" s="34" t="s">
        <v>3128</v>
      </c>
      <c r="D1041" s="35" t="s">
        <v>52</v>
      </c>
      <c r="E1041" s="17" t="s">
        <v>2458</v>
      </c>
      <c r="F1041" s="17" t="s">
        <v>3129</v>
      </c>
      <c r="G1041" s="17">
        <v>22.334257999999998</v>
      </c>
      <c r="H1041" s="17">
        <v>87.240283000000005</v>
      </c>
      <c r="I1041" s="17"/>
      <c r="J1041" s="17"/>
      <c r="K1041" s="17"/>
      <c r="L1041" s="17"/>
      <c r="M1041" s="34" t="s">
        <v>2824</v>
      </c>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row>
    <row r="1042" hidden="1">
      <c r="A1042" s="17">
        <v>1040</v>
      </c>
      <c r="B1042" s="17" t="s">
        <v>52</v>
      </c>
      <c r="C1042" s="34" t="s">
        <v>3130</v>
      </c>
      <c r="D1042" s="35" t="s">
        <v>52</v>
      </c>
      <c r="E1042" s="17"/>
      <c r="F1042" s="17"/>
      <c r="G1042" s="17"/>
      <c r="H1042" s="17"/>
      <c r="I1042" s="17"/>
      <c r="J1042" s="17"/>
      <c r="K1042" s="17"/>
      <c r="L1042" s="17"/>
      <c r="M1042" s="35" t="s">
        <v>2691</v>
      </c>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row>
    <row r="1043" hidden="1">
      <c r="A1043" s="17">
        <v>1041</v>
      </c>
      <c r="B1043" s="17" t="s">
        <v>52</v>
      </c>
      <c r="C1043" s="34" t="s">
        <v>3131</v>
      </c>
      <c r="D1043" s="35" t="s">
        <v>52</v>
      </c>
      <c r="E1043" s="17"/>
      <c r="F1043" s="17"/>
      <c r="G1043" s="17"/>
      <c r="H1043" s="17"/>
      <c r="I1043" s="17"/>
      <c r="J1043" s="17"/>
      <c r="K1043" s="17"/>
      <c r="L1043" s="17"/>
      <c r="M1043" s="35" t="s">
        <v>2691</v>
      </c>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row>
    <row r="1044" hidden="1">
      <c r="A1044" s="17">
        <v>1042</v>
      </c>
      <c r="B1044" s="17" t="s">
        <v>52</v>
      </c>
      <c r="C1044" s="34" t="s">
        <v>3132</v>
      </c>
      <c r="D1044" s="35" t="s">
        <v>52</v>
      </c>
      <c r="E1044" s="17"/>
      <c r="F1044" s="17"/>
      <c r="G1044" s="17"/>
      <c r="H1044" s="17"/>
      <c r="I1044" s="17"/>
      <c r="J1044" s="17"/>
      <c r="K1044" s="17"/>
      <c r="L1044" s="17"/>
      <c r="M1044" s="35" t="s">
        <v>2691</v>
      </c>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row>
    <row r="1045" hidden="1">
      <c r="A1045" s="17">
        <v>1043</v>
      </c>
      <c r="B1045" s="17" t="s">
        <v>52</v>
      </c>
      <c r="C1045" s="34" t="s">
        <v>3133</v>
      </c>
      <c r="D1045" s="35" t="s">
        <v>52</v>
      </c>
      <c r="E1045" s="17" t="s">
        <v>3134</v>
      </c>
      <c r="F1045" s="17" t="s">
        <v>3135</v>
      </c>
      <c r="G1045" s="17">
        <v>22.138380000000002</v>
      </c>
      <c r="H1045" s="17">
        <v>87.671238000000002</v>
      </c>
      <c r="I1045" s="17"/>
      <c r="J1045" s="17"/>
      <c r="K1045" s="17"/>
      <c r="L1045" s="17"/>
      <c r="M1045" s="35" t="s">
        <v>3136</v>
      </c>
      <c r="N1045" s="17"/>
      <c r="O1045" s="17">
        <v>16</v>
      </c>
      <c r="P1045" s="17">
        <v>120</v>
      </c>
      <c r="Q1045" s="17" t="s">
        <v>105</v>
      </c>
      <c r="R1045" s="17" t="s">
        <v>74</v>
      </c>
      <c r="S1045" s="17" t="s">
        <v>75</v>
      </c>
      <c r="T1045" s="17"/>
      <c r="U1045" s="17" t="s">
        <v>160</v>
      </c>
      <c r="V1045" s="17" t="s">
        <v>77</v>
      </c>
      <c r="W1045" s="17" t="s">
        <v>252</v>
      </c>
      <c r="X1045" s="17">
        <v>5</v>
      </c>
      <c r="Y1045" s="17">
        <v>1</v>
      </c>
      <c r="Z1045" s="17"/>
      <c r="AA1045" s="17" t="s">
        <v>105</v>
      </c>
      <c r="AB1045" s="17" t="s">
        <v>79</v>
      </c>
      <c r="AC1045" s="17">
        <v>2</v>
      </c>
      <c r="AD1045" s="17">
        <v>0</v>
      </c>
      <c r="AE1045" s="17">
        <v>0</v>
      </c>
      <c r="AF1045" s="17"/>
      <c r="AG1045" s="17" t="s">
        <v>3137</v>
      </c>
      <c r="AH1045" s="17"/>
      <c r="AI1045" s="17"/>
      <c r="AJ1045" s="17"/>
      <c r="AK1045" s="17"/>
      <c r="AL1045" s="17"/>
      <c r="AM1045" s="17"/>
      <c r="AN1045" s="17"/>
      <c r="AO1045" s="17"/>
      <c r="AP1045" s="17"/>
      <c r="AQ1045" s="17"/>
      <c r="AR1045" s="17"/>
      <c r="AS1045" s="17"/>
      <c r="AT1045" s="17" t="s">
        <v>3138</v>
      </c>
      <c r="AU1045" s="17" t="s">
        <v>2368</v>
      </c>
    </row>
    <row r="1046" hidden="1">
      <c r="A1046" s="17">
        <v>1044</v>
      </c>
      <c r="B1046" s="17" t="s">
        <v>52</v>
      </c>
      <c r="C1046" s="34" t="s">
        <v>3139</v>
      </c>
      <c r="D1046" s="35" t="s">
        <v>52</v>
      </c>
      <c r="E1046" s="17" t="s">
        <v>3140</v>
      </c>
      <c r="F1046" s="17" t="s">
        <v>3141</v>
      </c>
      <c r="G1046" s="17">
        <v>22.120049000000002</v>
      </c>
      <c r="H1046" s="17">
        <v>87.583564999999993</v>
      </c>
      <c r="I1046" s="17"/>
      <c r="J1046" s="17"/>
      <c r="K1046" s="17"/>
      <c r="L1046" s="17"/>
      <c r="M1046" s="35" t="s">
        <v>3136</v>
      </c>
      <c r="N1046" s="17"/>
      <c r="O1046" s="17">
        <v>20</v>
      </c>
      <c r="P1046" s="17">
        <v>110</v>
      </c>
      <c r="Q1046" s="17" t="s">
        <v>73</v>
      </c>
      <c r="R1046" s="17" t="s">
        <v>1180</v>
      </c>
      <c r="S1046" s="17" t="s">
        <v>75</v>
      </c>
      <c r="T1046" s="17"/>
      <c r="U1046" s="17" t="s">
        <v>105</v>
      </c>
      <c r="V1046" s="17" t="s">
        <v>77</v>
      </c>
      <c r="W1046" s="17" t="s">
        <v>78</v>
      </c>
      <c r="X1046" s="17">
        <v>3</v>
      </c>
      <c r="Y1046" s="17">
        <v>0</v>
      </c>
      <c r="Z1046" s="17"/>
      <c r="AA1046" s="17" t="s">
        <v>73</v>
      </c>
      <c r="AB1046" s="17" t="s">
        <v>79</v>
      </c>
      <c r="AC1046" s="17">
        <v>2</v>
      </c>
      <c r="AD1046" s="17">
        <v>0</v>
      </c>
      <c r="AE1046" s="17">
        <v>0</v>
      </c>
      <c r="AF1046" s="17"/>
      <c r="AG1046" s="17" t="s">
        <v>124</v>
      </c>
      <c r="AH1046" s="17" t="s">
        <v>82</v>
      </c>
      <c r="AI1046" s="17" t="s">
        <v>83</v>
      </c>
      <c r="AJ1046" s="17">
        <v>2111</v>
      </c>
      <c r="AK1046" s="17" t="s">
        <v>137</v>
      </c>
      <c r="AL1046" s="17" t="s">
        <v>137</v>
      </c>
      <c r="AM1046" s="17" t="s">
        <v>137</v>
      </c>
      <c r="AN1046" s="17" t="s">
        <v>84</v>
      </c>
      <c r="AO1046" s="17" t="s">
        <v>75</v>
      </c>
      <c r="AP1046" s="17"/>
      <c r="AQ1046" s="17"/>
      <c r="AR1046" s="17"/>
      <c r="AS1046" s="17"/>
      <c r="AT1046" s="17" t="s">
        <v>3142</v>
      </c>
      <c r="AU1046" s="17" t="s">
        <v>127</v>
      </c>
    </row>
    <row r="1047" hidden="1">
      <c r="A1047" s="17">
        <v>1045</v>
      </c>
      <c r="B1047" s="17" t="s">
        <v>52</v>
      </c>
      <c r="C1047" s="34" t="s">
        <v>3143</v>
      </c>
      <c r="D1047" s="35" t="s">
        <v>52</v>
      </c>
      <c r="E1047" s="17" t="s">
        <v>3144</v>
      </c>
      <c r="F1047" s="17" t="s">
        <v>3145</v>
      </c>
      <c r="G1047" s="17">
        <v>22.165064000000001</v>
      </c>
      <c r="H1047" s="17">
        <v>87.688472000000004</v>
      </c>
      <c r="I1047" s="17"/>
      <c r="J1047" s="17"/>
      <c r="K1047" s="17"/>
      <c r="L1047" s="17"/>
      <c r="M1047" s="35" t="s">
        <v>3136</v>
      </c>
      <c r="N1047" s="17"/>
      <c r="O1047" s="17">
        <v>15</v>
      </c>
      <c r="P1047" s="17">
        <v>115</v>
      </c>
      <c r="Q1047" s="17" t="s">
        <v>73</v>
      </c>
      <c r="R1047" s="17" t="s">
        <v>74</v>
      </c>
      <c r="S1047" s="17" t="s">
        <v>75</v>
      </c>
      <c r="T1047" s="17"/>
      <c r="U1047" s="17" t="s">
        <v>105</v>
      </c>
      <c r="V1047" s="17" t="s">
        <v>77</v>
      </c>
      <c r="W1047" s="17" t="s">
        <v>914</v>
      </c>
      <c r="X1047" s="17">
        <v>5</v>
      </c>
      <c r="Y1047" s="17">
        <v>3</v>
      </c>
      <c r="Z1047" s="17"/>
      <c r="AA1047" s="17" t="s">
        <v>73</v>
      </c>
      <c r="AB1047" s="17" t="s">
        <v>79</v>
      </c>
      <c r="AC1047" s="17">
        <v>1</v>
      </c>
      <c r="AD1047" s="17">
        <v>0</v>
      </c>
      <c r="AE1047" s="17">
        <v>0</v>
      </c>
      <c r="AF1047" s="17"/>
      <c r="AG1047" s="17" t="s">
        <v>3137</v>
      </c>
      <c r="AH1047" s="17"/>
      <c r="AI1047" s="17"/>
      <c r="AJ1047" s="17"/>
      <c r="AK1047" s="17"/>
      <c r="AL1047" s="17"/>
      <c r="AM1047" s="17"/>
      <c r="AN1047" s="17"/>
      <c r="AO1047" s="17"/>
      <c r="AP1047" s="17"/>
      <c r="AQ1047" s="17"/>
      <c r="AR1047" s="17"/>
      <c r="AS1047" s="17"/>
      <c r="AT1047" s="17" t="s">
        <v>3146</v>
      </c>
      <c r="AU1047" s="17" t="s">
        <v>3147</v>
      </c>
    </row>
    <row r="1048" hidden="1">
      <c r="A1048" s="17">
        <v>1046</v>
      </c>
      <c r="B1048" s="17" t="s">
        <v>52</v>
      </c>
      <c r="C1048" s="34" t="s">
        <v>3148</v>
      </c>
      <c r="D1048" s="35" t="s">
        <v>52</v>
      </c>
      <c r="E1048" s="17" t="s">
        <v>3149</v>
      </c>
      <c r="F1048" s="17" t="s">
        <v>3150</v>
      </c>
      <c r="G1048" s="17">
        <v>22.187594000000001</v>
      </c>
      <c r="H1048" s="17">
        <v>87.558711000000002</v>
      </c>
      <c r="I1048" s="17"/>
      <c r="J1048" s="17"/>
      <c r="K1048" s="17"/>
      <c r="L1048" s="17"/>
      <c r="M1048" s="35" t="s">
        <v>2248</v>
      </c>
      <c r="N1048" s="17">
        <v>8100154683</v>
      </c>
      <c r="O1048" s="17">
        <v>20</v>
      </c>
      <c r="P1048" s="17">
        <v>55</v>
      </c>
      <c r="Q1048" s="17" t="s">
        <v>73</v>
      </c>
      <c r="R1048" s="17" t="s">
        <v>104</v>
      </c>
      <c r="S1048" s="17" t="s">
        <v>947</v>
      </c>
      <c r="T1048" s="17"/>
      <c r="U1048" s="17" t="s">
        <v>105</v>
      </c>
      <c r="V1048" s="17" t="s">
        <v>77</v>
      </c>
      <c r="W1048" s="17" t="s">
        <v>454</v>
      </c>
      <c r="X1048" s="17">
        <v>3</v>
      </c>
      <c r="Y1048" s="17">
        <v>0</v>
      </c>
      <c r="Z1048" s="17"/>
      <c r="AA1048" s="17" t="s">
        <v>73</v>
      </c>
      <c r="AB1048" s="17" t="s">
        <v>79</v>
      </c>
      <c r="AC1048" s="17">
        <v>2</v>
      </c>
      <c r="AD1048" s="17">
        <v>0</v>
      </c>
      <c r="AE1048" s="17">
        <v>0</v>
      </c>
      <c r="AF1048" s="17"/>
      <c r="AG1048" s="17" t="s">
        <v>414</v>
      </c>
      <c r="AH1048" s="17" t="s">
        <v>3151</v>
      </c>
      <c r="AI1048" s="17" t="s">
        <v>83</v>
      </c>
      <c r="AJ1048" s="17" t="s">
        <v>3152</v>
      </c>
      <c r="AK1048" s="17" t="s">
        <v>137</v>
      </c>
      <c r="AL1048" s="17" t="s">
        <v>75</v>
      </c>
      <c r="AM1048" s="17" t="s">
        <v>137</v>
      </c>
      <c r="AN1048" s="17" t="s">
        <v>84</v>
      </c>
      <c r="AO1048" s="17" t="s">
        <v>75</v>
      </c>
      <c r="AP1048" s="17"/>
      <c r="AQ1048" s="17"/>
      <c r="AR1048" s="17"/>
      <c r="AS1048" s="17"/>
      <c r="AT1048" s="17" t="s">
        <v>3153</v>
      </c>
      <c r="AU1048" s="17" t="s">
        <v>111</v>
      </c>
    </row>
    <row r="1049" hidden="1">
      <c r="A1049" s="17">
        <v>1047</v>
      </c>
      <c r="B1049" s="17" t="s">
        <v>52</v>
      </c>
      <c r="C1049" s="34" t="s">
        <v>3154</v>
      </c>
      <c r="D1049" s="35" t="s">
        <v>52</v>
      </c>
      <c r="E1049" s="17" t="s">
        <v>3155</v>
      </c>
      <c r="F1049" s="17" t="s">
        <v>3156</v>
      </c>
      <c r="G1049" s="17">
        <v>22.177548999999999</v>
      </c>
      <c r="H1049" s="17">
        <v>87.595194000000006</v>
      </c>
      <c r="I1049" s="17"/>
      <c r="J1049" s="17"/>
      <c r="K1049" s="17"/>
      <c r="L1049" s="17"/>
      <c r="M1049" s="35" t="s">
        <v>3136</v>
      </c>
      <c r="N1049" s="17"/>
      <c r="O1049" s="17">
        <v>20</v>
      </c>
      <c r="P1049" s="17">
        <v>135</v>
      </c>
      <c r="Q1049" s="17" t="s">
        <v>105</v>
      </c>
      <c r="R1049" s="17" t="s">
        <v>74</v>
      </c>
      <c r="S1049" s="17" t="s">
        <v>75</v>
      </c>
      <c r="T1049" s="17"/>
      <c r="U1049" s="17" t="s">
        <v>105</v>
      </c>
      <c r="V1049" s="17" t="s">
        <v>77</v>
      </c>
      <c r="W1049" s="17" t="s">
        <v>252</v>
      </c>
      <c r="X1049" s="17">
        <v>5</v>
      </c>
      <c r="Y1049" s="17">
        <v>0</v>
      </c>
      <c r="Z1049" s="17"/>
      <c r="AA1049" s="17" t="s">
        <v>105</v>
      </c>
      <c r="AB1049" s="17" t="s">
        <v>79</v>
      </c>
      <c r="AC1049" s="17">
        <v>3</v>
      </c>
      <c r="AD1049" s="17">
        <v>0</v>
      </c>
      <c r="AE1049" s="17">
        <v>0</v>
      </c>
      <c r="AF1049" s="17"/>
      <c r="AG1049" s="17" t="s">
        <v>414</v>
      </c>
      <c r="AH1049" s="17" t="s">
        <v>415</v>
      </c>
      <c r="AI1049" s="17" t="s">
        <v>414</v>
      </c>
      <c r="AJ1049" s="17" t="s">
        <v>416</v>
      </c>
      <c r="AK1049" s="17" t="s">
        <v>137</v>
      </c>
      <c r="AL1049" s="17" t="s">
        <v>137</v>
      </c>
      <c r="AM1049" s="17" t="s">
        <v>137</v>
      </c>
      <c r="AN1049" s="17" t="s">
        <v>84</v>
      </c>
      <c r="AO1049" s="17" t="s">
        <v>137</v>
      </c>
      <c r="AP1049" s="17"/>
      <c r="AQ1049" s="17"/>
      <c r="AR1049" s="17"/>
      <c r="AS1049" s="17"/>
      <c r="AT1049" s="17" t="s">
        <v>3157</v>
      </c>
      <c r="AU1049" s="17" t="s">
        <v>127</v>
      </c>
    </row>
    <row r="1050" hidden="1">
      <c r="A1050" s="17">
        <v>1048</v>
      </c>
      <c r="B1050" s="17" t="s">
        <v>52</v>
      </c>
      <c r="C1050" s="34" t="s">
        <v>3158</v>
      </c>
      <c r="D1050" s="35" t="s">
        <v>52</v>
      </c>
      <c r="E1050" s="17" t="s">
        <v>3159</v>
      </c>
      <c r="F1050" s="17" t="s">
        <v>3160</v>
      </c>
      <c r="G1050" s="17">
        <v>22.204143999999999</v>
      </c>
      <c r="H1050" s="17">
        <v>87.594828000000007</v>
      </c>
      <c r="I1050" s="17"/>
      <c r="J1050" s="17"/>
      <c r="K1050" s="17"/>
      <c r="L1050" s="17"/>
      <c r="M1050" s="35" t="s">
        <v>2680</v>
      </c>
      <c r="N1050" s="17">
        <v>8240995955</v>
      </c>
      <c r="O1050" s="17">
        <v>20</v>
      </c>
      <c r="P1050" s="17">
        <v>70</v>
      </c>
      <c r="Q1050" s="17" t="s">
        <v>73</v>
      </c>
      <c r="R1050" s="17" t="s">
        <v>104</v>
      </c>
      <c r="S1050" s="17" t="s">
        <v>137</v>
      </c>
      <c r="T1050" s="17" t="s">
        <v>3161</v>
      </c>
      <c r="U1050" s="17" t="s">
        <v>105</v>
      </c>
      <c r="V1050" s="17" t="s">
        <v>77</v>
      </c>
      <c r="W1050" s="17" t="s">
        <v>161</v>
      </c>
      <c r="X1050" s="17">
        <v>5</v>
      </c>
      <c r="Y1050" s="17">
        <v>2</v>
      </c>
      <c r="Z1050" s="17" t="s">
        <v>3162</v>
      </c>
      <c r="AA1050" s="17" t="s">
        <v>73</v>
      </c>
      <c r="AB1050" s="17" t="s">
        <v>79</v>
      </c>
      <c r="AC1050" s="17">
        <v>1</v>
      </c>
      <c r="AD1050" s="17">
        <v>0</v>
      </c>
      <c r="AE1050" s="17">
        <v>0</v>
      </c>
      <c r="AF1050" s="17"/>
      <c r="AG1050" s="17" t="s">
        <v>724</v>
      </c>
      <c r="AH1050" s="17"/>
      <c r="AI1050" s="17"/>
      <c r="AJ1050" s="17"/>
      <c r="AK1050" s="17"/>
      <c r="AL1050" s="17"/>
      <c r="AM1050" s="17"/>
      <c r="AN1050" s="17"/>
      <c r="AO1050" s="17"/>
      <c r="AP1050" s="17"/>
      <c r="AQ1050" s="17"/>
      <c r="AR1050" s="17"/>
      <c r="AS1050" s="17"/>
      <c r="AT1050" s="17" t="s">
        <v>3163</v>
      </c>
      <c r="AU1050" s="17" t="s">
        <v>111</v>
      </c>
    </row>
    <row r="1051" hidden="1">
      <c r="A1051" s="17">
        <v>1049</v>
      </c>
      <c r="B1051" s="17" t="s">
        <v>52</v>
      </c>
      <c r="C1051" s="34" t="s">
        <v>3164</v>
      </c>
      <c r="D1051" s="35" t="s">
        <v>52</v>
      </c>
      <c r="E1051" s="17" t="s">
        <v>3165</v>
      </c>
      <c r="F1051" s="17" t="s">
        <v>3166</v>
      </c>
      <c r="G1051" s="17">
        <v>22.161370999999999</v>
      </c>
      <c r="H1051" s="17">
        <v>87.651799999999994</v>
      </c>
      <c r="I1051" s="17"/>
      <c r="J1051" s="17"/>
      <c r="K1051" s="17"/>
      <c r="L1051" s="17"/>
      <c r="M1051" s="35" t="s">
        <v>3136</v>
      </c>
      <c r="N1051" s="17"/>
      <c r="O1051" s="17">
        <v>18</v>
      </c>
      <c r="P1051" s="17">
        <v>135</v>
      </c>
      <c r="Q1051" s="17" t="s">
        <v>448</v>
      </c>
      <c r="R1051" s="17" t="s">
        <v>74</v>
      </c>
      <c r="S1051" s="17" t="s">
        <v>75</v>
      </c>
      <c r="T1051" s="17"/>
      <c r="U1051" s="17" t="s">
        <v>160</v>
      </c>
      <c r="V1051" s="17" t="s">
        <v>77</v>
      </c>
      <c r="W1051" s="17" t="s">
        <v>252</v>
      </c>
      <c r="X1051" s="17">
        <v>5</v>
      </c>
      <c r="Y1051" s="17">
        <v>0</v>
      </c>
      <c r="Z1051" s="17"/>
      <c r="AA1051" s="17" t="s">
        <v>448</v>
      </c>
      <c r="AB1051" s="17" t="s">
        <v>79</v>
      </c>
      <c r="AC1051" s="17">
        <v>4</v>
      </c>
      <c r="AD1051" s="17">
        <v>0</v>
      </c>
      <c r="AE1051" s="17">
        <v>0</v>
      </c>
      <c r="AF1051" s="17"/>
      <c r="AG1051" s="17" t="s">
        <v>124</v>
      </c>
      <c r="AH1051" s="17" t="s">
        <v>82</v>
      </c>
      <c r="AI1051" s="17" t="s">
        <v>83</v>
      </c>
      <c r="AJ1051" s="17">
        <v>2111</v>
      </c>
      <c r="AK1051" s="17" t="s">
        <v>75</v>
      </c>
      <c r="AL1051" s="17" t="s">
        <v>75</v>
      </c>
      <c r="AM1051" s="17" t="s">
        <v>3167</v>
      </c>
      <c r="AN1051" s="17" t="s">
        <v>125</v>
      </c>
      <c r="AO1051" s="17" t="s">
        <v>75</v>
      </c>
      <c r="AP1051" s="17"/>
      <c r="AQ1051" s="17"/>
      <c r="AR1051" s="17"/>
      <c r="AS1051" s="17"/>
      <c r="AT1051" s="17"/>
      <c r="AU1051" s="17" t="s">
        <v>111</v>
      </c>
    </row>
    <row r="1052" hidden="1">
      <c r="A1052" s="17">
        <v>1050</v>
      </c>
      <c r="B1052" s="17" t="s">
        <v>52</v>
      </c>
      <c r="C1052" s="34" t="s">
        <v>3168</v>
      </c>
      <c r="D1052" s="35" t="s">
        <v>52</v>
      </c>
      <c r="E1052" s="17" t="s">
        <v>3169</v>
      </c>
      <c r="F1052" s="17" t="s">
        <v>3170</v>
      </c>
      <c r="G1052" s="17">
        <v>22.135294999999999</v>
      </c>
      <c r="H1052" s="17">
        <v>87.515867999999998</v>
      </c>
      <c r="I1052" s="17"/>
      <c r="J1052" s="17"/>
      <c r="K1052" s="17"/>
      <c r="L1052" s="17"/>
      <c r="M1052" s="35" t="s">
        <v>2248</v>
      </c>
      <c r="N1052" s="17">
        <v>8100154683</v>
      </c>
      <c r="O1052" s="17">
        <v>18</v>
      </c>
      <c r="P1052" s="17">
        <v>60</v>
      </c>
      <c r="Q1052" s="17" t="s">
        <v>105</v>
      </c>
      <c r="R1052" s="17" t="s">
        <v>142</v>
      </c>
      <c r="S1052" s="17" t="s">
        <v>75</v>
      </c>
      <c r="T1052" s="17"/>
      <c r="U1052" s="17" t="s">
        <v>251</v>
      </c>
      <c r="V1052" s="17" t="s">
        <v>77</v>
      </c>
      <c r="W1052" s="17" t="s">
        <v>454</v>
      </c>
      <c r="X1052" s="17">
        <v>3</v>
      </c>
      <c r="Y1052" s="17">
        <v>0</v>
      </c>
      <c r="Z1052" s="17"/>
      <c r="AA1052" s="17" t="s">
        <v>105</v>
      </c>
      <c r="AB1052" s="17" t="s">
        <v>79</v>
      </c>
      <c r="AC1052" s="17">
        <v>4</v>
      </c>
      <c r="AD1052" s="17">
        <v>0</v>
      </c>
      <c r="AE1052" s="17">
        <v>0</v>
      </c>
      <c r="AF1052" s="17"/>
      <c r="AG1052" s="17" t="s">
        <v>81</v>
      </c>
      <c r="AH1052" s="17" t="s">
        <v>82</v>
      </c>
      <c r="AI1052" s="17" t="s">
        <v>83</v>
      </c>
      <c r="AJ1052" s="17" t="s">
        <v>1453</v>
      </c>
      <c r="AK1052" s="17" t="s">
        <v>75</v>
      </c>
      <c r="AL1052" s="17" t="s">
        <v>75</v>
      </c>
      <c r="AM1052" s="17" t="s">
        <v>75</v>
      </c>
      <c r="AN1052" s="17" t="s">
        <v>84</v>
      </c>
      <c r="AO1052" s="17" t="s">
        <v>75</v>
      </c>
      <c r="AP1052" s="17"/>
      <c r="AQ1052" s="17"/>
      <c r="AR1052" s="17"/>
      <c r="AS1052" s="17"/>
      <c r="AT1052" s="17" t="s">
        <v>547</v>
      </c>
      <c r="AU1052" s="17" t="s">
        <v>111</v>
      </c>
    </row>
    <row r="1053" hidden="1">
      <c r="A1053" s="17">
        <v>1051</v>
      </c>
      <c r="B1053" s="17" t="s">
        <v>52</v>
      </c>
      <c r="C1053" s="34" t="s">
        <v>3171</v>
      </c>
      <c r="D1053" s="35" t="s">
        <v>52</v>
      </c>
      <c r="E1053" s="17" t="s">
        <v>3172</v>
      </c>
      <c r="F1053" s="17" t="s">
        <v>3173</v>
      </c>
      <c r="G1053" s="17">
        <v>22.209074999999999</v>
      </c>
      <c r="H1053" s="17">
        <v>87.565081000000006</v>
      </c>
      <c r="I1053" s="17"/>
      <c r="J1053" s="17"/>
      <c r="K1053" s="17"/>
      <c r="L1053" s="17"/>
      <c r="M1053" s="35" t="s">
        <v>2680</v>
      </c>
      <c r="N1053" s="17">
        <v>8240995955</v>
      </c>
      <c r="O1053" s="17">
        <v>20</v>
      </c>
      <c r="P1053" s="17">
        <v>110</v>
      </c>
      <c r="Q1053" s="17" t="s">
        <v>448</v>
      </c>
      <c r="R1053" s="17" t="s">
        <v>74</v>
      </c>
      <c r="S1053" s="17" t="s">
        <v>75</v>
      </c>
      <c r="T1053" s="17"/>
      <c r="U1053" s="17" t="s">
        <v>76</v>
      </c>
      <c r="V1053" s="17" t="s">
        <v>77</v>
      </c>
      <c r="W1053" s="17" t="s">
        <v>161</v>
      </c>
      <c r="X1053" s="17">
        <v>5</v>
      </c>
      <c r="Y1053" s="17">
        <v>0</v>
      </c>
      <c r="Z1053" s="17"/>
      <c r="AA1053" s="17" t="s">
        <v>448</v>
      </c>
      <c r="AB1053" s="17" t="s">
        <v>1838</v>
      </c>
      <c r="AC1053" s="17">
        <v>5</v>
      </c>
      <c r="AD1053" s="17">
        <v>0</v>
      </c>
      <c r="AE1053" s="17">
        <v>0</v>
      </c>
      <c r="AF1053" s="17"/>
      <c r="AG1053" s="17" t="s">
        <v>81</v>
      </c>
      <c r="AH1053" s="17" t="s">
        <v>82</v>
      </c>
      <c r="AI1053" s="17" t="s">
        <v>107</v>
      </c>
      <c r="AJ1053" s="17"/>
      <c r="AK1053" s="17" t="s">
        <v>75</v>
      </c>
      <c r="AL1053" s="17" t="s">
        <v>75</v>
      </c>
      <c r="AM1053" s="17" t="s">
        <v>75</v>
      </c>
      <c r="AN1053" s="17" t="s">
        <v>125</v>
      </c>
      <c r="AO1053" s="17" t="s">
        <v>75</v>
      </c>
      <c r="AP1053" s="17"/>
      <c r="AQ1053" s="17"/>
      <c r="AR1053" s="17"/>
      <c r="AS1053" s="17"/>
      <c r="AT1053" s="17" t="s">
        <v>3174</v>
      </c>
      <c r="AU1053" s="17" t="s">
        <v>111</v>
      </c>
    </row>
    <row r="1054" hidden="1">
      <c r="A1054" s="17">
        <v>1052</v>
      </c>
      <c r="B1054" s="17" t="s">
        <v>52</v>
      </c>
      <c r="C1054" s="34" t="s">
        <v>3175</v>
      </c>
      <c r="D1054" s="35" t="s">
        <v>52</v>
      </c>
      <c r="E1054" s="17" t="s">
        <v>3176</v>
      </c>
      <c r="F1054" s="17" t="s">
        <v>3177</v>
      </c>
      <c r="G1054" s="17">
        <v>22.215340000000001</v>
      </c>
      <c r="H1054" s="17">
        <v>87.546284</v>
      </c>
      <c r="I1054" s="17"/>
      <c r="J1054" s="17"/>
      <c r="K1054" s="17"/>
      <c r="L1054" s="17"/>
      <c r="M1054" s="35" t="s">
        <v>2680</v>
      </c>
      <c r="N1054" s="17">
        <v>8240995955</v>
      </c>
      <c r="O1054" s="17">
        <v>20</v>
      </c>
      <c r="P1054" s="17">
        <v>65</v>
      </c>
      <c r="Q1054" s="17" t="s">
        <v>105</v>
      </c>
      <c r="R1054" s="17" t="s">
        <v>154</v>
      </c>
      <c r="S1054" s="17" t="s">
        <v>137</v>
      </c>
      <c r="T1054" s="17" t="s">
        <v>551</v>
      </c>
      <c r="U1054" s="17" t="s">
        <v>76</v>
      </c>
      <c r="V1054" s="17" t="s">
        <v>77</v>
      </c>
      <c r="W1054" s="17">
        <v>2</v>
      </c>
      <c r="X1054" s="17">
        <v>3</v>
      </c>
      <c r="Y1054" s="17">
        <v>1</v>
      </c>
      <c r="Z1054" s="17"/>
      <c r="AA1054" s="17" t="s">
        <v>145</v>
      </c>
      <c r="AB1054" s="17" t="s">
        <v>239</v>
      </c>
      <c r="AC1054" s="17">
        <v>3</v>
      </c>
      <c r="AD1054" s="17">
        <v>0</v>
      </c>
      <c r="AE1054" s="17">
        <v>2</v>
      </c>
      <c r="AF1054" s="17"/>
      <c r="AG1054" s="17" t="s">
        <v>81</v>
      </c>
      <c r="AH1054" s="17" t="s">
        <v>162</v>
      </c>
      <c r="AI1054" s="17" t="s">
        <v>83</v>
      </c>
      <c r="AJ1054" s="17">
        <v>2112</v>
      </c>
      <c r="AK1054" s="17" t="s">
        <v>75</v>
      </c>
      <c r="AL1054" s="17" t="s">
        <v>75</v>
      </c>
      <c r="AM1054" s="17" t="s">
        <v>75</v>
      </c>
      <c r="AN1054" s="17" t="s">
        <v>84</v>
      </c>
      <c r="AO1054" s="17" t="s">
        <v>75</v>
      </c>
      <c r="AP1054" s="17"/>
      <c r="AQ1054" s="17"/>
      <c r="AR1054" s="17"/>
      <c r="AS1054" s="17"/>
      <c r="AT1054" s="17" t="s">
        <v>3178</v>
      </c>
      <c r="AU1054" s="17" t="s">
        <v>111</v>
      </c>
    </row>
    <row r="1055" hidden="1">
      <c r="A1055" s="17">
        <v>1053</v>
      </c>
      <c r="B1055" s="17" t="s">
        <v>52</v>
      </c>
      <c r="C1055" s="34" t="s">
        <v>3179</v>
      </c>
      <c r="D1055" s="35" t="s">
        <v>52</v>
      </c>
      <c r="E1055" s="17" t="s">
        <v>3180</v>
      </c>
      <c r="F1055" s="17" t="s">
        <v>3181</v>
      </c>
      <c r="G1055" s="17">
        <v>22.155055999999998</v>
      </c>
      <c r="H1055" s="17">
        <v>87.672967</v>
      </c>
      <c r="I1055" s="17"/>
      <c r="J1055" s="17"/>
      <c r="K1055" s="17"/>
      <c r="L1055" s="17"/>
      <c r="M1055" s="35" t="s">
        <v>3136</v>
      </c>
      <c r="N1055" s="17"/>
      <c r="O1055" s="17">
        <v>16</v>
      </c>
      <c r="P1055" s="17">
        <v>140</v>
      </c>
      <c r="Q1055" s="17" t="s">
        <v>105</v>
      </c>
      <c r="R1055" s="17" t="s">
        <v>3182</v>
      </c>
      <c r="S1055" s="17" t="s">
        <v>75</v>
      </c>
      <c r="T1055" s="17"/>
      <c r="U1055" s="17" t="s">
        <v>105</v>
      </c>
      <c r="V1055" s="17" t="s">
        <v>77</v>
      </c>
      <c r="W1055" s="17" t="s">
        <v>2517</v>
      </c>
      <c r="X1055" s="17">
        <v>4</v>
      </c>
      <c r="Y1055" s="17">
        <v>0</v>
      </c>
      <c r="Z1055" s="17" t="s">
        <v>3183</v>
      </c>
      <c r="AA1055" s="17" t="s">
        <v>105</v>
      </c>
      <c r="AB1055" s="17" t="s">
        <v>239</v>
      </c>
      <c r="AC1055" s="17">
        <v>4</v>
      </c>
      <c r="AD1055" s="17">
        <v>0</v>
      </c>
      <c r="AE1055" s="17">
        <v>0</v>
      </c>
      <c r="AF1055" s="17"/>
      <c r="AG1055" s="17" t="s">
        <v>124</v>
      </c>
      <c r="AH1055" s="17" t="s">
        <v>82</v>
      </c>
      <c r="AI1055" s="17" t="s">
        <v>83</v>
      </c>
      <c r="AJ1055" s="17">
        <v>2111</v>
      </c>
      <c r="AK1055" s="17" t="s">
        <v>137</v>
      </c>
      <c r="AL1055" s="17" t="s">
        <v>75</v>
      </c>
      <c r="AM1055" s="17" t="s">
        <v>137</v>
      </c>
      <c r="AN1055" s="17" t="s">
        <v>84</v>
      </c>
      <c r="AO1055" s="17" t="s">
        <v>3184</v>
      </c>
      <c r="AP1055" s="17"/>
      <c r="AQ1055" s="17"/>
      <c r="AR1055" s="17"/>
      <c r="AS1055" s="17"/>
      <c r="AT1055" s="17" t="s">
        <v>429</v>
      </c>
      <c r="AU1055" s="17" t="s">
        <v>111</v>
      </c>
    </row>
    <row r="1056" hidden="1">
      <c r="A1056" s="17">
        <v>1054</v>
      </c>
      <c r="B1056" s="17" t="s">
        <v>52</v>
      </c>
      <c r="C1056" s="34" t="s">
        <v>3185</v>
      </c>
      <c r="D1056" s="35" t="s">
        <v>52</v>
      </c>
      <c r="E1056" s="17" t="s">
        <v>3186</v>
      </c>
      <c r="F1056" s="17" t="s">
        <v>3187</v>
      </c>
      <c r="G1056" s="17">
        <v>22.192713000000001</v>
      </c>
      <c r="H1056" s="17">
        <v>87.696186999999995</v>
      </c>
      <c r="I1056" s="17"/>
      <c r="J1056" s="17"/>
      <c r="K1056" s="17"/>
      <c r="L1056" s="17"/>
      <c r="M1056" s="35" t="s">
        <v>3136</v>
      </c>
      <c r="N1056" s="17"/>
      <c r="O1056" s="17">
        <v>18</v>
      </c>
      <c r="P1056" s="17">
        <v>132</v>
      </c>
      <c r="Q1056" s="17" t="s">
        <v>105</v>
      </c>
      <c r="R1056" s="17" t="s">
        <v>74</v>
      </c>
      <c r="S1056" s="17" t="s">
        <v>75</v>
      </c>
      <c r="T1056" s="17"/>
      <c r="U1056" s="17" t="s">
        <v>76</v>
      </c>
      <c r="V1056" s="17" t="s">
        <v>77</v>
      </c>
      <c r="W1056" s="17" t="s">
        <v>123</v>
      </c>
      <c r="X1056" s="17">
        <v>2</v>
      </c>
      <c r="Y1056" s="17">
        <v>0</v>
      </c>
      <c r="Z1056" s="17"/>
      <c r="AA1056" s="17" t="s">
        <v>105</v>
      </c>
      <c r="AB1056" s="17" t="s">
        <v>79</v>
      </c>
      <c r="AC1056" s="17">
        <v>3</v>
      </c>
      <c r="AD1056" s="17">
        <v>0</v>
      </c>
      <c r="AE1056" s="17">
        <v>0</v>
      </c>
      <c r="AF1056" s="17"/>
      <c r="AG1056" s="17" t="s">
        <v>124</v>
      </c>
      <c r="AH1056" s="17" t="s">
        <v>82</v>
      </c>
      <c r="AI1056" s="17" t="s">
        <v>83</v>
      </c>
      <c r="AJ1056" s="17">
        <v>2111</v>
      </c>
      <c r="AK1056" s="17" t="s">
        <v>75</v>
      </c>
      <c r="AL1056" s="17" t="s">
        <v>75</v>
      </c>
      <c r="AM1056" s="17" t="s">
        <v>75</v>
      </c>
      <c r="AN1056" s="17" t="s">
        <v>84</v>
      </c>
      <c r="AO1056" s="17" t="s">
        <v>75</v>
      </c>
      <c r="AP1056" s="17" t="s">
        <v>105</v>
      </c>
      <c r="AQ1056" s="17" t="s">
        <v>558</v>
      </c>
      <c r="AR1056" s="17">
        <v>1</v>
      </c>
      <c r="AS1056" s="17">
        <v>0</v>
      </c>
      <c r="AT1056" s="17" t="s">
        <v>3188</v>
      </c>
      <c r="AU1056" s="17" t="s">
        <v>111</v>
      </c>
    </row>
    <row r="1057" hidden="1">
      <c r="A1057" s="17">
        <v>1055</v>
      </c>
      <c r="B1057" s="17" t="s">
        <v>52</v>
      </c>
      <c r="C1057" s="34" t="s">
        <v>3189</v>
      </c>
      <c r="D1057" s="35" t="s">
        <v>52</v>
      </c>
      <c r="E1057" s="17" t="s">
        <v>3190</v>
      </c>
      <c r="F1057" s="17" t="s">
        <v>3191</v>
      </c>
      <c r="G1057" s="17">
        <v>22.233409999999999</v>
      </c>
      <c r="H1057" s="17">
        <v>87.657407000000006</v>
      </c>
      <c r="I1057" s="17"/>
      <c r="J1057" s="17"/>
      <c r="K1057" s="17"/>
      <c r="L1057" s="17"/>
      <c r="M1057" s="35" t="s">
        <v>3136</v>
      </c>
      <c r="N1057" s="17"/>
      <c r="O1057" s="17">
        <v>18</v>
      </c>
      <c r="P1057" s="17">
        <v>130</v>
      </c>
      <c r="Q1057" s="17" t="s">
        <v>73</v>
      </c>
      <c r="R1057" s="17" t="s">
        <v>74</v>
      </c>
      <c r="S1057" s="17" t="s">
        <v>75</v>
      </c>
      <c r="T1057" s="17"/>
      <c r="U1057" s="17" t="s">
        <v>105</v>
      </c>
      <c r="V1057" s="17" t="s">
        <v>77</v>
      </c>
      <c r="W1057" s="17" t="s">
        <v>449</v>
      </c>
      <c r="X1057" s="17">
        <v>3</v>
      </c>
      <c r="Y1057" s="17">
        <v>0</v>
      </c>
      <c r="Z1057" s="17"/>
      <c r="AA1057" s="17" t="s">
        <v>73</v>
      </c>
      <c r="AB1057" s="17" t="s">
        <v>79</v>
      </c>
      <c r="AC1057" s="17">
        <v>2</v>
      </c>
      <c r="AD1057" s="17">
        <v>0</v>
      </c>
      <c r="AE1057" s="17">
        <v>0</v>
      </c>
      <c r="AF1057" s="17"/>
      <c r="AG1057" s="17" t="s">
        <v>124</v>
      </c>
      <c r="AH1057" s="17" t="s">
        <v>82</v>
      </c>
      <c r="AI1057" s="17" t="s">
        <v>83</v>
      </c>
      <c r="AJ1057" s="17">
        <v>2111</v>
      </c>
      <c r="AK1057" s="17" t="s">
        <v>75</v>
      </c>
      <c r="AL1057" s="17" t="s">
        <v>75</v>
      </c>
      <c r="AM1057" s="17" t="s">
        <v>75</v>
      </c>
      <c r="AN1057" s="17" t="s">
        <v>125</v>
      </c>
      <c r="AO1057" s="17" t="s">
        <v>75</v>
      </c>
      <c r="AP1057" s="17"/>
      <c r="AQ1057" s="17"/>
      <c r="AR1057" s="17"/>
      <c r="AS1057" s="17"/>
      <c r="AT1057" s="17" t="s">
        <v>3192</v>
      </c>
      <c r="AU1057" s="17" t="s">
        <v>111</v>
      </c>
    </row>
    <row r="1058" hidden="1">
      <c r="A1058" s="17">
        <v>1056</v>
      </c>
      <c r="B1058" s="17" t="s">
        <v>52</v>
      </c>
      <c r="C1058" s="34" t="s">
        <v>3193</v>
      </c>
      <c r="D1058" s="35" t="s">
        <v>52</v>
      </c>
      <c r="E1058" s="17" t="s">
        <v>3194</v>
      </c>
      <c r="F1058" s="17" t="s">
        <v>3195</v>
      </c>
      <c r="G1058" s="17">
        <v>22.173639000000001</v>
      </c>
      <c r="H1058" s="17">
        <v>87.645494999999997</v>
      </c>
      <c r="I1058" s="17"/>
      <c r="J1058" s="17"/>
      <c r="K1058" s="17"/>
      <c r="L1058" s="17"/>
      <c r="M1058" s="35" t="s">
        <v>3136</v>
      </c>
      <c r="N1058" s="17"/>
      <c r="O1058" s="17">
        <v>18</v>
      </c>
      <c r="P1058" s="17">
        <v>125</v>
      </c>
      <c r="Q1058" s="17" t="s">
        <v>73</v>
      </c>
      <c r="R1058" s="17" t="s">
        <v>74</v>
      </c>
      <c r="S1058" s="17" t="s">
        <v>75</v>
      </c>
      <c r="T1058" s="17"/>
      <c r="U1058" s="17" t="s">
        <v>105</v>
      </c>
      <c r="V1058" s="17" t="s">
        <v>77</v>
      </c>
      <c r="W1058" s="17" t="s">
        <v>1234</v>
      </c>
      <c r="X1058" s="17">
        <v>4</v>
      </c>
      <c r="Y1058" s="17">
        <v>3</v>
      </c>
      <c r="Z1058" s="17"/>
      <c r="AA1058" s="17" t="s">
        <v>73</v>
      </c>
      <c r="AB1058" s="17" t="s">
        <v>79</v>
      </c>
      <c r="AC1058" s="17">
        <v>2</v>
      </c>
      <c r="AD1058" s="17">
        <v>0</v>
      </c>
      <c r="AE1058" s="17">
        <v>0</v>
      </c>
      <c r="AF1058" s="17"/>
      <c r="AG1058" s="17" t="s">
        <v>81</v>
      </c>
      <c r="AH1058" s="17" t="s">
        <v>82</v>
      </c>
      <c r="AI1058" s="17" t="s">
        <v>107</v>
      </c>
      <c r="AJ1058" s="17"/>
      <c r="AK1058" s="17" t="s">
        <v>75</v>
      </c>
      <c r="AL1058" s="17" t="s">
        <v>75</v>
      </c>
      <c r="AM1058" s="17" t="s">
        <v>75</v>
      </c>
      <c r="AN1058" s="17" t="s">
        <v>125</v>
      </c>
      <c r="AO1058" s="17" t="s">
        <v>75</v>
      </c>
      <c r="AP1058" s="17" t="s">
        <v>73</v>
      </c>
      <c r="AQ1058" s="17" t="s">
        <v>3196</v>
      </c>
      <c r="AR1058" s="17">
        <v>3</v>
      </c>
      <c r="AS1058" s="17">
        <v>1</v>
      </c>
      <c r="AT1058" s="17" t="s">
        <v>3197</v>
      </c>
      <c r="AU1058" s="17" t="s">
        <v>111</v>
      </c>
    </row>
    <row r="1059" hidden="1">
      <c r="A1059" s="17">
        <v>1057</v>
      </c>
      <c r="B1059" s="17" t="s">
        <v>52</v>
      </c>
      <c r="C1059" s="34" t="s">
        <v>3198</v>
      </c>
      <c r="D1059" s="35" t="s">
        <v>52</v>
      </c>
      <c r="E1059" s="17" t="s">
        <v>3199</v>
      </c>
      <c r="F1059" s="17" t="s">
        <v>3199</v>
      </c>
      <c r="G1059" s="17">
        <v>22.213132999999999</v>
      </c>
      <c r="H1059" s="17">
        <v>87.643850999999998</v>
      </c>
      <c r="I1059" s="17"/>
      <c r="J1059" s="17"/>
      <c r="K1059" s="17"/>
      <c r="L1059" s="17"/>
      <c r="M1059" s="35" t="s">
        <v>3136</v>
      </c>
      <c r="N1059" s="17"/>
      <c r="O1059" s="17">
        <v>20</v>
      </c>
      <c r="P1059" s="17">
        <v>70</v>
      </c>
      <c r="Q1059" s="17" t="s">
        <v>105</v>
      </c>
      <c r="R1059" s="17" t="s">
        <v>74</v>
      </c>
      <c r="S1059" s="17" t="s">
        <v>75</v>
      </c>
      <c r="T1059" s="17"/>
      <c r="U1059" s="17" t="s">
        <v>105</v>
      </c>
      <c r="V1059" s="17" t="s">
        <v>77</v>
      </c>
      <c r="W1059" s="17" t="s">
        <v>78</v>
      </c>
      <c r="X1059" s="17">
        <v>3</v>
      </c>
      <c r="Y1059" s="17">
        <v>0</v>
      </c>
      <c r="Z1059" s="17"/>
      <c r="AA1059" s="17" t="s">
        <v>105</v>
      </c>
      <c r="AB1059" s="17" t="s">
        <v>79</v>
      </c>
      <c r="AC1059" s="17">
        <v>4</v>
      </c>
      <c r="AD1059" s="17">
        <v>0</v>
      </c>
      <c r="AE1059" s="17">
        <v>0</v>
      </c>
      <c r="AF1059" s="17"/>
      <c r="AG1059" s="17" t="s">
        <v>81</v>
      </c>
      <c r="AH1059" s="17" t="s">
        <v>82</v>
      </c>
      <c r="AI1059" s="17" t="s">
        <v>107</v>
      </c>
      <c r="AJ1059" s="17"/>
      <c r="AK1059" s="17" t="s">
        <v>75</v>
      </c>
      <c r="AL1059" s="17" t="s">
        <v>75</v>
      </c>
      <c r="AM1059" s="17" t="s">
        <v>75</v>
      </c>
      <c r="AN1059" s="17" t="s">
        <v>125</v>
      </c>
      <c r="AO1059" s="17" t="s">
        <v>75</v>
      </c>
      <c r="AP1059" s="17"/>
      <c r="AQ1059" s="17"/>
      <c r="AR1059" s="17"/>
      <c r="AS1059" s="17"/>
      <c r="AT1059" s="17" t="s">
        <v>3200</v>
      </c>
      <c r="AU1059" s="17" t="s">
        <v>111</v>
      </c>
    </row>
    <row r="1060" hidden="1">
      <c r="A1060" s="17">
        <v>1058</v>
      </c>
      <c r="B1060" s="17" t="s">
        <v>52</v>
      </c>
      <c r="C1060" s="34" t="s">
        <v>3201</v>
      </c>
      <c r="D1060" s="35" t="s">
        <v>52</v>
      </c>
      <c r="E1060" s="17" t="s">
        <v>3202</v>
      </c>
      <c r="F1060" s="17" t="s">
        <v>3203</v>
      </c>
      <c r="G1060" s="17">
        <v>22.197821000000001</v>
      </c>
      <c r="H1060" s="17">
        <v>87.575339</v>
      </c>
      <c r="I1060" s="17"/>
      <c r="J1060" s="17"/>
      <c r="K1060" s="17"/>
      <c r="L1060" s="17"/>
      <c r="M1060" s="35" t="s">
        <v>2680</v>
      </c>
      <c r="N1060" s="17">
        <v>8240995955</v>
      </c>
      <c r="O1060" s="17">
        <v>15</v>
      </c>
      <c r="P1060" s="17">
        <v>100</v>
      </c>
      <c r="Q1060" s="17" t="s">
        <v>413</v>
      </c>
      <c r="R1060" s="17" t="s">
        <v>74</v>
      </c>
      <c r="S1060" s="17" t="s">
        <v>75</v>
      </c>
      <c r="T1060" s="17"/>
      <c r="U1060" s="17" t="s">
        <v>441</v>
      </c>
      <c r="V1060" s="17" t="s">
        <v>442</v>
      </c>
      <c r="W1060" s="17" t="s">
        <v>123</v>
      </c>
      <c r="X1060" s="17">
        <v>6</v>
      </c>
      <c r="Y1060" s="17">
        <v>0</v>
      </c>
      <c r="Z1060" s="17"/>
      <c r="AA1060" s="17" t="s">
        <v>413</v>
      </c>
      <c r="AB1060" s="17" t="s">
        <v>1838</v>
      </c>
      <c r="AC1060" s="17">
        <v>5</v>
      </c>
      <c r="AD1060" s="17">
        <v>0</v>
      </c>
      <c r="AE1060" s="17">
        <v>0</v>
      </c>
      <c r="AF1060" s="17"/>
      <c r="AG1060" s="17" t="s">
        <v>124</v>
      </c>
      <c r="AH1060" s="17" t="s">
        <v>82</v>
      </c>
      <c r="AI1060" s="17" t="s">
        <v>83</v>
      </c>
      <c r="AJ1060" s="17">
        <v>2111</v>
      </c>
      <c r="AK1060" s="17" t="s">
        <v>75</v>
      </c>
      <c r="AL1060" s="17" t="s">
        <v>75</v>
      </c>
      <c r="AM1060" s="17" t="s">
        <v>75</v>
      </c>
      <c r="AN1060" s="17" t="s">
        <v>125</v>
      </c>
      <c r="AO1060" s="17" t="s">
        <v>75</v>
      </c>
      <c r="AP1060" s="17"/>
      <c r="AQ1060" s="17"/>
      <c r="AR1060" s="17"/>
      <c r="AS1060" s="17"/>
      <c r="AT1060" s="17"/>
      <c r="AU1060" s="17" t="s">
        <v>111</v>
      </c>
    </row>
    <row r="1061" hidden="1">
      <c r="A1061" s="17">
        <v>1059</v>
      </c>
      <c r="B1061" s="17" t="s">
        <v>52</v>
      </c>
      <c r="C1061" s="34" t="s">
        <v>3204</v>
      </c>
      <c r="D1061" s="35" t="s">
        <v>52</v>
      </c>
      <c r="E1061" s="17" t="s">
        <v>3205</v>
      </c>
      <c r="F1061" s="17" t="s">
        <v>3206</v>
      </c>
      <c r="G1061" s="17">
        <v>22.120747999999999</v>
      </c>
      <c r="H1061" s="17">
        <v>87.563486999999995</v>
      </c>
      <c r="I1061" s="17"/>
      <c r="J1061" s="17"/>
      <c r="K1061" s="17"/>
      <c r="L1061" s="17"/>
      <c r="M1061" s="35" t="s">
        <v>3136</v>
      </c>
      <c r="N1061" s="17"/>
      <c r="O1061" s="17">
        <v>15</v>
      </c>
      <c r="P1061" s="17">
        <v>110</v>
      </c>
      <c r="Q1061" s="17" t="s">
        <v>73</v>
      </c>
      <c r="R1061" s="17" t="s">
        <v>104</v>
      </c>
      <c r="S1061" s="17" t="s">
        <v>75</v>
      </c>
      <c r="T1061" s="17"/>
      <c r="U1061" s="17" t="s">
        <v>105</v>
      </c>
      <c r="V1061" s="17" t="s">
        <v>77</v>
      </c>
      <c r="W1061" s="17" t="s">
        <v>449</v>
      </c>
      <c r="X1061" s="17">
        <v>5</v>
      </c>
      <c r="Y1061" s="17">
        <v>3</v>
      </c>
      <c r="Z1061" s="17"/>
      <c r="AA1061" s="17" t="s">
        <v>73</v>
      </c>
      <c r="AB1061" s="17" t="s">
        <v>79</v>
      </c>
      <c r="AC1061" s="17">
        <v>2</v>
      </c>
      <c r="AD1061" s="17">
        <v>0</v>
      </c>
      <c r="AE1061" s="17">
        <v>0</v>
      </c>
      <c r="AF1061" s="17"/>
      <c r="AG1061" s="17" t="s">
        <v>81</v>
      </c>
      <c r="AH1061" s="17" t="s">
        <v>82</v>
      </c>
      <c r="AI1061" s="17" t="s">
        <v>107</v>
      </c>
      <c r="AJ1061" s="17"/>
      <c r="AK1061" s="17" t="s">
        <v>75</v>
      </c>
      <c r="AL1061" s="17" t="s">
        <v>75</v>
      </c>
      <c r="AM1061" s="17" t="s">
        <v>75</v>
      </c>
      <c r="AN1061" s="17" t="s">
        <v>84</v>
      </c>
      <c r="AO1061" s="17" t="s">
        <v>75</v>
      </c>
      <c r="AP1061" s="17" t="s">
        <v>73</v>
      </c>
      <c r="AQ1061" s="17" t="s">
        <v>3196</v>
      </c>
      <c r="AR1061" s="17">
        <v>3</v>
      </c>
      <c r="AS1061" s="17">
        <v>0</v>
      </c>
      <c r="AT1061" s="17" t="s">
        <v>3207</v>
      </c>
      <c r="AU1061" s="17" t="s">
        <v>111</v>
      </c>
    </row>
    <row r="1062" hidden="1">
      <c r="A1062" s="17">
        <v>1060</v>
      </c>
      <c r="B1062" s="17" t="s">
        <v>52</v>
      </c>
      <c r="C1062" s="34" t="s">
        <v>3208</v>
      </c>
      <c r="D1062" s="35" t="s">
        <v>52</v>
      </c>
      <c r="E1062" s="17" t="s">
        <v>3209</v>
      </c>
      <c r="F1062" s="17" t="s">
        <v>3210</v>
      </c>
      <c r="G1062" s="17">
        <v>22.171075999999999</v>
      </c>
      <c r="H1062" s="17">
        <v>87.559454000000002</v>
      </c>
      <c r="I1062" s="17"/>
      <c r="J1062" s="17"/>
      <c r="K1062" s="17"/>
      <c r="L1062" s="17"/>
      <c r="M1062" s="35" t="s">
        <v>2248</v>
      </c>
      <c r="N1062" s="17">
        <v>8100154683</v>
      </c>
      <c r="O1062" s="17">
        <v>18</v>
      </c>
      <c r="P1062" s="17">
        <v>95</v>
      </c>
      <c r="Q1062" s="17" t="s">
        <v>105</v>
      </c>
      <c r="R1062" s="17" t="s">
        <v>142</v>
      </c>
      <c r="S1062" s="17" t="s">
        <v>75</v>
      </c>
      <c r="T1062" s="17"/>
      <c r="U1062" s="17" t="s">
        <v>105</v>
      </c>
      <c r="V1062" s="17" t="s">
        <v>77</v>
      </c>
      <c r="W1062" s="17" t="s">
        <v>454</v>
      </c>
      <c r="X1062" s="17">
        <v>5</v>
      </c>
      <c r="Y1062" s="17">
        <v>1</v>
      </c>
      <c r="Z1062" s="17"/>
      <c r="AA1062" s="17" t="s">
        <v>105</v>
      </c>
      <c r="AB1062" s="17" t="s">
        <v>79</v>
      </c>
      <c r="AC1062" s="17">
        <v>4</v>
      </c>
      <c r="AD1062" s="17">
        <v>0</v>
      </c>
      <c r="AE1062" s="17">
        <v>0</v>
      </c>
      <c r="AF1062" s="17"/>
      <c r="AG1062" s="17" t="s">
        <v>81</v>
      </c>
      <c r="AH1062" s="17" t="s">
        <v>82</v>
      </c>
      <c r="AI1062" s="17" t="s">
        <v>107</v>
      </c>
      <c r="AJ1062" s="17" t="s">
        <v>1404</v>
      </c>
      <c r="AK1062" s="17" t="s">
        <v>75</v>
      </c>
      <c r="AL1062" s="17" t="s">
        <v>75</v>
      </c>
      <c r="AM1062" s="17" t="s">
        <v>75</v>
      </c>
      <c r="AN1062" s="17" t="s">
        <v>84</v>
      </c>
      <c r="AO1062" s="17" t="s">
        <v>75</v>
      </c>
      <c r="AP1062" s="17" t="s">
        <v>105</v>
      </c>
      <c r="AQ1062" s="17" t="s">
        <v>2343</v>
      </c>
      <c r="AR1062" s="17">
        <v>1</v>
      </c>
      <c r="AS1062" s="17">
        <v>0</v>
      </c>
      <c r="AT1062" s="17" t="s">
        <v>3211</v>
      </c>
      <c r="AU1062" s="17" t="s">
        <v>127</v>
      </c>
    </row>
    <row r="1063" hidden="1">
      <c r="A1063" s="17">
        <v>1061</v>
      </c>
      <c r="B1063" s="17" t="s">
        <v>52</v>
      </c>
      <c r="C1063" s="34" t="s">
        <v>3212</v>
      </c>
      <c r="D1063" s="35" t="s">
        <v>52</v>
      </c>
      <c r="E1063" s="17" t="s">
        <v>3213</v>
      </c>
      <c r="F1063" s="17" t="s">
        <v>3214</v>
      </c>
      <c r="G1063" s="17">
        <v>22.17231</v>
      </c>
      <c r="H1063" s="17">
        <v>87.518000000000001</v>
      </c>
      <c r="I1063" s="17"/>
      <c r="J1063" s="17"/>
      <c r="K1063" s="17"/>
      <c r="L1063" s="17"/>
      <c r="M1063" s="35" t="s">
        <v>2248</v>
      </c>
      <c r="N1063" s="17">
        <v>8100154683</v>
      </c>
      <c r="O1063" s="17">
        <v>17</v>
      </c>
      <c r="P1063" s="17">
        <v>100</v>
      </c>
      <c r="Q1063" s="17" t="s">
        <v>413</v>
      </c>
      <c r="R1063" s="17" t="s">
        <v>74</v>
      </c>
      <c r="S1063" s="17" t="s">
        <v>75</v>
      </c>
      <c r="T1063" s="17"/>
      <c r="U1063" s="17" t="s">
        <v>105</v>
      </c>
      <c r="V1063" s="17" t="s">
        <v>77</v>
      </c>
      <c r="W1063" s="17" t="s">
        <v>123</v>
      </c>
      <c r="X1063" s="17">
        <v>5</v>
      </c>
      <c r="Y1063" s="17">
        <v>2</v>
      </c>
      <c r="Z1063" s="17" t="s">
        <v>3215</v>
      </c>
      <c r="AA1063" s="17" t="s">
        <v>413</v>
      </c>
      <c r="AB1063" s="17" t="s">
        <v>79</v>
      </c>
      <c r="AC1063" s="17">
        <v>5</v>
      </c>
      <c r="AD1063" s="17">
        <v>0</v>
      </c>
      <c r="AE1063" s="17">
        <v>0</v>
      </c>
      <c r="AF1063" s="17"/>
      <c r="AG1063" s="17" t="s">
        <v>124</v>
      </c>
      <c r="AH1063" s="17" t="s">
        <v>82</v>
      </c>
      <c r="AI1063" s="17" t="s">
        <v>83</v>
      </c>
      <c r="AJ1063" s="17" t="s">
        <v>1417</v>
      </c>
      <c r="AK1063" s="17" t="s">
        <v>75</v>
      </c>
      <c r="AL1063" s="17" t="s">
        <v>137</v>
      </c>
      <c r="AM1063" s="17" t="s">
        <v>137</v>
      </c>
      <c r="AN1063" s="17" t="s">
        <v>125</v>
      </c>
      <c r="AO1063" s="17" t="s">
        <v>75</v>
      </c>
      <c r="AP1063" s="17"/>
      <c r="AQ1063" s="17"/>
      <c r="AR1063" s="17"/>
      <c r="AS1063" s="17"/>
      <c r="AT1063" s="17" t="s">
        <v>3216</v>
      </c>
      <c r="AU1063" s="17" t="s">
        <v>111</v>
      </c>
    </row>
    <row r="1064" hidden="1">
      <c r="A1064" s="17">
        <v>1062</v>
      </c>
      <c r="B1064" s="17" t="s">
        <v>52</v>
      </c>
      <c r="C1064" s="34" t="s">
        <v>3217</v>
      </c>
      <c r="D1064" s="35" t="s">
        <v>52</v>
      </c>
      <c r="E1064" s="17" t="s">
        <v>3218</v>
      </c>
      <c r="F1064" s="17" t="s">
        <v>3219</v>
      </c>
      <c r="G1064" s="17">
        <v>22.098217999999999</v>
      </c>
      <c r="H1064" s="17">
        <v>87.587746999999993</v>
      </c>
      <c r="I1064" s="17"/>
      <c r="J1064" s="17"/>
      <c r="K1064" s="17"/>
      <c r="L1064" s="17"/>
      <c r="M1064" s="35" t="s">
        <v>3220</v>
      </c>
      <c r="N1064" s="17">
        <v>9064976029</v>
      </c>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row>
    <row r="1065" hidden="1">
      <c r="A1065" s="17">
        <v>1063</v>
      </c>
      <c r="B1065" s="17" t="s">
        <v>52</v>
      </c>
      <c r="C1065" s="34" t="s">
        <v>3221</v>
      </c>
      <c r="D1065" s="35" t="s">
        <v>52</v>
      </c>
      <c r="E1065" s="17" t="s">
        <v>2458</v>
      </c>
      <c r="F1065" s="17" t="s">
        <v>3222</v>
      </c>
      <c r="G1065" s="17">
        <v>22.183502000000001</v>
      </c>
      <c r="H1065" s="17">
        <v>87.687512999999996</v>
      </c>
      <c r="I1065" s="17"/>
      <c r="J1065" s="17"/>
      <c r="K1065" s="17"/>
      <c r="L1065" s="17"/>
      <c r="M1065" s="35" t="s">
        <v>3136</v>
      </c>
      <c r="N1065" s="17"/>
      <c r="O1065" s="17" t="s">
        <v>3223</v>
      </c>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row>
    <row r="1066" hidden="1">
      <c r="A1066" s="17">
        <v>1064</v>
      </c>
      <c r="B1066" s="17" t="s">
        <v>52</v>
      </c>
      <c r="C1066" s="34" t="s">
        <v>3224</v>
      </c>
      <c r="D1066" s="35" t="s">
        <v>52</v>
      </c>
      <c r="E1066" s="17" t="s">
        <v>3225</v>
      </c>
      <c r="F1066" s="17" t="s">
        <v>3226</v>
      </c>
      <c r="G1066" s="17">
        <v>22.168310999999999</v>
      </c>
      <c r="H1066" s="17">
        <v>87.537439000000006</v>
      </c>
      <c r="I1066" s="17"/>
      <c r="J1066" s="17"/>
      <c r="K1066" s="17"/>
      <c r="L1066" s="17"/>
      <c r="M1066" s="35" t="s">
        <v>2248</v>
      </c>
      <c r="N1066" s="17">
        <v>8100154683</v>
      </c>
      <c r="O1066" s="17">
        <v>18</v>
      </c>
      <c r="P1066" s="17">
        <v>50</v>
      </c>
      <c r="Q1066" s="17" t="s">
        <v>73</v>
      </c>
      <c r="R1066" s="17" t="s">
        <v>104</v>
      </c>
      <c r="S1066" s="17" t="s">
        <v>75</v>
      </c>
      <c r="T1066" s="17"/>
      <c r="U1066" s="17" t="s">
        <v>160</v>
      </c>
      <c r="V1066" s="17" t="s">
        <v>77</v>
      </c>
      <c r="W1066" s="17" t="s">
        <v>123</v>
      </c>
      <c r="X1066" s="17">
        <v>3</v>
      </c>
      <c r="Y1066" s="17">
        <v>1</v>
      </c>
      <c r="Z1066" s="17"/>
      <c r="AA1066" s="17" t="s">
        <v>73</v>
      </c>
      <c r="AB1066" s="17" t="s">
        <v>79</v>
      </c>
      <c r="AC1066" s="17">
        <v>1</v>
      </c>
      <c r="AD1066" s="17">
        <v>0</v>
      </c>
      <c r="AE1066" s="17">
        <v>0</v>
      </c>
      <c r="AF1066" s="17"/>
      <c r="AG1066" s="17" t="s">
        <v>724</v>
      </c>
      <c r="AH1066" s="17"/>
      <c r="AI1066" s="17"/>
      <c r="AJ1066" s="17"/>
      <c r="AK1066" s="17"/>
      <c r="AL1066" s="17"/>
      <c r="AM1066" s="17"/>
      <c r="AN1066" s="17"/>
      <c r="AO1066" s="17"/>
      <c r="AP1066" s="17"/>
      <c r="AQ1066" s="17"/>
      <c r="AR1066" s="17"/>
      <c r="AS1066" s="17"/>
      <c r="AT1066" s="17" t="s">
        <v>3227</v>
      </c>
      <c r="AU1066" s="17" t="s">
        <v>2629</v>
      </c>
    </row>
    <row r="1067" hidden="1">
      <c r="A1067" s="17">
        <v>1065</v>
      </c>
      <c r="B1067" s="17" t="s">
        <v>52</v>
      </c>
      <c r="C1067" s="34" t="s">
        <v>3228</v>
      </c>
      <c r="D1067" s="35" t="s">
        <v>52</v>
      </c>
      <c r="E1067" s="17" t="s">
        <v>3229</v>
      </c>
      <c r="F1067" s="17" t="s">
        <v>3230</v>
      </c>
      <c r="G1067" s="17">
        <v>22.226158999999999</v>
      </c>
      <c r="H1067" s="17">
        <v>87.563316</v>
      </c>
      <c r="I1067" s="17"/>
      <c r="J1067" s="17"/>
      <c r="K1067" s="17"/>
      <c r="L1067" s="17"/>
      <c r="M1067" s="35" t="s">
        <v>2680</v>
      </c>
      <c r="N1067" s="17">
        <v>8240995955</v>
      </c>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row>
    <row r="1068" hidden="1">
      <c r="A1068" s="17">
        <v>1066</v>
      </c>
      <c r="B1068" s="17" t="s">
        <v>52</v>
      </c>
      <c r="C1068" s="34" t="s">
        <v>3231</v>
      </c>
      <c r="D1068" s="35" t="s">
        <v>52</v>
      </c>
      <c r="E1068" s="17" t="s">
        <v>3232</v>
      </c>
      <c r="F1068" s="17" t="s">
        <v>3233</v>
      </c>
      <c r="G1068" s="17">
        <v>22.144321999999999</v>
      </c>
      <c r="H1068" s="17">
        <v>87.620447999999996</v>
      </c>
      <c r="I1068" s="17"/>
      <c r="J1068" s="17"/>
      <c r="K1068" s="17"/>
      <c r="L1068" s="17"/>
      <c r="M1068" s="35" t="s">
        <v>3136</v>
      </c>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row>
    <row r="1069" hidden="1">
      <c r="A1069" s="17">
        <v>1067</v>
      </c>
      <c r="B1069" s="17" t="s">
        <v>52</v>
      </c>
      <c r="C1069" s="34" t="s">
        <v>3234</v>
      </c>
      <c r="D1069" s="35" t="s">
        <v>52</v>
      </c>
      <c r="E1069" s="17" t="s">
        <v>3235</v>
      </c>
      <c r="F1069" s="17" t="s">
        <v>3236</v>
      </c>
      <c r="G1069" s="17">
        <v>22.224295000000001</v>
      </c>
      <c r="H1069" s="17">
        <v>87.641659000000004</v>
      </c>
      <c r="I1069" s="17"/>
      <c r="J1069" s="17"/>
      <c r="K1069" s="17"/>
      <c r="L1069" s="17"/>
      <c r="M1069" s="35" t="s">
        <v>166</v>
      </c>
      <c r="N1069" s="17">
        <v>9064976019</v>
      </c>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row>
    <row r="1070" hidden="1">
      <c r="A1070" s="17">
        <v>1068</v>
      </c>
      <c r="B1070" s="17" t="s">
        <v>52</v>
      </c>
      <c r="C1070" s="34" t="s">
        <v>3237</v>
      </c>
      <c r="D1070" s="35" t="s">
        <v>52</v>
      </c>
      <c r="E1070" s="17" t="s">
        <v>3238</v>
      </c>
      <c r="F1070" s="17" t="s">
        <v>3239</v>
      </c>
      <c r="G1070" s="17">
        <v>22.198357999999999</v>
      </c>
      <c r="H1070" s="17">
        <v>87.709408999999994</v>
      </c>
      <c r="I1070" s="17"/>
      <c r="J1070" s="17"/>
      <c r="K1070" s="17"/>
      <c r="L1070" s="17"/>
      <c r="M1070" s="35" t="s">
        <v>166</v>
      </c>
      <c r="N1070" s="17">
        <v>9064976019</v>
      </c>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row>
    <row r="1071" hidden="1">
      <c r="A1071" s="17">
        <v>1069</v>
      </c>
      <c r="B1071" s="17" t="s">
        <v>52</v>
      </c>
      <c r="C1071" s="34" t="s">
        <v>3240</v>
      </c>
      <c r="D1071" s="35" t="s">
        <v>52</v>
      </c>
      <c r="E1071" s="17" t="s">
        <v>3241</v>
      </c>
      <c r="F1071" s="17" t="s">
        <v>3242</v>
      </c>
      <c r="G1071" s="17">
        <v>22.160038</v>
      </c>
      <c r="H1071" s="17">
        <v>87.497684000000007</v>
      </c>
      <c r="I1071" s="17"/>
      <c r="J1071" s="17"/>
      <c r="K1071" s="17"/>
      <c r="L1071" s="17"/>
      <c r="M1071" s="35" t="s">
        <v>2248</v>
      </c>
      <c r="N1071" s="17">
        <v>8100154683</v>
      </c>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row>
    <row r="1072" hidden="1">
      <c r="A1072" s="17">
        <v>1070</v>
      </c>
      <c r="B1072" s="17" t="s">
        <v>52</v>
      </c>
      <c r="C1072" s="34" t="s">
        <v>3243</v>
      </c>
      <c r="D1072" s="35" t="s">
        <v>52</v>
      </c>
      <c r="E1072" s="17" t="s">
        <v>3244</v>
      </c>
      <c r="F1072" s="17" t="s">
        <v>3245</v>
      </c>
      <c r="G1072" s="17">
        <v>22.111640999999999</v>
      </c>
      <c r="H1072" s="17">
        <v>87.537302999999994</v>
      </c>
      <c r="I1072" s="17"/>
      <c r="J1072" s="17"/>
      <c r="K1072" s="17"/>
      <c r="L1072" s="17"/>
      <c r="M1072" s="35" t="s">
        <v>2248</v>
      </c>
      <c r="N1072" s="17">
        <v>8100154683</v>
      </c>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row>
    <row r="1073" hidden="1">
      <c r="A1073" s="17">
        <v>1071</v>
      </c>
      <c r="B1073" s="17" t="s">
        <v>52</v>
      </c>
      <c r="C1073" s="34" t="s">
        <v>3246</v>
      </c>
      <c r="D1073" s="35" t="s">
        <v>52</v>
      </c>
      <c r="E1073" s="17" t="s">
        <v>3247</v>
      </c>
      <c r="F1073" s="17" t="s">
        <v>3248</v>
      </c>
      <c r="G1073" s="17">
        <v>22.198809000000001</v>
      </c>
      <c r="H1073" s="17">
        <v>87.635220000000004</v>
      </c>
      <c r="I1073" s="17"/>
      <c r="J1073" s="17"/>
      <c r="K1073" s="17"/>
      <c r="L1073" s="17"/>
      <c r="M1073" s="35" t="s">
        <v>3136</v>
      </c>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row>
    <row r="1074" hidden="1">
      <c r="A1074" s="17">
        <v>1072</v>
      </c>
      <c r="B1074" s="17" t="s">
        <v>52</v>
      </c>
      <c r="C1074" s="34" t="s">
        <v>3249</v>
      </c>
      <c r="D1074" s="35" t="s">
        <v>52</v>
      </c>
      <c r="E1074" s="17" t="s">
        <v>3250</v>
      </c>
      <c r="F1074" s="17" t="s">
        <v>3251</v>
      </c>
      <c r="G1074" s="17">
        <v>22.172961999999998</v>
      </c>
      <c r="H1074" s="17">
        <v>87.631578000000005</v>
      </c>
      <c r="I1074" s="17"/>
      <c r="J1074" s="17"/>
      <c r="K1074" s="17"/>
      <c r="L1074" s="17"/>
      <c r="M1074" s="35" t="s">
        <v>3136</v>
      </c>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row>
    <row r="1075" hidden="1">
      <c r="A1075" s="17">
        <v>1073</v>
      </c>
      <c r="B1075" s="17" t="s">
        <v>52</v>
      </c>
      <c r="C1075" s="34" t="s">
        <v>3252</v>
      </c>
      <c r="D1075" s="35" t="s">
        <v>52</v>
      </c>
      <c r="E1075" s="17" t="s">
        <v>3253</v>
      </c>
      <c r="F1075" s="17" t="s">
        <v>3254</v>
      </c>
      <c r="G1075" s="17">
        <v>22.208338000000001</v>
      </c>
      <c r="H1075" s="17">
        <v>87.615870000000001</v>
      </c>
      <c r="I1075" s="17"/>
      <c r="J1075" s="17"/>
      <c r="K1075" s="17"/>
      <c r="L1075" s="17"/>
      <c r="M1075" s="35" t="s">
        <v>3136</v>
      </c>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row>
    <row r="1076" hidden="1">
      <c r="A1076" s="17">
        <v>1074</v>
      </c>
      <c r="B1076" s="17" t="s">
        <v>52</v>
      </c>
      <c r="C1076" s="34" t="s">
        <v>3255</v>
      </c>
      <c r="D1076" s="35" t="s">
        <v>52</v>
      </c>
      <c r="E1076" s="17" t="s">
        <v>3256</v>
      </c>
      <c r="F1076" s="17" t="s">
        <v>3257</v>
      </c>
      <c r="G1076" s="17">
        <v>22.153886</v>
      </c>
      <c r="H1076" s="17">
        <v>87.699433999999997</v>
      </c>
      <c r="I1076" s="17"/>
      <c r="J1076" s="17"/>
      <c r="K1076" s="17"/>
      <c r="L1076" s="17"/>
      <c r="M1076" s="35" t="s">
        <v>3136</v>
      </c>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row>
    <row r="1077" hidden="1">
      <c r="A1077" s="17">
        <v>1075</v>
      </c>
      <c r="B1077" s="17" t="s">
        <v>52</v>
      </c>
      <c r="C1077" s="34" t="s">
        <v>3258</v>
      </c>
      <c r="D1077" s="35" t="s">
        <v>52</v>
      </c>
      <c r="E1077" s="17" t="s">
        <v>3140</v>
      </c>
      <c r="F1077" s="17" t="s">
        <v>3259</v>
      </c>
      <c r="G1077" s="17">
        <v>22.138254</v>
      </c>
      <c r="H1077" s="17">
        <v>87.556287999999995</v>
      </c>
      <c r="I1077" s="17"/>
      <c r="J1077" s="17"/>
      <c r="K1077" s="17"/>
      <c r="L1077" s="17"/>
      <c r="M1077" s="35" t="s">
        <v>2248</v>
      </c>
      <c r="N1077" s="17">
        <v>8100154683</v>
      </c>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row>
    <row r="1078" hidden="1">
      <c r="A1078" s="17">
        <v>1076</v>
      </c>
      <c r="B1078" s="17" t="s">
        <v>52</v>
      </c>
      <c r="C1078" s="34" t="s">
        <v>3260</v>
      </c>
      <c r="D1078" s="35" t="s">
        <v>52</v>
      </c>
      <c r="E1078" s="17" t="s">
        <v>3261</v>
      </c>
      <c r="F1078" s="17" t="s">
        <v>3262</v>
      </c>
      <c r="G1078" s="17">
        <v>22.193062999999999</v>
      </c>
      <c r="H1078" s="17">
        <v>87.674141000000006</v>
      </c>
      <c r="I1078" s="17"/>
      <c r="J1078" s="17"/>
      <c r="K1078" s="17"/>
      <c r="L1078" s="17"/>
      <c r="M1078" s="35" t="s">
        <v>3136</v>
      </c>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row>
    <row r="1079" hidden="1">
      <c r="A1079" s="17">
        <v>1077</v>
      </c>
      <c r="B1079" s="17" t="s">
        <v>52</v>
      </c>
      <c r="C1079" s="34" t="s">
        <v>3263</v>
      </c>
      <c r="D1079" s="35" t="s">
        <v>52</v>
      </c>
      <c r="E1079" s="17" t="s">
        <v>3264</v>
      </c>
      <c r="F1079" s="17" t="s">
        <v>3265</v>
      </c>
      <c r="G1079" s="17">
        <v>22.148116000000002</v>
      </c>
      <c r="H1079" s="17">
        <v>87.578699</v>
      </c>
      <c r="I1079" s="17"/>
      <c r="J1079" s="17"/>
      <c r="K1079" s="17"/>
      <c r="L1079" s="17"/>
      <c r="M1079" s="35" t="s">
        <v>2248</v>
      </c>
      <c r="N1079" s="17">
        <v>8100154683</v>
      </c>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row>
    <row r="1080" hidden="1">
      <c r="A1080" s="17">
        <v>1078</v>
      </c>
      <c r="B1080" s="17" t="s">
        <v>52</v>
      </c>
      <c r="C1080" s="34" t="s">
        <v>3266</v>
      </c>
      <c r="D1080" s="35" t="s">
        <v>52</v>
      </c>
      <c r="E1080" s="17" t="s">
        <v>3267</v>
      </c>
      <c r="F1080" s="17" t="s">
        <v>3267</v>
      </c>
      <c r="G1080" s="17">
        <v>22.221419999999998</v>
      </c>
      <c r="H1080" s="17">
        <v>87.681509000000005</v>
      </c>
      <c r="I1080" s="17"/>
      <c r="J1080" s="17"/>
      <c r="K1080" s="17"/>
      <c r="L1080" s="17"/>
      <c r="M1080" s="35" t="s">
        <v>166</v>
      </c>
      <c r="N1080" s="17">
        <v>9064976019</v>
      </c>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row>
    <row r="1081" hidden="1">
      <c r="A1081" s="17">
        <v>1079</v>
      </c>
      <c r="B1081" s="17" t="s">
        <v>52</v>
      </c>
      <c r="C1081" s="34" t="s">
        <v>3268</v>
      </c>
      <c r="D1081" s="35" t="s">
        <v>52</v>
      </c>
      <c r="E1081" s="17" t="s">
        <v>3269</v>
      </c>
      <c r="F1081" s="17" t="s">
        <v>3270</v>
      </c>
      <c r="G1081" s="17">
        <v>22.123059000000001</v>
      </c>
      <c r="H1081" s="17">
        <v>87.606476999999998</v>
      </c>
      <c r="I1081" s="17"/>
      <c r="J1081" s="17"/>
      <c r="K1081" s="17"/>
      <c r="L1081" s="17"/>
      <c r="M1081" s="35" t="s">
        <v>3136</v>
      </c>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row>
    <row r="1082" hidden="1">
      <c r="A1082" s="17">
        <v>1080</v>
      </c>
      <c r="B1082" s="17" t="s">
        <v>52</v>
      </c>
      <c r="C1082" s="34" t="s">
        <v>3271</v>
      </c>
      <c r="D1082" s="35" t="s">
        <v>52</v>
      </c>
      <c r="E1082" s="17" t="s">
        <v>3272</v>
      </c>
      <c r="F1082" s="17" t="s">
        <v>3273</v>
      </c>
      <c r="G1082" s="17">
        <v>22.317117</v>
      </c>
      <c r="H1082" s="17">
        <v>87.470321999999996</v>
      </c>
      <c r="I1082" s="17"/>
      <c r="J1082" s="17"/>
      <c r="K1082" s="17"/>
      <c r="L1082" s="17"/>
      <c r="M1082" s="35" t="s">
        <v>2284</v>
      </c>
      <c r="N1082" s="17">
        <v>7003187431</v>
      </c>
      <c r="O1082" s="17">
        <v>20</v>
      </c>
      <c r="P1082" s="17">
        <v>95</v>
      </c>
      <c r="Q1082" s="17" t="s">
        <v>73</v>
      </c>
      <c r="R1082" s="17" t="s">
        <v>74</v>
      </c>
      <c r="S1082" s="17" t="s">
        <v>75</v>
      </c>
      <c r="T1082" s="17"/>
      <c r="U1082" s="17" t="s">
        <v>76</v>
      </c>
      <c r="V1082" s="17" t="s">
        <v>77</v>
      </c>
      <c r="W1082" s="17" t="s">
        <v>2517</v>
      </c>
      <c r="X1082" s="17">
        <v>2</v>
      </c>
      <c r="Y1082" s="17">
        <v>0</v>
      </c>
      <c r="Z1082" s="17" t="s">
        <v>3274</v>
      </c>
      <c r="AA1082" s="17" t="s">
        <v>73</v>
      </c>
      <c r="AB1082" s="17" t="s">
        <v>79</v>
      </c>
      <c r="AC1082" s="17">
        <v>2</v>
      </c>
      <c r="AD1082" s="17">
        <v>0</v>
      </c>
      <c r="AE1082" s="17">
        <v>1</v>
      </c>
      <c r="AF1082" s="22" t="s">
        <v>3275</v>
      </c>
      <c r="AG1082" s="17" t="s">
        <v>124</v>
      </c>
      <c r="AH1082" s="17" t="s">
        <v>162</v>
      </c>
      <c r="AI1082" s="17" t="s">
        <v>83</v>
      </c>
      <c r="AJ1082" s="17">
        <v>2112</v>
      </c>
      <c r="AK1082" s="17" t="s">
        <v>189</v>
      </c>
      <c r="AL1082" s="17" t="s">
        <v>75</v>
      </c>
      <c r="AM1082" s="17" t="s">
        <v>75</v>
      </c>
      <c r="AN1082" s="17" t="s">
        <v>125</v>
      </c>
      <c r="AO1082" s="17" t="s">
        <v>75</v>
      </c>
      <c r="AP1082" s="17"/>
      <c r="AQ1082" s="17"/>
      <c r="AR1082" s="17"/>
      <c r="AS1082" s="17"/>
      <c r="AT1082" s="22" t="s">
        <v>3276</v>
      </c>
      <c r="AU1082" s="17"/>
    </row>
    <row r="1083" hidden="1">
      <c r="A1083" s="17">
        <v>1081</v>
      </c>
      <c r="B1083" s="17" t="s">
        <v>52</v>
      </c>
      <c r="C1083" s="34" t="s">
        <v>3277</v>
      </c>
      <c r="D1083" s="35" t="s">
        <v>52</v>
      </c>
      <c r="E1083" s="17" t="s">
        <v>3278</v>
      </c>
      <c r="F1083" s="17" t="s">
        <v>3279</v>
      </c>
      <c r="G1083" s="17">
        <v>22.296036000000001</v>
      </c>
      <c r="H1083" s="17">
        <v>87.615692999999993</v>
      </c>
      <c r="I1083" s="17"/>
      <c r="J1083" s="17"/>
      <c r="K1083" s="17"/>
      <c r="L1083" s="17"/>
      <c r="M1083" s="35" t="s">
        <v>1579</v>
      </c>
      <c r="N1083" s="17">
        <v>7003188299</v>
      </c>
      <c r="O1083" s="17">
        <v>21</v>
      </c>
      <c r="P1083" s="17">
        <v>60</v>
      </c>
      <c r="Q1083" s="17" t="s">
        <v>105</v>
      </c>
      <c r="R1083" s="17" t="s">
        <v>142</v>
      </c>
      <c r="S1083" s="17" t="s">
        <v>75</v>
      </c>
      <c r="T1083" s="17" t="s">
        <v>3280</v>
      </c>
      <c r="U1083" s="17" t="s">
        <v>105</v>
      </c>
      <c r="V1083" s="17" t="s">
        <v>340</v>
      </c>
      <c r="W1083" s="17" t="s">
        <v>1234</v>
      </c>
      <c r="X1083" s="17">
        <v>3</v>
      </c>
      <c r="Y1083" s="17">
        <v>2</v>
      </c>
      <c r="Z1083" s="17"/>
      <c r="AA1083" s="17" t="s">
        <v>105</v>
      </c>
      <c r="AB1083" s="17" t="s">
        <v>79</v>
      </c>
      <c r="AC1083" s="17">
        <v>5</v>
      </c>
      <c r="AD1083" s="17">
        <v>0</v>
      </c>
      <c r="AE1083" s="17">
        <v>0</v>
      </c>
      <c r="AF1083" s="17"/>
      <c r="AG1083" s="17" t="s">
        <v>414</v>
      </c>
      <c r="AH1083" s="17" t="s">
        <v>415</v>
      </c>
      <c r="AI1083" s="17" t="s">
        <v>1580</v>
      </c>
      <c r="AJ1083" s="17" t="s">
        <v>416</v>
      </c>
      <c r="AK1083" s="17" t="s">
        <v>137</v>
      </c>
      <c r="AL1083" s="17" t="s">
        <v>137</v>
      </c>
      <c r="AM1083" s="17" t="s">
        <v>137</v>
      </c>
      <c r="AN1083" s="17" t="s">
        <v>84</v>
      </c>
      <c r="AO1083" s="17" t="s">
        <v>75</v>
      </c>
      <c r="AP1083" s="17"/>
      <c r="AQ1083" s="17"/>
      <c r="AR1083" s="17"/>
      <c r="AS1083" s="17"/>
      <c r="AT1083" s="17" t="s">
        <v>3281</v>
      </c>
      <c r="AU1083" s="17" t="s">
        <v>3282</v>
      </c>
    </row>
    <row r="1084" hidden="1">
      <c r="A1084" s="17">
        <v>1082</v>
      </c>
      <c r="B1084" s="17" t="s">
        <v>52</v>
      </c>
      <c r="C1084" s="34" t="s">
        <v>3283</v>
      </c>
      <c r="D1084" s="35" t="s">
        <v>52</v>
      </c>
      <c r="E1084" s="17" t="s">
        <v>3284</v>
      </c>
      <c r="F1084" s="17" t="s">
        <v>3285</v>
      </c>
      <c r="G1084" s="17">
        <v>22.15099</v>
      </c>
      <c r="H1084" s="17">
        <v>87.244960000000006</v>
      </c>
      <c r="I1084" s="17"/>
      <c r="J1084" s="17"/>
      <c r="K1084" s="17"/>
      <c r="L1084" s="17"/>
      <c r="M1084" s="38" t="s">
        <v>2710</v>
      </c>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row>
    <row r="1085" hidden="1">
      <c r="A1085" s="17">
        <v>1083</v>
      </c>
      <c r="B1085" s="17" t="s">
        <v>52</v>
      </c>
      <c r="C1085" s="34" t="s">
        <v>3286</v>
      </c>
      <c r="D1085" s="35" t="s">
        <v>52</v>
      </c>
      <c r="E1085" s="17" t="s">
        <v>3287</v>
      </c>
      <c r="F1085" s="17" t="s">
        <v>3288</v>
      </c>
      <c r="G1085" s="17">
        <v>22.040818999999999</v>
      </c>
      <c r="H1085" s="17">
        <v>87.319139000000007</v>
      </c>
      <c r="I1085" s="17"/>
      <c r="J1085" s="17"/>
      <c r="K1085" s="17"/>
      <c r="L1085" s="17"/>
      <c r="M1085" s="35" t="s">
        <v>2223</v>
      </c>
      <c r="N1085" s="36">
        <v>9734686678</v>
      </c>
      <c r="O1085" s="17">
        <v>20</v>
      </c>
      <c r="P1085" s="17">
        <v>100</v>
      </c>
      <c r="Q1085" s="17" t="s">
        <v>187</v>
      </c>
      <c r="R1085" s="17" t="s">
        <v>74</v>
      </c>
      <c r="S1085" s="17" t="s">
        <v>75</v>
      </c>
      <c r="T1085" s="17"/>
      <c r="U1085" s="17" t="s">
        <v>930</v>
      </c>
      <c r="V1085" s="17" t="s">
        <v>77</v>
      </c>
      <c r="W1085" s="17" t="s">
        <v>330</v>
      </c>
      <c r="X1085" s="17">
        <v>5</v>
      </c>
      <c r="Y1085" s="17">
        <v>0</v>
      </c>
      <c r="Z1085" s="17"/>
      <c r="AA1085" s="17" t="s">
        <v>187</v>
      </c>
      <c r="AB1085" s="17" t="s">
        <v>79</v>
      </c>
      <c r="AC1085" s="17">
        <v>5</v>
      </c>
      <c r="AD1085" s="17">
        <v>0</v>
      </c>
      <c r="AE1085" s="17">
        <v>0</v>
      </c>
      <c r="AF1085" s="17"/>
      <c r="AG1085" s="17" t="s">
        <v>124</v>
      </c>
      <c r="AH1085" s="17" t="s">
        <v>82</v>
      </c>
      <c r="AI1085" s="17" t="s">
        <v>3289</v>
      </c>
      <c r="AJ1085" s="17">
        <v>2111</v>
      </c>
      <c r="AK1085" s="17" t="s">
        <v>189</v>
      </c>
      <c r="AL1085" s="17" t="s">
        <v>75</v>
      </c>
      <c r="AM1085" s="17" t="s">
        <v>75</v>
      </c>
      <c r="AN1085" s="17" t="s">
        <v>84</v>
      </c>
      <c r="AO1085" s="17" t="s">
        <v>75</v>
      </c>
      <c r="AP1085" s="17"/>
      <c r="AQ1085" s="17"/>
      <c r="AR1085" s="17"/>
      <c r="AS1085" s="17"/>
      <c r="AT1085" s="17" t="s">
        <v>3290</v>
      </c>
      <c r="AU1085" s="17" t="s">
        <v>111</v>
      </c>
    </row>
    <row r="1086" hidden="1">
      <c r="A1086" s="17">
        <v>1084</v>
      </c>
      <c r="B1086" s="17" t="s">
        <v>52</v>
      </c>
      <c r="C1086" s="34" t="s">
        <v>3291</v>
      </c>
      <c r="D1086" s="35" t="s">
        <v>52</v>
      </c>
      <c r="E1086" s="17" t="s">
        <v>3292</v>
      </c>
      <c r="F1086" s="17" t="s">
        <v>3293</v>
      </c>
      <c r="G1086" s="17">
        <v>22.193314999999998</v>
      </c>
      <c r="H1086" s="17">
        <v>87.280844000000002</v>
      </c>
      <c r="I1086" s="17"/>
      <c r="J1086" s="17"/>
      <c r="K1086" s="17"/>
      <c r="L1086" s="17"/>
      <c r="M1086" s="38" t="s">
        <v>2710</v>
      </c>
      <c r="N1086" s="17"/>
      <c r="O1086" s="17"/>
      <c r="P1086" s="17"/>
      <c r="Q1086" s="17"/>
      <c r="R1086" s="17"/>
      <c r="S1086" s="17"/>
      <c r="T1086" s="17"/>
      <c r="U1086" s="17"/>
      <c r="V1086" s="17"/>
      <c r="W1086" s="17"/>
      <c r="X1086" s="17"/>
      <c r="Y1086" s="17"/>
      <c r="Z1086" s="17"/>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row>
    <row r="1087" hidden="1">
      <c r="A1087" s="17">
        <v>1085</v>
      </c>
      <c r="B1087" s="17" t="s">
        <v>52</v>
      </c>
      <c r="C1087" s="34" t="s">
        <v>3294</v>
      </c>
      <c r="D1087" s="35" t="s">
        <v>52</v>
      </c>
      <c r="E1087" s="17" t="s">
        <v>3295</v>
      </c>
      <c r="F1087" s="17" t="s">
        <v>3296</v>
      </c>
      <c r="G1087" s="17">
        <v>22.063071999999998</v>
      </c>
      <c r="H1087" s="17">
        <v>87.283489000000003</v>
      </c>
      <c r="I1087" s="17"/>
      <c r="J1087" s="17"/>
      <c r="K1087" s="17"/>
      <c r="L1087" s="17"/>
      <c r="M1087" s="35" t="s">
        <v>2223</v>
      </c>
      <c r="N1087" s="36">
        <v>9734686678</v>
      </c>
      <c r="O1087" s="17">
        <v>20</v>
      </c>
      <c r="P1087" s="17">
        <v>55</v>
      </c>
      <c r="Q1087" s="17" t="s">
        <v>73</v>
      </c>
      <c r="R1087" s="17" t="s">
        <v>104</v>
      </c>
      <c r="S1087" s="22" t="s">
        <v>3297</v>
      </c>
      <c r="T1087" s="17"/>
      <c r="U1087" s="17" t="s">
        <v>105</v>
      </c>
      <c r="V1087" s="17" t="s">
        <v>340</v>
      </c>
      <c r="W1087" s="17" t="s">
        <v>136</v>
      </c>
      <c r="X1087" s="17">
        <v>3</v>
      </c>
      <c r="Y1087" s="17">
        <v>0</v>
      </c>
      <c r="Z1087" s="17"/>
      <c r="AA1087" s="17" t="s">
        <v>73</v>
      </c>
      <c r="AB1087" s="17" t="s">
        <v>79</v>
      </c>
      <c r="AC1087" s="17">
        <v>2</v>
      </c>
      <c r="AD1087" s="17">
        <v>0</v>
      </c>
      <c r="AE1087" s="17">
        <v>1</v>
      </c>
      <c r="AF1087" s="17" t="s">
        <v>3298</v>
      </c>
      <c r="AG1087" s="17" t="s">
        <v>573</v>
      </c>
      <c r="AH1087" s="17" t="s">
        <v>82</v>
      </c>
      <c r="AI1087" s="17" t="s">
        <v>83</v>
      </c>
      <c r="AJ1087" s="17">
        <v>2111</v>
      </c>
      <c r="AK1087" s="17" t="s">
        <v>189</v>
      </c>
      <c r="AL1087" s="17" t="s">
        <v>75</v>
      </c>
      <c r="AM1087" s="17" t="s">
        <v>137</v>
      </c>
      <c r="AN1087" s="17" t="s">
        <v>84</v>
      </c>
      <c r="AO1087" s="17" t="s">
        <v>75</v>
      </c>
      <c r="AP1087" s="17"/>
      <c r="AQ1087" s="17"/>
      <c r="AR1087" s="17"/>
      <c r="AS1087" s="17"/>
      <c r="AT1087" s="17" t="s">
        <v>3299</v>
      </c>
      <c r="AU1087" s="17"/>
    </row>
    <row r="1088" hidden="1">
      <c r="A1088" s="17">
        <v>1086</v>
      </c>
      <c r="B1088" s="17" t="s">
        <v>52</v>
      </c>
      <c r="C1088" s="34" t="s">
        <v>3300</v>
      </c>
      <c r="D1088" s="35" t="s">
        <v>52</v>
      </c>
      <c r="E1088" s="17" t="s">
        <v>3301</v>
      </c>
      <c r="F1088" s="17" t="s">
        <v>3302</v>
      </c>
      <c r="G1088" s="17">
        <v>22.068145999999999</v>
      </c>
      <c r="H1088" s="17">
        <v>87.309059000000005</v>
      </c>
      <c r="I1088" s="17"/>
      <c r="J1088" s="17"/>
      <c r="K1088" s="17"/>
      <c r="L1088" s="17"/>
      <c r="M1088" s="35" t="s">
        <v>2223</v>
      </c>
      <c r="N1088" s="36">
        <v>9734686678</v>
      </c>
      <c r="O1088" s="17">
        <v>20</v>
      </c>
      <c r="P1088" s="17">
        <v>55</v>
      </c>
      <c r="Q1088" s="17" t="s">
        <v>73</v>
      </c>
      <c r="R1088" s="17" t="s">
        <v>74</v>
      </c>
      <c r="S1088" s="22" t="s">
        <v>3297</v>
      </c>
      <c r="T1088" s="17"/>
      <c r="U1088" s="17" t="s">
        <v>3303</v>
      </c>
      <c r="V1088" s="17" t="s">
        <v>3304</v>
      </c>
      <c r="W1088" s="17" t="s">
        <v>3305</v>
      </c>
      <c r="X1088" s="17">
        <v>4</v>
      </c>
      <c r="Y1088" s="17">
        <v>0</v>
      </c>
      <c r="Z1088" s="17"/>
      <c r="AA1088" s="17" t="s">
        <v>73</v>
      </c>
      <c r="AB1088" s="17" t="s">
        <v>79</v>
      </c>
      <c r="AC1088" s="17">
        <v>2</v>
      </c>
      <c r="AD1088" s="17">
        <v>0</v>
      </c>
      <c r="AE1088" s="17">
        <v>1</v>
      </c>
      <c r="AF1088" s="17" t="s">
        <v>3298</v>
      </c>
      <c r="AG1088" s="17" t="s">
        <v>124</v>
      </c>
      <c r="AH1088" s="17" t="s">
        <v>82</v>
      </c>
      <c r="AI1088" s="17" t="s">
        <v>83</v>
      </c>
      <c r="AJ1088" s="17">
        <v>2111</v>
      </c>
      <c r="AK1088" s="17" t="s">
        <v>189</v>
      </c>
      <c r="AL1088" s="17" t="s">
        <v>75</v>
      </c>
      <c r="AM1088" s="17" t="s">
        <v>137</v>
      </c>
      <c r="AN1088" s="17" t="s">
        <v>125</v>
      </c>
      <c r="AO1088" s="17" t="s">
        <v>75</v>
      </c>
      <c r="AP1088" s="17"/>
      <c r="AQ1088" s="17"/>
      <c r="AR1088" s="17"/>
      <c r="AS1088" s="17"/>
      <c r="AT1088" s="17" t="s">
        <v>3306</v>
      </c>
      <c r="AU1088" s="17"/>
    </row>
    <row r="1089" hidden="1">
      <c r="A1089" s="17">
        <v>1087</v>
      </c>
      <c r="B1089" s="17" t="s">
        <v>52</v>
      </c>
      <c r="C1089" s="34" t="s">
        <v>3307</v>
      </c>
      <c r="D1089" s="35" t="s">
        <v>52</v>
      </c>
      <c r="E1089" s="17" t="s">
        <v>3308</v>
      </c>
      <c r="F1089" s="17" t="s">
        <v>3309</v>
      </c>
      <c r="G1089" s="17">
        <v>22.217077</v>
      </c>
      <c r="H1089" s="17">
        <v>87.223388</v>
      </c>
      <c r="I1089" s="17"/>
      <c r="J1089" s="17"/>
      <c r="K1089" s="17"/>
      <c r="L1089" s="17"/>
      <c r="M1089" s="38" t="s">
        <v>2710</v>
      </c>
      <c r="N1089" s="17"/>
      <c r="O1089" s="17"/>
      <c r="P1089" s="17"/>
      <c r="Q1089" s="17"/>
      <c r="R1089" s="17"/>
      <c r="S1089" s="17"/>
      <c r="T1089" s="17"/>
      <c r="U1089" s="17"/>
      <c r="V1089" s="17"/>
      <c r="W1089" s="17"/>
      <c r="X1089" s="17"/>
      <c r="Y1089" s="17"/>
      <c r="Z1089" s="17"/>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row>
    <row r="1090" hidden="1">
      <c r="A1090" s="17">
        <v>1088</v>
      </c>
      <c r="B1090" s="17" t="s">
        <v>52</v>
      </c>
      <c r="C1090" s="34" t="s">
        <v>3310</v>
      </c>
      <c r="D1090" s="35" t="s">
        <v>52</v>
      </c>
      <c r="E1090" s="17" t="s">
        <v>3311</v>
      </c>
      <c r="F1090" s="17" t="s">
        <v>3312</v>
      </c>
      <c r="G1090" s="17">
        <v>22.163378999999999</v>
      </c>
      <c r="H1090" s="17">
        <v>87.271167000000005</v>
      </c>
      <c r="I1090" s="17"/>
      <c r="J1090" s="17"/>
      <c r="K1090" s="17"/>
      <c r="L1090" s="17"/>
      <c r="M1090" s="38" t="s">
        <v>2710</v>
      </c>
      <c r="N1090" s="17"/>
      <c r="O1090" s="17"/>
      <c r="P1090" s="17"/>
      <c r="Q1090" s="17"/>
      <c r="R1090" s="17"/>
      <c r="S1090" s="17"/>
      <c r="T1090" s="17"/>
      <c r="U1090" s="17"/>
      <c r="V1090" s="17"/>
      <c r="W1090" s="17"/>
      <c r="X1090" s="17"/>
      <c r="Y1090" s="17"/>
      <c r="Z1090" s="17"/>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row>
    <row r="1091" hidden="1">
      <c r="A1091" s="17">
        <v>1089</v>
      </c>
      <c r="B1091" s="17" t="s">
        <v>52</v>
      </c>
      <c r="C1091" s="34" t="s">
        <v>3313</v>
      </c>
      <c r="D1091" s="35" t="s">
        <v>52</v>
      </c>
      <c r="E1091" s="17" t="s">
        <v>3314</v>
      </c>
      <c r="F1091" s="17" t="s">
        <v>3315</v>
      </c>
      <c r="G1091" s="17">
        <v>22.173793</v>
      </c>
      <c r="H1091" s="17">
        <v>87.177790999999999</v>
      </c>
      <c r="I1091" s="17"/>
      <c r="J1091" s="17"/>
      <c r="K1091" s="17"/>
      <c r="L1091" s="17"/>
      <c r="M1091" s="38" t="s">
        <v>2710</v>
      </c>
      <c r="N1091" s="17"/>
      <c r="O1091" s="17"/>
      <c r="P1091" s="17"/>
      <c r="Q1091" s="17"/>
      <c r="R1091" s="17"/>
      <c r="S1091" s="17"/>
      <c r="T1091" s="17"/>
      <c r="U1091" s="17"/>
      <c r="V1091" s="17"/>
      <c r="W1091" s="17"/>
      <c r="X1091" s="17"/>
      <c r="Y1091" s="17"/>
      <c r="Z1091" s="17"/>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row>
    <row r="1092" hidden="1">
      <c r="A1092" s="17">
        <v>1090</v>
      </c>
      <c r="B1092" s="17" t="s">
        <v>52</v>
      </c>
      <c r="C1092" s="34" t="s">
        <v>3316</v>
      </c>
      <c r="D1092" s="35" t="s">
        <v>52</v>
      </c>
      <c r="E1092" s="17" t="s">
        <v>3317</v>
      </c>
      <c r="F1092" s="17" t="s">
        <v>3318</v>
      </c>
      <c r="G1092" s="17">
        <v>22.151602</v>
      </c>
      <c r="H1092" s="17">
        <v>87.194676999999999</v>
      </c>
      <c r="I1092" s="17"/>
      <c r="J1092" s="17"/>
      <c r="K1092" s="17"/>
      <c r="L1092" s="17"/>
      <c r="M1092" s="38" t="s">
        <v>2710</v>
      </c>
      <c r="N1092" s="17"/>
      <c r="O1092" s="17"/>
      <c r="P1092" s="17"/>
      <c r="Q1092" s="17"/>
      <c r="R1092" s="17"/>
      <c r="S1092" s="17"/>
      <c r="T1092" s="17"/>
      <c r="U1092" s="17"/>
      <c r="V1092" s="17"/>
      <c r="W1092" s="17"/>
      <c r="X1092" s="17"/>
      <c r="Y1092" s="17"/>
      <c r="Z1092" s="17"/>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row>
    <row r="1093" hidden="1">
      <c r="A1093" s="17">
        <v>1091</v>
      </c>
      <c r="B1093" s="17" t="s">
        <v>52</v>
      </c>
      <c r="C1093" s="34" t="s">
        <v>3319</v>
      </c>
      <c r="D1093" s="35" t="s">
        <v>52</v>
      </c>
      <c r="E1093" s="17" t="s">
        <v>3320</v>
      </c>
      <c r="F1093" s="17" t="s">
        <v>3321</v>
      </c>
      <c r="G1093" s="17">
        <v>22.128813000000001</v>
      </c>
      <c r="H1093" s="17">
        <v>87.191781000000006</v>
      </c>
      <c r="I1093" s="17"/>
      <c r="J1093" s="17"/>
      <c r="K1093" s="17"/>
      <c r="L1093" s="17"/>
      <c r="M1093" s="35" t="s">
        <v>2242</v>
      </c>
      <c r="N1093" s="17">
        <v>7439932070</v>
      </c>
      <c r="O1093" s="17">
        <v>24</v>
      </c>
      <c r="P1093" s="17">
        <v>90</v>
      </c>
      <c r="Q1093" s="17" t="s">
        <v>105</v>
      </c>
      <c r="R1093" s="17" t="s">
        <v>154</v>
      </c>
      <c r="S1093" s="17" t="s">
        <v>3322</v>
      </c>
      <c r="T1093" s="17" t="s">
        <v>584</v>
      </c>
      <c r="U1093" s="17" t="s">
        <v>441</v>
      </c>
      <c r="V1093" s="17" t="s">
        <v>442</v>
      </c>
      <c r="W1093" s="17" t="s">
        <v>1182</v>
      </c>
      <c r="X1093" s="17">
        <v>6</v>
      </c>
      <c r="Y1093" s="17">
        <v>3</v>
      </c>
      <c r="Z1093" s="17"/>
      <c r="AA1093" s="17" t="s">
        <v>105</v>
      </c>
      <c r="AB1093" s="17" t="s">
        <v>239</v>
      </c>
      <c r="AC1093" s="17">
        <v>4</v>
      </c>
      <c r="AD1093" s="17">
        <v>0</v>
      </c>
      <c r="AE1093" s="17">
        <v>1</v>
      </c>
      <c r="AF1093" s="17"/>
      <c r="AG1093" s="17" t="s">
        <v>81</v>
      </c>
      <c r="AH1093" s="17" t="s">
        <v>82</v>
      </c>
      <c r="AI1093" s="17" t="s">
        <v>83</v>
      </c>
      <c r="AJ1093" s="17" t="s">
        <v>568</v>
      </c>
      <c r="AK1093" s="17" t="s">
        <v>75</v>
      </c>
      <c r="AL1093" s="17" t="s">
        <v>137</v>
      </c>
      <c r="AM1093" s="17" t="s">
        <v>75</v>
      </c>
      <c r="AN1093" s="17" t="s">
        <v>84</v>
      </c>
      <c r="AO1093" s="17" t="s">
        <v>75</v>
      </c>
      <c r="AP1093" s="17"/>
      <c r="AQ1093" s="17"/>
      <c r="AR1093" s="17"/>
      <c r="AS1093" s="17"/>
      <c r="AT1093" s="17" t="s">
        <v>678</v>
      </c>
      <c r="AU1093" s="17" t="s">
        <v>127</v>
      </c>
    </row>
    <row r="1094" hidden="1">
      <c r="A1094" s="17">
        <v>1092</v>
      </c>
      <c r="B1094" s="17" t="s">
        <v>52</v>
      </c>
      <c r="C1094" s="34" t="s">
        <v>3323</v>
      </c>
      <c r="D1094" s="35" t="s">
        <v>52</v>
      </c>
      <c r="E1094" s="17" t="s">
        <v>3324</v>
      </c>
      <c r="F1094" s="17" t="s">
        <v>3325</v>
      </c>
      <c r="G1094" s="17">
        <v>22.120835</v>
      </c>
      <c r="H1094" s="17">
        <v>87.173080999999996</v>
      </c>
      <c r="I1094" s="17"/>
      <c r="J1094" s="17"/>
      <c r="K1094" s="17"/>
      <c r="L1094" s="17"/>
      <c r="M1094" s="35" t="s">
        <v>2242</v>
      </c>
      <c r="N1094" s="17">
        <v>7439932070</v>
      </c>
      <c r="O1094" s="17">
        <v>24</v>
      </c>
      <c r="P1094" s="17">
        <v>60</v>
      </c>
      <c r="Q1094" s="17" t="s">
        <v>105</v>
      </c>
      <c r="R1094" s="17" t="s">
        <v>142</v>
      </c>
      <c r="S1094" s="17" t="s">
        <v>75</v>
      </c>
      <c r="T1094" s="17" t="s">
        <v>2254</v>
      </c>
      <c r="U1094" s="17" t="s">
        <v>76</v>
      </c>
      <c r="V1094" s="17" t="s">
        <v>77</v>
      </c>
      <c r="W1094" s="17" t="s">
        <v>252</v>
      </c>
      <c r="X1094" s="17">
        <v>3</v>
      </c>
      <c r="Y1094" s="17">
        <v>0</v>
      </c>
      <c r="Z1094" s="17"/>
      <c r="AA1094" s="17" t="s">
        <v>105</v>
      </c>
      <c r="AB1094" s="17" t="s">
        <v>79</v>
      </c>
      <c r="AC1094" s="17">
        <v>5</v>
      </c>
      <c r="AD1094" s="17">
        <v>0</v>
      </c>
      <c r="AE1094" s="17">
        <v>0</v>
      </c>
      <c r="AF1094" s="17"/>
      <c r="AG1094" s="17" t="s">
        <v>81</v>
      </c>
      <c r="AH1094" s="17" t="s">
        <v>82</v>
      </c>
      <c r="AI1094" s="17" t="s">
        <v>83</v>
      </c>
      <c r="AJ1094" s="17" t="s">
        <v>366</v>
      </c>
      <c r="AK1094" s="17" t="s">
        <v>75</v>
      </c>
      <c r="AL1094" s="17" t="s">
        <v>137</v>
      </c>
      <c r="AM1094" s="17" t="s">
        <v>75</v>
      </c>
      <c r="AN1094" s="17" t="s">
        <v>84</v>
      </c>
      <c r="AO1094" s="17" t="s">
        <v>75</v>
      </c>
      <c r="AP1094" s="17"/>
      <c r="AQ1094" s="17"/>
      <c r="AR1094" s="17"/>
      <c r="AS1094" s="17"/>
      <c r="AT1094" s="17"/>
      <c r="AU1094" s="17" t="s">
        <v>111</v>
      </c>
    </row>
    <row r="1095" hidden="1">
      <c r="A1095" s="17">
        <v>1093</v>
      </c>
      <c r="B1095" s="17" t="s">
        <v>52</v>
      </c>
      <c r="C1095" s="34" t="s">
        <v>3326</v>
      </c>
      <c r="D1095" s="35" t="s">
        <v>52</v>
      </c>
      <c r="E1095" s="17" t="s">
        <v>3327</v>
      </c>
      <c r="F1095" s="17" t="s">
        <v>3328</v>
      </c>
      <c r="G1095" s="17">
        <v>22.111689999999999</v>
      </c>
      <c r="H1095" s="17">
        <v>87.236896000000002</v>
      </c>
      <c r="I1095" s="17"/>
      <c r="J1095" s="17"/>
      <c r="K1095" s="17"/>
      <c r="L1095" s="17"/>
      <c r="M1095" s="35" t="s">
        <v>2242</v>
      </c>
      <c r="N1095" s="17">
        <v>7439932070</v>
      </c>
      <c r="O1095" s="17">
        <v>24</v>
      </c>
      <c r="P1095" s="17">
        <v>70</v>
      </c>
      <c r="Q1095" s="17" t="s">
        <v>105</v>
      </c>
      <c r="R1095" s="17" t="s">
        <v>74</v>
      </c>
      <c r="S1095" s="17" t="s">
        <v>75</v>
      </c>
      <c r="T1095" s="17" t="s">
        <v>2254</v>
      </c>
      <c r="U1095" s="17" t="s">
        <v>105</v>
      </c>
      <c r="V1095" s="17" t="s">
        <v>77</v>
      </c>
      <c r="W1095" s="17" t="s">
        <v>123</v>
      </c>
      <c r="X1095" s="17">
        <v>3</v>
      </c>
      <c r="Y1095" s="17">
        <v>2</v>
      </c>
      <c r="Z1095" s="17"/>
      <c r="AA1095" s="17" t="s">
        <v>105</v>
      </c>
      <c r="AB1095" s="17" t="s">
        <v>79</v>
      </c>
      <c r="AC1095" s="17">
        <v>5</v>
      </c>
      <c r="AD1095" s="17">
        <v>0</v>
      </c>
      <c r="AE1095" s="17">
        <v>0</v>
      </c>
      <c r="AF1095" s="17"/>
      <c r="AG1095" s="17" t="s">
        <v>81</v>
      </c>
      <c r="AH1095" s="17" t="s">
        <v>82</v>
      </c>
      <c r="AI1095" s="17" t="s">
        <v>83</v>
      </c>
      <c r="AJ1095" s="17" t="s">
        <v>366</v>
      </c>
      <c r="AK1095" s="17" t="s">
        <v>75</v>
      </c>
      <c r="AL1095" s="17" t="s">
        <v>75</v>
      </c>
      <c r="AM1095" s="17" t="s">
        <v>137</v>
      </c>
      <c r="AN1095" s="17" t="s">
        <v>84</v>
      </c>
      <c r="AO1095" s="17" t="s">
        <v>75</v>
      </c>
      <c r="AP1095" s="17"/>
      <c r="AQ1095" s="17"/>
      <c r="AR1095" s="17"/>
      <c r="AS1095" s="17"/>
      <c r="AT1095" s="17" t="s">
        <v>3329</v>
      </c>
      <c r="AU1095" s="17" t="s">
        <v>127</v>
      </c>
    </row>
    <row r="1096" hidden="1">
      <c r="A1096" s="17">
        <v>1094</v>
      </c>
      <c r="B1096" s="17" t="s">
        <v>52</v>
      </c>
      <c r="C1096" s="34" t="s">
        <v>3330</v>
      </c>
      <c r="D1096" s="35" t="s">
        <v>52</v>
      </c>
      <c r="E1096" s="17" t="s">
        <v>3331</v>
      </c>
      <c r="F1096" s="17" t="s">
        <v>3332</v>
      </c>
      <c r="G1096" s="17">
        <v>22.070706999999999</v>
      </c>
      <c r="H1096" s="17">
        <v>87.182042999999993</v>
      </c>
      <c r="I1096" s="17"/>
      <c r="J1096" s="17"/>
      <c r="K1096" s="17"/>
      <c r="L1096" s="17"/>
      <c r="M1096" s="35" t="s">
        <v>2242</v>
      </c>
      <c r="N1096" s="17">
        <v>7439932070</v>
      </c>
      <c r="O1096" s="17">
        <v>17</v>
      </c>
      <c r="P1096" s="17">
        <v>60</v>
      </c>
      <c r="Q1096" s="17" t="s">
        <v>105</v>
      </c>
      <c r="R1096" s="17" t="s">
        <v>142</v>
      </c>
      <c r="S1096" s="17" t="s">
        <v>75</v>
      </c>
      <c r="T1096" s="17" t="s">
        <v>2254</v>
      </c>
      <c r="U1096" s="17" t="s">
        <v>76</v>
      </c>
      <c r="V1096" s="17" t="s">
        <v>77</v>
      </c>
      <c r="W1096" s="17" t="s">
        <v>443</v>
      </c>
      <c r="X1096" s="17">
        <v>3</v>
      </c>
      <c r="Y1096" s="17">
        <v>2</v>
      </c>
      <c r="Z1096" s="17"/>
      <c r="AA1096" s="17" t="s">
        <v>105</v>
      </c>
      <c r="AB1096" s="17" t="s">
        <v>79</v>
      </c>
      <c r="AC1096" s="17">
        <v>6</v>
      </c>
      <c r="AD1096" s="17">
        <v>0</v>
      </c>
      <c r="AE1096" s="17">
        <v>0</v>
      </c>
      <c r="AF1096" s="17"/>
      <c r="AG1096" s="17" t="s">
        <v>81</v>
      </c>
      <c r="AH1096" s="17" t="s">
        <v>82</v>
      </c>
      <c r="AI1096" s="17" t="s">
        <v>107</v>
      </c>
      <c r="AJ1096" s="17" t="s">
        <v>2540</v>
      </c>
      <c r="AK1096" s="17" t="s">
        <v>137</v>
      </c>
      <c r="AL1096" s="17" t="s">
        <v>75</v>
      </c>
      <c r="AM1096" s="17" t="s">
        <v>137</v>
      </c>
      <c r="AN1096" s="17" t="s">
        <v>84</v>
      </c>
      <c r="AO1096" s="17" t="s">
        <v>75</v>
      </c>
      <c r="AP1096" s="17"/>
      <c r="AQ1096" s="17"/>
      <c r="AR1096" s="17"/>
      <c r="AS1096" s="17"/>
      <c r="AT1096" s="17" t="s">
        <v>678</v>
      </c>
      <c r="AU1096" s="17" t="s">
        <v>127</v>
      </c>
    </row>
    <row r="1097" hidden="1">
      <c r="A1097" s="17">
        <v>1095</v>
      </c>
      <c r="B1097" s="17" t="s">
        <v>52</v>
      </c>
      <c r="C1097" s="34" t="s">
        <v>3333</v>
      </c>
      <c r="D1097" s="35" t="s">
        <v>52</v>
      </c>
      <c r="E1097" s="17" t="s">
        <v>3334</v>
      </c>
      <c r="F1097" s="17" t="s">
        <v>3335</v>
      </c>
      <c r="G1097" s="17">
        <v>22.085546999999998</v>
      </c>
      <c r="H1097" s="17">
        <v>87.166912999999994</v>
      </c>
      <c r="I1097" s="17"/>
      <c r="J1097" s="17"/>
      <c r="K1097" s="17"/>
      <c r="L1097" s="17"/>
      <c r="M1097" s="35" t="s">
        <v>2242</v>
      </c>
      <c r="N1097" s="17">
        <v>7439932070</v>
      </c>
      <c r="O1097" s="17">
        <v>15</v>
      </c>
      <c r="P1097" s="17">
        <v>60</v>
      </c>
      <c r="Q1097" s="17" t="s">
        <v>105</v>
      </c>
      <c r="R1097" s="17" t="s">
        <v>142</v>
      </c>
      <c r="S1097" s="17" t="s">
        <v>75</v>
      </c>
      <c r="T1097" s="17" t="s">
        <v>2254</v>
      </c>
      <c r="U1097" s="17" t="s">
        <v>441</v>
      </c>
      <c r="V1097" s="17" t="s">
        <v>442</v>
      </c>
      <c r="W1097" s="17" t="s">
        <v>443</v>
      </c>
      <c r="X1097" s="17">
        <v>6</v>
      </c>
      <c r="Y1097" s="17">
        <v>3</v>
      </c>
      <c r="Z1097" s="17"/>
      <c r="AA1097" s="17" t="s">
        <v>105</v>
      </c>
      <c r="AB1097" s="17" t="s">
        <v>79</v>
      </c>
      <c r="AC1097" s="17">
        <v>6</v>
      </c>
      <c r="AD1097" s="17">
        <v>0</v>
      </c>
      <c r="AE1097" s="17">
        <v>0</v>
      </c>
      <c r="AF1097" s="17"/>
      <c r="AG1097" s="17" t="s">
        <v>81</v>
      </c>
      <c r="AH1097" s="17" t="s">
        <v>82</v>
      </c>
      <c r="AI1097" s="17" t="s">
        <v>83</v>
      </c>
      <c r="AJ1097" s="17" t="s">
        <v>568</v>
      </c>
      <c r="AK1097" s="17" t="s">
        <v>75</v>
      </c>
      <c r="AL1097" s="17" t="s">
        <v>137</v>
      </c>
      <c r="AM1097" s="17" t="s">
        <v>75</v>
      </c>
      <c r="AN1097" s="17" t="s">
        <v>84</v>
      </c>
      <c r="AO1097" s="17" t="s">
        <v>75</v>
      </c>
      <c r="AP1097" s="17"/>
      <c r="AQ1097" s="17"/>
      <c r="AR1097" s="17"/>
      <c r="AS1097" s="17"/>
      <c r="AT1097" s="17" t="s">
        <v>585</v>
      </c>
      <c r="AU1097" s="17" t="s">
        <v>127</v>
      </c>
    </row>
    <row r="1098" hidden="1">
      <c r="A1098" s="17">
        <v>1096</v>
      </c>
      <c r="B1098" s="17" t="s">
        <v>52</v>
      </c>
      <c r="C1098" s="34" t="s">
        <v>3336</v>
      </c>
      <c r="D1098" s="35" t="s">
        <v>52</v>
      </c>
      <c r="E1098" s="17" t="s">
        <v>3337</v>
      </c>
      <c r="F1098" s="17" t="s">
        <v>3338</v>
      </c>
      <c r="G1098" s="17">
        <v>22.107196999999999</v>
      </c>
      <c r="H1098" s="17">
        <v>87.166211000000004</v>
      </c>
      <c r="I1098" s="17"/>
      <c r="J1098" s="17"/>
      <c r="K1098" s="17"/>
      <c r="L1098" s="17"/>
      <c r="M1098" s="35" t="s">
        <v>2242</v>
      </c>
      <c r="N1098" s="17">
        <v>7439932070</v>
      </c>
      <c r="O1098" s="17">
        <v>24</v>
      </c>
      <c r="P1098" s="17">
        <v>60</v>
      </c>
      <c r="Q1098" s="17" t="s">
        <v>105</v>
      </c>
      <c r="R1098" s="17" t="s">
        <v>154</v>
      </c>
      <c r="S1098" s="17" t="s">
        <v>3339</v>
      </c>
      <c r="T1098" s="17" t="s">
        <v>584</v>
      </c>
      <c r="U1098" s="17" t="s">
        <v>2285</v>
      </c>
      <c r="V1098" s="17" t="s">
        <v>77</v>
      </c>
      <c r="W1098" s="17" t="s">
        <v>78</v>
      </c>
      <c r="X1098" s="17">
        <v>3</v>
      </c>
      <c r="Y1098" s="17">
        <v>1</v>
      </c>
      <c r="Z1098" s="17"/>
      <c r="AA1098" s="17" t="s">
        <v>105</v>
      </c>
      <c r="AB1098" s="17" t="s">
        <v>239</v>
      </c>
      <c r="AC1098" s="17">
        <v>3</v>
      </c>
      <c r="AD1098" s="17">
        <v>1</v>
      </c>
      <c r="AE1098" s="17">
        <v>0</v>
      </c>
      <c r="AF1098" s="17"/>
      <c r="AG1098" s="17" t="s">
        <v>81</v>
      </c>
      <c r="AH1098" s="17" t="s">
        <v>82</v>
      </c>
      <c r="AI1098" s="17" t="s">
        <v>83</v>
      </c>
      <c r="AJ1098" s="17" t="s">
        <v>366</v>
      </c>
      <c r="AK1098" s="17" t="s">
        <v>75</v>
      </c>
      <c r="AL1098" s="17" t="s">
        <v>137</v>
      </c>
      <c r="AM1098" s="17" t="s">
        <v>75</v>
      </c>
      <c r="AN1098" s="17" t="s">
        <v>84</v>
      </c>
      <c r="AO1098" s="17" t="s">
        <v>75</v>
      </c>
      <c r="AP1098" s="17"/>
      <c r="AQ1098" s="17"/>
      <c r="AR1098" s="17"/>
      <c r="AS1098" s="17"/>
      <c r="AT1098" s="17" t="s">
        <v>678</v>
      </c>
      <c r="AU1098" s="17" t="s">
        <v>111</v>
      </c>
    </row>
    <row r="1099" hidden="1">
      <c r="A1099" s="17">
        <v>1097</v>
      </c>
      <c r="B1099" s="17" t="s">
        <v>52</v>
      </c>
      <c r="C1099" s="34" t="s">
        <v>3340</v>
      </c>
      <c r="D1099" s="35" t="s">
        <v>52</v>
      </c>
      <c r="E1099" s="17" t="s">
        <v>3341</v>
      </c>
      <c r="F1099" s="17" t="s">
        <v>3342</v>
      </c>
      <c r="G1099" s="17">
        <v>22.112119</v>
      </c>
      <c r="H1099" s="17">
        <v>87.212565999999995</v>
      </c>
      <c r="I1099" s="17"/>
      <c r="J1099" s="17"/>
      <c r="K1099" s="17"/>
      <c r="L1099" s="17"/>
      <c r="M1099" s="35" t="s">
        <v>2242</v>
      </c>
      <c r="N1099" s="17">
        <v>7439932070</v>
      </c>
      <c r="O1099" s="17">
        <v>15</v>
      </c>
      <c r="P1099" s="17">
        <v>60</v>
      </c>
      <c r="Q1099" s="17" t="s">
        <v>105</v>
      </c>
      <c r="R1099" s="17" t="s">
        <v>142</v>
      </c>
      <c r="S1099" s="17" t="s">
        <v>75</v>
      </c>
      <c r="T1099" s="17" t="s">
        <v>2254</v>
      </c>
      <c r="U1099" s="17" t="s">
        <v>105</v>
      </c>
      <c r="V1099" s="17" t="s">
        <v>77</v>
      </c>
      <c r="W1099" s="17" t="s">
        <v>449</v>
      </c>
      <c r="X1099" s="17">
        <v>2</v>
      </c>
      <c r="Y1099" s="17">
        <v>0</v>
      </c>
      <c r="Z1099" s="17" t="s">
        <v>2243</v>
      </c>
      <c r="AA1099" s="17" t="s">
        <v>105</v>
      </c>
      <c r="AB1099" s="17" t="s">
        <v>79</v>
      </c>
      <c r="AC1099" s="17">
        <v>5</v>
      </c>
      <c r="AD1099" s="17">
        <v>0</v>
      </c>
      <c r="AE1099" s="17">
        <v>0</v>
      </c>
      <c r="AF1099" s="17"/>
      <c r="AG1099" s="17" t="s">
        <v>81</v>
      </c>
      <c r="AH1099" s="17" t="s">
        <v>82</v>
      </c>
      <c r="AI1099" s="17" t="s">
        <v>83</v>
      </c>
      <c r="AJ1099" s="17" t="s">
        <v>366</v>
      </c>
      <c r="AK1099" s="17" t="s">
        <v>75</v>
      </c>
      <c r="AL1099" s="17" t="s">
        <v>75</v>
      </c>
      <c r="AM1099" s="17" t="s">
        <v>2548</v>
      </c>
      <c r="AN1099" s="17" t="s">
        <v>84</v>
      </c>
      <c r="AO1099" s="17" t="s">
        <v>75</v>
      </c>
      <c r="AP1099" s="17"/>
      <c r="AQ1099" s="17"/>
      <c r="AR1099" s="17"/>
      <c r="AS1099" s="17"/>
      <c r="AT1099" s="17" t="s">
        <v>3343</v>
      </c>
      <c r="AU1099" s="17" t="s">
        <v>127</v>
      </c>
    </row>
    <row r="1100" hidden="1">
      <c r="A1100" s="17">
        <v>1098</v>
      </c>
      <c r="B1100" s="17" t="s">
        <v>52</v>
      </c>
      <c r="C1100" s="34" t="s">
        <v>3344</v>
      </c>
      <c r="D1100" s="35" t="s">
        <v>52</v>
      </c>
      <c r="E1100" s="17" t="s">
        <v>3345</v>
      </c>
      <c r="F1100" s="17" t="s">
        <v>3346</v>
      </c>
      <c r="G1100" s="17">
        <v>22.053238</v>
      </c>
      <c r="H1100" s="17">
        <v>87.251392999999993</v>
      </c>
      <c r="I1100" s="17"/>
      <c r="J1100" s="17"/>
      <c r="K1100" s="17"/>
      <c r="L1100" s="17"/>
      <c r="M1100" s="35" t="s">
        <v>2223</v>
      </c>
      <c r="N1100" s="36">
        <v>9734686678</v>
      </c>
      <c r="O1100" s="17">
        <v>22</v>
      </c>
      <c r="P1100" s="17">
        <v>60</v>
      </c>
      <c r="Q1100" s="17" t="s">
        <v>105</v>
      </c>
      <c r="R1100" s="17" t="s">
        <v>154</v>
      </c>
      <c r="S1100" s="17" t="s">
        <v>75</v>
      </c>
      <c r="T1100" s="17"/>
      <c r="U1100" s="17" t="s">
        <v>76</v>
      </c>
      <c r="V1100" s="17" t="s">
        <v>77</v>
      </c>
      <c r="W1100" s="17" t="s">
        <v>151</v>
      </c>
      <c r="X1100" s="17">
        <v>5</v>
      </c>
      <c r="Y1100" s="17">
        <v>0</v>
      </c>
      <c r="Z1100" s="17"/>
      <c r="AA1100" s="17" t="s">
        <v>105</v>
      </c>
      <c r="AB1100" s="17" t="s">
        <v>239</v>
      </c>
      <c r="AC1100" s="17">
        <v>2</v>
      </c>
      <c r="AD1100" s="17">
        <v>0</v>
      </c>
      <c r="AE1100" s="17">
        <v>1</v>
      </c>
      <c r="AF1100" s="17" t="s">
        <v>3347</v>
      </c>
      <c r="AG1100" s="17"/>
      <c r="AH1100" s="17"/>
      <c r="AI1100" s="17"/>
      <c r="AJ1100" s="17"/>
      <c r="AK1100" s="17"/>
      <c r="AL1100" s="17"/>
      <c r="AM1100" s="17"/>
      <c r="AN1100" s="17"/>
      <c r="AO1100" s="17"/>
      <c r="AP1100" s="17"/>
      <c r="AQ1100" s="17"/>
      <c r="AR1100" s="17"/>
      <c r="AS1100" s="17"/>
      <c r="AT1100" s="17" t="s">
        <v>3348</v>
      </c>
      <c r="AU1100" s="17" t="s">
        <v>111</v>
      </c>
    </row>
    <row r="1101" hidden="1">
      <c r="A1101" s="17">
        <v>1099</v>
      </c>
      <c r="B1101" s="17" t="s">
        <v>52</v>
      </c>
      <c r="C1101" s="34" t="s">
        <v>3349</v>
      </c>
      <c r="D1101" s="35" t="s">
        <v>52</v>
      </c>
      <c r="E1101" s="17" t="s">
        <v>3350</v>
      </c>
      <c r="F1101" s="17" t="s">
        <v>3351</v>
      </c>
      <c r="G1101" s="17">
        <v>22.077373999999999</v>
      </c>
      <c r="H1101" s="17">
        <v>87.284808999999996</v>
      </c>
      <c r="I1101" s="17"/>
      <c r="J1101" s="17"/>
      <c r="K1101" s="17"/>
      <c r="L1101" s="17"/>
      <c r="M1101" s="35" t="s">
        <v>2223</v>
      </c>
      <c r="N1101" s="36">
        <v>9734686678</v>
      </c>
      <c r="O1101" s="17">
        <v>22</v>
      </c>
      <c r="P1101" s="17">
        <v>50</v>
      </c>
      <c r="Q1101" s="17" t="s">
        <v>73</v>
      </c>
      <c r="R1101" s="17" t="s">
        <v>74</v>
      </c>
      <c r="S1101" s="17" t="s">
        <v>75</v>
      </c>
      <c r="T1101" s="17"/>
      <c r="U1101" s="17" t="s">
        <v>105</v>
      </c>
      <c r="V1101" s="17" t="s">
        <v>77</v>
      </c>
      <c r="W1101" s="17" t="s">
        <v>454</v>
      </c>
      <c r="X1101" s="17">
        <v>3</v>
      </c>
      <c r="Y1101" s="17">
        <v>0</v>
      </c>
      <c r="Z1101" s="17"/>
      <c r="AA1101" s="17" t="s">
        <v>73</v>
      </c>
      <c r="AB1101" s="17" t="s">
        <v>79</v>
      </c>
      <c r="AC1101" s="17">
        <v>2</v>
      </c>
      <c r="AD1101" s="17">
        <v>0</v>
      </c>
      <c r="AE1101" s="17">
        <v>0</v>
      </c>
      <c r="AF1101" s="17"/>
      <c r="AG1101" s="17" t="s">
        <v>81</v>
      </c>
      <c r="AH1101" s="17" t="s">
        <v>82</v>
      </c>
      <c r="AI1101" s="17" t="s">
        <v>83</v>
      </c>
      <c r="AJ1101" s="17">
        <v>2111</v>
      </c>
      <c r="AK1101" s="17" t="s">
        <v>189</v>
      </c>
      <c r="AL1101" s="17" t="s">
        <v>75</v>
      </c>
      <c r="AM1101" s="17" t="s">
        <v>75</v>
      </c>
      <c r="AN1101" s="17" t="s">
        <v>84</v>
      </c>
      <c r="AO1101" s="17" t="s">
        <v>75</v>
      </c>
      <c r="AP1101" s="17"/>
      <c r="AQ1101" s="17"/>
      <c r="AR1101" s="17"/>
      <c r="AS1101" s="17"/>
      <c r="AT1101" s="17" t="s">
        <v>3352</v>
      </c>
      <c r="AU1101" s="17"/>
    </row>
    <row r="1102" hidden="1">
      <c r="A1102" s="17">
        <v>1100</v>
      </c>
      <c r="B1102" s="17" t="s">
        <v>52</v>
      </c>
      <c r="C1102" s="34" t="s">
        <v>3353</v>
      </c>
      <c r="D1102" s="35" t="s">
        <v>52</v>
      </c>
      <c r="E1102" s="17" t="s">
        <v>3354</v>
      </c>
      <c r="F1102" s="17" t="s">
        <v>3355</v>
      </c>
      <c r="G1102" s="17">
        <v>22.054058999999999</v>
      </c>
      <c r="H1102" s="17">
        <v>87.327152999999996</v>
      </c>
      <c r="I1102" s="17"/>
      <c r="J1102" s="17"/>
      <c r="K1102" s="17"/>
      <c r="L1102" s="17"/>
      <c r="M1102" s="35" t="s">
        <v>2223</v>
      </c>
      <c r="N1102" s="36">
        <v>9734686678</v>
      </c>
      <c r="O1102" s="17">
        <v>20</v>
      </c>
      <c r="P1102" s="17">
        <v>110</v>
      </c>
      <c r="Q1102" s="17" t="s">
        <v>187</v>
      </c>
      <c r="R1102" s="17" t="s">
        <v>339</v>
      </c>
      <c r="S1102" s="17" t="s">
        <v>75</v>
      </c>
      <c r="T1102" s="17"/>
      <c r="U1102" s="17" t="s">
        <v>76</v>
      </c>
      <c r="V1102" s="17" t="s">
        <v>77</v>
      </c>
      <c r="W1102" s="17" t="s">
        <v>252</v>
      </c>
      <c r="X1102" s="17">
        <v>5</v>
      </c>
      <c r="Y1102" s="17">
        <v>0</v>
      </c>
      <c r="Z1102" s="17"/>
      <c r="AA1102" s="17" t="s">
        <v>187</v>
      </c>
      <c r="AB1102" s="17" t="s">
        <v>79</v>
      </c>
      <c r="AC1102" s="17">
        <v>6</v>
      </c>
      <c r="AD1102" s="17">
        <v>0</v>
      </c>
      <c r="AE1102" s="17">
        <v>0</v>
      </c>
      <c r="AF1102" s="17"/>
      <c r="AG1102" s="17" t="s">
        <v>124</v>
      </c>
      <c r="AH1102" s="17" t="s">
        <v>162</v>
      </c>
      <c r="AI1102" s="17" t="s">
        <v>83</v>
      </c>
      <c r="AJ1102" s="17">
        <v>2112</v>
      </c>
      <c r="AK1102" s="17" t="s">
        <v>189</v>
      </c>
      <c r="AL1102" s="17" t="s">
        <v>75</v>
      </c>
      <c r="AM1102" s="17" t="s">
        <v>3356</v>
      </c>
      <c r="AN1102" s="17" t="s">
        <v>84</v>
      </c>
      <c r="AO1102" s="17" t="s">
        <v>3357</v>
      </c>
      <c r="AP1102" s="17"/>
      <c r="AQ1102" s="17"/>
      <c r="AR1102" s="17"/>
      <c r="AS1102" s="17"/>
      <c r="AT1102" s="17"/>
      <c r="AU1102" s="17"/>
    </row>
    <row r="1103" hidden="1">
      <c r="A1103" s="17">
        <v>1101</v>
      </c>
      <c r="B1103" s="17" t="s">
        <v>52</v>
      </c>
      <c r="C1103" s="34" t="s">
        <v>3358</v>
      </c>
      <c r="D1103" s="35" t="s">
        <v>52</v>
      </c>
      <c r="E1103" s="17" t="s">
        <v>3359</v>
      </c>
      <c r="F1103" s="17" t="s">
        <v>3360</v>
      </c>
      <c r="G1103" s="17">
        <v>22.076485999999999</v>
      </c>
      <c r="H1103" s="17">
        <v>87.233431999999993</v>
      </c>
      <c r="I1103" s="17"/>
      <c r="J1103" s="17"/>
      <c r="K1103" s="17"/>
      <c r="L1103" s="17"/>
      <c r="M1103" s="35" t="s">
        <v>2242</v>
      </c>
      <c r="N1103" s="17">
        <v>7439932070</v>
      </c>
      <c r="O1103" s="17">
        <v>24</v>
      </c>
      <c r="P1103" s="17">
        <v>50</v>
      </c>
      <c r="Q1103" s="17" t="s">
        <v>73</v>
      </c>
      <c r="R1103" s="17" t="s">
        <v>74</v>
      </c>
      <c r="S1103" s="17" t="s">
        <v>2479</v>
      </c>
      <c r="T1103" s="17" t="s">
        <v>2783</v>
      </c>
      <c r="U1103" s="17" t="s">
        <v>76</v>
      </c>
      <c r="V1103" s="17" t="s">
        <v>340</v>
      </c>
      <c r="W1103" s="17" t="s">
        <v>123</v>
      </c>
      <c r="X1103" s="17">
        <v>4</v>
      </c>
      <c r="Y1103" s="17">
        <v>4</v>
      </c>
      <c r="Z1103" s="17" t="s">
        <v>3361</v>
      </c>
      <c r="AA1103" s="17" t="s">
        <v>73</v>
      </c>
      <c r="AB1103" s="17" t="s">
        <v>1838</v>
      </c>
      <c r="AC1103" s="17">
        <v>3</v>
      </c>
      <c r="AD1103" s="17">
        <v>0</v>
      </c>
      <c r="AE1103" s="17">
        <v>1</v>
      </c>
      <c r="AF1103" s="17"/>
      <c r="AG1103" s="17" t="s">
        <v>124</v>
      </c>
      <c r="AH1103" s="17" t="s">
        <v>82</v>
      </c>
      <c r="AI1103" s="17" t="s">
        <v>3289</v>
      </c>
      <c r="AJ1103" s="17" t="s">
        <v>366</v>
      </c>
      <c r="AK1103" s="17" t="s">
        <v>2548</v>
      </c>
      <c r="AL1103" s="17" t="s">
        <v>75</v>
      </c>
      <c r="AM1103" s="17" t="s">
        <v>2548</v>
      </c>
      <c r="AN1103" s="17" t="s">
        <v>125</v>
      </c>
      <c r="AO1103" s="17" t="s">
        <v>75</v>
      </c>
      <c r="AP1103" s="17"/>
      <c r="AQ1103" s="17"/>
      <c r="AR1103" s="17"/>
      <c r="AS1103" s="17"/>
      <c r="AT1103" s="17" t="s">
        <v>746</v>
      </c>
      <c r="AU1103" s="17" t="s">
        <v>127</v>
      </c>
    </row>
    <row r="1104" hidden="1">
      <c r="A1104" s="17">
        <v>1102</v>
      </c>
      <c r="B1104" s="17" t="s">
        <v>52</v>
      </c>
      <c r="C1104" s="34" t="s">
        <v>3362</v>
      </c>
      <c r="D1104" s="35" t="s">
        <v>52</v>
      </c>
      <c r="E1104" s="17" t="s">
        <v>3363</v>
      </c>
      <c r="F1104" s="17" t="s">
        <v>3364</v>
      </c>
      <c r="G1104" s="17">
        <v>22.183167999999998</v>
      </c>
      <c r="H1104" s="17">
        <v>87.226177000000007</v>
      </c>
      <c r="I1104" s="17"/>
      <c r="J1104" s="17"/>
      <c r="K1104" s="17"/>
      <c r="L1104" s="17"/>
      <c r="M1104" s="38" t="s">
        <v>2710</v>
      </c>
      <c r="N1104" s="17"/>
      <c r="O1104" s="17"/>
      <c r="P1104" s="17"/>
      <c r="Q1104" s="17"/>
      <c r="R1104" s="17"/>
      <c r="S1104" s="17"/>
      <c r="T1104" s="17"/>
      <c r="U1104" s="17"/>
      <c r="V1104" s="17"/>
      <c r="W1104" s="17"/>
      <c r="X1104" s="17"/>
      <c r="Y1104" s="17"/>
      <c r="Z1104" s="17"/>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row>
    <row r="1105" hidden="1">
      <c r="A1105" s="17">
        <v>1103</v>
      </c>
      <c r="B1105" s="17" t="s">
        <v>52</v>
      </c>
      <c r="C1105" s="34" t="s">
        <v>3365</v>
      </c>
      <c r="D1105" s="35" t="s">
        <v>52</v>
      </c>
      <c r="E1105" s="17" t="s">
        <v>3366</v>
      </c>
      <c r="F1105" s="17" t="s">
        <v>3367</v>
      </c>
      <c r="G1105" s="17">
        <v>22.182500000000001</v>
      </c>
      <c r="H1105" s="17">
        <v>87.253079999999997</v>
      </c>
      <c r="I1105" s="17"/>
      <c r="J1105" s="17"/>
      <c r="K1105" s="17"/>
      <c r="L1105" s="17"/>
      <c r="M1105" s="38" t="s">
        <v>2710</v>
      </c>
      <c r="N1105" s="17"/>
      <c r="O1105" s="17"/>
      <c r="P1105" s="17"/>
      <c r="Q1105" s="17"/>
      <c r="R1105" s="17"/>
      <c r="S1105" s="17"/>
      <c r="T1105" s="17"/>
      <c r="U1105" s="17"/>
      <c r="V1105" s="17"/>
      <c r="W1105" s="17"/>
      <c r="X1105" s="17"/>
      <c r="Y1105" s="17"/>
      <c r="Z1105" s="17"/>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row>
    <row r="1106" hidden="1">
      <c r="A1106" s="17">
        <v>1104</v>
      </c>
      <c r="B1106" s="17" t="s">
        <v>52</v>
      </c>
      <c r="C1106" s="34" t="s">
        <v>3368</v>
      </c>
      <c r="D1106" s="35" t="s">
        <v>52</v>
      </c>
      <c r="E1106" s="17" t="s">
        <v>3369</v>
      </c>
      <c r="F1106" s="17" t="s">
        <v>3370</v>
      </c>
      <c r="G1106" s="17">
        <v>22.047350000000002</v>
      </c>
      <c r="H1106" s="17">
        <v>87.199399999999997</v>
      </c>
      <c r="I1106" s="17"/>
      <c r="J1106" s="17"/>
      <c r="K1106" s="17"/>
      <c r="L1106" s="17"/>
      <c r="M1106" s="35" t="s">
        <v>2242</v>
      </c>
      <c r="N1106" s="17">
        <v>7439932070</v>
      </c>
      <c r="O1106" s="17">
        <v>18</v>
      </c>
      <c r="P1106" s="17">
        <v>65</v>
      </c>
      <c r="Q1106" s="17" t="s">
        <v>187</v>
      </c>
      <c r="R1106" s="17" t="s">
        <v>74</v>
      </c>
      <c r="S1106" s="17" t="s">
        <v>75</v>
      </c>
      <c r="T1106" s="17"/>
      <c r="U1106" s="17" t="s">
        <v>76</v>
      </c>
      <c r="V1106" s="17" t="s">
        <v>77</v>
      </c>
      <c r="W1106" s="17" t="s">
        <v>78</v>
      </c>
      <c r="X1106" s="17">
        <v>3</v>
      </c>
      <c r="Y1106" s="17">
        <v>0</v>
      </c>
      <c r="Z1106" s="17"/>
      <c r="AA1106" s="17" t="s">
        <v>187</v>
      </c>
      <c r="AB1106" s="17" t="s">
        <v>79</v>
      </c>
      <c r="AC1106" s="17">
        <v>5</v>
      </c>
      <c r="AD1106" s="17">
        <v>0</v>
      </c>
      <c r="AE1106" s="17">
        <v>2</v>
      </c>
      <c r="AF1106" s="17"/>
      <c r="AG1106" s="17" t="s">
        <v>124</v>
      </c>
      <c r="AH1106" s="17" t="s">
        <v>82</v>
      </c>
      <c r="AI1106" s="17" t="s">
        <v>83</v>
      </c>
      <c r="AJ1106" s="17" t="s">
        <v>366</v>
      </c>
      <c r="AK1106" s="17" t="s">
        <v>75</v>
      </c>
      <c r="AL1106" s="17" t="s">
        <v>75</v>
      </c>
      <c r="AM1106" s="17" t="s">
        <v>75</v>
      </c>
      <c r="AN1106" s="17" t="s">
        <v>125</v>
      </c>
      <c r="AO1106" s="17" t="s">
        <v>75</v>
      </c>
      <c r="AP1106" s="17"/>
      <c r="AQ1106" s="17"/>
      <c r="AR1106" s="17"/>
      <c r="AS1106" s="17"/>
      <c r="AT1106" s="17" t="s">
        <v>75</v>
      </c>
      <c r="AU1106" s="17" t="s">
        <v>127</v>
      </c>
    </row>
    <row r="1107" hidden="1">
      <c r="A1107" s="17">
        <v>1105</v>
      </c>
      <c r="B1107" s="17" t="s">
        <v>52</v>
      </c>
      <c r="C1107" s="34" t="s">
        <v>3371</v>
      </c>
      <c r="D1107" s="35" t="s">
        <v>52</v>
      </c>
      <c r="E1107" s="17" t="s">
        <v>3372</v>
      </c>
      <c r="F1107" s="17" t="s">
        <v>3373</v>
      </c>
      <c r="G1107" s="17">
        <v>22.100933000000001</v>
      </c>
      <c r="H1107" s="17">
        <v>87.144745</v>
      </c>
      <c r="I1107" s="17"/>
      <c r="J1107" s="17"/>
      <c r="K1107" s="17"/>
      <c r="L1107" s="17"/>
      <c r="M1107" s="35" t="s">
        <v>2242</v>
      </c>
      <c r="N1107" s="17">
        <v>7439932070</v>
      </c>
      <c r="O1107" s="17"/>
      <c r="P1107" s="17"/>
      <c r="Q1107" s="17"/>
      <c r="R1107" s="17"/>
      <c r="S1107" s="17"/>
      <c r="T1107" s="17"/>
      <c r="U1107" s="17"/>
      <c r="V1107" s="17"/>
      <c r="W1107" s="17"/>
      <c r="X1107" s="17"/>
      <c r="Y1107" s="17"/>
      <c r="Z1107" s="17"/>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row>
    <row r="1108" hidden="1">
      <c r="A1108" s="17">
        <v>1106</v>
      </c>
      <c r="B1108" s="17" t="s">
        <v>52</v>
      </c>
      <c r="C1108" s="34" t="s">
        <v>3374</v>
      </c>
      <c r="D1108" s="35" t="s">
        <v>52</v>
      </c>
      <c r="E1108" s="17" t="s">
        <v>3375</v>
      </c>
      <c r="F1108" s="17" t="s">
        <v>3376</v>
      </c>
      <c r="G1108" s="17">
        <v>22.123849</v>
      </c>
      <c r="H1108" s="17">
        <v>87.233438000000007</v>
      </c>
      <c r="I1108" s="17"/>
      <c r="J1108" s="17"/>
      <c r="K1108" s="17"/>
      <c r="L1108" s="17"/>
      <c r="M1108" s="35" t="s">
        <v>2242</v>
      </c>
      <c r="N1108" s="17">
        <v>7439932070</v>
      </c>
      <c r="O1108" s="17"/>
      <c r="P1108" s="17"/>
      <c r="Q1108" s="17"/>
      <c r="R1108" s="17"/>
      <c r="S1108" s="17"/>
      <c r="T1108" s="17"/>
      <c r="U1108" s="17"/>
      <c r="V1108" s="17"/>
      <c r="W1108" s="17"/>
      <c r="X1108" s="17"/>
      <c r="Y1108" s="17"/>
      <c r="Z1108" s="17"/>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row>
    <row r="1109" hidden="1">
      <c r="A1109" s="17">
        <v>1107</v>
      </c>
      <c r="B1109" s="17" t="s">
        <v>52</v>
      </c>
      <c r="C1109" s="34" t="s">
        <v>3377</v>
      </c>
      <c r="D1109" s="35" t="s">
        <v>52</v>
      </c>
      <c r="E1109" s="17" t="s">
        <v>3378</v>
      </c>
      <c r="F1109" s="17" t="s">
        <v>3379</v>
      </c>
      <c r="G1109" s="17">
        <v>22.049385000000001</v>
      </c>
      <c r="H1109" s="17">
        <v>87.230135000000004</v>
      </c>
      <c r="I1109" s="17"/>
      <c r="J1109" s="17"/>
      <c r="K1109" s="17"/>
      <c r="L1109" s="17"/>
      <c r="M1109" s="35" t="s">
        <v>2242</v>
      </c>
      <c r="N1109" s="17">
        <v>7439932070</v>
      </c>
      <c r="O1109" s="17"/>
      <c r="P1109" s="17"/>
      <c r="Q1109" s="17"/>
      <c r="R1109" s="17"/>
      <c r="S1109" s="17"/>
      <c r="T1109" s="17"/>
      <c r="U1109" s="17"/>
      <c r="V1109" s="17"/>
      <c r="W1109" s="17"/>
      <c r="X1109" s="17"/>
      <c r="Y1109" s="17"/>
      <c r="Z1109" s="17"/>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row>
    <row r="1110" hidden="1">
      <c r="A1110" s="17">
        <v>1108</v>
      </c>
      <c r="B1110" s="17" t="s">
        <v>52</v>
      </c>
      <c r="C1110" s="34" t="s">
        <v>3380</v>
      </c>
      <c r="D1110" s="35" t="s">
        <v>52</v>
      </c>
      <c r="E1110" s="17" t="s">
        <v>3381</v>
      </c>
      <c r="F1110" s="17" t="s">
        <v>3382</v>
      </c>
      <c r="G1110" s="17">
        <v>22.064775999999998</v>
      </c>
      <c r="H1110" s="17">
        <v>87.195549</v>
      </c>
      <c r="I1110" s="17"/>
      <c r="J1110" s="17"/>
      <c r="K1110" s="17"/>
      <c r="L1110" s="17"/>
      <c r="M1110" s="35" t="s">
        <v>2242</v>
      </c>
      <c r="N1110" s="17">
        <v>7439932070</v>
      </c>
      <c r="O1110" s="17"/>
      <c r="P1110" s="17"/>
      <c r="Q1110" s="17"/>
      <c r="R1110" s="17"/>
      <c r="S1110" s="17"/>
      <c r="T1110" s="17"/>
      <c r="U1110" s="17"/>
      <c r="V1110" s="17"/>
      <c r="W1110" s="17"/>
      <c r="X1110" s="17"/>
      <c r="Y1110" s="17"/>
      <c r="Z1110" s="17"/>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row>
    <row r="1111" hidden="1">
      <c r="A1111" s="17">
        <v>1109</v>
      </c>
      <c r="B1111" s="17" t="s">
        <v>52</v>
      </c>
      <c r="C1111" s="34" t="s">
        <v>3383</v>
      </c>
      <c r="D1111" s="35" t="s">
        <v>52</v>
      </c>
      <c r="E1111" s="17" t="s">
        <v>3384</v>
      </c>
      <c r="F1111" s="17" t="s">
        <v>3385</v>
      </c>
      <c r="G1111" s="17">
        <v>22.08896</v>
      </c>
      <c r="H1111" s="17">
        <v>87.221603000000002</v>
      </c>
      <c r="I1111" s="17"/>
      <c r="J1111" s="17"/>
      <c r="K1111" s="17"/>
      <c r="L1111" s="17"/>
      <c r="M1111" s="35" t="s">
        <v>2242</v>
      </c>
      <c r="N1111" s="17">
        <v>7439932070</v>
      </c>
      <c r="O1111" s="17"/>
      <c r="P1111" s="17"/>
      <c r="Q1111" s="17"/>
      <c r="R1111" s="17"/>
      <c r="S1111" s="17"/>
      <c r="T1111" s="17"/>
      <c r="U1111" s="17"/>
      <c r="V1111" s="17"/>
      <c r="W1111" s="17"/>
      <c r="X1111" s="17"/>
      <c r="Y1111" s="17"/>
      <c r="Z1111" s="17"/>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row>
    <row r="1112" hidden="1">
      <c r="A1112" s="17">
        <v>1110</v>
      </c>
      <c r="B1112" s="17" t="s">
        <v>52</v>
      </c>
      <c r="C1112" s="34" t="s">
        <v>3386</v>
      </c>
      <c r="D1112" s="35" t="s">
        <v>52</v>
      </c>
      <c r="E1112" s="17" t="s">
        <v>3387</v>
      </c>
      <c r="F1112" s="17" t="s">
        <v>3388</v>
      </c>
      <c r="G1112" s="17">
        <v>22.100375</v>
      </c>
      <c r="H1112" s="17">
        <v>87.184479999999994</v>
      </c>
      <c r="I1112" s="17"/>
      <c r="J1112" s="17"/>
      <c r="K1112" s="17"/>
      <c r="L1112" s="17"/>
      <c r="M1112" s="35" t="s">
        <v>2242</v>
      </c>
      <c r="N1112" s="17">
        <v>7439932070</v>
      </c>
      <c r="O1112" s="17"/>
      <c r="P1112" s="17"/>
      <c r="Q1112" s="17"/>
      <c r="R1112" s="17"/>
      <c r="S1112" s="17"/>
      <c r="T1112" s="17"/>
      <c r="U1112" s="17"/>
      <c r="V1112" s="17"/>
      <c r="W1112" s="17"/>
      <c r="X1112" s="17"/>
      <c r="Y1112" s="17"/>
      <c r="Z1112" s="17"/>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row>
    <row r="1113" hidden="1">
      <c r="A1113" s="17">
        <v>1111</v>
      </c>
      <c r="B1113" s="17" t="s">
        <v>52</v>
      </c>
      <c r="C1113" s="34" t="s">
        <v>3389</v>
      </c>
      <c r="D1113" s="35" t="s">
        <v>52</v>
      </c>
      <c r="E1113" s="17" t="s">
        <v>3390</v>
      </c>
      <c r="F1113" s="17" t="s">
        <v>3391</v>
      </c>
      <c r="G1113" s="17">
        <v>22.137132000000001</v>
      </c>
      <c r="H1113" s="17">
        <v>87.164760999999999</v>
      </c>
      <c r="I1113" s="17"/>
      <c r="J1113" s="17"/>
      <c r="K1113" s="17"/>
      <c r="L1113" s="17"/>
      <c r="M1113" s="35" t="s">
        <v>2242</v>
      </c>
      <c r="N1113" s="17">
        <v>7439932070</v>
      </c>
      <c r="O1113" s="17"/>
      <c r="P1113" s="17"/>
      <c r="Q1113" s="17"/>
      <c r="R1113" s="17"/>
      <c r="S1113" s="17"/>
      <c r="T1113" s="17"/>
      <c r="U1113" s="17"/>
      <c r="V1113" s="17"/>
      <c r="W1113" s="17"/>
      <c r="X1113" s="17"/>
      <c r="Y1113" s="17"/>
      <c r="Z1113" s="17"/>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row>
    <row r="1114" hidden="1">
      <c r="A1114" s="17">
        <v>1112</v>
      </c>
      <c r="B1114" s="17" t="s">
        <v>52</v>
      </c>
      <c r="C1114" s="34" t="s">
        <v>3392</v>
      </c>
      <c r="D1114" s="35" t="s">
        <v>52</v>
      </c>
      <c r="E1114" s="17" t="s">
        <v>3393</v>
      </c>
      <c r="F1114" s="17" t="s">
        <v>3394</v>
      </c>
      <c r="G1114" s="17">
        <v>22.206088000000001</v>
      </c>
      <c r="H1114" s="17">
        <v>87.190226999999993</v>
      </c>
      <c r="I1114" s="17"/>
      <c r="J1114" s="17"/>
      <c r="K1114" s="17"/>
      <c r="L1114" s="17"/>
      <c r="M1114" s="38" t="s">
        <v>2710</v>
      </c>
      <c r="N1114" s="17"/>
      <c r="O1114" s="17"/>
      <c r="P1114" s="17"/>
      <c r="Q1114" s="17"/>
      <c r="R1114" s="17"/>
      <c r="S1114" s="17"/>
      <c r="T1114" s="17"/>
      <c r="U1114" s="17"/>
      <c r="V1114" s="17"/>
      <c r="W1114" s="17"/>
      <c r="X1114" s="17"/>
      <c r="Y1114" s="17"/>
      <c r="Z1114" s="17"/>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row>
    <row r="1115" hidden="1">
      <c r="A1115" s="17">
        <v>1113</v>
      </c>
      <c r="B1115" s="17" t="s">
        <v>52</v>
      </c>
      <c r="C1115" s="34" t="s">
        <v>3395</v>
      </c>
      <c r="D1115" s="35" t="s">
        <v>52</v>
      </c>
      <c r="E1115" s="17" t="s">
        <v>3396</v>
      </c>
      <c r="F1115" s="17" t="s">
        <v>3397</v>
      </c>
      <c r="G1115" s="17">
        <v>22.095188</v>
      </c>
      <c r="H1115" s="17">
        <v>87.304598999999996</v>
      </c>
      <c r="I1115" s="17"/>
      <c r="J1115" s="17"/>
      <c r="K1115" s="17"/>
      <c r="L1115" s="17"/>
      <c r="M1115" s="35" t="s">
        <v>2242</v>
      </c>
      <c r="N1115" s="17">
        <v>7439932070</v>
      </c>
      <c r="O1115" s="17"/>
      <c r="P1115" s="17"/>
      <c r="Q1115" s="17"/>
      <c r="R1115" s="17"/>
      <c r="S1115" s="17"/>
      <c r="T1115" s="17"/>
      <c r="U1115" s="17"/>
      <c r="V1115" s="17"/>
      <c r="W1115" s="17"/>
      <c r="X1115" s="17"/>
      <c r="Y1115" s="17"/>
      <c r="Z1115" s="17"/>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row>
    <row r="1116" hidden="1">
      <c r="A1116" s="17">
        <v>1114</v>
      </c>
      <c r="B1116" s="17" t="s">
        <v>52</v>
      </c>
      <c r="C1116" s="34" t="s">
        <v>3398</v>
      </c>
      <c r="D1116" s="35" t="s">
        <v>52</v>
      </c>
      <c r="E1116" s="17" t="s">
        <v>3399</v>
      </c>
      <c r="F1116" s="17" t="s">
        <v>3400</v>
      </c>
      <c r="G1116" s="17">
        <v>22.209049</v>
      </c>
      <c r="H1116" s="17">
        <v>87.258577000000002</v>
      </c>
      <c r="I1116" s="17"/>
      <c r="J1116" s="17"/>
      <c r="K1116" s="17"/>
      <c r="L1116" s="17"/>
      <c r="M1116" s="38" t="s">
        <v>2710</v>
      </c>
      <c r="N1116" s="17"/>
      <c r="O1116" s="17"/>
      <c r="P1116" s="17"/>
      <c r="Q1116" s="17"/>
      <c r="R1116" s="17"/>
      <c r="S1116" s="17"/>
      <c r="T1116" s="17"/>
      <c r="U1116" s="17"/>
      <c r="V1116" s="17"/>
      <c r="W1116" s="17"/>
      <c r="X1116" s="17"/>
      <c r="Y1116" s="17"/>
      <c r="Z1116" s="17"/>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row>
    <row r="1117" hidden="1">
      <c r="A1117" s="17">
        <v>1115</v>
      </c>
      <c r="B1117" s="17" t="s">
        <v>52</v>
      </c>
      <c r="C1117" s="34" t="s">
        <v>3401</v>
      </c>
      <c r="D1117" s="35" t="s">
        <v>52</v>
      </c>
      <c r="E1117" s="17" t="s">
        <v>3402</v>
      </c>
      <c r="F1117" s="17" t="s">
        <v>3403</v>
      </c>
      <c r="G1117" s="17">
        <v>22.112670999999999</v>
      </c>
      <c r="H1117" s="17">
        <v>87.263795999999999</v>
      </c>
      <c r="I1117" s="17"/>
      <c r="J1117" s="17"/>
      <c r="K1117" s="17"/>
      <c r="L1117" s="17"/>
      <c r="M1117" s="35" t="s">
        <v>2242</v>
      </c>
      <c r="N1117" s="17">
        <v>7439932070</v>
      </c>
      <c r="O1117" s="17"/>
      <c r="P1117" s="17"/>
      <c r="Q1117" s="17"/>
      <c r="R1117" s="17"/>
      <c r="S1117" s="17"/>
      <c r="T1117" s="17"/>
      <c r="U1117" s="17"/>
      <c r="V1117" s="17"/>
      <c r="W1117" s="17"/>
      <c r="X1117" s="17"/>
      <c r="Y1117" s="17"/>
      <c r="Z1117" s="17"/>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row>
    <row r="1118" hidden="1">
      <c r="A1118" s="17">
        <v>1116</v>
      </c>
      <c r="B1118" s="17" t="s">
        <v>52</v>
      </c>
      <c r="C1118" s="34" t="s">
        <v>3404</v>
      </c>
      <c r="D1118" s="35" t="s">
        <v>52</v>
      </c>
      <c r="E1118" s="17" t="s">
        <v>3405</v>
      </c>
      <c r="F1118" s="17" t="s">
        <v>3406</v>
      </c>
      <c r="G1118" s="17">
        <v>22.163553</v>
      </c>
      <c r="H1118" s="17">
        <v>87.213142000000005</v>
      </c>
      <c r="I1118" s="17"/>
      <c r="J1118" s="17"/>
      <c r="K1118" s="17"/>
      <c r="L1118" s="17"/>
      <c r="M1118" s="38" t="s">
        <v>2710</v>
      </c>
      <c r="N1118" s="17"/>
      <c r="O1118" s="17"/>
      <c r="P1118" s="17"/>
      <c r="Q1118" s="17"/>
      <c r="R1118" s="17"/>
      <c r="S1118" s="17"/>
      <c r="T1118" s="17"/>
      <c r="U1118" s="17"/>
      <c r="V1118" s="17"/>
      <c r="W1118" s="17"/>
      <c r="X1118" s="17"/>
      <c r="Y1118" s="17"/>
      <c r="Z1118" s="17"/>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row>
    <row r="1119" hidden="1">
      <c r="A1119" s="17">
        <v>1117</v>
      </c>
      <c r="B1119" s="17" t="s">
        <v>52</v>
      </c>
      <c r="C1119" s="34" t="s">
        <v>3407</v>
      </c>
      <c r="D1119" s="35" t="s">
        <v>52</v>
      </c>
      <c r="E1119" s="17" t="s">
        <v>3408</v>
      </c>
      <c r="F1119" s="17" t="s">
        <v>3409</v>
      </c>
      <c r="G1119" s="17">
        <v>22.125900999999999</v>
      </c>
      <c r="H1119" s="17">
        <v>87.290600999999995</v>
      </c>
      <c r="I1119" s="17"/>
      <c r="J1119" s="17"/>
      <c r="K1119" s="17"/>
      <c r="L1119" s="17"/>
      <c r="M1119" s="35" t="s">
        <v>2242</v>
      </c>
      <c r="N1119" s="17">
        <v>7439932070</v>
      </c>
      <c r="O1119" s="17"/>
      <c r="P1119" s="17"/>
      <c r="Q1119" s="17"/>
      <c r="R1119" s="17"/>
      <c r="S1119" s="17"/>
      <c r="T1119" s="17"/>
      <c r="U1119" s="17"/>
      <c r="V1119" s="17"/>
      <c r="W1119" s="17"/>
      <c r="X1119" s="17"/>
      <c r="Y1119" s="17"/>
      <c r="Z1119" s="17"/>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row>
    <row r="1120" hidden="1">
      <c r="A1120" s="17">
        <v>1118</v>
      </c>
      <c r="B1120" s="17" t="s">
        <v>52</v>
      </c>
      <c r="C1120" s="34" t="s">
        <v>3410</v>
      </c>
      <c r="D1120" s="35" t="s">
        <v>52</v>
      </c>
      <c r="E1120" s="17" t="s">
        <v>3411</v>
      </c>
      <c r="F1120" s="17" t="s">
        <v>3412</v>
      </c>
      <c r="G1120" s="17">
        <v>22.087136999999998</v>
      </c>
      <c r="H1120" s="17">
        <v>87.261176000000006</v>
      </c>
      <c r="I1120" s="17"/>
      <c r="J1120" s="17"/>
      <c r="K1120" s="17"/>
      <c r="L1120" s="17"/>
      <c r="M1120" s="35" t="s">
        <v>2242</v>
      </c>
      <c r="N1120" s="17">
        <v>7439932070</v>
      </c>
      <c r="O1120" s="17"/>
      <c r="P1120" s="17"/>
      <c r="Q1120" s="17"/>
      <c r="R1120" s="17"/>
      <c r="S1120" s="17"/>
      <c r="T1120" s="17"/>
      <c r="U1120" s="17"/>
      <c r="V1120" s="17"/>
      <c r="W1120" s="17"/>
      <c r="X1120" s="17"/>
      <c r="Y1120" s="17"/>
      <c r="Z1120" s="17"/>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row>
    <row r="1121" hidden="1">
      <c r="A1121" s="17">
        <v>1119</v>
      </c>
      <c r="B1121" s="17" t="s">
        <v>52</v>
      </c>
      <c r="C1121" s="34" t="s">
        <v>332</v>
      </c>
      <c r="D1121" s="35" t="s">
        <v>52</v>
      </c>
      <c r="E1121" s="17" t="s">
        <v>333</v>
      </c>
      <c r="F1121" s="17" t="s">
        <v>334</v>
      </c>
      <c r="G1121" s="17">
        <v>22.132406</v>
      </c>
      <c r="H1121" s="17">
        <v>87.824346000000006</v>
      </c>
      <c r="I1121" s="17"/>
      <c r="J1121" s="17"/>
      <c r="K1121" s="17"/>
      <c r="L1121" s="17"/>
      <c r="M1121" s="35" t="s">
        <v>3136</v>
      </c>
      <c r="N1121" s="17">
        <v>6290825031</v>
      </c>
      <c r="O1121" s="17"/>
      <c r="P1121" s="17"/>
      <c r="Q1121" s="17"/>
      <c r="R1121" s="17"/>
      <c r="S1121" s="17"/>
      <c r="T1121" s="17"/>
      <c r="U1121" s="17"/>
      <c r="V1121" s="17"/>
      <c r="W1121" s="17"/>
      <c r="X1121" s="17"/>
      <c r="Y1121" s="17"/>
      <c r="Z1121" s="17"/>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row>
    <row r="1122" hidden="1">
      <c r="A1122" s="17">
        <v>1120</v>
      </c>
      <c r="B1122" s="17" t="s">
        <v>52</v>
      </c>
      <c r="C1122" s="34" t="s">
        <v>3413</v>
      </c>
      <c r="D1122" s="35" t="s">
        <v>52</v>
      </c>
      <c r="E1122" s="17" t="s">
        <v>3414</v>
      </c>
      <c r="F1122" s="17" t="s">
        <v>3415</v>
      </c>
      <c r="G1122" s="17">
        <v>22.279927000000001</v>
      </c>
      <c r="H1122" s="17">
        <v>87.645561000000001</v>
      </c>
      <c r="I1122" s="17"/>
      <c r="J1122" s="17"/>
      <c r="K1122" s="17"/>
      <c r="L1122" s="17"/>
      <c r="M1122" s="35" t="s">
        <v>2680</v>
      </c>
      <c r="N1122" s="17">
        <v>8240995955</v>
      </c>
      <c r="O1122" s="17">
        <v>15</v>
      </c>
      <c r="P1122" s="17">
        <v>120</v>
      </c>
      <c r="Q1122" s="17" t="s">
        <v>187</v>
      </c>
      <c r="R1122" s="17" t="s">
        <v>339</v>
      </c>
      <c r="S1122" s="17" t="s">
        <v>75</v>
      </c>
      <c r="T1122" s="17"/>
      <c r="U1122" s="17" t="s">
        <v>160</v>
      </c>
      <c r="V1122" s="17" t="s">
        <v>77</v>
      </c>
      <c r="W1122" s="17" t="s">
        <v>161</v>
      </c>
      <c r="X1122" s="17">
        <v>5</v>
      </c>
      <c r="Y1122" s="17">
        <v>0</v>
      </c>
      <c r="Z1122" s="17"/>
      <c r="AA1122" s="17" t="s">
        <v>187</v>
      </c>
      <c r="AB1122" s="17" t="s">
        <v>79</v>
      </c>
      <c r="AC1122" s="17">
        <v>5</v>
      </c>
      <c r="AD1122" s="17">
        <v>0</v>
      </c>
      <c r="AE1122" s="17">
        <v>0</v>
      </c>
      <c r="AF1122" s="17"/>
      <c r="AG1122" s="17" t="s">
        <v>124</v>
      </c>
      <c r="AH1122" s="17" t="s">
        <v>162</v>
      </c>
      <c r="AI1122" s="17" t="s">
        <v>83</v>
      </c>
      <c r="AJ1122" s="17">
        <v>2112</v>
      </c>
      <c r="AK1122" s="17" t="s">
        <v>75</v>
      </c>
      <c r="AL1122" s="17" t="s">
        <v>75</v>
      </c>
      <c r="AM1122" s="17" t="s">
        <v>137</v>
      </c>
      <c r="AN1122" s="17" t="s">
        <v>84</v>
      </c>
      <c r="AO1122" s="17" t="s">
        <v>1060</v>
      </c>
      <c r="AP1122" s="17"/>
      <c r="AQ1122" s="17"/>
      <c r="AR1122" s="17"/>
      <c r="AS1122" s="17"/>
      <c r="AT1122" s="17" t="s">
        <v>3416</v>
      </c>
      <c r="AU1122" s="17" t="s">
        <v>127</v>
      </c>
    </row>
    <row r="1123" hidden="1">
      <c r="A1123" s="17">
        <v>1121</v>
      </c>
      <c r="B1123" s="17" t="s">
        <v>52</v>
      </c>
      <c r="C1123" s="34" t="s">
        <v>3417</v>
      </c>
      <c r="D1123" s="35" t="s">
        <v>52</v>
      </c>
      <c r="E1123" s="17" t="s">
        <v>3144</v>
      </c>
      <c r="F1123" s="17">
        <v>0</v>
      </c>
      <c r="G1123" s="17">
        <v>22.178899999999999</v>
      </c>
      <c r="H1123" s="17">
        <v>87.681200000000004</v>
      </c>
      <c r="I1123" s="17"/>
      <c r="J1123" s="17"/>
      <c r="K1123" s="17"/>
      <c r="L1123" s="17"/>
      <c r="M1123" s="35" t="s">
        <v>3136</v>
      </c>
      <c r="N1123" s="17"/>
      <c r="O1123" s="17">
        <v>18</v>
      </c>
      <c r="P1123" s="17">
        <v>70</v>
      </c>
      <c r="Q1123" s="17" t="s">
        <v>73</v>
      </c>
      <c r="R1123" s="17" t="s">
        <v>3182</v>
      </c>
      <c r="S1123" s="17" t="s">
        <v>75</v>
      </c>
      <c r="T1123" s="17"/>
      <c r="U1123" s="17" t="s">
        <v>160</v>
      </c>
      <c r="V1123" s="17" t="s">
        <v>77</v>
      </c>
      <c r="W1123" s="17" t="s">
        <v>78</v>
      </c>
      <c r="X1123" s="17">
        <v>3</v>
      </c>
      <c r="Y1123" s="17">
        <v>0</v>
      </c>
      <c r="Z1123" s="17"/>
      <c r="AA1123" s="17" t="s">
        <v>73</v>
      </c>
      <c r="AB1123" s="17" t="s">
        <v>239</v>
      </c>
      <c r="AC1123" s="17">
        <v>1</v>
      </c>
      <c r="AD1123" s="17">
        <v>0</v>
      </c>
      <c r="AE1123" s="17">
        <v>0</v>
      </c>
      <c r="AF1123" s="17"/>
      <c r="AG1123" s="17" t="s">
        <v>124</v>
      </c>
      <c r="AH1123" s="17" t="s">
        <v>82</v>
      </c>
      <c r="AI1123" s="17" t="s">
        <v>83</v>
      </c>
      <c r="AJ1123" s="17">
        <v>2111</v>
      </c>
      <c r="AK1123" s="17" t="s">
        <v>137</v>
      </c>
      <c r="AL1123" s="17" t="s">
        <v>137</v>
      </c>
      <c r="AM1123" s="17" t="s">
        <v>137</v>
      </c>
      <c r="AN1123" s="17" t="s">
        <v>125</v>
      </c>
      <c r="AO1123" s="17" t="s">
        <v>137</v>
      </c>
      <c r="AP1123" s="17"/>
      <c r="AQ1123" s="17"/>
      <c r="AR1123" s="17"/>
      <c r="AS1123" s="17"/>
      <c r="AT1123" s="17" t="s">
        <v>3418</v>
      </c>
      <c r="AU1123" s="17" t="s">
        <v>111</v>
      </c>
    </row>
    <row r="1124" hidden="1">
      <c r="A1124" s="17">
        <v>1122</v>
      </c>
      <c r="B1124" s="17" t="s">
        <v>52</v>
      </c>
      <c r="C1124" s="34" t="s">
        <v>3419</v>
      </c>
      <c r="D1124" s="35" t="s">
        <v>52</v>
      </c>
      <c r="E1124" s="17" t="s">
        <v>3420</v>
      </c>
      <c r="F1124" s="17" t="s">
        <v>3421</v>
      </c>
      <c r="G1124" s="17">
        <v>21.845676999999998</v>
      </c>
      <c r="H1124" s="17">
        <v>87.423383999999999</v>
      </c>
      <c r="I1124" s="17"/>
      <c r="J1124" s="17"/>
      <c r="K1124" s="17"/>
      <c r="L1124" s="17"/>
      <c r="M1124" s="35" t="s">
        <v>2484</v>
      </c>
      <c r="N1124" s="17">
        <v>7003188287</v>
      </c>
      <c r="O1124" s="17">
        <v>18</v>
      </c>
      <c r="P1124" s="17">
        <v>110</v>
      </c>
      <c r="Q1124" s="17" t="s">
        <v>413</v>
      </c>
      <c r="R1124" s="17" t="s">
        <v>74</v>
      </c>
      <c r="S1124" s="17"/>
      <c r="T1124" s="17"/>
      <c r="U1124" s="17" t="s">
        <v>105</v>
      </c>
      <c r="V1124" s="17" t="s">
        <v>77</v>
      </c>
      <c r="W1124" s="17" t="s">
        <v>161</v>
      </c>
      <c r="X1124" s="17">
        <v>5</v>
      </c>
      <c r="Y1124" s="17">
        <v>0</v>
      </c>
      <c r="Z1124" s="17"/>
      <c r="AA1124" s="17" t="s">
        <v>413</v>
      </c>
      <c r="AB1124" s="17" t="s">
        <v>79</v>
      </c>
      <c r="AC1124" s="17">
        <v>3</v>
      </c>
      <c r="AD1124" s="17">
        <v>0</v>
      </c>
      <c r="AE1124" s="17">
        <v>0</v>
      </c>
      <c r="AF1124" s="17"/>
      <c r="AG1124" s="17" t="s">
        <v>124</v>
      </c>
      <c r="AH1124" s="17" t="s">
        <v>82</v>
      </c>
      <c r="AI1124" s="17" t="s">
        <v>83</v>
      </c>
      <c r="AJ1124" s="17">
        <v>2111</v>
      </c>
      <c r="AK1124" s="17" t="s">
        <v>3422</v>
      </c>
      <c r="AL1124" s="17"/>
      <c r="AM1124" s="17"/>
      <c r="AN1124" s="17" t="s">
        <v>84</v>
      </c>
      <c r="AO1124" s="17" t="s">
        <v>137</v>
      </c>
      <c r="AP1124" s="17"/>
      <c r="AQ1124" s="17"/>
      <c r="AR1124" s="17"/>
      <c r="AS1124" s="17"/>
      <c r="AT1124" s="17" t="s">
        <v>3423</v>
      </c>
      <c r="AU1124" s="17" t="s">
        <v>127</v>
      </c>
    </row>
    <row r="1125" hidden="1">
      <c r="A1125" s="17">
        <v>1123</v>
      </c>
      <c r="B1125" s="17" t="s">
        <v>52</v>
      </c>
      <c r="C1125" s="34" t="s">
        <v>3424</v>
      </c>
      <c r="D1125" s="35" t="s">
        <v>52</v>
      </c>
      <c r="E1125" s="17" t="s">
        <v>3425</v>
      </c>
      <c r="F1125" s="17" t="s">
        <v>3426</v>
      </c>
      <c r="G1125" s="17">
        <v>21.863672999999999</v>
      </c>
      <c r="H1125" s="17">
        <v>87.388558000000003</v>
      </c>
      <c r="I1125" s="17"/>
      <c r="J1125" s="17"/>
      <c r="K1125" s="17"/>
      <c r="L1125" s="17"/>
      <c r="M1125" s="35" t="s">
        <v>2484</v>
      </c>
      <c r="N1125" s="17">
        <v>7003158683</v>
      </c>
      <c r="O1125" s="17">
        <v>14</v>
      </c>
      <c r="P1125" s="17">
        <v>60</v>
      </c>
      <c r="Q1125" s="17" t="s">
        <v>105</v>
      </c>
      <c r="R1125" s="17" t="s">
        <v>74</v>
      </c>
      <c r="S1125" s="17"/>
      <c r="T1125" s="17"/>
      <c r="U1125" s="17" t="s">
        <v>105</v>
      </c>
      <c r="V1125" s="17" t="s">
        <v>340</v>
      </c>
      <c r="W1125" s="17" t="s">
        <v>454</v>
      </c>
      <c r="X1125" s="17">
        <v>5</v>
      </c>
      <c r="Y1125" s="17">
        <v>0</v>
      </c>
      <c r="Z1125" s="17" t="s">
        <v>424</v>
      </c>
      <c r="AA1125" s="17" t="s">
        <v>105</v>
      </c>
      <c r="AB1125" s="17" t="s">
        <v>79</v>
      </c>
      <c r="AC1125" s="17">
        <v>5</v>
      </c>
      <c r="AD1125" s="17">
        <v>0</v>
      </c>
      <c r="AE1125" s="17">
        <v>0</v>
      </c>
      <c r="AF1125" s="17" t="s">
        <v>3427</v>
      </c>
      <c r="AG1125" s="17" t="s">
        <v>124</v>
      </c>
      <c r="AH1125" s="17" t="s">
        <v>82</v>
      </c>
      <c r="AI1125" s="17" t="s">
        <v>83</v>
      </c>
      <c r="AJ1125" s="17">
        <v>2111</v>
      </c>
      <c r="AK1125" s="17" t="s">
        <v>75</v>
      </c>
      <c r="AL1125" s="17" t="s">
        <v>75</v>
      </c>
      <c r="AM1125" s="17" t="s">
        <v>75</v>
      </c>
      <c r="AN1125" s="17" t="s">
        <v>125</v>
      </c>
      <c r="AO1125" s="17" t="s">
        <v>75</v>
      </c>
      <c r="AP1125" s="17"/>
      <c r="AQ1125" s="17"/>
      <c r="AR1125" s="17"/>
      <c r="AS1125" s="17"/>
      <c r="AT1125" s="17" t="s">
        <v>3428</v>
      </c>
      <c r="AU1125" s="17" t="s">
        <v>127</v>
      </c>
    </row>
    <row r="1126" hidden="1">
      <c r="A1126" s="17">
        <v>1124</v>
      </c>
      <c r="B1126" s="17" t="s">
        <v>52</v>
      </c>
      <c r="C1126" s="34" t="s">
        <v>3429</v>
      </c>
      <c r="D1126" s="35" t="s">
        <v>52</v>
      </c>
      <c r="E1126" s="17" t="s">
        <v>3430</v>
      </c>
      <c r="F1126" s="17" t="s">
        <v>3431</v>
      </c>
      <c r="G1126" s="17">
        <v>21.826591000000001</v>
      </c>
      <c r="H1126" s="17">
        <v>87.350916999999995</v>
      </c>
      <c r="I1126" s="17"/>
      <c r="J1126" s="17"/>
      <c r="K1126" s="17"/>
      <c r="L1126" s="17"/>
      <c r="M1126" s="35" t="s">
        <v>2484</v>
      </c>
      <c r="N1126" s="17">
        <v>7003158683</v>
      </c>
      <c r="O1126" s="17">
        <v>18</v>
      </c>
      <c r="P1126" s="17">
        <v>80</v>
      </c>
      <c r="Q1126" s="17" t="s">
        <v>73</v>
      </c>
      <c r="R1126" s="17" t="s">
        <v>74</v>
      </c>
      <c r="S1126" s="17"/>
      <c r="T1126" s="17"/>
      <c r="U1126" s="17" t="s">
        <v>503</v>
      </c>
      <c r="V1126" s="17" t="s">
        <v>504</v>
      </c>
      <c r="W1126" s="17" t="s">
        <v>593</v>
      </c>
      <c r="X1126" s="17">
        <v>2</v>
      </c>
      <c r="Y1126" s="17">
        <v>0</v>
      </c>
      <c r="Z1126" s="17"/>
      <c r="AA1126" s="17" t="s">
        <v>73</v>
      </c>
      <c r="AB1126" s="17" t="s">
        <v>79</v>
      </c>
      <c r="AC1126" s="17">
        <v>1</v>
      </c>
      <c r="AD1126" s="17">
        <v>0</v>
      </c>
      <c r="AE1126" s="17">
        <v>0</v>
      </c>
      <c r="AF1126" s="17" t="s">
        <v>919</v>
      </c>
      <c r="AG1126" s="17" t="s">
        <v>124</v>
      </c>
      <c r="AH1126" s="17" t="s">
        <v>82</v>
      </c>
      <c r="AI1126" s="17" t="s">
        <v>83</v>
      </c>
      <c r="AJ1126" s="17">
        <v>2111</v>
      </c>
      <c r="AK1126" s="17" t="s">
        <v>75</v>
      </c>
      <c r="AL1126" s="17" t="s">
        <v>75</v>
      </c>
      <c r="AM1126" s="17" t="s">
        <v>137</v>
      </c>
      <c r="AN1126" s="17" t="s">
        <v>84</v>
      </c>
      <c r="AO1126" s="17" t="s">
        <v>137</v>
      </c>
      <c r="AP1126" s="17"/>
      <c r="AQ1126" s="17"/>
      <c r="AR1126" s="17"/>
      <c r="AS1126" s="17"/>
      <c r="AT1126" s="17" t="s">
        <v>3432</v>
      </c>
      <c r="AU1126" s="17" t="s">
        <v>430</v>
      </c>
    </row>
    <row r="1127" hidden="1">
      <c r="A1127" s="17">
        <v>1125</v>
      </c>
      <c r="B1127" s="17" t="s">
        <v>52</v>
      </c>
      <c r="C1127" s="34" t="s">
        <v>3433</v>
      </c>
      <c r="D1127" s="35" t="s">
        <v>52</v>
      </c>
      <c r="E1127" s="17" t="s">
        <v>3434</v>
      </c>
      <c r="F1127" s="17" t="s">
        <v>3435</v>
      </c>
      <c r="G1127" s="17">
        <v>21.894134999999999</v>
      </c>
      <c r="H1127" s="17">
        <v>87.425655000000006</v>
      </c>
      <c r="I1127" s="17"/>
      <c r="J1127" s="17"/>
      <c r="K1127" s="17"/>
      <c r="L1127" s="17"/>
      <c r="M1127" s="35" t="s">
        <v>2484</v>
      </c>
      <c r="N1127" s="17">
        <v>7003158683</v>
      </c>
      <c r="O1127" s="17">
        <v>16</v>
      </c>
      <c r="P1127" s="17">
        <v>60</v>
      </c>
      <c r="Q1127" s="17" t="s">
        <v>73</v>
      </c>
      <c r="R1127" s="17" t="s">
        <v>104</v>
      </c>
      <c r="S1127" s="17"/>
      <c r="T1127" s="17"/>
      <c r="U1127" s="17" t="s">
        <v>76</v>
      </c>
      <c r="V1127" s="17" t="s">
        <v>340</v>
      </c>
      <c r="W1127" s="17" t="s">
        <v>78</v>
      </c>
      <c r="X1127" s="17">
        <v>5</v>
      </c>
      <c r="Y1127" s="17">
        <v>2</v>
      </c>
      <c r="Z1127" s="17"/>
      <c r="AA1127" s="17" t="s">
        <v>73</v>
      </c>
      <c r="AB1127" s="17" t="s">
        <v>79</v>
      </c>
      <c r="AC1127" s="17">
        <v>2</v>
      </c>
      <c r="AD1127" s="17">
        <v>0</v>
      </c>
      <c r="AE1127" s="17">
        <v>0</v>
      </c>
      <c r="AF1127" s="17"/>
      <c r="AG1127" s="17" t="s">
        <v>124</v>
      </c>
      <c r="AH1127" s="17" t="s">
        <v>82</v>
      </c>
      <c r="AI1127" s="17" t="s">
        <v>83</v>
      </c>
      <c r="AJ1127" s="17">
        <v>2111</v>
      </c>
      <c r="AK1127" s="17" t="s">
        <v>75</v>
      </c>
      <c r="AL1127" s="17" t="s">
        <v>75</v>
      </c>
      <c r="AM1127" s="17" t="s">
        <v>75</v>
      </c>
      <c r="AN1127" s="17" t="s">
        <v>84</v>
      </c>
      <c r="AO1127" s="17" t="s">
        <v>75</v>
      </c>
      <c r="AP1127" s="17"/>
      <c r="AQ1127" s="17"/>
      <c r="AR1127" s="17"/>
      <c r="AS1127" s="17"/>
      <c r="AT1127" s="17" t="s">
        <v>2629</v>
      </c>
      <c r="AU1127" s="17" t="s">
        <v>111</v>
      </c>
    </row>
    <row r="1128" hidden="1">
      <c r="A1128" s="17">
        <v>1126</v>
      </c>
      <c r="B1128" s="17" t="s">
        <v>52</v>
      </c>
      <c r="C1128" s="34" t="s">
        <v>3436</v>
      </c>
      <c r="D1128" s="35" t="s">
        <v>52</v>
      </c>
      <c r="E1128" s="17" t="s">
        <v>3437</v>
      </c>
      <c r="F1128" s="17" t="s">
        <v>3438</v>
      </c>
      <c r="G1128" s="17">
        <v>21.808268999999999</v>
      </c>
      <c r="H1128" s="17">
        <v>87.344318000000001</v>
      </c>
      <c r="I1128" s="17"/>
      <c r="J1128" s="17"/>
      <c r="K1128" s="17"/>
      <c r="L1128" s="17"/>
      <c r="M1128" s="35" t="s">
        <v>2484</v>
      </c>
      <c r="N1128" s="17">
        <v>7003158683</v>
      </c>
      <c r="O1128" s="17">
        <v>14</v>
      </c>
      <c r="P1128" s="17">
        <v>90</v>
      </c>
      <c r="Q1128" s="17" t="s">
        <v>73</v>
      </c>
      <c r="R1128" s="17" t="s">
        <v>74</v>
      </c>
      <c r="S1128" s="17" t="s">
        <v>137</v>
      </c>
      <c r="T1128" s="17" t="s">
        <v>3439</v>
      </c>
      <c r="U1128" s="17" t="s">
        <v>105</v>
      </c>
      <c r="V1128" s="17" t="s">
        <v>77</v>
      </c>
      <c r="W1128" s="17" t="s">
        <v>330</v>
      </c>
      <c r="X1128" s="17">
        <v>5</v>
      </c>
      <c r="Y1128" s="17">
        <v>2</v>
      </c>
      <c r="Z1128" s="17"/>
      <c r="AA1128" s="17" t="s">
        <v>73</v>
      </c>
      <c r="AB1128" s="17" t="s">
        <v>79</v>
      </c>
      <c r="AC1128" s="17">
        <v>2</v>
      </c>
      <c r="AD1128" s="17">
        <v>0</v>
      </c>
      <c r="AE1128" s="17">
        <v>0</v>
      </c>
      <c r="AF1128" s="17"/>
      <c r="AG1128" s="17" t="s">
        <v>81</v>
      </c>
      <c r="AH1128" s="17" t="s">
        <v>82</v>
      </c>
      <c r="AI1128" s="17" t="s">
        <v>107</v>
      </c>
      <c r="AJ1128" s="17"/>
      <c r="AK1128" s="17" t="s">
        <v>75</v>
      </c>
      <c r="AL1128" s="17" t="s">
        <v>3440</v>
      </c>
      <c r="AM1128" s="17" t="s">
        <v>75</v>
      </c>
      <c r="AN1128" s="17" t="s">
        <v>84</v>
      </c>
      <c r="AO1128" s="17" t="s">
        <v>75</v>
      </c>
      <c r="AP1128" s="17"/>
      <c r="AQ1128" s="17"/>
      <c r="AR1128" s="17"/>
      <c r="AS1128" s="17"/>
      <c r="AT1128" s="17"/>
      <c r="AU1128" s="17" t="s">
        <v>111</v>
      </c>
    </row>
    <row r="1129" hidden="1">
      <c r="A1129" s="17">
        <v>1127</v>
      </c>
      <c r="B1129" s="17" t="s">
        <v>52</v>
      </c>
      <c r="C1129" s="34" t="s">
        <v>3441</v>
      </c>
      <c r="D1129" s="35" t="s">
        <v>52</v>
      </c>
      <c r="E1129" s="17" t="s">
        <v>3442</v>
      </c>
      <c r="F1129" s="17" t="s">
        <v>3443</v>
      </c>
      <c r="G1129" s="17">
        <v>21.864706000000002</v>
      </c>
      <c r="H1129" s="17">
        <v>87.435124999999999</v>
      </c>
      <c r="I1129" s="17"/>
      <c r="J1129" s="17"/>
      <c r="K1129" s="17"/>
      <c r="L1129" s="17"/>
      <c r="M1129" s="35" t="s">
        <v>2484</v>
      </c>
      <c r="N1129" s="17">
        <v>7003158683</v>
      </c>
      <c r="O1129" s="17">
        <v>16</v>
      </c>
      <c r="P1129" s="17">
        <v>65</v>
      </c>
      <c r="Q1129" s="17" t="s">
        <v>105</v>
      </c>
      <c r="R1129" s="17" t="s">
        <v>238</v>
      </c>
      <c r="S1129" s="17"/>
      <c r="T1129" s="17"/>
      <c r="U1129" s="17" t="s">
        <v>2285</v>
      </c>
      <c r="V1129" s="17" t="s">
        <v>77</v>
      </c>
      <c r="W1129" s="17" t="s">
        <v>252</v>
      </c>
      <c r="X1129" s="17">
        <v>3</v>
      </c>
      <c r="Y1129" s="17">
        <v>1</v>
      </c>
      <c r="Z1129" s="17"/>
      <c r="AA1129" s="17" t="s">
        <v>105</v>
      </c>
      <c r="AB1129" s="17" t="s">
        <v>239</v>
      </c>
      <c r="AC1129" s="17">
        <v>1</v>
      </c>
      <c r="AD1129" s="17">
        <v>0</v>
      </c>
      <c r="AE1129" s="17">
        <v>0</v>
      </c>
      <c r="AF1129" s="17"/>
      <c r="AG1129" s="17" t="s">
        <v>124</v>
      </c>
      <c r="AH1129" s="17" t="s">
        <v>82</v>
      </c>
      <c r="AI1129" s="17" t="s">
        <v>83</v>
      </c>
      <c r="AJ1129" s="17">
        <v>2111</v>
      </c>
      <c r="AK1129" s="17" t="s">
        <v>75</v>
      </c>
      <c r="AL1129" s="17" t="s">
        <v>75</v>
      </c>
      <c r="AM1129" s="17" t="s">
        <v>75</v>
      </c>
      <c r="AN1129" s="17" t="s">
        <v>125</v>
      </c>
      <c r="AO1129" s="17" t="s">
        <v>75</v>
      </c>
      <c r="AP1129" s="17"/>
      <c r="AQ1129" s="17"/>
      <c r="AR1129" s="17"/>
      <c r="AS1129" s="17"/>
      <c r="AT1129" s="17" t="s">
        <v>3444</v>
      </c>
      <c r="AU1129" s="17" t="s">
        <v>127</v>
      </c>
    </row>
    <row r="1130" hidden="1">
      <c r="A1130" s="17">
        <v>1128</v>
      </c>
      <c r="B1130" s="17" t="s">
        <v>52</v>
      </c>
      <c r="C1130" s="34" t="s">
        <v>3445</v>
      </c>
      <c r="D1130" s="35" t="s">
        <v>52</v>
      </c>
      <c r="E1130" s="17" t="s">
        <v>3446</v>
      </c>
      <c r="F1130" s="17" t="s">
        <v>3447</v>
      </c>
      <c r="G1130" s="17">
        <v>21.852456</v>
      </c>
      <c r="H1130" s="17">
        <v>87.401317000000006</v>
      </c>
      <c r="I1130" s="17"/>
      <c r="J1130" s="17"/>
      <c r="K1130" s="17"/>
      <c r="L1130" s="17"/>
      <c r="M1130" s="35" t="s">
        <v>2484</v>
      </c>
      <c r="N1130" s="17">
        <v>7003158683</v>
      </c>
      <c r="O1130" s="17">
        <v>18</v>
      </c>
      <c r="P1130" s="17">
        <v>50</v>
      </c>
      <c r="Q1130" s="17" t="s">
        <v>105</v>
      </c>
      <c r="R1130" s="17" t="s">
        <v>238</v>
      </c>
      <c r="S1130" s="17"/>
      <c r="T1130" s="17"/>
      <c r="U1130" s="17" t="s">
        <v>105</v>
      </c>
      <c r="V1130" s="17" t="s">
        <v>77</v>
      </c>
      <c r="W1130" s="17" t="s">
        <v>161</v>
      </c>
      <c r="X1130" s="17">
        <v>4</v>
      </c>
      <c r="Y1130" s="17">
        <v>1</v>
      </c>
      <c r="Z1130" s="17"/>
      <c r="AA1130" s="17" t="s">
        <v>105</v>
      </c>
      <c r="AB1130" s="17" t="s">
        <v>239</v>
      </c>
      <c r="AC1130" s="17">
        <v>2</v>
      </c>
      <c r="AD1130" s="17">
        <v>0</v>
      </c>
      <c r="AE1130" s="17">
        <v>0</v>
      </c>
      <c r="AF1130" s="17"/>
      <c r="AG1130" s="17" t="s">
        <v>81</v>
      </c>
      <c r="AH1130" s="17" t="s">
        <v>82</v>
      </c>
      <c r="AI1130" s="17" t="s">
        <v>107</v>
      </c>
      <c r="AJ1130" s="17"/>
      <c r="AK1130" s="17" t="s">
        <v>3448</v>
      </c>
      <c r="AL1130" s="17" t="s">
        <v>75</v>
      </c>
      <c r="AM1130" s="17" t="s">
        <v>75</v>
      </c>
      <c r="AN1130" s="17" t="s">
        <v>125</v>
      </c>
      <c r="AO1130" s="17" t="s">
        <v>75</v>
      </c>
      <c r="AP1130" s="17"/>
      <c r="AQ1130" s="17"/>
      <c r="AR1130" s="17"/>
      <c r="AS1130" s="17"/>
      <c r="AT1130" s="17" t="s">
        <v>2629</v>
      </c>
      <c r="AU1130" s="17" t="s">
        <v>111</v>
      </c>
    </row>
    <row r="1131" hidden="1">
      <c r="A1131" s="17">
        <v>1129</v>
      </c>
      <c r="B1131" s="17" t="s">
        <v>52</v>
      </c>
      <c r="C1131" s="34" t="s">
        <v>3449</v>
      </c>
      <c r="D1131" s="35" t="s">
        <v>52</v>
      </c>
      <c r="E1131" s="17" t="s">
        <v>3450</v>
      </c>
      <c r="F1131" s="17" t="s">
        <v>3451</v>
      </c>
      <c r="G1131" s="17">
        <v>21.801843000000002</v>
      </c>
      <c r="H1131" s="17">
        <v>87.40804</v>
      </c>
      <c r="I1131" s="17"/>
      <c r="J1131" s="17"/>
      <c r="K1131" s="17"/>
      <c r="L1131" s="17"/>
      <c r="M1131" s="35" t="s">
        <v>2484</v>
      </c>
      <c r="N1131" s="17">
        <v>7003158683</v>
      </c>
      <c r="O1131" s="17">
        <v>14</v>
      </c>
      <c r="P1131" s="17">
        <v>120</v>
      </c>
      <c r="Q1131" s="17" t="s">
        <v>73</v>
      </c>
      <c r="R1131" s="17" t="s">
        <v>74</v>
      </c>
      <c r="S1131" s="17"/>
      <c r="T1131" s="17"/>
      <c r="U1131" s="17" t="s">
        <v>2285</v>
      </c>
      <c r="V1131" s="17" t="s">
        <v>77</v>
      </c>
      <c r="W1131" s="17" t="s">
        <v>252</v>
      </c>
      <c r="X1131" s="17">
        <v>4</v>
      </c>
      <c r="Y1131" s="17">
        <v>0</v>
      </c>
      <c r="Z1131" s="17"/>
      <c r="AA1131" s="17" t="s">
        <v>73</v>
      </c>
      <c r="AB1131" s="17" t="s">
        <v>79</v>
      </c>
      <c r="AC1131" s="17">
        <v>2</v>
      </c>
      <c r="AD1131" s="17">
        <v>0</v>
      </c>
      <c r="AE1131" s="17">
        <v>0</v>
      </c>
      <c r="AF1131" s="17"/>
      <c r="AG1131" s="17" t="s">
        <v>124</v>
      </c>
      <c r="AH1131" s="17" t="s">
        <v>82</v>
      </c>
      <c r="AI1131" s="17" t="s">
        <v>83</v>
      </c>
      <c r="AJ1131" s="17">
        <v>2111</v>
      </c>
      <c r="AK1131" s="17" t="s">
        <v>75</v>
      </c>
      <c r="AL1131" s="17" t="s">
        <v>137</v>
      </c>
      <c r="AM1131" s="17" t="s">
        <v>75</v>
      </c>
      <c r="AN1131" s="17" t="s">
        <v>125</v>
      </c>
      <c r="AO1131" s="17" t="s">
        <v>75</v>
      </c>
      <c r="AP1131" s="17"/>
      <c r="AQ1131" s="17"/>
      <c r="AR1131" s="17"/>
      <c r="AS1131" s="17"/>
      <c r="AT1131" s="17" t="s">
        <v>3452</v>
      </c>
      <c r="AU1131" s="17" t="s">
        <v>111</v>
      </c>
    </row>
    <row r="1132" hidden="1">
      <c r="A1132" s="17">
        <v>1130</v>
      </c>
      <c r="B1132" s="17" t="s">
        <v>52</v>
      </c>
      <c r="C1132" s="34" t="s">
        <v>3453</v>
      </c>
      <c r="D1132" s="35" t="s">
        <v>52</v>
      </c>
      <c r="E1132" s="17" t="s">
        <v>3454</v>
      </c>
      <c r="F1132" s="17" t="s">
        <v>3455</v>
      </c>
      <c r="G1132" s="17">
        <v>21.87979</v>
      </c>
      <c r="H1132" s="17">
        <v>87.420500000000004</v>
      </c>
      <c r="I1132" s="17"/>
      <c r="J1132" s="17"/>
      <c r="K1132" s="17"/>
      <c r="L1132" s="17"/>
      <c r="M1132" s="35" t="s">
        <v>2484</v>
      </c>
      <c r="N1132" s="17">
        <v>7003158683</v>
      </c>
      <c r="O1132" s="17">
        <v>14</v>
      </c>
      <c r="P1132" s="17">
        <v>90</v>
      </c>
      <c r="Q1132" s="17" t="s">
        <v>187</v>
      </c>
      <c r="R1132" s="17" t="s">
        <v>74</v>
      </c>
      <c r="S1132" s="17"/>
      <c r="T1132" s="17"/>
      <c r="U1132" s="17" t="s">
        <v>755</v>
      </c>
      <c r="V1132" s="17" t="s">
        <v>504</v>
      </c>
      <c r="W1132" s="17" t="s">
        <v>593</v>
      </c>
      <c r="X1132" s="17">
        <v>2</v>
      </c>
      <c r="Y1132" s="17">
        <v>0</v>
      </c>
      <c r="Z1132" s="17"/>
      <c r="AA1132" s="17" t="s">
        <v>187</v>
      </c>
      <c r="AB1132" s="17" t="s">
        <v>79</v>
      </c>
      <c r="AC1132" s="17">
        <v>3</v>
      </c>
      <c r="AD1132" s="17">
        <v>0</v>
      </c>
      <c r="AE1132" s="17">
        <v>0</v>
      </c>
      <c r="AF1132" s="17"/>
      <c r="AG1132" s="17" t="s">
        <v>124</v>
      </c>
      <c r="AH1132" s="17" t="s">
        <v>82</v>
      </c>
      <c r="AI1132" s="17" t="s">
        <v>83</v>
      </c>
      <c r="AJ1132" s="17">
        <v>2111</v>
      </c>
      <c r="AK1132" s="17" t="s">
        <v>75</v>
      </c>
      <c r="AL1132" s="17" t="s">
        <v>137</v>
      </c>
      <c r="AM1132" s="17" t="s">
        <v>75</v>
      </c>
      <c r="AN1132" s="17" t="s">
        <v>125</v>
      </c>
      <c r="AO1132" s="17" t="s">
        <v>75</v>
      </c>
      <c r="AP1132" s="17"/>
      <c r="AQ1132" s="17"/>
      <c r="AR1132" s="17"/>
      <c r="AS1132" s="17"/>
      <c r="AT1132" s="17" t="s">
        <v>3456</v>
      </c>
      <c r="AU1132" s="17" t="s">
        <v>111</v>
      </c>
    </row>
    <row r="1133" hidden="1">
      <c r="A1133" s="17">
        <v>1131</v>
      </c>
      <c r="B1133" s="17" t="s">
        <v>52</v>
      </c>
      <c r="C1133" s="34" t="s">
        <v>3457</v>
      </c>
      <c r="D1133" s="35" t="s">
        <v>52</v>
      </c>
      <c r="E1133" s="17" t="s">
        <v>3458</v>
      </c>
      <c r="F1133" s="17">
        <v>0</v>
      </c>
      <c r="G1133" s="17">
        <v>21.779589999999999</v>
      </c>
      <c r="H1133" s="17">
        <v>87.430210000000002</v>
      </c>
      <c r="I1133" s="17"/>
      <c r="J1133" s="17"/>
      <c r="K1133" s="17"/>
      <c r="L1133" s="17"/>
      <c r="M1133" s="35" t="s">
        <v>2484</v>
      </c>
      <c r="N1133" s="17">
        <v>7003158683</v>
      </c>
      <c r="O1133" s="17">
        <v>14</v>
      </c>
      <c r="P1133" s="17">
        <v>55</v>
      </c>
      <c r="Q1133" s="17" t="s">
        <v>105</v>
      </c>
      <c r="R1133" s="17" t="s">
        <v>74</v>
      </c>
      <c r="S1133" s="17"/>
      <c r="T1133" s="17"/>
      <c r="U1133" s="17" t="s">
        <v>2285</v>
      </c>
      <c r="V1133" s="17" t="s">
        <v>77</v>
      </c>
      <c r="W1133" s="17" t="s">
        <v>252</v>
      </c>
      <c r="X1133" s="17">
        <v>3</v>
      </c>
      <c r="Y1133" s="17">
        <v>1</v>
      </c>
      <c r="Z1133" s="17"/>
      <c r="AA1133" s="17" t="s">
        <v>105</v>
      </c>
      <c r="AB1133" s="17" t="s">
        <v>79</v>
      </c>
      <c r="AC1133" s="17">
        <v>4</v>
      </c>
      <c r="AD1133" s="17">
        <v>0</v>
      </c>
      <c r="AE1133" s="17">
        <v>1</v>
      </c>
      <c r="AF1133" s="17"/>
      <c r="AG1133" s="17" t="s">
        <v>81</v>
      </c>
      <c r="AH1133" s="17" t="s">
        <v>82</v>
      </c>
      <c r="AI1133" s="17" t="s">
        <v>83</v>
      </c>
      <c r="AJ1133" s="17">
        <v>2111</v>
      </c>
      <c r="AK1133" s="17" t="s">
        <v>75</v>
      </c>
      <c r="AL1133" s="17" t="s">
        <v>75</v>
      </c>
      <c r="AM1133" s="17" t="s">
        <v>163</v>
      </c>
      <c r="AN1133" s="17" t="s">
        <v>84</v>
      </c>
      <c r="AO1133" s="17" t="s">
        <v>137</v>
      </c>
      <c r="AP1133" s="17"/>
      <c r="AQ1133" s="17"/>
      <c r="AR1133" s="17"/>
      <c r="AS1133" s="17"/>
      <c r="AT1133" s="17" t="s">
        <v>3459</v>
      </c>
      <c r="AU1133" s="17" t="s">
        <v>127</v>
      </c>
    </row>
    <row r="1134" hidden="1">
      <c r="A1134" s="17">
        <v>1132</v>
      </c>
      <c r="B1134" s="17" t="s">
        <v>52</v>
      </c>
      <c r="C1134" s="34" t="s">
        <v>3460</v>
      </c>
      <c r="D1134" s="35" t="s">
        <v>52</v>
      </c>
      <c r="E1134" s="17" t="s">
        <v>3461</v>
      </c>
      <c r="F1134" s="17" t="s">
        <v>3462</v>
      </c>
      <c r="G1134" s="17">
        <v>21.818159000000001</v>
      </c>
      <c r="H1134" s="17">
        <v>87.430965999999998</v>
      </c>
      <c r="I1134" s="17"/>
      <c r="J1134" s="17"/>
      <c r="K1134" s="17"/>
      <c r="L1134" s="17"/>
      <c r="M1134" s="35" t="s">
        <v>2484</v>
      </c>
      <c r="N1134" s="17">
        <v>7003158683</v>
      </c>
      <c r="O1134" s="17"/>
      <c r="P1134" s="17"/>
      <c r="Q1134" s="17"/>
      <c r="R1134" s="17"/>
      <c r="S1134" s="17"/>
      <c r="T1134" s="17"/>
      <c r="U1134" s="17"/>
      <c r="V1134" s="17"/>
      <c r="W1134" s="17"/>
      <c r="X1134" s="17"/>
      <c r="Y1134" s="17"/>
      <c r="Z1134" s="17"/>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row>
    <row r="1135" hidden="1">
      <c r="A1135" s="17">
        <v>1133</v>
      </c>
      <c r="B1135" s="17" t="s">
        <v>52</v>
      </c>
      <c r="C1135" s="34" t="s">
        <v>3463</v>
      </c>
      <c r="D1135" s="35" t="s">
        <v>52</v>
      </c>
      <c r="E1135" s="17" t="s">
        <v>2458</v>
      </c>
      <c r="F1135" s="17" t="s">
        <v>3464</v>
      </c>
      <c r="G1135" s="17">
        <v>21.777059000000001</v>
      </c>
      <c r="H1135" s="17">
        <v>87.430381999999994</v>
      </c>
      <c r="I1135" s="17"/>
      <c r="J1135" s="17"/>
      <c r="K1135" s="17"/>
      <c r="L1135" s="17"/>
      <c r="M1135" s="35" t="s">
        <v>2484</v>
      </c>
      <c r="N1135" s="17">
        <v>7003158683</v>
      </c>
      <c r="O1135" s="17"/>
      <c r="P1135" s="17"/>
      <c r="Q1135" s="17"/>
      <c r="R1135" s="17"/>
      <c r="S1135" s="17"/>
      <c r="T1135" s="17"/>
      <c r="U1135" s="17"/>
      <c r="V1135" s="17"/>
      <c r="W1135" s="17"/>
      <c r="X1135" s="17"/>
      <c r="Y1135" s="17"/>
      <c r="Z1135" s="17"/>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row>
    <row r="1136" hidden="1">
      <c r="A1136" s="17">
        <v>1134</v>
      </c>
      <c r="B1136" s="17" t="s">
        <v>52</v>
      </c>
      <c r="C1136" s="34" t="s">
        <v>3465</v>
      </c>
      <c r="D1136" s="35" t="s">
        <v>52</v>
      </c>
      <c r="E1136" s="17" t="s">
        <v>3466</v>
      </c>
      <c r="F1136" s="17" t="s">
        <v>3467</v>
      </c>
      <c r="G1136" s="17">
        <v>21.793873999999999</v>
      </c>
      <c r="H1136" s="17">
        <v>87.372023999999996</v>
      </c>
      <c r="I1136" s="17"/>
      <c r="J1136" s="17"/>
      <c r="K1136" s="17"/>
      <c r="L1136" s="17"/>
      <c r="M1136" s="35" t="s">
        <v>2484</v>
      </c>
      <c r="N1136" s="17">
        <v>7003158683</v>
      </c>
      <c r="O1136" s="17"/>
      <c r="P1136" s="17"/>
      <c r="Q1136" s="17"/>
      <c r="R1136" s="17"/>
      <c r="S1136" s="17"/>
      <c r="T1136" s="17"/>
      <c r="U1136" s="17"/>
      <c r="V1136" s="17"/>
      <c r="W1136" s="17"/>
      <c r="X1136" s="17"/>
      <c r="Y1136" s="17"/>
      <c r="Z1136" s="17"/>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row>
    <row r="1137" hidden="1">
      <c r="A1137" s="17">
        <v>1135</v>
      </c>
      <c r="B1137" s="17" t="s">
        <v>52</v>
      </c>
      <c r="C1137" s="34" t="s">
        <v>3468</v>
      </c>
      <c r="D1137" s="35" t="s">
        <v>52</v>
      </c>
      <c r="E1137" s="17" t="s">
        <v>3469</v>
      </c>
      <c r="F1137" s="17" t="s">
        <v>3470</v>
      </c>
      <c r="G1137" s="17">
        <v>21.853373999999999</v>
      </c>
      <c r="H1137" s="17">
        <v>87.444753000000006</v>
      </c>
      <c r="I1137" s="17"/>
      <c r="J1137" s="17"/>
      <c r="K1137" s="17"/>
      <c r="L1137" s="17"/>
      <c r="M1137" s="35" t="s">
        <v>2484</v>
      </c>
      <c r="N1137" s="17">
        <v>7003158683</v>
      </c>
      <c r="O1137" s="17"/>
      <c r="P1137" s="17"/>
      <c r="Q1137" s="17"/>
      <c r="R1137" s="17"/>
      <c r="S1137" s="17"/>
      <c r="T1137" s="17"/>
      <c r="U1137" s="17"/>
      <c r="V1137" s="17"/>
      <c r="W1137" s="17"/>
      <c r="X1137" s="17"/>
      <c r="Y1137" s="17"/>
      <c r="Z1137" s="17"/>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row>
    <row r="1138" hidden="1">
      <c r="A1138" s="17">
        <v>1136</v>
      </c>
      <c r="B1138" s="17" t="s">
        <v>52</v>
      </c>
      <c r="C1138" s="34" t="s">
        <v>3471</v>
      </c>
      <c r="D1138" s="35" t="s">
        <v>52</v>
      </c>
      <c r="E1138" s="17" t="s">
        <v>3472</v>
      </c>
      <c r="F1138" s="17" t="s">
        <v>3473</v>
      </c>
      <c r="G1138" s="17">
        <v>21.886213999999999</v>
      </c>
      <c r="H1138" s="17">
        <v>87.400469999999999</v>
      </c>
      <c r="I1138" s="17"/>
      <c r="J1138" s="17"/>
      <c r="K1138" s="17"/>
      <c r="L1138" s="17"/>
      <c r="M1138" s="35" t="s">
        <v>2484</v>
      </c>
      <c r="N1138" s="17">
        <v>7003158683</v>
      </c>
      <c r="O1138" s="17"/>
      <c r="P1138" s="17"/>
      <c r="Q1138" s="17"/>
      <c r="R1138" s="17"/>
      <c r="S1138" s="17"/>
      <c r="T1138" s="17"/>
      <c r="U1138" s="17"/>
      <c r="V1138" s="17"/>
      <c r="W1138" s="17"/>
      <c r="X1138" s="17"/>
      <c r="Y1138" s="17"/>
      <c r="Z1138" s="17"/>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row>
    <row r="1139" hidden="1">
      <c r="A1139" s="17">
        <v>1137</v>
      </c>
      <c r="B1139" s="17" t="s">
        <v>52</v>
      </c>
      <c r="C1139" s="34" t="s">
        <v>3474</v>
      </c>
      <c r="D1139" s="35" t="s">
        <v>52</v>
      </c>
      <c r="E1139" s="17" t="s">
        <v>3475</v>
      </c>
      <c r="F1139" s="17" t="s">
        <v>3475</v>
      </c>
      <c r="G1139" s="17">
        <v>21.787444000000001</v>
      </c>
      <c r="H1139" s="17">
        <v>87.413684000000003</v>
      </c>
      <c r="I1139" s="17"/>
      <c r="J1139" s="17"/>
      <c r="K1139" s="17"/>
      <c r="L1139" s="17"/>
      <c r="M1139" s="35" t="s">
        <v>2484</v>
      </c>
      <c r="N1139" s="17">
        <v>7003158683</v>
      </c>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row>
    <row r="1140" hidden="1">
      <c r="A1140" s="17">
        <v>1138</v>
      </c>
      <c r="B1140" s="17" t="s">
        <v>52</v>
      </c>
      <c r="C1140" s="34" t="s">
        <v>3476</v>
      </c>
      <c r="D1140" s="35" t="s">
        <v>52</v>
      </c>
      <c r="E1140" s="17" t="s">
        <v>3477</v>
      </c>
      <c r="F1140" s="17" t="s">
        <v>3478</v>
      </c>
      <c r="G1140" s="17">
        <v>21.853000999999999</v>
      </c>
      <c r="H1140" s="17">
        <v>87.349349000000004</v>
      </c>
      <c r="I1140" s="17"/>
      <c r="J1140" s="17"/>
      <c r="K1140" s="17"/>
      <c r="L1140" s="17"/>
      <c r="M1140" s="35" t="s">
        <v>2484</v>
      </c>
      <c r="N1140" s="17">
        <v>7003158683</v>
      </c>
      <c r="O1140" s="17"/>
      <c r="P1140" s="17"/>
      <c r="Q1140" s="17"/>
      <c r="R1140" s="17"/>
      <c r="S1140" s="17"/>
      <c r="T1140" s="17"/>
      <c r="U1140" s="17"/>
      <c r="V1140" s="17"/>
      <c r="W1140" s="17"/>
      <c r="X1140" s="17"/>
      <c r="Y1140" s="17"/>
      <c r="Z1140" s="17"/>
      <c r="AA1140" s="17"/>
      <c r="AB1140" s="17"/>
      <c r="AC1140" s="17"/>
      <c r="AD1140" s="17"/>
      <c r="AE1140" s="17"/>
      <c r="AF1140" s="17"/>
      <c r="AG1140" s="17"/>
      <c r="AH1140" s="17"/>
      <c r="AI1140" s="17"/>
      <c r="AJ1140" s="17"/>
      <c r="AK1140" s="17"/>
      <c r="AL1140" s="17"/>
      <c r="AM1140" s="17"/>
      <c r="AN1140" s="17"/>
      <c r="AO1140" s="17"/>
      <c r="AP1140" s="17"/>
      <c r="AQ1140" s="17"/>
      <c r="AR1140" s="17"/>
      <c r="AS1140" s="17"/>
      <c r="AT1140" s="17"/>
      <c r="AU1140" s="17"/>
    </row>
    <row r="1141" hidden="1">
      <c r="A1141" s="17">
        <v>1139</v>
      </c>
      <c r="B1141" s="17" t="s">
        <v>52</v>
      </c>
      <c r="C1141" s="34" t="s">
        <v>3479</v>
      </c>
      <c r="D1141" s="35" t="s">
        <v>52</v>
      </c>
      <c r="E1141" s="17" t="s">
        <v>3480</v>
      </c>
      <c r="F1141" s="17" t="s">
        <v>3481</v>
      </c>
      <c r="G1141" s="17">
        <v>21.817928999999999</v>
      </c>
      <c r="H1141" s="17">
        <v>87.396248</v>
      </c>
      <c r="I1141" s="17"/>
      <c r="J1141" s="17"/>
      <c r="K1141" s="17"/>
      <c r="L1141" s="17"/>
      <c r="M1141" s="35" t="s">
        <v>2484</v>
      </c>
      <c r="N1141" s="17">
        <v>7003158683</v>
      </c>
      <c r="O1141" s="17"/>
      <c r="P1141" s="17"/>
      <c r="Q1141" s="17"/>
      <c r="R1141" s="17"/>
      <c r="S1141" s="17"/>
      <c r="T1141" s="17"/>
      <c r="U1141" s="17"/>
      <c r="V1141" s="17"/>
      <c r="W1141" s="17"/>
      <c r="X1141" s="17"/>
      <c r="Y1141" s="17"/>
      <c r="Z1141" s="17"/>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row>
    <row r="1142" hidden="1">
      <c r="A1142" s="17">
        <v>1140</v>
      </c>
      <c r="B1142" s="17" t="s">
        <v>52</v>
      </c>
      <c r="C1142" s="34" t="s">
        <v>3482</v>
      </c>
      <c r="D1142" s="35" t="s">
        <v>52</v>
      </c>
      <c r="E1142" s="17"/>
      <c r="F1142" s="17"/>
      <c r="G1142" s="17"/>
      <c r="H1142" s="17"/>
      <c r="I1142" s="17"/>
      <c r="J1142" s="17"/>
      <c r="K1142" s="17"/>
      <c r="L1142" s="17"/>
      <c r="M1142" s="35" t="s">
        <v>2484</v>
      </c>
      <c r="N1142" s="17"/>
      <c r="O1142" s="17"/>
      <c r="P1142" s="17"/>
      <c r="Q1142" s="17"/>
      <c r="R1142" s="17"/>
      <c r="S1142" s="17"/>
      <c r="T1142" s="17"/>
      <c r="U1142" s="17"/>
      <c r="V1142" s="17"/>
      <c r="W1142" s="17"/>
      <c r="X1142" s="17"/>
      <c r="Y1142" s="17"/>
      <c r="Z1142" s="17"/>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row>
    <row r="1143" hidden="1">
      <c r="A1143" s="17">
        <v>1141</v>
      </c>
      <c r="B1143" s="17" t="s">
        <v>52</v>
      </c>
      <c r="C1143" s="34" t="s">
        <v>3483</v>
      </c>
      <c r="D1143" s="35" t="s">
        <v>52</v>
      </c>
      <c r="E1143" s="17" t="s">
        <v>3484</v>
      </c>
      <c r="F1143" s="17" t="s">
        <v>3485</v>
      </c>
      <c r="G1143" s="17">
        <v>22.170869</v>
      </c>
      <c r="H1143" s="17">
        <v>87.384459000000007</v>
      </c>
      <c r="I1143" s="17"/>
      <c r="J1143" s="17"/>
      <c r="K1143" s="17"/>
      <c r="L1143" s="17"/>
      <c r="M1143" s="34" t="s">
        <v>2695</v>
      </c>
      <c r="N1143" s="17"/>
      <c r="O1143" s="17"/>
      <c r="P1143" s="17"/>
      <c r="Q1143" s="17"/>
      <c r="R1143" s="17"/>
      <c r="S1143" s="17"/>
      <c r="T1143" s="17"/>
      <c r="U1143" s="17"/>
      <c r="V1143" s="17"/>
      <c r="W1143" s="17"/>
      <c r="X1143" s="17"/>
      <c r="Y1143" s="17"/>
      <c r="Z1143" s="17"/>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row>
    <row r="1144" hidden="1">
      <c r="A1144" s="17">
        <v>1142</v>
      </c>
      <c r="B1144" s="17" t="s">
        <v>52</v>
      </c>
      <c r="C1144" s="34" t="s">
        <v>3486</v>
      </c>
      <c r="D1144" s="35" t="s">
        <v>52</v>
      </c>
      <c r="E1144" s="17" t="s">
        <v>3487</v>
      </c>
      <c r="F1144" s="17" t="s">
        <v>3488</v>
      </c>
      <c r="G1144" s="17">
        <v>22.013618000000001</v>
      </c>
      <c r="H1144" s="17">
        <v>87.414209999999997</v>
      </c>
      <c r="I1144" s="17"/>
      <c r="J1144" s="17"/>
      <c r="K1144" s="17"/>
      <c r="L1144" s="17"/>
      <c r="M1144" s="35" t="s">
        <v>2223</v>
      </c>
      <c r="N1144" s="36">
        <v>9734686678</v>
      </c>
      <c r="O1144" s="17">
        <v>23</v>
      </c>
      <c r="P1144" s="17">
        <v>110</v>
      </c>
      <c r="Q1144" s="17" t="s">
        <v>413</v>
      </c>
      <c r="R1144" s="17" t="s">
        <v>339</v>
      </c>
      <c r="S1144" s="17" t="s">
        <v>75</v>
      </c>
      <c r="T1144" s="17"/>
      <c r="U1144" s="17" t="s">
        <v>441</v>
      </c>
      <c r="V1144" s="17" t="s">
        <v>3304</v>
      </c>
      <c r="W1144" s="17" t="s">
        <v>454</v>
      </c>
      <c r="X1144" s="17">
        <v>9</v>
      </c>
      <c r="Y1144" s="17">
        <v>4</v>
      </c>
      <c r="Z1144" s="17"/>
      <c r="AA1144" s="17" t="s">
        <v>413</v>
      </c>
      <c r="AB1144" s="17" t="s">
        <v>79</v>
      </c>
      <c r="AC1144" s="17">
        <v>5</v>
      </c>
      <c r="AD1144" s="17">
        <v>0</v>
      </c>
      <c r="AE1144" s="17">
        <v>0</v>
      </c>
      <c r="AF1144" s="17"/>
      <c r="AG1144" s="17" t="s">
        <v>81</v>
      </c>
      <c r="AH1144" s="17" t="s">
        <v>162</v>
      </c>
      <c r="AI1144" s="17" t="s">
        <v>107</v>
      </c>
      <c r="AJ1144" s="17"/>
      <c r="AK1144" s="17" t="s">
        <v>137</v>
      </c>
      <c r="AL1144" s="17" t="s">
        <v>75</v>
      </c>
      <c r="AM1144" s="17" t="s">
        <v>137</v>
      </c>
      <c r="AN1144" s="17" t="s">
        <v>84</v>
      </c>
      <c r="AO1144" s="17" t="s">
        <v>75</v>
      </c>
      <c r="AP1144" s="17"/>
      <c r="AQ1144" s="17"/>
      <c r="AR1144" s="17"/>
      <c r="AS1144" s="17"/>
      <c r="AT1144" s="17" t="s">
        <v>3489</v>
      </c>
      <c r="AU1144" s="17" t="s">
        <v>111</v>
      </c>
    </row>
    <row r="1145" hidden="1">
      <c r="A1145" s="17">
        <v>1143</v>
      </c>
      <c r="B1145" s="17" t="s">
        <v>52</v>
      </c>
      <c r="C1145" s="34" t="s">
        <v>3490</v>
      </c>
      <c r="D1145" s="35" t="s">
        <v>52</v>
      </c>
      <c r="E1145" s="17" t="s">
        <v>3491</v>
      </c>
      <c r="F1145" s="17" t="s">
        <v>3492</v>
      </c>
      <c r="G1145" s="17">
        <v>22.211694000000001</v>
      </c>
      <c r="H1145" s="17">
        <v>87.386263</v>
      </c>
      <c r="I1145" s="17"/>
      <c r="J1145" s="17"/>
      <c r="K1145" s="17"/>
      <c r="L1145" s="17"/>
      <c r="M1145" s="34" t="s">
        <v>2695</v>
      </c>
      <c r="N1145" s="17"/>
      <c r="O1145" s="17"/>
      <c r="P1145" s="17"/>
      <c r="Q1145" s="17"/>
      <c r="R1145" s="17"/>
      <c r="S1145" s="17"/>
      <c r="T1145" s="17"/>
      <c r="U1145" s="17"/>
      <c r="V1145" s="17"/>
      <c r="W1145" s="17"/>
      <c r="X1145" s="17"/>
      <c r="Y1145" s="17"/>
      <c r="Z1145" s="17"/>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row>
    <row r="1146" hidden="1">
      <c r="A1146" s="17">
        <v>1144</v>
      </c>
      <c r="B1146" s="17" t="s">
        <v>52</v>
      </c>
      <c r="C1146" s="34" t="s">
        <v>3493</v>
      </c>
      <c r="D1146" s="35" t="s">
        <v>52</v>
      </c>
      <c r="E1146" s="17" t="s">
        <v>3494</v>
      </c>
      <c r="F1146" s="17" t="s">
        <v>3495</v>
      </c>
      <c r="G1146" s="17">
        <v>22.104378000000001</v>
      </c>
      <c r="H1146" s="17">
        <v>87.354625999999996</v>
      </c>
      <c r="I1146" s="17"/>
      <c r="J1146" s="17"/>
      <c r="K1146" s="17"/>
      <c r="L1146" s="17"/>
      <c r="M1146" s="35" t="s">
        <v>2223</v>
      </c>
      <c r="N1146" s="36">
        <v>9734686678</v>
      </c>
      <c r="O1146" s="17">
        <v>20</v>
      </c>
      <c r="P1146" s="17">
        <v>85</v>
      </c>
      <c r="Q1146" s="17" t="s">
        <v>73</v>
      </c>
      <c r="R1146" s="17" t="s">
        <v>74</v>
      </c>
      <c r="S1146" s="17" t="s">
        <v>137</v>
      </c>
      <c r="T1146" s="17" t="s">
        <v>3496</v>
      </c>
      <c r="U1146" s="17" t="s">
        <v>105</v>
      </c>
      <c r="V1146" s="17" t="s">
        <v>77</v>
      </c>
      <c r="W1146" s="17" t="s">
        <v>1182</v>
      </c>
      <c r="X1146" s="17">
        <v>5</v>
      </c>
      <c r="Y1146" s="17">
        <v>3</v>
      </c>
      <c r="Z1146" s="17" t="s">
        <v>3497</v>
      </c>
      <c r="AA1146" s="17" t="s">
        <v>105</v>
      </c>
      <c r="AB1146" s="17" t="s">
        <v>3498</v>
      </c>
      <c r="AC1146" s="17">
        <v>2</v>
      </c>
      <c r="AD1146" s="17">
        <v>0</v>
      </c>
      <c r="AE1146" s="17">
        <v>0</v>
      </c>
      <c r="AF1146" s="17"/>
      <c r="AG1146" s="17" t="s">
        <v>124</v>
      </c>
      <c r="AH1146" s="17" t="s">
        <v>82</v>
      </c>
      <c r="AI1146" s="17" t="s">
        <v>83</v>
      </c>
      <c r="AJ1146" s="17">
        <v>2111</v>
      </c>
      <c r="AK1146" s="17" t="s">
        <v>137</v>
      </c>
      <c r="AL1146" s="17" t="s">
        <v>75</v>
      </c>
      <c r="AM1146" s="17" t="s">
        <v>137</v>
      </c>
      <c r="AN1146" s="17" t="s">
        <v>84</v>
      </c>
      <c r="AO1146" s="17" t="s">
        <v>3499</v>
      </c>
      <c r="AP1146" s="17"/>
      <c r="AQ1146" s="17"/>
      <c r="AR1146" s="17"/>
      <c r="AS1146" s="17"/>
      <c r="AT1146" s="17" t="s">
        <v>3500</v>
      </c>
      <c r="AU1146" s="17" t="s">
        <v>111</v>
      </c>
    </row>
    <row r="1147" hidden="1">
      <c r="A1147" s="17">
        <v>1145</v>
      </c>
      <c r="B1147" s="17" t="s">
        <v>52</v>
      </c>
      <c r="C1147" s="34" t="s">
        <v>3501</v>
      </c>
      <c r="D1147" s="35" t="s">
        <v>52</v>
      </c>
      <c r="E1147" s="17" t="s">
        <v>3502</v>
      </c>
      <c r="F1147" s="17" t="s">
        <v>3503</v>
      </c>
      <c r="G1147" s="17">
        <v>22.137459</v>
      </c>
      <c r="H1147" s="17">
        <v>87.381271999999996</v>
      </c>
      <c r="I1147" s="17"/>
      <c r="J1147" s="17"/>
      <c r="K1147" s="17"/>
      <c r="L1147" s="17"/>
      <c r="M1147" s="35" t="s">
        <v>2223</v>
      </c>
      <c r="N1147" s="36">
        <v>9734686678</v>
      </c>
      <c r="O1147" s="17">
        <v>23</v>
      </c>
      <c r="P1147" s="17">
        <v>75</v>
      </c>
      <c r="Q1147" s="17" t="s">
        <v>105</v>
      </c>
      <c r="R1147" s="17" t="s">
        <v>74</v>
      </c>
      <c r="S1147" s="17" t="s">
        <v>75</v>
      </c>
      <c r="T1147" s="17"/>
      <c r="U1147" s="17" t="s">
        <v>2285</v>
      </c>
      <c r="V1147" s="17" t="s">
        <v>77</v>
      </c>
      <c r="W1147" s="17" t="s">
        <v>330</v>
      </c>
      <c r="X1147" s="17">
        <v>5</v>
      </c>
      <c r="Y1147" s="17">
        <v>0</v>
      </c>
      <c r="Z1147" s="17"/>
      <c r="AA1147" s="17" t="s">
        <v>145</v>
      </c>
      <c r="AB1147" s="17" t="s">
        <v>1838</v>
      </c>
      <c r="AC1147" s="17">
        <v>3</v>
      </c>
      <c r="AD1147" s="17">
        <v>0</v>
      </c>
      <c r="AE1147" s="17">
        <v>0</v>
      </c>
      <c r="AF1147" s="17"/>
      <c r="AG1147" s="17" t="s">
        <v>124</v>
      </c>
      <c r="AH1147" s="17" t="s">
        <v>82</v>
      </c>
      <c r="AI1147" s="17" t="s">
        <v>83</v>
      </c>
      <c r="AJ1147" s="17">
        <v>2111</v>
      </c>
      <c r="AK1147" s="17" t="s">
        <v>75</v>
      </c>
      <c r="AL1147" s="17" t="s">
        <v>75</v>
      </c>
      <c r="AM1147" s="17" t="s">
        <v>75</v>
      </c>
      <c r="AN1147" s="17" t="s">
        <v>84</v>
      </c>
      <c r="AO1147" s="17" t="s">
        <v>75</v>
      </c>
      <c r="AP1147" s="17"/>
      <c r="AQ1147" s="17"/>
      <c r="AR1147" s="17"/>
      <c r="AS1147" s="17"/>
      <c r="AT1147" s="17" t="s">
        <v>3504</v>
      </c>
      <c r="AU1147" s="17" t="s">
        <v>111</v>
      </c>
    </row>
    <row r="1148" hidden="1">
      <c r="A1148" s="17">
        <v>1146</v>
      </c>
      <c r="B1148" s="17" t="s">
        <v>52</v>
      </c>
      <c r="C1148" s="34" t="s">
        <v>3505</v>
      </c>
      <c r="D1148" s="35" t="s">
        <v>52</v>
      </c>
      <c r="E1148" s="17" t="s">
        <v>3506</v>
      </c>
      <c r="F1148" s="17" t="s">
        <v>3507</v>
      </c>
      <c r="G1148" s="17">
        <v>22.245079</v>
      </c>
      <c r="H1148" s="17">
        <v>87.393097999999995</v>
      </c>
      <c r="I1148" s="17"/>
      <c r="J1148" s="17"/>
      <c r="K1148" s="17"/>
      <c r="L1148" s="17"/>
      <c r="M1148" s="34" t="s">
        <v>2695</v>
      </c>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c r="AM1148" s="17"/>
      <c r="AN1148" s="17"/>
      <c r="AO1148" s="17"/>
      <c r="AP1148" s="17"/>
      <c r="AQ1148" s="17"/>
      <c r="AR1148" s="17"/>
      <c r="AS1148" s="17"/>
      <c r="AT1148" s="17"/>
      <c r="AU1148" s="17"/>
    </row>
    <row r="1149" hidden="1">
      <c r="A1149" s="17">
        <v>1147</v>
      </c>
      <c r="B1149" s="17" t="s">
        <v>52</v>
      </c>
      <c r="C1149" s="34" t="s">
        <v>3508</v>
      </c>
      <c r="D1149" s="35" t="s">
        <v>52</v>
      </c>
      <c r="E1149" s="17" t="s">
        <v>3509</v>
      </c>
      <c r="F1149" s="17" t="s">
        <v>3510</v>
      </c>
      <c r="G1149" s="17">
        <v>22.005483999999999</v>
      </c>
      <c r="H1149" s="17">
        <v>87.304060000000007</v>
      </c>
      <c r="I1149" s="17"/>
      <c r="J1149" s="17"/>
      <c r="K1149" s="17"/>
      <c r="L1149" s="17"/>
      <c r="M1149" s="35" t="s">
        <v>2223</v>
      </c>
      <c r="N1149" s="36">
        <v>9734686678</v>
      </c>
      <c r="O1149" s="17">
        <v>22</v>
      </c>
      <c r="P1149" s="17">
        <v>90</v>
      </c>
      <c r="Q1149" s="17" t="s">
        <v>105</v>
      </c>
      <c r="R1149" s="17" t="s">
        <v>74</v>
      </c>
      <c r="S1149" s="17" t="s">
        <v>75</v>
      </c>
      <c r="T1149" s="17"/>
      <c r="U1149" s="17" t="s">
        <v>160</v>
      </c>
      <c r="V1149" s="17" t="s">
        <v>77</v>
      </c>
      <c r="W1149" s="17" t="s">
        <v>252</v>
      </c>
      <c r="X1149" s="17">
        <v>5</v>
      </c>
      <c r="Y1149" s="17">
        <v>0</v>
      </c>
      <c r="Z1149" s="17"/>
      <c r="AA1149" s="17" t="s">
        <v>105</v>
      </c>
      <c r="AB1149" s="17" t="s">
        <v>79</v>
      </c>
      <c r="AC1149" s="17">
        <v>2</v>
      </c>
      <c r="AD1149" s="17">
        <v>0</v>
      </c>
      <c r="AE1149" s="17">
        <v>0</v>
      </c>
      <c r="AF1149" s="17"/>
      <c r="AG1149" s="17" t="s">
        <v>124</v>
      </c>
      <c r="AH1149" s="17" t="s">
        <v>82</v>
      </c>
      <c r="AI1149" s="17" t="s">
        <v>83</v>
      </c>
      <c r="AJ1149" s="17">
        <v>2111</v>
      </c>
      <c r="AK1149" s="17" t="s">
        <v>75</v>
      </c>
      <c r="AL1149" s="17" t="s">
        <v>75</v>
      </c>
      <c r="AM1149" s="17" t="s">
        <v>75</v>
      </c>
      <c r="AN1149" s="17" t="s">
        <v>84</v>
      </c>
      <c r="AO1149" s="17" t="s">
        <v>75</v>
      </c>
      <c r="AP1149" s="17"/>
      <c r="AQ1149" s="17"/>
      <c r="AR1149" s="17"/>
      <c r="AS1149" s="17"/>
      <c r="AT1149" s="17" t="s">
        <v>3511</v>
      </c>
      <c r="AU1149" s="17" t="s">
        <v>111</v>
      </c>
    </row>
    <row r="1150" hidden="1">
      <c r="A1150" s="17">
        <v>1148</v>
      </c>
      <c r="B1150" s="17" t="s">
        <v>52</v>
      </c>
      <c r="C1150" s="34" t="s">
        <v>3512</v>
      </c>
      <c r="D1150" s="35" t="s">
        <v>52</v>
      </c>
      <c r="E1150" s="17" t="s">
        <v>3513</v>
      </c>
      <c r="F1150" s="17" t="s">
        <v>3514</v>
      </c>
      <c r="G1150" s="17">
        <v>22.119987999999999</v>
      </c>
      <c r="H1150" s="17">
        <v>87.502696</v>
      </c>
      <c r="I1150" s="17"/>
      <c r="J1150" s="17"/>
      <c r="K1150" s="17"/>
      <c r="L1150" s="17"/>
      <c r="M1150" s="35" t="s">
        <v>2248</v>
      </c>
      <c r="N1150" s="17">
        <v>8100154683</v>
      </c>
      <c r="O1150" s="17">
        <v>16</v>
      </c>
      <c r="P1150" s="17">
        <v>100</v>
      </c>
      <c r="Q1150" s="17" t="s">
        <v>187</v>
      </c>
      <c r="R1150" s="17" t="s">
        <v>238</v>
      </c>
      <c r="S1150" s="17" t="s">
        <v>75</v>
      </c>
      <c r="T1150" s="17"/>
      <c r="U1150" s="17" t="s">
        <v>76</v>
      </c>
      <c r="V1150" s="17" t="s">
        <v>77</v>
      </c>
      <c r="W1150" s="17" t="s">
        <v>78</v>
      </c>
      <c r="X1150" s="17">
        <v>5</v>
      </c>
      <c r="Y1150" s="17">
        <v>1</v>
      </c>
      <c r="Z1150" s="17"/>
      <c r="AA1150" s="17" t="s">
        <v>187</v>
      </c>
      <c r="AB1150" s="17" t="s">
        <v>239</v>
      </c>
      <c r="AC1150" s="17">
        <v>7</v>
      </c>
      <c r="AD1150" s="17">
        <v>0</v>
      </c>
      <c r="AE1150" s="17">
        <v>0</v>
      </c>
      <c r="AF1150" s="17"/>
      <c r="AG1150" s="17" t="s">
        <v>81</v>
      </c>
      <c r="AH1150" s="17" t="s">
        <v>162</v>
      </c>
      <c r="AI1150" s="17" t="s">
        <v>107</v>
      </c>
      <c r="AJ1150" s="17" t="s">
        <v>539</v>
      </c>
      <c r="AK1150" s="17" t="s">
        <v>75</v>
      </c>
      <c r="AL1150" s="17" t="s">
        <v>75</v>
      </c>
      <c r="AM1150" s="17" t="s">
        <v>75</v>
      </c>
      <c r="AN1150" s="17" t="s">
        <v>84</v>
      </c>
      <c r="AO1150" s="17" t="s">
        <v>75</v>
      </c>
      <c r="AP1150" s="17"/>
      <c r="AQ1150" s="17"/>
      <c r="AR1150" s="17"/>
      <c r="AS1150" s="17"/>
      <c r="AT1150" s="17" t="s">
        <v>3515</v>
      </c>
      <c r="AU1150" s="17" t="s">
        <v>430</v>
      </c>
    </row>
    <row r="1151" hidden="1">
      <c r="A1151" s="17">
        <v>1149</v>
      </c>
      <c r="B1151" s="17" t="s">
        <v>52</v>
      </c>
      <c r="C1151" s="34" t="s">
        <v>3516</v>
      </c>
      <c r="D1151" s="35" t="s">
        <v>52</v>
      </c>
      <c r="E1151" s="17" t="s">
        <v>3517</v>
      </c>
      <c r="F1151" s="17" t="s">
        <v>3518</v>
      </c>
      <c r="G1151" s="17">
        <v>22.105504</v>
      </c>
      <c r="H1151" s="17">
        <v>87.482973000000001</v>
      </c>
      <c r="I1151" s="17"/>
      <c r="J1151" s="17"/>
      <c r="K1151" s="17"/>
      <c r="L1151" s="17"/>
      <c r="M1151" s="35" t="s">
        <v>2248</v>
      </c>
      <c r="N1151" s="17">
        <v>8100154683</v>
      </c>
      <c r="O1151" s="17">
        <v>18</v>
      </c>
      <c r="P1151" s="17">
        <v>55</v>
      </c>
      <c r="Q1151" s="17" t="s">
        <v>73</v>
      </c>
      <c r="R1151" s="17" t="s">
        <v>74</v>
      </c>
      <c r="S1151" s="17" t="s">
        <v>947</v>
      </c>
      <c r="T1151" s="17"/>
      <c r="U1151" s="17" t="s">
        <v>76</v>
      </c>
      <c r="V1151" s="17" t="s">
        <v>77</v>
      </c>
      <c r="W1151" s="17" t="s">
        <v>454</v>
      </c>
      <c r="X1151" s="17">
        <v>3</v>
      </c>
      <c r="Y1151" s="17">
        <v>0</v>
      </c>
      <c r="Z1151" s="17"/>
      <c r="AA1151" s="17" t="s">
        <v>73</v>
      </c>
      <c r="AB1151" s="17" t="s">
        <v>79</v>
      </c>
      <c r="AC1151" s="17">
        <v>2</v>
      </c>
      <c r="AD1151" s="17">
        <v>0</v>
      </c>
      <c r="AE1151" s="17">
        <v>0</v>
      </c>
      <c r="AF1151" s="17"/>
      <c r="AG1151" s="17" t="s">
        <v>124</v>
      </c>
      <c r="AH1151" s="17" t="s">
        <v>82</v>
      </c>
      <c r="AI1151" s="17" t="s">
        <v>83</v>
      </c>
      <c r="AJ1151" s="17" t="s">
        <v>1417</v>
      </c>
      <c r="AK1151" s="17" t="s">
        <v>137</v>
      </c>
      <c r="AL1151" s="17" t="s">
        <v>75</v>
      </c>
      <c r="AM1151" s="17" t="s">
        <v>137</v>
      </c>
      <c r="AN1151" s="17" t="s">
        <v>125</v>
      </c>
      <c r="AO1151" s="17" t="s">
        <v>75</v>
      </c>
      <c r="AP1151" s="17"/>
      <c r="AQ1151" s="17"/>
      <c r="AR1151" s="17"/>
      <c r="AS1151" s="17"/>
      <c r="AT1151" s="17" t="s">
        <v>3519</v>
      </c>
      <c r="AU1151" s="17" t="s">
        <v>430</v>
      </c>
    </row>
    <row r="1152" hidden="1">
      <c r="A1152" s="17">
        <v>1150</v>
      </c>
      <c r="B1152" s="17" t="s">
        <v>52</v>
      </c>
      <c r="C1152" s="34" t="s">
        <v>3520</v>
      </c>
      <c r="D1152" s="35" t="s">
        <v>52</v>
      </c>
      <c r="E1152" s="17" t="s">
        <v>3521</v>
      </c>
      <c r="F1152" s="17" t="s">
        <v>3522</v>
      </c>
      <c r="G1152" s="17">
        <v>22.165164000000001</v>
      </c>
      <c r="H1152" s="17">
        <v>87.466768000000002</v>
      </c>
      <c r="I1152" s="17"/>
      <c r="J1152" s="17"/>
      <c r="K1152" s="17"/>
      <c r="L1152" s="17"/>
      <c r="M1152" s="35" t="s">
        <v>2248</v>
      </c>
      <c r="N1152" s="17">
        <v>8100154683</v>
      </c>
      <c r="O1152" s="17">
        <v>18</v>
      </c>
      <c r="P1152" s="17">
        <v>50</v>
      </c>
      <c r="Q1152" s="17" t="s">
        <v>73</v>
      </c>
      <c r="R1152" s="17" t="s">
        <v>104</v>
      </c>
      <c r="S1152" s="17" t="s">
        <v>75</v>
      </c>
      <c r="T1152" s="17"/>
      <c r="U1152" s="17" t="s">
        <v>105</v>
      </c>
      <c r="V1152" s="17" t="s">
        <v>340</v>
      </c>
      <c r="W1152" s="17" t="s">
        <v>123</v>
      </c>
      <c r="X1152" s="17">
        <v>3</v>
      </c>
      <c r="Y1152" s="17">
        <v>0</v>
      </c>
      <c r="Z1152" s="17"/>
      <c r="AA1152" s="17" t="s">
        <v>73</v>
      </c>
      <c r="AB1152" s="17" t="s">
        <v>79</v>
      </c>
      <c r="AC1152" s="17">
        <v>2</v>
      </c>
      <c r="AD1152" s="17">
        <v>0</v>
      </c>
      <c r="AE1152" s="17">
        <v>0</v>
      </c>
      <c r="AF1152" s="17"/>
      <c r="AG1152" s="17" t="s">
        <v>81</v>
      </c>
      <c r="AH1152" s="17" t="s">
        <v>82</v>
      </c>
      <c r="AI1152" s="17" t="s">
        <v>83</v>
      </c>
      <c r="AJ1152" s="17" t="s">
        <v>221</v>
      </c>
      <c r="AK1152" s="17" t="s">
        <v>75</v>
      </c>
      <c r="AL1152" s="17" t="s">
        <v>75</v>
      </c>
      <c r="AM1152" s="17" t="s">
        <v>75</v>
      </c>
      <c r="AN1152" s="17" t="s">
        <v>84</v>
      </c>
      <c r="AO1152" s="17" t="s">
        <v>75</v>
      </c>
      <c r="AP1152" s="17"/>
      <c r="AQ1152" s="17"/>
      <c r="AR1152" s="17"/>
      <c r="AS1152" s="17"/>
      <c r="AT1152" s="17" t="s">
        <v>3523</v>
      </c>
      <c r="AU1152" s="17" t="s">
        <v>430</v>
      </c>
    </row>
    <row r="1153" hidden="1">
      <c r="A1153" s="17">
        <v>1151</v>
      </c>
      <c r="B1153" s="17" t="s">
        <v>52</v>
      </c>
      <c r="C1153" s="34" t="s">
        <v>3524</v>
      </c>
      <c r="D1153" s="35" t="s">
        <v>52</v>
      </c>
      <c r="E1153" s="17" t="s">
        <v>3525</v>
      </c>
      <c r="F1153" s="17" t="s">
        <v>3526</v>
      </c>
      <c r="G1153" s="17">
        <v>22.028099000000001</v>
      </c>
      <c r="H1153" s="17">
        <v>87.379610999999997</v>
      </c>
      <c r="I1153" s="17"/>
      <c r="J1153" s="17"/>
      <c r="K1153" s="17"/>
      <c r="L1153" s="17"/>
      <c r="M1153" s="35" t="s">
        <v>2223</v>
      </c>
      <c r="N1153" s="36">
        <v>9734686678</v>
      </c>
      <c r="O1153" s="17">
        <v>20</v>
      </c>
      <c r="P1153" s="17">
        <v>110</v>
      </c>
      <c r="Q1153" s="17" t="s">
        <v>413</v>
      </c>
      <c r="R1153" s="17" t="s">
        <v>339</v>
      </c>
      <c r="S1153" s="17" t="s">
        <v>137</v>
      </c>
      <c r="T1153" s="17" t="s">
        <v>3527</v>
      </c>
      <c r="U1153" s="17" t="s">
        <v>441</v>
      </c>
      <c r="V1153" s="17" t="s">
        <v>3528</v>
      </c>
      <c r="W1153" s="17" t="s">
        <v>123</v>
      </c>
      <c r="X1153" s="17">
        <v>7</v>
      </c>
      <c r="Y1153" s="17">
        <v>0</v>
      </c>
      <c r="Z1153" s="17" t="s">
        <v>3529</v>
      </c>
      <c r="AA1153" s="17" t="s">
        <v>413</v>
      </c>
      <c r="AB1153" s="17" t="s">
        <v>79</v>
      </c>
      <c r="AC1153" s="17">
        <v>5</v>
      </c>
      <c r="AD1153" s="17">
        <v>0</v>
      </c>
      <c r="AE1153" s="17">
        <v>0</v>
      </c>
      <c r="AF1153" s="17"/>
      <c r="AG1153" s="17" t="s">
        <v>81</v>
      </c>
      <c r="AH1153" s="17" t="s">
        <v>82</v>
      </c>
      <c r="AI1153" s="17" t="s">
        <v>83</v>
      </c>
      <c r="AJ1153" s="17">
        <v>2111</v>
      </c>
      <c r="AK1153" s="17" t="s">
        <v>75</v>
      </c>
      <c r="AL1153" s="17" t="s">
        <v>75</v>
      </c>
      <c r="AM1153" s="17" t="s">
        <v>75</v>
      </c>
      <c r="AN1153" s="17" t="s">
        <v>84</v>
      </c>
      <c r="AO1153" s="17" t="s">
        <v>75</v>
      </c>
      <c r="AP1153" s="17"/>
      <c r="AQ1153" s="17"/>
      <c r="AR1153" s="17"/>
      <c r="AS1153" s="17"/>
      <c r="AT1153" s="17" t="s">
        <v>3530</v>
      </c>
      <c r="AU1153" s="17" t="s">
        <v>111</v>
      </c>
    </row>
    <row r="1154" hidden="1">
      <c r="A1154" s="17">
        <v>1152</v>
      </c>
      <c r="B1154" s="17" t="s">
        <v>52</v>
      </c>
      <c r="C1154" s="34" t="s">
        <v>3531</v>
      </c>
      <c r="D1154" s="35" t="s">
        <v>52</v>
      </c>
      <c r="E1154" s="17" t="s">
        <v>3532</v>
      </c>
      <c r="F1154" s="17" t="s">
        <v>3533</v>
      </c>
      <c r="G1154" s="17">
        <v>22.058114</v>
      </c>
      <c r="H1154" s="17">
        <v>87.449449000000001</v>
      </c>
      <c r="I1154" s="17"/>
      <c r="J1154" s="17"/>
      <c r="K1154" s="17"/>
      <c r="L1154" s="17"/>
      <c r="M1154" s="35" t="s">
        <v>2223</v>
      </c>
      <c r="N1154" s="36">
        <v>9734686678</v>
      </c>
      <c r="O1154" s="17">
        <v>22</v>
      </c>
      <c r="P1154" s="17">
        <v>45</v>
      </c>
      <c r="Q1154" s="17" t="s">
        <v>73</v>
      </c>
      <c r="R1154" s="17" t="s">
        <v>104</v>
      </c>
      <c r="S1154" s="17" t="s">
        <v>75</v>
      </c>
      <c r="T1154" s="17"/>
      <c r="U1154" s="17" t="s">
        <v>105</v>
      </c>
      <c r="V1154" s="17" t="s">
        <v>340</v>
      </c>
      <c r="W1154" s="17" t="s">
        <v>3305</v>
      </c>
      <c r="X1154" s="17">
        <v>3</v>
      </c>
      <c r="Y1154" s="17">
        <v>0</v>
      </c>
      <c r="Z1154" s="17" t="s">
        <v>3534</v>
      </c>
      <c r="AA1154" s="17" t="s">
        <v>73</v>
      </c>
      <c r="AB1154" s="17" t="s">
        <v>1838</v>
      </c>
      <c r="AC1154" s="17">
        <v>3</v>
      </c>
      <c r="AD1154" s="17">
        <v>0</v>
      </c>
      <c r="AE1154" s="17">
        <v>1</v>
      </c>
      <c r="AF1154" s="17"/>
      <c r="AG1154" s="17" t="s">
        <v>124</v>
      </c>
      <c r="AH1154" s="17" t="s">
        <v>82</v>
      </c>
      <c r="AI1154" s="17" t="s">
        <v>83</v>
      </c>
      <c r="AJ1154" s="17">
        <v>2111</v>
      </c>
      <c r="AK1154" s="17" t="s">
        <v>75</v>
      </c>
      <c r="AL1154" s="17" t="s">
        <v>75</v>
      </c>
      <c r="AM1154" s="17" t="s">
        <v>75</v>
      </c>
      <c r="AN1154" s="17" t="s">
        <v>84</v>
      </c>
      <c r="AO1154" s="17" t="s">
        <v>75</v>
      </c>
      <c r="AP1154" s="17"/>
      <c r="AQ1154" s="17"/>
      <c r="AR1154" s="17"/>
      <c r="AS1154" s="17"/>
      <c r="AT1154" s="17" t="s">
        <v>3535</v>
      </c>
      <c r="AU1154" s="17" t="s">
        <v>111</v>
      </c>
    </row>
    <row r="1155" hidden="1">
      <c r="A1155" s="17">
        <v>1153</v>
      </c>
      <c r="B1155" s="17" t="s">
        <v>52</v>
      </c>
      <c r="C1155" s="34" t="s">
        <v>3536</v>
      </c>
      <c r="D1155" s="35" t="s">
        <v>52</v>
      </c>
      <c r="E1155" s="17" t="s">
        <v>3537</v>
      </c>
      <c r="F1155" s="17" t="s">
        <v>3538</v>
      </c>
      <c r="G1155" s="17">
        <v>22.169419999999999</v>
      </c>
      <c r="H1155" s="17">
        <v>87.300211000000004</v>
      </c>
      <c r="I1155" s="17"/>
      <c r="J1155" s="17"/>
      <c r="K1155" s="17"/>
      <c r="L1155" s="17"/>
      <c r="M1155" s="38" t="s">
        <v>2710</v>
      </c>
      <c r="N1155" s="17"/>
      <c r="O1155" s="17"/>
      <c r="P1155" s="17"/>
      <c r="Q1155" s="17"/>
      <c r="R1155" s="17"/>
      <c r="S1155" s="17"/>
      <c r="T1155" s="17"/>
      <c r="U1155" s="17"/>
      <c r="V1155" s="17"/>
      <c r="W1155" s="17"/>
      <c r="X1155" s="17"/>
      <c r="Y1155" s="17"/>
      <c r="Z1155" s="17"/>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row>
    <row r="1156" hidden="1">
      <c r="A1156" s="17">
        <v>1154</v>
      </c>
      <c r="B1156" s="17" t="s">
        <v>52</v>
      </c>
      <c r="C1156" s="34" t="s">
        <v>3539</v>
      </c>
      <c r="D1156" s="35" t="s">
        <v>52</v>
      </c>
      <c r="E1156" s="17" t="s">
        <v>3540</v>
      </c>
      <c r="F1156" s="17" t="s">
        <v>3541</v>
      </c>
      <c r="G1156" s="17">
        <v>22.205586</v>
      </c>
      <c r="H1156" s="17">
        <v>87.460999000000001</v>
      </c>
      <c r="I1156" s="17"/>
      <c r="J1156" s="17"/>
      <c r="K1156" s="17"/>
      <c r="L1156" s="17"/>
      <c r="M1156" s="35" t="s">
        <v>2248</v>
      </c>
      <c r="N1156" s="17">
        <v>8100154683</v>
      </c>
      <c r="O1156" s="17">
        <v>18</v>
      </c>
      <c r="P1156" s="17">
        <v>60</v>
      </c>
      <c r="Q1156" s="17" t="s">
        <v>105</v>
      </c>
      <c r="R1156" s="17" t="s">
        <v>142</v>
      </c>
      <c r="S1156" s="17" t="s">
        <v>75</v>
      </c>
      <c r="T1156" s="17"/>
      <c r="U1156" s="17" t="s">
        <v>160</v>
      </c>
      <c r="V1156" s="17" t="s">
        <v>77</v>
      </c>
      <c r="W1156" s="17" t="s">
        <v>123</v>
      </c>
      <c r="X1156" s="17">
        <v>3</v>
      </c>
      <c r="Y1156" s="17">
        <v>0</v>
      </c>
      <c r="Z1156" s="17"/>
      <c r="AA1156" s="17" t="s">
        <v>105</v>
      </c>
      <c r="AB1156" s="17" t="s">
        <v>3542</v>
      </c>
      <c r="AC1156" s="17">
        <v>4</v>
      </c>
      <c r="AD1156" s="17">
        <v>0</v>
      </c>
      <c r="AE1156" s="17">
        <v>0</v>
      </c>
      <c r="AF1156" s="17"/>
      <c r="AG1156" s="17" t="s">
        <v>81</v>
      </c>
      <c r="AH1156" s="17" t="s">
        <v>82</v>
      </c>
      <c r="AI1156" s="17" t="s">
        <v>83</v>
      </c>
      <c r="AJ1156" s="17" t="s">
        <v>545</v>
      </c>
      <c r="AK1156" s="17" t="s">
        <v>75</v>
      </c>
      <c r="AL1156" s="17" t="s">
        <v>137</v>
      </c>
      <c r="AM1156" s="17" t="s">
        <v>137</v>
      </c>
      <c r="AN1156" s="17" t="s">
        <v>84</v>
      </c>
      <c r="AO1156" s="17" t="s">
        <v>137</v>
      </c>
      <c r="AP1156" s="17"/>
      <c r="AQ1156" s="17"/>
      <c r="AR1156" s="17"/>
      <c r="AS1156" s="17"/>
      <c r="AT1156" s="17" t="s">
        <v>3543</v>
      </c>
      <c r="AU1156" s="17" t="s">
        <v>430</v>
      </c>
    </row>
    <row r="1157" hidden="1">
      <c r="A1157" s="17">
        <v>1155</v>
      </c>
      <c r="B1157" s="17" t="s">
        <v>52</v>
      </c>
      <c r="C1157" s="34" t="s">
        <v>3544</v>
      </c>
      <c r="D1157" s="35" t="s">
        <v>52</v>
      </c>
      <c r="E1157" s="17" t="s">
        <v>3545</v>
      </c>
      <c r="F1157" s="17" t="s">
        <v>3546</v>
      </c>
      <c r="G1157" s="17">
        <v>22.124870000000001</v>
      </c>
      <c r="H1157" s="17">
        <v>87.436570000000003</v>
      </c>
      <c r="I1157" s="17"/>
      <c r="J1157" s="17"/>
      <c r="K1157" s="17"/>
      <c r="L1157" s="17"/>
      <c r="M1157" s="35" t="s">
        <v>2248</v>
      </c>
      <c r="N1157" s="17">
        <v>8100154683</v>
      </c>
      <c r="O1157" s="17">
        <v>17</v>
      </c>
      <c r="P1157" s="17">
        <v>60</v>
      </c>
      <c r="Q1157" s="17" t="s">
        <v>105</v>
      </c>
      <c r="R1157" s="17" t="s">
        <v>238</v>
      </c>
      <c r="S1157" s="17" t="s">
        <v>3547</v>
      </c>
      <c r="T1157" s="17"/>
      <c r="U1157" s="17" t="s">
        <v>76</v>
      </c>
      <c r="V1157" s="17" t="s">
        <v>77</v>
      </c>
      <c r="W1157" s="17" t="s">
        <v>454</v>
      </c>
      <c r="X1157" s="17">
        <v>3</v>
      </c>
      <c r="Y1157" s="17">
        <v>0</v>
      </c>
      <c r="Z1157" s="17"/>
      <c r="AA1157" s="17" t="s">
        <v>105</v>
      </c>
      <c r="AB1157" s="17" t="s">
        <v>239</v>
      </c>
      <c r="AC1157" s="17">
        <v>3</v>
      </c>
      <c r="AD1157" s="17">
        <v>0</v>
      </c>
      <c r="AE1157" s="17">
        <v>0</v>
      </c>
      <c r="AF1157" s="17"/>
      <c r="AG1157" s="17" t="s">
        <v>81</v>
      </c>
      <c r="AH1157" s="17" t="s">
        <v>82</v>
      </c>
      <c r="AI1157" s="17" t="s">
        <v>107</v>
      </c>
      <c r="AJ1157" s="17" t="s">
        <v>195</v>
      </c>
      <c r="AK1157" s="17" t="s">
        <v>75</v>
      </c>
      <c r="AL1157" s="17" t="s">
        <v>75</v>
      </c>
      <c r="AM1157" s="17" t="s">
        <v>137</v>
      </c>
      <c r="AN1157" s="17" t="s">
        <v>84</v>
      </c>
      <c r="AO1157" s="17" t="s">
        <v>1060</v>
      </c>
      <c r="AP1157" s="17"/>
      <c r="AQ1157" s="17"/>
      <c r="AR1157" s="17"/>
      <c r="AS1157" s="17"/>
      <c r="AT1157" s="17" t="s">
        <v>3548</v>
      </c>
      <c r="AU1157" s="17" t="s">
        <v>430</v>
      </c>
    </row>
    <row r="1158" hidden="1">
      <c r="A1158" s="17">
        <v>1156</v>
      </c>
      <c r="B1158" s="17" t="s">
        <v>52</v>
      </c>
      <c r="C1158" s="34" t="s">
        <v>3549</v>
      </c>
      <c r="D1158" s="35" t="s">
        <v>52</v>
      </c>
      <c r="E1158" s="17" t="s">
        <v>3550</v>
      </c>
      <c r="F1158" s="17" t="s">
        <v>3551</v>
      </c>
      <c r="G1158" s="17">
        <v>22.136758</v>
      </c>
      <c r="H1158" s="17">
        <v>87.460560999999998</v>
      </c>
      <c r="I1158" s="17"/>
      <c r="J1158" s="17"/>
      <c r="K1158" s="17"/>
      <c r="L1158" s="17"/>
      <c r="M1158" s="35" t="s">
        <v>2248</v>
      </c>
      <c r="N1158" s="17">
        <v>8100154683</v>
      </c>
      <c r="O1158" s="17">
        <v>17</v>
      </c>
      <c r="P1158" s="17">
        <v>100</v>
      </c>
      <c r="Q1158" s="17" t="s">
        <v>73</v>
      </c>
      <c r="R1158" s="17" t="s">
        <v>74</v>
      </c>
      <c r="S1158" s="17" t="s">
        <v>75</v>
      </c>
      <c r="T1158" s="17"/>
      <c r="U1158" s="17" t="s">
        <v>105</v>
      </c>
      <c r="V1158" s="17" t="s">
        <v>77</v>
      </c>
      <c r="W1158" s="17" t="s">
        <v>123</v>
      </c>
      <c r="X1158" s="17">
        <v>5</v>
      </c>
      <c r="Y1158" s="17">
        <v>1</v>
      </c>
      <c r="Z1158" s="17"/>
      <c r="AA1158" s="17" t="s">
        <v>73</v>
      </c>
      <c r="AB1158" s="17" t="s">
        <v>79</v>
      </c>
      <c r="AC1158" s="17">
        <v>3</v>
      </c>
      <c r="AD1158" s="17">
        <v>0</v>
      </c>
      <c r="AE1158" s="17">
        <v>0</v>
      </c>
      <c r="AF1158" s="17"/>
      <c r="AG1158" s="17" t="s">
        <v>124</v>
      </c>
      <c r="AH1158" s="17" t="s">
        <v>82</v>
      </c>
      <c r="AI1158" s="17" t="s">
        <v>83</v>
      </c>
      <c r="AJ1158" s="17" t="s">
        <v>545</v>
      </c>
      <c r="AK1158" s="17" t="s">
        <v>75</v>
      </c>
      <c r="AL1158" s="17" t="s">
        <v>75</v>
      </c>
      <c r="AM1158" s="17" t="s">
        <v>75</v>
      </c>
      <c r="AN1158" s="17" t="s">
        <v>125</v>
      </c>
      <c r="AO1158" s="17" t="s">
        <v>75</v>
      </c>
      <c r="AP1158" s="17" t="s">
        <v>73</v>
      </c>
      <c r="AQ1158" s="17" t="s">
        <v>1180</v>
      </c>
      <c r="AR1158" s="17">
        <v>3</v>
      </c>
      <c r="AS1158" s="17">
        <v>0</v>
      </c>
      <c r="AT1158" s="17" t="s">
        <v>3552</v>
      </c>
      <c r="AU1158" s="17" t="s">
        <v>430</v>
      </c>
    </row>
    <row r="1159" hidden="1">
      <c r="A1159" s="17">
        <v>1157</v>
      </c>
      <c r="B1159" s="17" t="s">
        <v>52</v>
      </c>
      <c r="C1159" s="34" t="s">
        <v>3553</v>
      </c>
      <c r="D1159" s="35" t="s">
        <v>52</v>
      </c>
      <c r="E1159" s="17" t="s">
        <v>3554</v>
      </c>
      <c r="F1159" s="17" t="s">
        <v>3555</v>
      </c>
      <c r="G1159" s="17">
        <v>22.186332</v>
      </c>
      <c r="H1159" s="17">
        <v>87.369968</v>
      </c>
      <c r="I1159" s="17"/>
      <c r="J1159" s="17"/>
      <c r="K1159" s="17"/>
      <c r="L1159" s="17"/>
      <c r="M1159" s="34" t="s">
        <v>2695</v>
      </c>
      <c r="N1159" s="17"/>
      <c r="O1159" s="17"/>
      <c r="P1159" s="17"/>
      <c r="Q1159" s="17"/>
      <c r="R1159" s="17"/>
      <c r="S1159" s="17"/>
      <c r="T1159" s="17"/>
      <c r="U1159" s="17"/>
      <c r="V1159" s="17"/>
      <c r="W1159" s="17"/>
      <c r="X1159" s="17"/>
      <c r="Y1159" s="17"/>
      <c r="Z1159" s="17"/>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row>
    <row r="1160" hidden="1">
      <c r="A1160" s="17">
        <v>1158</v>
      </c>
      <c r="B1160" s="17" t="s">
        <v>52</v>
      </c>
      <c r="C1160" s="34" t="s">
        <v>3556</v>
      </c>
      <c r="D1160" s="35" t="s">
        <v>52</v>
      </c>
      <c r="E1160" s="17" t="s">
        <v>3557</v>
      </c>
      <c r="F1160" s="17" t="s">
        <v>3558</v>
      </c>
      <c r="G1160" s="17">
        <v>22.173048999999999</v>
      </c>
      <c r="H1160" s="17">
        <v>87.345301000000006</v>
      </c>
      <c r="I1160" s="17"/>
      <c r="J1160" s="17"/>
      <c r="K1160" s="17"/>
      <c r="L1160" s="17"/>
      <c r="M1160" s="34" t="s">
        <v>2695</v>
      </c>
      <c r="N1160" s="17"/>
      <c r="O1160" s="17"/>
      <c r="P1160" s="17"/>
      <c r="Q1160" s="17"/>
      <c r="R1160" s="17"/>
      <c r="S1160" s="17"/>
      <c r="T1160" s="17"/>
      <c r="U1160" s="17"/>
      <c r="V1160" s="17"/>
      <c r="W1160" s="17"/>
      <c r="X1160" s="17"/>
      <c r="Y1160" s="17"/>
      <c r="Z1160" s="17"/>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row>
    <row r="1161" hidden="1">
      <c r="A1161" s="17">
        <v>1159</v>
      </c>
      <c r="B1161" s="17" t="s">
        <v>52</v>
      </c>
      <c r="C1161" s="34" t="s">
        <v>3559</v>
      </c>
      <c r="D1161" s="35" t="s">
        <v>52</v>
      </c>
      <c r="E1161" s="17" t="s">
        <v>3560</v>
      </c>
      <c r="F1161" s="17" t="s">
        <v>3561</v>
      </c>
      <c r="G1161" s="17">
        <v>22.222224000000001</v>
      </c>
      <c r="H1161" s="17">
        <v>87.362482</v>
      </c>
      <c r="I1161" s="17"/>
      <c r="J1161" s="17"/>
      <c r="K1161" s="17"/>
      <c r="L1161" s="17"/>
      <c r="M1161" s="34" t="s">
        <v>2695</v>
      </c>
      <c r="N1161" s="17"/>
      <c r="O1161" s="17"/>
      <c r="P1161" s="17"/>
      <c r="Q1161" s="17"/>
      <c r="R1161" s="17"/>
      <c r="S1161" s="17"/>
      <c r="T1161" s="17"/>
      <c r="U1161" s="17"/>
      <c r="V1161" s="17"/>
      <c r="W1161" s="17"/>
      <c r="X1161" s="17"/>
      <c r="Y1161" s="17"/>
      <c r="Z1161" s="17"/>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row>
    <row r="1162" hidden="1">
      <c r="A1162" s="17">
        <v>1160</v>
      </c>
      <c r="B1162" s="17" t="s">
        <v>52</v>
      </c>
      <c r="C1162" s="34" t="s">
        <v>3562</v>
      </c>
      <c r="D1162" s="35" t="s">
        <v>52</v>
      </c>
      <c r="E1162" s="17" t="s">
        <v>3563</v>
      </c>
      <c r="F1162" s="17" t="s">
        <v>3564</v>
      </c>
      <c r="G1162" s="17">
        <v>22.023903000000001</v>
      </c>
      <c r="H1162" s="17">
        <v>87.432665999999998</v>
      </c>
      <c r="I1162" s="17"/>
      <c r="J1162" s="17"/>
      <c r="K1162" s="17"/>
      <c r="L1162" s="17"/>
      <c r="M1162" s="35" t="s">
        <v>2223</v>
      </c>
      <c r="N1162" s="36">
        <v>9734686678</v>
      </c>
      <c r="O1162" s="17">
        <v>20</v>
      </c>
      <c r="P1162" s="17">
        <v>55</v>
      </c>
      <c r="Q1162" s="17" t="s">
        <v>73</v>
      </c>
      <c r="R1162" s="17" t="s">
        <v>74</v>
      </c>
      <c r="S1162" s="17" t="s">
        <v>75</v>
      </c>
      <c r="T1162" s="17"/>
      <c r="U1162" s="17" t="s">
        <v>105</v>
      </c>
      <c r="V1162" s="17" t="s">
        <v>77</v>
      </c>
      <c r="W1162" s="17" t="s">
        <v>914</v>
      </c>
      <c r="X1162" s="17">
        <v>3</v>
      </c>
      <c r="Y1162" s="17">
        <v>0</v>
      </c>
      <c r="Z1162" s="17"/>
      <c r="AA1162" s="17" t="s">
        <v>73</v>
      </c>
      <c r="AB1162" s="17" t="s">
        <v>79</v>
      </c>
      <c r="AC1162" s="17">
        <v>3</v>
      </c>
      <c r="AD1162" s="17">
        <v>0</v>
      </c>
      <c r="AE1162" s="17">
        <v>0</v>
      </c>
      <c r="AF1162" s="17"/>
      <c r="AG1162" s="17" t="s">
        <v>81</v>
      </c>
      <c r="AH1162" s="17" t="s">
        <v>82</v>
      </c>
      <c r="AI1162" s="17" t="s">
        <v>107</v>
      </c>
      <c r="AJ1162" s="17"/>
      <c r="AK1162" s="17" t="s">
        <v>3565</v>
      </c>
      <c r="AL1162" s="17" t="s">
        <v>75</v>
      </c>
      <c r="AM1162" s="17" t="s">
        <v>75</v>
      </c>
      <c r="AN1162" s="17" t="s">
        <v>84</v>
      </c>
      <c r="AO1162" s="17" t="s">
        <v>75</v>
      </c>
      <c r="AP1162" s="17" t="s">
        <v>73</v>
      </c>
      <c r="AQ1162" s="17" t="s">
        <v>79</v>
      </c>
      <c r="AR1162" s="17">
        <v>4</v>
      </c>
      <c r="AS1162" s="17">
        <v>0</v>
      </c>
      <c r="AT1162" s="17" t="s">
        <v>3566</v>
      </c>
      <c r="AU1162" s="17" t="s">
        <v>111</v>
      </c>
    </row>
    <row r="1163" hidden="1">
      <c r="A1163" s="17">
        <v>1161</v>
      </c>
      <c r="B1163" s="17" t="s">
        <v>52</v>
      </c>
      <c r="C1163" s="34" t="s">
        <v>3567</v>
      </c>
      <c r="D1163" s="35" t="s">
        <v>52</v>
      </c>
      <c r="E1163" s="17" t="s">
        <v>3484</v>
      </c>
      <c r="F1163" s="17" t="s">
        <v>3568</v>
      </c>
      <c r="G1163" s="17">
        <v>22.194949999999999</v>
      </c>
      <c r="H1163" s="17">
        <v>87.390460000000004</v>
      </c>
      <c r="I1163" s="17"/>
      <c r="J1163" s="17"/>
      <c r="K1163" s="17"/>
      <c r="L1163" s="17"/>
      <c r="M1163" s="34" t="s">
        <v>2695</v>
      </c>
      <c r="N1163" s="17"/>
      <c r="O1163" s="17"/>
      <c r="P1163" s="17"/>
      <c r="Q1163" s="17"/>
      <c r="R1163" s="17"/>
      <c r="S1163" s="17"/>
      <c r="T1163" s="17"/>
      <c r="U1163" s="17"/>
      <c r="V1163" s="17"/>
      <c r="W1163" s="17"/>
      <c r="X1163" s="17"/>
      <c r="Y1163" s="17"/>
      <c r="Z1163" s="17"/>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row>
    <row r="1164" hidden="1">
      <c r="A1164" s="17">
        <v>1162</v>
      </c>
      <c r="B1164" s="17" t="s">
        <v>52</v>
      </c>
      <c r="C1164" s="34" t="s">
        <v>3569</v>
      </c>
      <c r="D1164" s="35" t="s">
        <v>52</v>
      </c>
      <c r="E1164" s="17" t="s">
        <v>3570</v>
      </c>
      <c r="F1164" s="17" t="s">
        <v>3571</v>
      </c>
      <c r="G1164" s="17">
        <v>22.154218</v>
      </c>
      <c r="H1164" s="17">
        <v>87.387186</v>
      </c>
      <c r="I1164" s="17"/>
      <c r="J1164" s="17"/>
      <c r="K1164" s="17"/>
      <c r="L1164" s="17"/>
      <c r="M1164" s="34" t="s">
        <v>2695</v>
      </c>
      <c r="N1164" s="17"/>
      <c r="O1164" s="17"/>
      <c r="P1164" s="17"/>
      <c r="Q1164" s="17"/>
      <c r="R1164" s="17"/>
      <c r="S1164" s="17"/>
      <c r="T1164" s="17"/>
      <c r="U1164" s="17"/>
      <c r="V1164" s="17"/>
      <c r="W1164" s="17"/>
      <c r="X1164" s="17"/>
      <c r="Y1164" s="17"/>
      <c r="Z1164" s="17"/>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row>
    <row r="1165" hidden="1">
      <c r="A1165" s="17">
        <v>1163</v>
      </c>
      <c r="B1165" s="17" t="s">
        <v>52</v>
      </c>
      <c r="C1165" s="34" t="s">
        <v>3572</v>
      </c>
      <c r="D1165" s="35" t="s">
        <v>52</v>
      </c>
      <c r="E1165" s="17" t="s">
        <v>3573</v>
      </c>
      <c r="F1165" s="17" t="s">
        <v>3574</v>
      </c>
      <c r="G1165" s="17">
        <v>22.156815999999999</v>
      </c>
      <c r="H1165" s="17">
        <v>87.437950000000001</v>
      </c>
      <c r="I1165" s="17"/>
      <c r="J1165" s="17"/>
      <c r="K1165" s="17"/>
      <c r="L1165" s="17"/>
      <c r="M1165" s="35" t="s">
        <v>2248</v>
      </c>
      <c r="N1165" s="17">
        <v>8100154683</v>
      </c>
      <c r="O1165" s="17">
        <v>18</v>
      </c>
      <c r="P1165" s="17">
        <v>150</v>
      </c>
      <c r="Q1165" s="17" t="s">
        <v>73</v>
      </c>
      <c r="R1165" s="17" t="s">
        <v>74</v>
      </c>
      <c r="S1165" s="17" t="s">
        <v>947</v>
      </c>
      <c r="T1165" s="17"/>
      <c r="U1165" s="17" t="s">
        <v>105</v>
      </c>
      <c r="V1165" s="17" t="s">
        <v>77</v>
      </c>
      <c r="W1165" s="17" t="s">
        <v>123</v>
      </c>
      <c r="X1165" s="17">
        <v>6</v>
      </c>
      <c r="Y1165" s="17">
        <v>1</v>
      </c>
      <c r="Z1165" s="17"/>
      <c r="AA1165" s="17" t="s">
        <v>73</v>
      </c>
      <c r="AB1165" s="17" t="s">
        <v>79</v>
      </c>
      <c r="AC1165" s="17">
        <v>4</v>
      </c>
      <c r="AD1165" s="17">
        <v>0</v>
      </c>
      <c r="AE1165" s="17">
        <v>0</v>
      </c>
      <c r="AF1165" s="17"/>
      <c r="AG1165" s="17" t="s">
        <v>81</v>
      </c>
      <c r="AH1165" s="17" t="s">
        <v>162</v>
      </c>
      <c r="AI1165" s="17" t="s">
        <v>107</v>
      </c>
      <c r="AJ1165" s="17" t="s">
        <v>539</v>
      </c>
      <c r="AK1165" s="17" t="s">
        <v>75</v>
      </c>
      <c r="AL1165" s="17" t="s">
        <v>75</v>
      </c>
      <c r="AM1165" s="17" t="s">
        <v>137</v>
      </c>
      <c r="AN1165" s="17" t="s">
        <v>84</v>
      </c>
      <c r="AO1165" s="17" t="s">
        <v>137</v>
      </c>
      <c r="AP1165" s="17"/>
      <c r="AQ1165" s="17"/>
      <c r="AR1165" s="17"/>
      <c r="AS1165" s="17"/>
      <c r="AT1165" s="17" t="s">
        <v>3575</v>
      </c>
      <c r="AU1165" s="17" t="s">
        <v>127</v>
      </c>
    </row>
    <row r="1166" hidden="1">
      <c r="A1166" s="17">
        <v>1164</v>
      </c>
      <c r="B1166" s="17" t="s">
        <v>52</v>
      </c>
      <c r="C1166" s="34" t="s">
        <v>3576</v>
      </c>
      <c r="D1166" s="35" t="s">
        <v>52</v>
      </c>
      <c r="E1166" s="17" t="s">
        <v>3577</v>
      </c>
      <c r="F1166" s="17" t="s">
        <v>3578</v>
      </c>
      <c r="G1166" s="17">
        <v>22.066255999999999</v>
      </c>
      <c r="H1166" s="17">
        <v>87.398657</v>
      </c>
      <c r="I1166" s="17"/>
      <c r="J1166" s="17"/>
      <c r="K1166" s="17"/>
      <c r="L1166" s="17"/>
      <c r="M1166" s="35" t="s">
        <v>2223</v>
      </c>
      <c r="N1166" s="36">
        <v>9734686678</v>
      </c>
      <c r="O1166" s="17">
        <v>23</v>
      </c>
      <c r="P1166" s="17">
        <v>45</v>
      </c>
      <c r="Q1166" s="17" t="s">
        <v>73</v>
      </c>
      <c r="R1166" s="17" t="s">
        <v>104</v>
      </c>
      <c r="S1166" s="17" t="s">
        <v>75</v>
      </c>
      <c r="T1166" s="17"/>
      <c r="U1166" s="17" t="s">
        <v>105</v>
      </c>
      <c r="V1166" s="17" t="s">
        <v>77</v>
      </c>
      <c r="W1166" s="17" t="s">
        <v>252</v>
      </c>
      <c r="X1166" s="17">
        <v>3</v>
      </c>
      <c r="Y1166" s="17">
        <v>0</v>
      </c>
      <c r="Z1166" s="17"/>
      <c r="AA1166" s="17" t="s">
        <v>73</v>
      </c>
      <c r="AB1166" s="17" t="s">
        <v>79</v>
      </c>
      <c r="AC1166" s="17">
        <v>3</v>
      </c>
      <c r="AD1166" s="17">
        <v>0</v>
      </c>
      <c r="AE1166" s="17">
        <v>1</v>
      </c>
      <c r="AF1166" s="17"/>
      <c r="AG1166" s="17" t="s">
        <v>81</v>
      </c>
      <c r="AH1166" s="17" t="s">
        <v>82</v>
      </c>
      <c r="AI1166" s="17" t="s">
        <v>107</v>
      </c>
      <c r="AJ1166" s="17"/>
      <c r="AK1166" s="17" t="s">
        <v>75</v>
      </c>
      <c r="AL1166" s="17" t="s">
        <v>75</v>
      </c>
      <c r="AM1166" s="17" t="s">
        <v>75</v>
      </c>
      <c r="AN1166" s="17" t="s">
        <v>84</v>
      </c>
      <c r="AO1166" s="17" t="s">
        <v>75</v>
      </c>
      <c r="AP1166" s="17"/>
      <c r="AQ1166" s="17"/>
      <c r="AR1166" s="17"/>
      <c r="AS1166" s="17"/>
      <c r="AT1166" s="17" t="s">
        <v>3299</v>
      </c>
      <c r="AU1166" s="17" t="s">
        <v>111</v>
      </c>
    </row>
    <row r="1167" hidden="1">
      <c r="A1167" s="17">
        <v>1165</v>
      </c>
      <c r="B1167" s="17" t="s">
        <v>52</v>
      </c>
      <c r="C1167" s="34" t="s">
        <v>3579</v>
      </c>
      <c r="D1167" s="35" t="s">
        <v>52</v>
      </c>
      <c r="E1167" s="17" t="s">
        <v>3580</v>
      </c>
      <c r="F1167" s="17" t="s">
        <v>3581</v>
      </c>
      <c r="G1167" s="17">
        <v>22.092084</v>
      </c>
      <c r="H1167" s="17">
        <v>87.398077999999998</v>
      </c>
      <c r="I1167" s="17"/>
      <c r="J1167" s="17"/>
      <c r="K1167" s="17"/>
      <c r="L1167" s="17"/>
      <c r="M1167" s="35" t="s">
        <v>2223</v>
      </c>
      <c r="N1167" s="36">
        <v>9734686678</v>
      </c>
      <c r="O1167" s="17">
        <v>20</v>
      </c>
      <c r="P1167" s="17">
        <v>100</v>
      </c>
      <c r="Q1167" s="17" t="s">
        <v>105</v>
      </c>
      <c r="R1167" s="17" t="s">
        <v>142</v>
      </c>
      <c r="S1167" s="17" t="s">
        <v>75</v>
      </c>
      <c r="T1167" s="17"/>
      <c r="U1167" s="17" t="s">
        <v>105</v>
      </c>
      <c r="V1167" s="17" t="s">
        <v>77</v>
      </c>
      <c r="W1167" s="17" t="s">
        <v>136</v>
      </c>
      <c r="X1167" s="17">
        <v>3</v>
      </c>
      <c r="Y1167" s="17">
        <v>0</v>
      </c>
      <c r="Z1167" s="17"/>
      <c r="AA1167" s="17" t="s">
        <v>105</v>
      </c>
      <c r="AB1167" s="17" t="s">
        <v>79</v>
      </c>
      <c r="AC1167" s="17">
        <v>6</v>
      </c>
      <c r="AD1167" s="17">
        <v>0</v>
      </c>
      <c r="AE1167" s="17">
        <v>0</v>
      </c>
      <c r="AF1167" s="17"/>
      <c r="AG1167" s="17" t="s">
        <v>81</v>
      </c>
      <c r="AH1167" s="17" t="s">
        <v>82</v>
      </c>
      <c r="AI1167" s="17" t="s">
        <v>107</v>
      </c>
      <c r="AJ1167" s="17"/>
      <c r="AK1167" s="17" t="s">
        <v>75</v>
      </c>
      <c r="AL1167" s="17" t="s">
        <v>137</v>
      </c>
      <c r="AM1167" s="17" t="s">
        <v>75</v>
      </c>
      <c r="AN1167" s="17" t="s">
        <v>84</v>
      </c>
      <c r="AO1167" s="17" t="s">
        <v>75</v>
      </c>
      <c r="AP1167" s="17"/>
      <c r="AQ1167" s="17"/>
      <c r="AR1167" s="17"/>
      <c r="AS1167" s="17"/>
      <c r="AT1167" s="17" t="s">
        <v>3582</v>
      </c>
      <c r="AU1167" s="17" t="s">
        <v>111</v>
      </c>
    </row>
    <row r="1168" hidden="1">
      <c r="A1168" s="17">
        <v>1166</v>
      </c>
      <c r="B1168" s="17" t="s">
        <v>52</v>
      </c>
      <c r="C1168" s="34" t="s">
        <v>3583</v>
      </c>
      <c r="D1168" s="35" t="s">
        <v>52</v>
      </c>
      <c r="E1168" s="17" t="s">
        <v>3584</v>
      </c>
      <c r="F1168" s="17" t="s">
        <v>3585</v>
      </c>
      <c r="G1168" s="17">
        <v>22.031586999999998</v>
      </c>
      <c r="H1168" s="17">
        <v>87.351917</v>
      </c>
      <c r="I1168" s="17"/>
      <c r="J1168" s="17"/>
      <c r="K1168" s="17"/>
      <c r="L1168" s="17"/>
      <c r="M1168" s="35" t="s">
        <v>2223</v>
      </c>
      <c r="N1168" s="36">
        <v>9734686678</v>
      </c>
      <c r="O1168" s="17">
        <v>22</v>
      </c>
      <c r="P1168" s="17">
        <v>35</v>
      </c>
      <c r="Q1168" s="17" t="s">
        <v>105</v>
      </c>
      <c r="R1168" s="17" t="s">
        <v>154</v>
      </c>
      <c r="S1168" s="17" t="s">
        <v>3586</v>
      </c>
      <c r="T1168" s="17" t="s">
        <v>584</v>
      </c>
      <c r="U1168" s="17" t="s">
        <v>105</v>
      </c>
      <c r="V1168" s="17" t="s">
        <v>77</v>
      </c>
      <c r="W1168" s="17" t="s">
        <v>1182</v>
      </c>
      <c r="X1168" s="17">
        <v>3</v>
      </c>
      <c r="Y1168" s="17">
        <v>2</v>
      </c>
      <c r="Z1168" s="17"/>
      <c r="AA1168" s="17" t="s">
        <v>105</v>
      </c>
      <c r="AB1168" s="17" t="s">
        <v>239</v>
      </c>
      <c r="AC1168" s="17">
        <v>2</v>
      </c>
      <c r="AD1168" s="17">
        <v>0</v>
      </c>
      <c r="AE1168" s="17">
        <v>0</v>
      </c>
      <c r="AF1168" s="17"/>
      <c r="AG1168" s="17" t="s">
        <v>81</v>
      </c>
      <c r="AH1168" s="17" t="s">
        <v>82</v>
      </c>
      <c r="AI1168" s="17" t="s">
        <v>107</v>
      </c>
      <c r="AJ1168" s="17"/>
      <c r="AK1168" s="17" t="s">
        <v>137</v>
      </c>
      <c r="AL1168" s="17" t="s">
        <v>75</v>
      </c>
      <c r="AM1168" s="17" t="s">
        <v>137</v>
      </c>
      <c r="AN1168" s="17" t="s">
        <v>84</v>
      </c>
      <c r="AO1168" s="17" t="s">
        <v>75</v>
      </c>
      <c r="AP1168" s="17"/>
      <c r="AQ1168" s="17"/>
      <c r="AR1168" s="17"/>
      <c r="AS1168" s="17"/>
      <c r="AT1168" s="17" t="s">
        <v>3587</v>
      </c>
      <c r="AU1168" s="17" t="s">
        <v>111</v>
      </c>
    </row>
    <row r="1169" hidden="1">
      <c r="A1169" s="17">
        <v>1167</v>
      </c>
      <c r="B1169" s="17" t="s">
        <v>52</v>
      </c>
      <c r="C1169" s="34" t="s">
        <v>3588</v>
      </c>
      <c r="D1169" s="35" t="s">
        <v>52</v>
      </c>
      <c r="E1169" s="17" t="s">
        <v>3589</v>
      </c>
      <c r="F1169" s="17" t="s">
        <v>3590</v>
      </c>
      <c r="G1169" s="17">
        <v>22.046164000000001</v>
      </c>
      <c r="H1169" s="17">
        <v>87.350122999999996</v>
      </c>
      <c r="I1169" s="17"/>
      <c r="J1169" s="17"/>
      <c r="K1169" s="17"/>
      <c r="L1169" s="17"/>
      <c r="M1169" s="35" t="s">
        <v>2223</v>
      </c>
      <c r="N1169" s="36">
        <v>9734686678</v>
      </c>
      <c r="O1169" s="17">
        <v>22</v>
      </c>
      <c r="P1169" s="17">
        <v>60</v>
      </c>
      <c r="Q1169" s="17" t="s">
        <v>73</v>
      </c>
      <c r="R1169" s="17" t="s">
        <v>74</v>
      </c>
      <c r="S1169" s="17" t="s">
        <v>75</v>
      </c>
      <c r="T1169" s="17"/>
      <c r="U1169" s="17" t="s">
        <v>105</v>
      </c>
      <c r="V1169" s="17" t="s">
        <v>77</v>
      </c>
      <c r="W1169" s="17" t="s">
        <v>143</v>
      </c>
      <c r="X1169" s="17">
        <v>3</v>
      </c>
      <c r="Y1169" s="17">
        <v>3</v>
      </c>
      <c r="Z1169" s="17"/>
      <c r="AA1169" s="17" t="s">
        <v>73</v>
      </c>
      <c r="AB1169" s="17" t="s">
        <v>79</v>
      </c>
      <c r="AC1169" s="17">
        <v>2</v>
      </c>
      <c r="AD1169" s="17">
        <v>0</v>
      </c>
      <c r="AE1169" s="17">
        <v>0</v>
      </c>
      <c r="AF1169" s="17"/>
      <c r="AG1169" s="17" t="s">
        <v>81</v>
      </c>
      <c r="AH1169" s="17" t="s">
        <v>82</v>
      </c>
      <c r="AI1169" s="17" t="s">
        <v>107</v>
      </c>
      <c r="AJ1169" s="17"/>
      <c r="AK1169" s="17" t="s">
        <v>75</v>
      </c>
      <c r="AL1169" s="17" t="s">
        <v>75</v>
      </c>
      <c r="AM1169" s="17" t="s">
        <v>75</v>
      </c>
      <c r="AN1169" s="17" t="s">
        <v>125</v>
      </c>
      <c r="AO1169" s="17" t="s">
        <v>137</v>
      </c>
      <c r="AP1169" s="17"/>
      <c r="AQ1169" s="17"/>
      <c r="AR1169" s="17"/>
      <c r="AS1169" s="17"/>
      <c r="AT1169" s="17" t="s">
        <v>3591</v>
      </c>
      <c r="AU1169" s="17" t="s">
        <v>111</v>
      </c>
      <c r="AV1169" t="s">
        <v>3592</v>
      </c>
    </row>
    <row r="1170" hidden="1">
      <c r="A1170" s="17">
        <v>1168</v>
      </c>
      <c r="B1170" s="17" t="s">
        <v>52</v>
      </c>
      <c r="C1170" s="34" t="s">
        <v>3593</v>
      </c>
      <c r="D1170" s="35" t="s">
        <v>52</v>
      </c>
      <c r="E1170" s="17" t="s">
        <v>3594</v>
      </c>
      <c r="F1170" s="17" t="s">
        <v>3595</v>
      </c>
      <c r="G1170" s="17">
        <v>22.201392999999999</v>
      </c>
      <c r="H1170" s="17">
        <v>87.342830000000006</v>
      </c>
      <c r="I1170" s="17"/>
      <c r="J1170" s="17"/>
      <c r="K1170" s="17"/>
      <c r="L1170" s="17"/>
      <c r="M1170" s="34" t="s">
        <v>2695</v>
      </c>
      <c r="N1170" s="17"/>
      <c r="O1170" s="17"/>
      <c r="P1170" s="17"/>
      <c r="Q1170" s="17"/>
      <c r="R1170" s="17"/>
      <c r="S1170" s="17"/>
      <c r="T1170" s="17"/>
      <c r="U1170" s="17"/>
      <c r="V1170" s="17"/>
      <c r="W1170" s="17"/>
      <c r="X1170" s="17"/>
      <c r="Y1170" s="17"/>
      <c r="Z1170" s="17"/>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row>
    <row r="1171" hidden="1">
      <c r="A1171" s="17">
        <v>1169</v>
      </c>
      <c r="B1171" s="17" t="s">
        <v>52</v>
      </c>
      <c r="C1171" s="34" t="s">
        <v>3596</v>
      </c>
      <c r="D1171" s="35" t="s">
        <v>52</v>
      </c>
      <c r="E1171" s="17" t="s">
        <v>3597</v>
      </c>
      <c r="F1171" s="17" t="s">
        <v>3598</v>
      </c>
      <c r="G1171" s="17">
        <v>22.015063999999999</v>
      </c>
      <c r="H1171" s="17">
        <v>87.339056999999997</v>
      </c>
      <c r="I1171" s="17"/>
      <c r="J1171" s="17"/>
      <c r="K1171" s="17"/>
      <c r="L1171" s="17"/>
      <c r="M1171" s="35" t="s">
        <v>2223</v>
      </c>
      <c r="N1171" s="36">
        <v>9734686678</v>
      </c>
      <c r="O1171" s="17">
        <v>18</v>
      </c>
      <c r="P1171" s="17">
        <v>65</v>
      </c>
      <c r="Q1171" s="17" t="s">
        <v>105</v>
      </c>
      <c r="R1171" s="17" t="s">
        <v>154</v>
      </c>
      <c r="S1171" s="17" t="s">
        <v>75</v>
      </c>
      <c r="T1171" s="17" t="s">
        <v>584</v>
      </c>
      <c r="U1171" s="17" t="s">
        <v>105</v>
      </c>
      <c r="V1171" s="17" t="s">
        <v>77</v>
      </c>
      <c r="W1171" s="17" t="s">
        <v>123</v>
      </c>
      <c r="X1171" s="17">
        <v>2</v>
      </c>
      <c r="Y1171" s="17">
        <v>0</v>
      </c>
      <c r="Z1171" s="17"/>
      <c r="AA1171" s="17" t="s">
        <v>105</v>
      </c>
      <c r="AB1171" s="17" t="s">
        <v>239</v>
      </c>
      <c r="AC1171" s="17">
        <v>1</v>
      </c>
      <c r="AD1171" s="17">
        <v>0</v>
      </c>
      <c r="AE1171" s="17">
        <v>0</v>
      </c>
      <c r="AF1171" s="17"/>
      <c r="AG1171" s="17" t="s">
        <v>81</v>
      </c>
      <c r="AH1171" s="17" t="s">
        <v>82</v>
      </c>
      <c r="AI1171" s="17" t="s">
        <v>107</v>
      </c>
      <c r="AJ1171" s="17"/>
      <c r="AK1171" s="17" t="s">
        <v>3599</v>
      </c>
      <c r="AL1171" s="17" t="s">
        <v>137</v>
      </c>
      <c r="AM1171" s="17" t="s">
        <v>137</v>
      </c>
      <c r="AN1171" s="17" t="s">
        <v>125</v>
      </c>
      <c r="AO1171" s="17" t="s">
        <v>137</v>
      </c>
      <c r="AP1171" s="17"/>
      <c r="AQ1171" s="17"/>
      <c r="AR1171" s="17"/>
      <c r="AS1171" s="17"/>
      <c r="AT1171" s="17" t="s">
        <v>1371</v>
      </c>
      <c r="AU1171" s="17" t="s">
        <v>111</v>
      </c>
    </row>
    <row r="1172" hidden="1">
      <c r="A1172" s="17">
        <v>1170</v>
      </c>
      <c r="B1172" s="17" t="s">
        <v>52</v>
      </c>
      <c r="C1172" s="34" t="s">
        <v>3600</v>
      </c>
      <c r="D1172" s="35" t="s">
        <v>52</v>
      </c>
      <c r="E1172" s="17" t="s">
        <v>3601</v>
      </c>
      <c r="F1172" s="17" t="s">
        <v>3602</v>
      </c>
      <c r="G1172" s="17">
        <v>22.153535000000002</v>
      </c>
      <c r="H1172" s="17">
        <v>87.314487999999997</v>
      </c>
      <c r="I1172" s="17"/>
      <c r="J1172" s="17"/>
      <c r="K1172" s="17"/>
      <c r="L1172" s="17"/>
      <c r="M1172" s="38" t="s">
        <v>2710</v>
      </c>
      <c r="N1172" s="17"/>
      <c r="O1172" s="17"/>
      <c r="P1172" s="17"/>
      <c r="Q1172" s="17"/>
      <c r="R1172" s="17"/>
      <c r="S1172" s="17"/>
      <c r="T1172" s="17"/>
      <c r="U1172" s="17"/>
      <c r="V1172" s="17"/>
      <c r="W1172" s="17"/>
      <c r="X1172" s="17"/>
      <c r="Y1172" s="17"/>
      <c r="Z1172" s="17"/>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row>
    <row r="1173" hidden="1">
      <c r="A1173" s="17">
        <v>1171</v>
      </c>
      <c r="B1173" s="17" t="s">
        <v>52</v>
      </c>
      <c r="C1173" s="34" t="s">
        <v>3603</v>
      </c>
      <c r="D1173" s="35" t="s">
        <v>52</v>
      </c>
      <c r="E1173" s="17" t="s">
        <v>3604</v>
      </c>
      <c r="F1173" s="17" t="s">
        <v>3605</v>
      </c>
      <c r="G1173" s="17">
        <v>22.218260000000001</v>
      </c>
      <c r="H1173" s="17">
        <v>87.408032000000006</v>
      </c>
      <c r="I1173" s="17"/>
      <c r="J1173" s="17"/>
      <c r="K1173" s="17"/>
      <c r="L1173" s="17"/>
      <c r="M1173" s="34" t="s">
        <v>2695</v>
      </c>
      <c r="N1173" s="17"/>
      <c r="O1173" s="17"/>
      <c r="P1173" s="17"/>
      <c r="Q1173" s="17"/>
      <c r="R1173" s="17"/>
      <c r="S1173" s="17"/>
      <c r="T1173" s="17"/>
      <c r="U1173" s="17"/>
      <c r="V1173" s="17"/>
      <c r="W1173" s="17"/>
      <c r="X1173" s="17"/>
      <c r="Y1173" s="17"/>
      <c r="Z1173" s="17"/>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row>
    <row r="1174" hidden="1">
      <c r="A1174" s="17">
        <v>1172</v>
      </c>
      <c r="B1174" s="17" t="s">
        <v>52</v>
      </c>
      <c r="C1174" s="34" t="s">
        <v>3606</v>
      </c>
      <c r="D1174" s="35" t="s">
        <v>52</v>
      </c>
      <c r="E1174" s="17" t="s">
        <v>3607</v>
      </c>
      <c r="F1174" s="17" t="s">
        <v>3608</v>
      </c>
      <c r="G1174" s="17">
        <v>22.020600000000002</v>
      </c>
      <c r="H1174" s="17">
        <v>87.400747999999993</v>
      </c>
      <c r="I1174" s="17"/>
      <c r="J1174" s="17"/>
      <c r="K1174" s="17"/>
      <c r="L1174" s="17"/>
      <c r="M1174" s="35" t="s">
        <v>2223</v>
      </c>
      <c r="N1174" s="36">
        <v>9734686678</v>
      </c>
      <c r="O1174" s="17">
        <v>20</v>
      </c>
      <c r="P1174" s="17">
        <v>80</v>
      </c>
      <c r="Q1174" s="17" t="s">
        <v>73</v>
      </c>
      <c r="R1174" s="17" t="s">
        <v>74</v>
      </c>
      <c r="S1174" s="17" t="s">
        <v>137</v>
      </c>
      <c r="T1174" s="17" t="s">
        <v>947</v>
      </c>
      <c r="U1174" s="17" t="s">
        <v>105</v>
      </c>
      <c r="V1174" s="17" t="s">
        <v>77</v>
      </c>
      <c r="W1174" s="17" t="s">
        <v>136</v>
      </c>
      <c r="X1174" s="17">
        <v>4</v>
      </c>
      <c r="Y1174" s="17">
        <v>1</v>
      </c>
      <c r="Z1174" s="17"/>
      <c r="AA1174" s="17" t="s">
        <v>73</v>
      </c>
      <c r="AB1174" s="17" t="s">
        <v>79</v>
      </c>
      <c r="AC1174" s="17">
        <v>3</v>
      </c>
      <c r="AD1174" s="17">
        <v>0</v>
      </c>
      <c r="AE1174" s="17">
        <v>0</v>
      </c>
      <c r="AF1174" s="17"/>
      <c r="AG1174" s="17" t="s">
        <v>124</v>
      </c>
      <c r="AH1174" s="17" t="s">
        <v>82</v>
      </c>
      <c r="AI1174" s="17" t="s">
        <v>83</v>
      </c>
      <c r="AJ1174" s="17">
        <v>2111</v>
      </c>
      <c r="AK1174" s="17" t="s">
        <v>75</v>
      </c>
      <c r="AL1174" s="17" t="s">
        <v>75</v>
      </c>
      <c r="AM1174" s="17" t="s">
        <v>75</v>
      </c>
      <c r="AN1174" s="17" t="s">
        <v>84</v>
      </c>
      <c r="AO1174" s="17" t="s">
        <v>75</v>
      </c>
      <c r="AP1174" s="17"/>
      <c r="AQ1174" s="17"/>
      <c r="AR1174" s="17"/>
      <c r="AS1174" s="17"/>
      <c r="AT1174" s="17"/>
      <c r="AU1174" s="17" t="s">
        <v>111</v>
      </c>
    </row>
    <row r="1175" hidden="1">
      <c r="A1175" s="17">
        <v>1173</v>
      </c>
      <c r="B1175" s="17" t="s">
        <v>52</v>
      </c>
      <c r="C1175" s="34" t="s">
        <v>3609</v>
      </c>
      <c r="D1175" s="35" t="s">
        <v>52</v>
      </c>
      <c r="E1175" s="17" t="s">
        <v>3610</v>
      </c>
      <c r="F1175" s="17" t="s">
        <v>3611</v>
      </c>
      <c r="G1175" s="17">
        <v>22.032945999999999</v>
      </c>
      <c r="H1175" s="17">
        <v>87.293115</v>
      </c>
      <c r="I1175" s="17"/>
      <c r="J1175" s="17"/>
      <c r="K1175" s="17"/>
      <c r="L1175" s="17"/>
      <c r="M1175" s="35" t="s">
        <v>2223</v>
      </c>
      <c r="N1175" s="36">
        <v>9734686678</v>
      </c>
      <c r="O1175" s="17">
        <v>22</v>
      </c>
      <c r="P1175" s="17">
        <v>70</v>
      </c>
      <c r="Q1175" s="17" t="s">
        <v>73</v>
      </c>
      <c r="R1175" s="17" t="s">
        <v>74</v>
      </c>
      <c r="S1175" s="17" t="s">
        <v>75</v>
      </c>
      <c r="T1175" s="17"/>
      <c r="U1175" s="17" t="s">
        <v>2285</v>
      </c>
      <c r="V1175" s="17" t="s">
        <v>77</v>
      </c>
      <c r="W1175" s="17" t="s">
        <v>454</v>
      </c>
      <c r="X1175" s="17">
        <v>3</v>
      </c>
      <c r="Y1175" s="17">
        <v>1</v>
      </c>
      <c r="Z1175" s="17"/>
      <c r="AA1175" s="17" t="s">
        <v>73</v>
      </c>
      <c r="AB1175" s="17" t="s">
        <v>79</v>
      </c>
      <c r="AC1175" s="17">
        <v>3</v>
      </c>
      <c r="AD1175" s="17">
        <v>0</v>
      </c>
      <c r="AE1175" s="17">
        <v>0</v>
      </c>
      <c r="AF1175" s="17"/>
      <c r="AG1175" s="17" t="s">
        <v>81</v>
      </c>
      <c r="AH1175" s="17" t="s">
        <v>82</v>
      </c>
      <c r="AI1175" s="17" t="s">
        <v>107</v>
      </c>
      <c r="AJ1175" s="17"/>
      <c r="AK1175" s="17" t="s">
        <v>3612</v>
      </c>
      <c r="AL1175" s="17" t="s">
        <v>75</v>
      </c>
      <c r="AM1175" s="17" t="s">
        <v>75</v>
      </c>
      <c r="AN1175" s="17" t="s">
        <v>125</v>
      </c>
      <c r="AO1175" s="17" t="s">
        <v>75</v>
      </c>
      <c r="AP1175" s="17"/>
      <c r="AQ1175" s="17"/>
      <c r="AR1175" s="17"/>
      <c r="AS1175" s="17"/>
      <c r="AT1175" s="17"/>
      <c r="AU1175" s="17" t="s">
        <v>111</v>
      </c>
    </row>
    <row r="1176" hidden="1">
      <c r="A1176" s="17">
        <v>1174</v>
      </c>
      <c r="B1176" s="17" t="s">
        <v>52</v>
      </c>
      <c r="C1176" s="34" t="s">
        <v>3613</v>
      </c>
      <c r="D1176" s="35" t="s">
        <v>52</v>
      </c>
      <c r="E1176" s="17" t="s">
        <v>3614</v>
      </c>
      <c r="F1176" s="17" t="s">
        <v>3615</v>
      </c>
      <c r="G1176" s="17">
        <v>22.127576000000001</v>
      </c>
      <c r="H1176" s="17">
        <v>87.421592000000004</v>
      </c>
      <c r="I1176" s="17"/>
      <c r="J1176" s="17"/>
      <c r="K1176" s="17"/>
      <c r="L1176" s="17"/>
      <c r="M1176" s="35" t="s">
        <v>2695</v>
      </c>
      <c r="N1176" s="17"/>
      <c r="O1176" s="17"/>
      <c r="P1176" s="17"/>
      <c r="Q1176" s="17"/>
      <c r="R1176" s="17"/>
      <c r="S1176" s="17"/>
      <c r="T1176" s="17"/>
      <c r="U1176" s="17"/>
      <c r="V1176" s="17"/>
      <c r="W1176" s="17"/>
      <c r="X1176" s="17"/>
      <c r="Y1176" s="17"/>
      <c r="Z1176" s="17"/>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row>
    <row r="1177" hidden="1">
      <c r="A1177" s="17">
        <v>1175</v>
      </c>
      <c r="B1177" s="17" t="s">
        <v>52</v>
      </c>
      <c r="C1177" s="34" t="s">
        <v>3616</v>
      </c>
      <c r="D1177" s="35" t="s">
        <v>52</v>
      </c>
      <c r="E1177" s="17" t="s">
        <v>3617</v>
      </c>
      <c r="F1177" s="17" t="s">
        <v>3618</v>
      </c>
      <c r="G1177" s="17">
        <v>22.082892999999999</v>
      </c>
      <c r="H1177" s="17">
        <v>87.419634000000002</v>
      </c>
      <c r="I1177" s="17"/>
      <c r="J1177" s="17"/>
      <c r="K1177" s="17"/>
      <c r="L1177" s="17"/>
      <c r="M1177" s="35" t="s">
        <v>2223</v>
      </c>
      <c r="N1177" s="36">
        <v>9734686678</v>
      </c>
      <c r="O1177" s="17">
        <v>20</v>
      </c>
      <c r="P1177" s="17">
        <v>40</v>
      </c>
      <c r="Q1177" s="17" t="s">
        <v>73</v>
      </c>
      <c r="R1177" s="17" t="s">
        <v>74</v>
      </c>
      <c r="S1177" s="17" t="s">
        <v>75</v>
      </c>
      <c r="T1177" s="17"/>
      <c r="U1177" s="17" t="s">
        <v>160</v>
      </c>
      <c r="V1177" s="17" t="s">
        <v>77</v>
      </c>
      <c r="W1177" s="17" t="s">
        <v>330</v>
      </c>
      <c r="X1177" s="17">
        <v>3</v>
      </c>
      <c r="Y1177" s="17">
        <v>0</v>
      </c>
      <c r="Z1177" s="17"/>
      <c r="AA1177" s="17"/>
      <c r="AB1177" s="17"/>
      <c r="AC1177" s="17">
        <v>2</v>
      </c>
      <c r="AD1177" s="17">
        <v>0</v>
      </c>
      <c r="AE1177" s="17">
        <v>1</v>
      </c>
      <c r="AF1177" s="17"/>
      <c r="AG1177" s="17" t="s">
        <v>81</v>
      </c>
      <c r="AH1177" s="17" t="s">
        <v>82</v>
      </c>
      <c r="AI1177" s="17" t="s">
        <v>107</v>
      </c>
      <c r="AJ1177" s="17"/>
      <c r="AK1177" s="17" t="s">
        <v>75</v>
      </c>
      <c r="AL1177" s="17" t="s">
        <v>75</v>
      </c>
      <c r="AM1177" s="17" t="s">
        <v>75</v>
      </c>
      <c r="AN1177" s="17" t="s">
        <v>125</v>
      </c>
      <c r="AO1177" s="17" t="s">
        <v>75</v>
      </c>
      <c r="AP1177" s="17"/>
      <c r="AQ1177" s="17"/>
      <c r="AR1177" s="17"/>
      <c r="AS1177" s="17"/>
      <c r="AT1177" s="17" t="s">
        <v>3619</v>
      </c>
      <c r="AU1177" s="17" t="s">
        <v>111</v>
      </c>
    </row>
    <row r="1178" hidden="1">
      <c r="A1178" s="17">
        <v>1176</v>
      </c>
      <c r="B1178" s="17" t="s">
        <v>52</v>
      </c>
      <c r="C1178" s="34" t="s">
        <v>3620</v>
      </c>
      <c r="D1178" s="35" t="s">
        <v>52</v>
      </c>
      <c r="E1178" s="17" t="s">
        <v>3621</v>
      </c>
      <c r="F1178" s="17" t="s">
        <v>3622</v>
      </c>
      <c r="G1178" s="17">
        <v>22.10125</v>
      </c>
      <c r="H1178" s="17">
        <v>87.451920000000001</v>
      </c>
      <c r="I1178" s="17"/>
      <c r="J1178" s="17"/>
      <c r="K1178" s="17"/>
      <c r="L1178" s="17"/>
      <c r="M1178" s="35" t="s">
        <v>2223</v>
      </c>
      <c r="N1178" s="36">
        <v>9734686678</v>
      </c>
      <c r="O1178" s="17">
        <v>22</v>
      </c>
      <c r="P1178" s="17">
        <v>100</v>
      </c>
      <c r="Q1178" s="17" t="s">
        <v>73</v>
      </c>
      <c r="R1178" s="17" t="s">
        <v>104</v>
      </c>
      <c r="S1178" s="17" t="s">
        <v>75</v>
      </c>
      <c r="T1178" s="17"/>
      <c r="U1178" s="17" t="s">
        <v>76</v>
      </c>
      <c r="V1178" s="17" t="s">
        <v>77</v>
      </c>
      <c r="W1178" s="17" t="s">
        <v>252</v>
      </c>
      <c r="X1178" s="17">
        <v>4</v>
      </c>
      <c r="Y1178" s="17">
        <v>0</v>
      </c>
      <c r="Z1178" s="17"/>
      <c r="AA1178" s="17" t="s">
        <v>73</v>
      </c>
      <c r="AB1178" s="17" t="s">
        <v>79</v>
      </c>
      <c r="AC1178" s="17">
        <v>3</v>
      </c>
      <c r="AD1178" s="17">
        <v>0</v>
      </c>
      <c r="AE1178" s="17">
        <v>1</v>
      </c>
      <c r="AF1178" s="17"/>
      <c r="AG1178" s="17" t="s">
        <v>124</v>
      </c>
      <c r="AH1178" s="17" t="s">
        <v>82</v>
      </c>
      <c r="AI1178" s="17" t="s">
        <v>83</v>
      </c>
      <c r="AJ1178" s="17">
        <v>2111</v>
      </c>
      <c r="AK1178" s="17" t="s">
        <v>75</v>
      </c>
      <c r="AL1178" s="17" t="s">
        <v>75</v>
      </c>
      <c r="AM1178" s="17" t="s">
        <v>163</v>
      </c>
      <c r="AN1178" s="17" t="s">
        <v>84</v>
      </c>
      <c r="AO1178" s="17" t="s">
        <v>137</v>
      </c>
      <c r="AP1178" s="17"/>
      <c r="AQ1178" s="17"/>
      <c r="AR1178" s="17"/>
      <c r="AS1178" s="17"/>
      <c r="AT1178" s="17" t="s">
        <v>3623</v>
      </c>
      <c r="AU1178" s="17" t="s">
        <v>111</v>
      </c>
    </row>
    <row r="1179" hidden="1">
      <c r="A1179" s="17">
        <v>1177</v>
      </c>
      <c r="B1179" s="17" t="s">
        <v>52</v>
      </c>
      <c r="C1179" s="34" t="s">
        <v>3624</v>
      </c>
      <c r="D1179" s="35" t="s">
        <v>52</v>
      </c>
      <c r="E1179" s="17" t="s">
        <v>3625</v>
      </c>
      <c r="F1179" s="17" t="s">
        <v>3626</v>
      </c>
      <c r="G1179" s="17">
        <v>22.034189000000001</v>
      </c>
      <c r="H1179" s="17">
        <v>87.451492999999999</v>
      </c>
      <c r="I1179" s="17"/>
      <c r="J1179" s="17"/>
      <c r="K1179" s="17"/>
      <c r="L1179" s="17"/>
      <c r="M1179" s="35" t="s">
        <v>2223</v>
      </c>
      <c r="N1179" s="36">
        <v>9734686678</v>
      </c>
      <c r="O1179" s="17">
        <v>21</v>
      </c>
      <c r="P1179" s="17">
        <v>75</v>
      </c>
      <c r="Q1179" s="17" t="s">
        <v>73</v>
      </c>
      <c r="R1179" s="17" t="s">
        <v>74</v>
      </c>
      <c r="S1179" s="17" t="s">
        <v>75</v>
      </c>
      <c r="T1179" s="17"/>
      <c r="U1179" s="17" t="s">
        <v>160</v>
      </c>
      <c r="V1179" s="17" t="s">
        <v>77</v>
      </c>
      <c r="W1179" s="17" t="s">
        <v>123</v>
      </c>
      <c r="X1179" s="17">
        <v>2</v>
      </c>
      <c r="Y1179" s="17">
        <v>0</v>
      </c>
      <c r="Z1179" s="17"/>
      <c r="AA1179" s="17" t="s">
        <v>73</v>
      </c>
      <c r="AB1179" s="17" t="s">
        <v>79</v>
      </c>
      <c r="AC1179" s="17">
        <v>3</v>
      </c>
      <c r="AD1179" s="17">
        <v>0</v>
      </c>
      <c r="AE1179" s="17">
        <v>0</v>
      </c>
      <c r="AF1179" s="17"/>
      <c r="AG1179" s="17" t="s">
        <v>124</v>
      </c>
      <c r="AH1179" s="17" t="s">
        <v>82</v>
      </c>
      <c r="AI1179" s="17" t="s">
        <v>83</v>
      </c>
      <c r="AJ1179" s="17">
        <v>2111</v>
      </c>
      <c r="AK1179" s="17" t="s">
        <v>75</v>
      </c>
      <c r="AL1179" s="17" t="s">
        <v>75</v>
      </c>
      <c r="AM1179" s="17" t="s">
        <v>75</v>
      </c>
      <c r="AN1179" s="17" t="s">
        <v>84</v>
      </c>
      <c r="AO1179" s="17" t="s">
        <v>75</v>
      </c>
      <c r="AP1179" s="17"/>
      <c r="AQ1179" s="17"/>
      <c r="AR1179" s="17"/>
      <c r="AS1179" s="17"/>
      <c r="AT1179" s="17" t="s">
        <v>3627</v>
      </c>
      <c r="AU1179" s="17" t="s">
        <v>111</v>
      </c>
    </row>
    <row r="1180" hidden="1">
      <c r="A1180" s="17">
        <v>1178</v>
      </c>
      <c r="B1180" s="17" t="s">
        <v>52</v>
      </c>
      <c r="C1180" s="34" t="s">
        <v>3628</v>
      </c>
      <c r="D1180" s="35" t="s">
        <v>52</v>
      </c>
      <c r="E1180" s="17" t="s">
        <v>3629</v>
      </c>
      <c r="F1180" s="17" t="s">
        <v>3630</v>
      </c>
      <c r="G1180" s="17">
        <v>22.229555999999999</v>
      </c>
      <c r="H1180" s="17">
        <v>87.454195999999996</v>
      </c>
      <c r="I1180" s="17"/>
      <c r="J1180" s="17"/>
      <c r="K1180" s="17"/>
      <c r="L1180" s="17"/>
      <c r="M1180" s="34" t="s">
        <v>2695</v>
      </c>
      <c r="N1180" s="17"/>
      <c r="O1180" s="17"/>
      <c r="P1180" s="17"/>
      <c r="Q1180" s="17"/>
      <c r="R1180" s="17"/>
      <c r="S1180" s="17"/>
      <c r="T1180" s="17"/>
      <c r="U1180" s="17"/>
      <c r="V1180" s="17"/>
      <c r="W1180" s="17"/>
      <c r="X1180" s="17"/>
      <c r="Y1180" s="17"/>
      <c r="Z1180" s="17"/>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row>
    <row r="1181" hidden="1">
      <c r="A1181" s="17">
        <v>1179</v>
      </c>
      <c r="B1181" s="17" t="s">
        <v>52</v>
      </c>
      <c r="C1181" s="34" t="s">
        <v>3631</v>
      </c>
      <c r="D1181" s="35" t="s">
        <v>52</v>
      </c>
      <c r="E1181" s="17" t="s">
        <v>3632</v>
      </c>
      <c r="F1181" s="17" t="s">
        <v>3633</v>
      </c>
      <c r="G1181" s="17">
        <v>22.133382000000001</v>
      </c>
      <c r="H1181" s="17">
        <v>87.483902</v>
      </c>
      <c r="I1181" s="17"/>
      <c r="J1181" s="17"/>
      <c r="K1181" s="17"/>
      <c r="L1181" s="17"/>
      <c r="M1181" s="35" t="s">
        <v>2248</v>
      </c>
      <c r="N1181" s="17">
        <v>8100154683</v>
      </c>
      <c r="O1181" s="17">
        <v>20</v>
      </c>
      <c r="P1181" s="17">
        <v>100</v>
      </c>
      <c r="Q1181" s="17" t="s">
        <v>73</v>
      </c>
      <c r="R1181" s="17" t="s">
        <v>74</v>
      </c>
      <c r="S1181" s="17" t="s">
        <v>75</v>
      </c>
      <c r="T1181" s="17"/>
      <c r="U1181" s="17" t="s">
        <v>160</v>
      </c>
      <c r="V1181" s="17" t="s">
        <v>77</v>
      </c>
      <c r="W1181" s="17" t="s">
        <v>123</v>
      </c>
      <c r="X1181" s="17">
        <v>4</v>
      </c>
      <c r="Y1181" s="17">
        <v>0</v>
      </c>
      <c r="Z1181" s="17"/>
      <c r="AA1181" s="17" t="s">
        <v>73</v>
      </c>
      <c r="AB1181" s="17" t="s">
        <v>79</v>
      </c>
      <c r="AC1181" s="17">
        <v>3</v>
      </c>
      <c r="AD1181" s="17">
        <v>0</v>
      </c>
      <c r="AE1181" s="17">
        <v>0</v>
      </c>
      <c r="AF1181" s="17"/>
      <c r="AG1181" s="17" t="s">
        <v>81</v>
      </c>
      <c r="AH1181" s="17" t="s">
        <v>82</v>
      </c>
      <c r="AI1181" s="17" t="s">
        <v>107</v>
      </c>
      <c r="AJ1181" s="17" t="s">
        <v>534</v>
      </c>
      <c r="AK1181" s="17" t="s">
        <v>75</v>
      </c>
      <c r="AL1181" s="17" t="s">
        <v>75</v>
      </c>
      <c r="AM1181" s="17" t="s">
        <v>75</v>
      </c>
      <c r="AN1181" s="17" t="s">
        <v>125</v>
      </c>
      <c r="AO1181" s="17" t="s">
        <v>75</v>
      </c>
      <c r="AP1181" s="17"/>
      <c r="AQ1181" s="17"/>
      <c r="AR1181" s="17"/>
      <c r="AS1181" s="17"/>
      <c r="AT1181" s="17" t="s">
        <v>585</v>
      </c>
      <c r="AU1181" s="17" t="s">
        <v>127</v>
      </c>
    </row>
    <row r="1182" hidden="1">
      <c r="A1182" s="17">
        <v>1180</v>
      </c>
      <c r="B1182" s="17" t="s">
        <v>52</v>
      </c>
      <c r="C1182" s="34" t="s">
        <v>3634</v>
      </c>
      <c r="D1182" s="35" t="s">
        <v>52</v>
      </c>
      <c r="E1182" s="17" t="s">
        <v>3635</v>
      </c>
      <c r="F1182" s="17" t="s">
        <v>3636</v>
      </c>
      <c r="G1182" s="17">
        <v>22.220659999999999</v>
      </c>
      <c r="H1182" s="17">
        <v>87.494479999999996</v>
      </c>
      <c r="I1182" s="17"/>
      <c r="J1182" s="17"/>
      <c r="K1182" s="17"/>
      <c r="L1182" s="17"/>
      <c r="M1182" s="35" t="s">
        <v>2248</v>
      </c>
      <c r="N1182" s="17">
        <v>8100154683</v>
      </c>
      <c r="O1182" s="17">
        <v>18</v>
      </c>
      <c r="P1182" s="17">
        <v>100</v>
      </c>
      <c r="Q1182" s="17" t="s">
        <v>73</v>
      </c>
      <c r="R1182" s="17" t="s">
        <v>104</v>
      </c>
      <c r="S1182" s="17" t="s">
        <v>3637</v>
      </c>
      <c r="T1182" s="17"/>
      <c r="U1182" s="17" t="s">
        <v>160</v>
      </c>
      <c r="V1182" s="17" t="s">
        <v>77</v>
      </c>
      <c r="W1182" s="17" t="s">
        <v>914</v>
      </c>
      <c r="X1182" s="17">
        <v>3</v>
      </c>
      <c r="Y1182" s="17">
        <v>0</v>
      </c>
      <c r="Z1182" s="17"/>
      <c r="AA1182" s="17" t="s">
        <v>73</v>
      </c>
      <c r="AB1182" s="17" t="s">
        <v>79</v>
      </c>
      <c r="AC1182" s="17">
        <v>2</v>
      </c>
      <c r="AD1182" s="17">
        <v>0</v>
      </c>
      <c r="AE1182" s="17">
        <v>0</v>
      </c>
      <c r="AF1182" s="17"/>
      <c r="AG1182" s="17" t="s">
        <v>124</v>
      </c>
      <c r="AH1182" s="17" t="s">
        <v>82</v>
      </c>
      <c r="AI1182" s="17" t="s">
        <v>83</v>
      </c>
      <c r="AJ1182" s="17" t="s">
        <v>534</v>
      </c>
      <c r="AK1182" s="17" t="s">
        <v>75</v>
      </c>
      <c r="AL1182" s="17" t="s">
        <v>75</v>
      </c>
      <c r="AM1182" s="17" t="s">
        <v>75</v>
      </c>
      <c r="AN1182" s="17" t="s">
        <v>84</v>
      </c>
      <c r="AO1182" s="17" t="s">
        <v>75</v>
      </c>
      <c r="AP1182" s="17"/>
      <c r="AQ1182" s="17"/>
      <c r="AR1182" s="17"/>
      <c r="AS1182" s="17"/>
      <c r="AT1182" s="17" t="s">
        <v>3638</v>
      </c>
      <c r="AU1182" s="17" t="s">
        <v>127</v>
      </c>
    </row>
    <row r="1183" hidden="1">
      <c r="A1183" s="17">
        <v>1181</v>
      </c>
      <c r="B1183" s="17" t="s">
        <v>52</v>
      </c>
      <c r="C1183" s="34" t="s">
        <v>3639</v>
      </c>
      <c r="D1183" s="35" t="s">
        <v>52</v>
      </c>
      <c r="E1183" s="17" t="s">
        <v>3640</v>
      </c>
      <c r="F1183" s="17" t="s">
        <v>3641</v>
      </c>
      <c r="G1183" s="17">
        <v>22.104600000000001</v>
      </c>
      <c r="H1183" s="17">
        <v>87.334800000000001</v>
      </c>
      <c r="I1183" s="17"/>
      <c r="J1183" s="17"/>
      <c r="K1183" s="17"/>
      <c r="L1183" s="17"/>
      <c r="M1183" s="35" t="s">
        <v>2223</v>
      </c>
      <c r="N1183" s="36">
        <v>9734686678</v>
      </c>
      <c r="O1183" s="17">
        <v>21</v>
      </c>
      <c r="P1183" s="17">
        <v>40</v>
      </c>
      <c r="Q1183" s="17" t="s">
        <v>187</v>
      </c>
      <c r="R1183" s="17" t="s">
        <v>74</v>
      </c>
      <c r="S1183" s="17" t="s">
        <v>75</v>
      </c>
      <c r="T1183" s="17"/>
      <c r="U1183" s="17" t="s">
        <v>105</v>
      </c>
      <c r="V1183" s="17" t="s">
        <v>77</v>
      </c>
      <c r="W1183" s="17" t="s">
        <v>151</v>
      </c>
      <c r="X1183" s="17">
        <v>3</v>
      </c>
      <c r="Y1183" s="17">
        <v>0</v>
      </c>
      <c r="Z1183" s="17"/>
      <c r="AA1183" s="17" t="s">
        <v>187</v>
      </c>
      <c r="AB1183" s="17" t="s">
        <v>79</v>
      </c>
      <c r="AC1183" s="17">
        <v>5</v>
      </c>
      <c r="AD1183" s="17">
        <v>0</v>
      </c>
      <c r="AE1183" s="17">
        <v>0</v>
      </c>
      <c r="AF1183" s="17"/>
      <c r="AG1183" s="17" t="s">
        <v>124</v>
      </c>
      <c r="AH1183" s="17" t="s">
        <v>82</v>
      </c>
      <c r="AI1183" s="17" t="s">
        <v>83</v>
      </c>
      <c r="AJ1183" s="17">
        <v>2111</v>
      </c>
      <c r="AK1183" s="17" t="s">
        <v>75</v>
      </c>
      <c r="AL1183" s="17" t="s">
        <v>75</v>
      </c>
      <c r="AM1183" s="17" t="s">
        <v>75</v>
      </c>
      <c r="AN1183" s="17" t="s">
        <v>84</v>
      </c>
      <c r="AO1183" s="17" t="s">
        <v>75</v>
      </c>
      <c r="AP1183" s="17"/>
      <c r="AQ1183" s="17"/>
      <c r="AR1183" s="17"/>
      <c r="AS1183" s="17"/>
      <c r="AT1183" s="17" t="s">
        <v>3642</v>
      </c>
      <c r="AU1183" s="17" t="s">
        <v>111</v>
      </c>
    </row>
    <row r="1184" hidden="1">
      <c r="A1184" s="17">
        <v>1182</v>
      </c>
      <c r="B1184" s="17" t="s">
        <v>52</v>
      </c>
      <c r="C1184" s="34" t="s">
        <v>3643</v>
      </c>
      <c r="D1184" s="35" t="s">
        <v>52</v>
      </c>
      <c r="E1184" s="17" t="s">
        <v>3644</v>
      </c>
      <c r="F1184" s="17" t="s">
        <v>3645</v>
      </c>
      <c r="G1184" s="17">
        <v>22.122350000000001</v>
      </c>
      <c r="H1184" s="17">
        <v>87.3643</v>
      </c>
      <c r="I1184" s="17"/>
      <c r="J1184" s="17"/>
      <c r="K1184" s="17"/>
      <c r="L1184" s="17"/>
      <c r="M1184" s="35" t="s">
        <v>2223</v>
      </c>
      <c r="N1184" s="36">
        <v>9734686678</v>
      </c>
      <c r="O1184" s="17">
        <v>22</v>
      </c>
      <c r="P1184" s="17">
        <v>80</v>
      </c>
      <c r="Q1184" s="17" t="s">
        <v>73</v>
      </c>
      <c r="R1184" s="17" t="s">
        <v>74</v>
      </c>
      <c r="S1184" s="17" t="s">
        <v>75</v>
      </c>
      <c r="T1184" s="17"/>
      <c r="U1184" s="17" t="s">
        <v>160</v>
      </c>
      <c r="V1184" s="17" t="s">
        <v>77</v>
      </c>
      <c r="W1184" s="17" t="s">
        <v>330</v>
      </c>
      <c r="X1184" s="17">
        <v>4</v>
      </c>
      <c r="Y1184" s="17">
        <v>0</v>
      </c>
      <c r="Z1184" s="17"/>
      <c r="AA1184" s="17" t="s">
        <v>73</v>
      </c>
      <c r="AB1184" s="17" t="s">
        <v>79</v>
      </c>
      <c r="AC1184" s="17">
        <v>2</v>
      </c>
      <c r="AD1184" s="17">
        <v>0</v>
      </c>
      <c r="AE1184" s="17">
        <v>0</v>
      </c>
      <c r="AF1184" s="17"/>
      <c r="AG1184" s="17" t="s">
        <v>124</v>
      </c>
      <c r="AH1184" s="17" t="s">
        <v>82</v>
      </c>
      <c r="AI1184" s="17" t="s">
        <v>83</v>
      </c>
      <c r="AJ1184" s="17">
        <v>2111</v>
      </c>
      <c r="AK1184" s="17" t="s">
        <v>75</v>
      </c>
      <c r="AL1184" s="17" t="s">
        <v>75</v>
      </c>
      <c r="AM1184" s="17" t="s">
        <v>75</v>
      </c>
      <c r="AN1184" s="17" t="s">
        <v>125</v>
      </c>
      <c r="AO1184" s="17" t="s">
        <v>75</v>
      </c>
      <c r="AP1184" s="17"/>
      <c r="AQ1184" s="17"/>
      <c r="AR1184" s="17"/>
      <c r="AS1184" s="17"/>
      <c r="AT1184" s="17" t="s">
        <v>3642</v>
      </c>
      <c r="AU1184" s="17" t="s">
        <v>111</v>
      </c>
    </row>
    <row r="1185" hidden="1">
      <c r="A1185" s="17">
        <v>1183</v>
      </c>
      <c r="B1185" s="17" t="s">
        <v>52</v>
      </c>
      <c r="C1185" s="34" t="s">
        <v>3646</v>
      </c>
      <c r="D1185" s="35" t="s">
        <v>52</v>
      </c>
      <c r="E1185" s="17" t="s">
        <v>3647</v>
      </c>
      <c r="F1185" s="17" t="s">
        <v>3648</v>
      </c>
      <c r="G1185" s="17">
        <v>22.135912999999999</v>
      </c>
      <c r="H1185" s="17">
        <v>87.342557999999997</v>
      </c>
      <c r="I1185" s="17"/>
      <c r="J1185" s="17"/>
      <c r="K1185" s="17"/>
      <c r="L1185" s="17"/>
      <c r="M1185" s="35" t="s">
        <v>2223</v>
      </c>
      <c r="N1185" s="36">
        <v>9734686678</v>
      </c>
      <c r="O1185" s="17">
        <v>21</v>
      </c>
      <c r="P1185" s="17">
        <v>55</v>
      </c>
      <c r="Q1185" s="17" t="s">
        <v>73</v>
      </c>
      <c r="R1185" s="17" t="s">
        <v>74</v>
      </c>
      <c r="S1185" s="17" t="s">
        <v>75</v>
      </c>
      <c r="T1185" s="17"/>
      <c r="U1185" s="17" t="s">
        <v>160</v>
      </c>
      <c r="V1185" s="17" t="s">
        <v>77</v>
      </c>
      <c r="W1185" s="17" t="s">
        <v>252</v>
      </c>
      <c r="X1185" s="17">
        <v>3</v>
      </c>
      <c r="Y1185" s="17">
        <v>0</v>
      </c>
      <c r="Z1185" s="17"/>
      <c r="AA1185" s="17" t="s">
        <v>73</v>
      </c>
      <c r="AB1185" s="17" t="s">
        <v>79</v>
      </c>
      <c r="AC1185" s="17">
        <v>2</v>
      </c>
      <c r="AD1185" s="17">
        <v>0</v>
      </c>
      <c r="AE1185" s="17">
        <v>0</v>
      </c>
      <c r="AF1185" s="17"/>
      <c r="AG1185" s="17" t="s">
        <v>124</v>
      </c>
      <c r="AH1185" s="17" t="s">
        <v>82</v>
      </c>
      <c r="AI1185" s="17" t="s">
        <v>83</v>
      </c>
      <c r="AJ1185" s="17">
        <v>2111</v>
      </c>
      <c r="AK1185" s="17" t="s">
        <v>75</v>
      </c>
      <c r="AL1185" s="17" t="s">
        <v>75</v>
      </c>
      <c r="AM1185" s="17" t="s">
        <v>163</v>
      </c>
      <c r="AN1185" s="17" t="s">
        <v>84</v>
      </c>
      <c r="AO1185" s="17" t="s">
        <v>137</v>
      </c>
      <c r="AP1185" s="17"/>
      <c r="AQ1185" s="17"/>
      <c r="AR1185" s="17"/>
      <c r="AS1185" s="17"/>
      <c r="AT1185" s="17" t="s">
        <v>3649</v>
      </c>
      <c r="AU1185" s="17" t="s">
        <v>111</v>
      </c>
    </row>
    <row r="1186" hidden="1">
      <c r="A1186" s="17">
        <v>1184</v>
      </c>
      <c r="B1186" s="17" t="s">
        <v>52</v>
      </c>
      <c r="C1186" s="34" t="s">
        <v>3650</v>
      </c>
      <c r="D1186" s="35" t="s">
        <v>52</v>
      </c>
      <c r="E1186" s="17" t="s">
        <v>3651</v>
      </c>
      <c r="F1186" s="17" t="s">
        <v>3652</v>
      </c>
      <c r="G1186" s="17">
        <v>21.993390000000002</v>
      </c>
      <c r="H1186" s="17">
        <v>87.379957000000005</v>
      </c>
      <c r="I1186" s="17"/>
      <c r="J1186" s="17"/>
      <c r="K1186" s="17"/>
      <c r="L1186" s="17"/>
      <c r="M1186" s="35" t="s">
        <v>2223</v>
      </c>
      <c r="N1186" s="36">
        <v>9734686678</v>
      </c>
      <c r="O1186" s="17">
        <v>21</v>
      </c>
      <c r="P1186" s="17">
        <v>45</v>
      </c>
      <c r="Q1186" s="17" t="s">
        <v>73</v>
      </c>
      <c r="R1186" s="17" t="s">
        <v>74</v>
      </c>
      <c r="S1186" s="17" t="s">
        <v>75</v>
      </c>
      <c r="T1186" s="17"/>
      <c r="U1186" s="17" t="s">
        <v>160</v>
      </c>
      <c r="V1186" s="17" t="s">
        <v>77</v>
      </c>
      <c r="W1186" s="17" t="s">
        <v>252</v>
      </c>
      <c r="X1186" s="17">
        <v>3</v>
      </c>
      <c r="Y1186" s="17">
        <v>0</v>
      </c>
      <c r="Z1186" s="17"/>
      <c r="AA1186" s="17" t="s">
        <v>73</v>
      </c>
      <c r="AB1186" s="17" t="s">
        <v>79</v>
      </c>
      <c r="AC1186" s="17">
        <v>2</v>
      </c>
      <c r="AD1186" s="17">
        <v>0</v>
      </c>
      <c r="AE1186" s="17">
        <v>0</v>
      </c>
      <c r="AF1186" s="17"/>
      <c r="AG1186" s="17" t="s">
        <v>124</v>
      </c>
      <c r="AH1186" s="17" t="s">
        <v>82</v>
      </c>
      <c r="AI1186" s="17" t="s">
        <v>83</v>
      </c>
      <c r="AJ1186" s="17">
        <v>2111</v>
      </c>
      <c r="AK1186" s="17" t="s">
        <v>75</v>
      </c>
      <c r="AL1186" s="17" t="s">
        <v>75</v>
      </c>
      <c r="AM1186" s="17" t="s">
        <v>75</v>
      </c>
      <c r="AN1186" s="17" t="s">
        <v>84</v>
      </c>
      <c r="AO1186" s="17" t="s">
        <v>75</v>
      </c>
      <c r="AP1186" s="17"/>
      <c r="AQ1186" s="17"/>
      <c r="AR1186" s="17"/>
      <c r="AS1186" s="17"/>
      <c r="AT1186" s="17" t="s">
        <v>3653</v>
      </c>
      <c r="AU1186" s="17" t="s">
        <v>111</v>
      </c>
    </row>
    <row r="1187" hidden="1">
      <c r="A1187" s="17">
        <v>1185</v>
      </c>
      <c r="B1187" s="17" t="s">
        <v>52</v>
      </c>
      <c r="C1187" s="34" t="s">
        <v>3654</v>
      </c>
      <c r="D1187" s="35" t="s">
        <v>52</v>
      </c>
      <c r="E1187" s="17"/>
      <c r="F1187" s="17" t="s">
        <v>3655</v>
      </c>
      <c r="G1187" s="17">
        <v>22.102180000000001</v>
      </c>
      <c r="H1187" s="17">
        <v>87.41713</v>
      </c>
      <c r="I1187" s="17"/>
      <c r="J1187" s="17"/>
      <c r="K1187" s="17"/>
      <c r="L1187" s="17"/>
      <c r="M1187" s="35" t="s">
        <v>2223</v>
      </c>
      <c r="N1187" s="36">
        <v>9734686678</v>
      </c>
      <c r="O1187" s="17">
        <v>23</v>
      </c>
      <c r="P1187" s="17">
        <v>45</v>
      </c>
      <c r="Q1187" s="17" t="s">
        <v>73</v>
      </c>
      <c r="R1187" s="17" t="s">
        <v>74</v>
      </c>
      <c r="S1187" s="17" t="s">
        <v>137</v>
      </c>
      <c r="T1187" s="17" t="s">
        <v>3656</v>
      </c>
      <c r="U1187" s="17" t="s">
        <v>160</v>
      </c>
      <c r="V1187" s="17" t="s">
        <v>77</v>
      </c>
      <c r="W1187" s="17" t="s">
        <v>1094</v>
      </c>
      <c r="X1187" s="17">
        <v>3</v>
      </c>
      <c r="Y1187" s="17">
        <v>0</v>
      </c>
      <c r="Z1187" s="17"/>
      <c r="AA1187" s="17" t="s">
        <v>73</v>
      </c>
      <c r="AB1187" s="17" t="s">
        <v>79</v>
      </c>
      <c r="AC1187" s="17">
        <v>2</v>
      </c>
      <c r="AD1187" s="17">
        <v>0</v>
      </c>
      <c r="AE1187" s="17">
        <v>1</v>
      </c>
      <c r="AF1187" s="17" t="s">
        <v>3657</v>
      </c>
      <c r="AG1187" s="17" t="s">
        <v>124</v>
      </c>
      <c r="AH1187" s="17" t="s">
        <v>82</v>
      </c>
      <c r="AI1187" s="17" t="s">
        <v>83</v>
      </c>
      <c r="AJ1187" s="17">
        <v>2111</v>
      </c>
      <c r="AK1187" s="17" t="s">
        <v>137</v>
      </c>
      <c r="AL1187" s="17" t="s">
        <v>137</v>
      </c>
      <c r="AM1187" s="17" t="s">
        <v>163</v>
      </c>
      <c r="AN1187" s="17" t="s">
        <v>84</v>
      </c>
      <c r="AO1187" s="17" t="s">
        <v>75</v>
      </c>
      <c r="AP1187" s="17"/>
      <c r="AQ1187" s="17"/>
      <c r="AR1187" s="17"/>
      <c r="AS1187" s="17"/>
      <c r="AT1187" s="17" t="s">
        <v>3658</v>
      </c>
      <c r="AU1187" s="17" t="s">
        <v>111</v>
      </c>
    </row>
    <row r="1188" hidden="1">
      <c r="A1188" s="17">
        <v>1186</v>
      </c>
      <c r="B1188" s="17" t="s">
        <v>52</v>
      </c>
      <c r="C1188" s="34" t="s">
        <v>3659</v>
      </c>
      <c r="D1188" s="35" t="s">
        <v>52</v>
      </c>
      <c r="E1188" s="17" t="s">
        <v>3660</v>
      </c>
      <c r="F1188" s="17">
        <v>0</v>
      </c>
      <c r="G1188" s="17">
        <v>22.230599999999999</v>
      </c>
      <c r="H1188" s="17">
        <v>87.395510000000002</v>
      </c>
      <c r="I1188" s="17"/>
      <c r="J1188" s="17"/>
      <c r="K1188" s="17"/>
      <c r="L1188" s="17"/>
      <c r="M1188" s="34" t="s">
        <v>2695</v>
      </c>
      <c r="N1188" s="17"/>
      <c r="O1188" s="17"/>
      <c r="P1188" s="17"/>
      <c r="Q1188" s="17"/>
      <c r="R1188" s="17"/>
      <c r="S1188" s="17"/>
      <c r="T1188" s="17"/>
      <c r="U1188" s="17"/>
      <c r="V1188" s="17"/>
      <c r="W1188" s="17"/>
      <c r="X1188" s="17"/>
      <c r="Y1188" s="17"/>
      <c r="Z1188" s="17"/>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row>
    <row r="1189" hidden="1">
      <c r="A1189" s="17">
        <v>1187</v>
      </c>
      <c r="B1189" s="17" t="s">
        <v>52</v>
      </c>
      <c r="C1189" s="34" t="s">
        <v>3661</v>
      </c>
      <c r="D1189" s="35" t="s">
        <v>52</v>
      </c>
      <c r="E1189" s="17" t="s">
        <v>3662</v>
      </c>
      <c r="F1189" s="17" t="s">
        <v>3663</v>
      </c>
      <c r="G1189" s="17">
        <v>22.095548000000001</v>
      </c>
      <c r="H1189" s="17">
        <v>87.437889999999996</v>
      </c>
      <c r="I1189" s="17"/>
      <c r="J1189" s="17"/>
      <c r="K1189" s="17"/>
      <c r="L1189" s="17"/>
      <c r="M1189" s="35" t="s">
        <v>2223</v>
      </c>
      <c r="N1189" s="36">
        <v>9734686678</v>
      </c>
      <c r="O1189" s="17"/>
      <c r="P1189" s="17"/>
      <c r="Q1189" s="17"/>
      <c r="R1189" s="17"/>
      <c r="S1189" s="17"/>
      <c r="T1189" s="17"/>
      <c r="U1189" s="17"/>
      <c r="V1189" s="17"/>
      <c r="W1189" s="17"/>
      <c r="X1189" s="17"/>
      <c r="Y1189" s="17"/>
      <c r="Z1189" s="17"/>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row>
    <row r="1190" hidden="1">
      <c r="A1190" s="17">
        <v>1188</v>
      </c>
      <c r="B1190" s="17" t="s">
        <v>52</v>
      </c>
      <c r="C1190" s="34" t="s">
        <v>3664</v>
      </c>
      <c r="D1190" s="35" t="s">
        <v>52</v>
      </c>
      <c r="E1190" s="17" t="s">
        <v>3665</v>
      </c>
      <c r="F1190" s="17" t="s">
        <v>3666</v>
      </c>
      <c r="G1190" s="17">
        <v>22.082343000000002</v>
      </c>
      <c r="H1190" s="17">
        <v>87.377386000000001</v>
      </c>
      <c r="I1190" s="17"/>
      <c r="J1190" s="17"/>
      <c r="K1190" s="17"/>
      <c r="L1190" s="17"/>
      <c r="M1190" s="35" t="s">
        <v>2223</v>
      </c>
      <c r="N1190" s="36">
        <v>9734686678</v>
      </c>
      <c r="O1190" s="17"/>
      <c r="P1190" s="17"/>
      <c r="Q1190" s="17"/>
      <c r="R1190" s="17"/>
      <c r="S1190" s="17"/>
      <c r="T1190" s="17"/>
      <c r="U1190" s="17"/>
      <c r="V1190" s="17"/>
      <c r="W1190" s="17"/>
      <c r="X1190" s="17"/>
      <c r="Y1190" s="17"/>
      <c r="Z1190" s="17"/>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row>
    <row r="1191" hidden="1">
      <c r="A1191" s="17">
        <v>1189</v>
      </c>
      <c r="B1191" s="17" t="s">
        <v>52</v>
      </c>
      <c r="C1191" s="34" t="s">
        <v>3667</v>
      </c>
      <c r="D1191" s="35" t="s">
        <v>52</v>
      </c>
      <c r="E1191" s="17" t="s">
        <v>3668</v>
      </c>
      <c r="F1191" s="17" t="s">
        <v>3669</v>
      </c>
      <c r="G1191" s="17">
        <v>22.074847999999999</v>
      </c>
      <c r="H1191" s="17">
        <v>87.462524000000002</v>
      </c>
      <c r="I1191" s="17"/>
      <c r="J1191" s="17"/>
      <c r="K1191" s="17"/>
      <c r="L1191" s="17"/>
      <c r="M1191" s="35" t="s">
        <v>2223</v>
      </c>
      <c r="N1191" s="36">
        <v>9734686678</v>
      </c>
      <c r="O1191" s="17">
        <v>22</v>
      </c>
      <c r="P1191" s="17">
        <v>55</v>
      </c>
      <c r="Q1191" s="17" t="s">
        <v>73</v>
      </c>
      <c r="R1191" s="17" t="s">
        <v>104</v>
      </c>
      <c r="S1191" s="17" t="s">
        <v>75</v>
      </c>
      <c r="T1191" s="17"/>
      <c r="U1191" s="17" t="s">
        <v>105</v>
      </c>
      <c r="V1191" s="17" t="s">
        <v>77</v>
      </c>
      <c r="W1191" s="17" t="s">
        <v>252</v>
      </c>
      <c r="X1191" s="17">
        <v>3</v>
      </c>
      <c r="Y1191" s="17">
        <v>0</v>
      </c>
      <c r="Z1191" s="17"/>
      <c r="AA1191" s="17"/>
      <c r="AB1191" s="17"/>
      <c r="AC1191" s="17">
        <v>3</v>
      </c>
      <c r="AD1191" s="17">
        <v>0</v>
      </c>
      <c r="AE1191" s="17">
        <v>1</v>
      </c>
      <c r="AF1191" s="17"/>
      <c r="AG1191" s="17" t="s">
        <v>724</v>
      </c>
      <c r="AH1191" s="17"/>
      <c r="AI1191" s="17"/>
      <c r="AJ1191" s="17"/>
      <c r="AK1191" s="17"/>
      <c r="AL1191" s="17"/>
      <c r="AM1191" s="17"/>
      <c r="AN1191" s="17"/>
      <c r="AO1191" s="17"/>
      <c r="AP1191" s="17"/>
      <c r="AQ1191" s="17"/>
      <c r="AR1191" s="17"/>
      <c r="AS1191" s="17"/>
      <c r="AT1191" s="17"/>
      <c r="AU1191" s="17" t="s">
        <v>111</v>
      </c>
    </row>
    <row r="1192" hidden="1">
      <c r="A1192" s="17">
        <v>1190</v>
      </c>
      <c r="B1192" s="17" t="s">
        <v>52</v>
      </c>
      <c r="C1192" s="34" t="s">
        <v>3670</v>
      </c>
      <c r="D1192" s="35" t="s">
        <v>52</v>
      </c>
      <c r="E1192" s="17" t="s">
        <v>3671</v>
      </c>
      <c r="F1192" s="17" t="s">
        <v>3672</v>
      </c>
      <c r="G1192" s="17">
        <v>22.225055000000001</v>
      </c>
      <c r="H1192" s="17">
        <v>87.431319999999999</v>
      </c>
      <c r="I1192" s="17"/>
      <c r="J1192" s="17"/>
      <c r="K1192" s="17"/>
      <c r="L1192" s="17"/>
      <c r="M1192" s="34" t="s">
        <v>2695</v>
      </c>
      <c r="N1192" s="17"/>
      <c r="O1192" s="17"/>
      <c r="P1192" s="17"/>
      <c r="Q1192" s="17"/>
      <c r="R1192" s="17"/>
      <c r="S1192" s="17"/>
      <c r="T1192" s="17"/>
      <c r="U1192" s="17"/>
      <c r="V1192" s="17"/>
      <c r="W1192" s="17"/>
      <c r="X1192" s="17"/>
      <c r="Y1192" s="17"/>
      <c r="Z1192" s="17"/>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row>
    <row r="1193" hidden="1">
      <c r="A1193" s="17">
        <v>1191</v>
      </c>
      <c r="B1193" s="17" t="s">
        <v>52</v>
      </c>
      <c r="C1193" s="34" t="s">
        <v>3673</v>
      </c>
      <c r="D1193" s="35" t="s">
        <v>52</v>
      </c>
      <c r="E1193" s="17" t="s">
        <v>3674</v>
      </c>
      <c r="F1193" s="17" t="s">
        <v>3675</v>
      </c>
      <c r="G1193" s="17">
        <v>22.198194999999998</v>
      </c>
      <c r="H1193" s="17">
        <v>87.513649000000001</v>
      </c>
      <c r="I1193" s="17"/>
      <c r="J1193" s="17"/>
      <c r="K1193" s="17"/>
      <c r="L1193" s="17"/>
      <c r="M1193" s="35" t="s">
        <v>2680</v>
      </c>
      <c r="N1193" s="17">
        <v>8240995955</v>
      </c>
      <c r="O1193" s="17"/>
      <c r="P1193" s="17"/>
      <c r="Q1193" s="17"/>
      <c r="R1193" s="17"/>
      <c r="S1193" s="17"/>
      <c r="T1193" s="17"/>
      <c r="U1193" s="17"/>
      <c r="V1193" s="17"/>
      <c r="W1193" s="17"/>
      <c r="X1193" s="17"/>
      <c r="Y1193" s="17"/>
      <c r="Z1193" s="17"/>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row>
    <row r="1194" hidden="1">
      <c r="A1194" s="17">
        <v>1192</v>
      </c>
      <c r="B1194" s="17" t="s">
        <v>52</v>
      </c>
      <c r="C1194" s="34" t="s">
        <v>3676</v>
      </c>
      <c r="D1194" s="35" t="s">
        <v>52</v>
      </c>
      <c r="E1194" s="17" t="s">
        <v>3006</v>
      </c>
      <c r="F1194" s="17" t="s">
        <v>3677</v>
      </c>
      <c r="G1194" s="17">
        <v>22.123024000000001</v>
      </c>
      <c r="H1194" s="17">
        <v>87.399084000000002</v>
      </c>
      <c r="I1194" s="17"/>
      <c r="J1194" s="17"/>
      <c r="K1194" s="17"/>
      <c r="L1194" s="17"/>
      <c r="M1194" s="34" t="s">
        <v>2695</v>
      </c>
      <c r="N1194" s="17"/>
      <c r="O1194" s="17"/>
      <c r="P1194" s="17"/>
      <c r="Q1194" s="17"/>
      <c r="R1194" s="17"/>
      <c r="S1194" s="17"/>
      <c r="T1194" s="17"/>
      <c r="U1194" s="17"/>
      <c r="V1194" s="17"/>
      <c r="W1194" s="17"/>
      <c r="X1194" s="17"/>
      <c r="Y1194" s="17"/>
      <c r="Z1194" s="17"/>
      <c r="AA1194" s="17"/>
      <c r="AB1194" s="17"/>
      <c r="AC1194" s="17"/>
      <c r="AD1194" s="17"/>
      <c r="AE1194" s="17"/>
      <c r="AF1194" s="17"/>
      <c r="AG1194" s="17"/>
      <c r="AH1194" s="17"/>
      <c r="AI1194" s="17"/>
      <c r="AJ1194" s="17"/>
      <c r="AK1194" s="17"/>
      <c r="AL1194" s="17"/>
      <c r="AM1194" s="17"/>
      <c r="AN1194" s="17"/>
      <c r="AO1194" s="17"/>
      <c r="AP1194" s="17"/>
      <c r="AQ1194" s="17"/>
      <c r="AR1194" s="17"/>
      <c r="AS1194" s="17"/>
      <c r="AT1194" s="17"/>
      <c r="AU1194" s="17"/>
    </row>
    <row r="1195" hidden="1">
      <c r="A1195" s="17">
        <v>1193</v>
      </c>
      <c r="B1195" s="17" t="s">
        <v>52</v>
      </c>
      <c r="C1195" s="34" t="s">
        <v>3678</v>
      </c>
      <c r="D1195" s="35" t="s">
        <v>52</v>
      </c>
      <c r="E1195" s="17" t="s">
        <v>3679</v>
      </c>
      <c r="F1195" s="17" t="s">
        <v>3680</v>
      </c>
      <c r="G1195" s="17">
        <v>22.189488000000001</v>
      </c>
      <c r="H1195" s="17">
        <v>87.427121999999997</v>
      </c>
      <c r="I1195" s="17"/>
      <c r="J1195" s="17"/>
      <c r="K1195" s="17"/>
      <c r="L1195" s="17"/>
      <c r="M1195" s="34" t="s">
        <v>2695</v>
      </c>
      <c r="N1195" s="17"/>
      <c r="O1195" s="17"/>
      <c r="P1195" s="17"/>
      <c r="Q1195" s="17"/>
      <c r="R1195" s="17"/>
      <c r="S1195" s="17"/>
      <c r="T1195" s="17"/>
      <c r="U1195" s="17"/>
      <c r="V1195" s="17"/>
      <c r="W1195" s="17"/>
      <c r="X1195" s="17"/>
      <c r="Y1195" s="17"/>
      <c r="Z1195" s="17"/>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row>
    <row r="1196" hidden="1">
      <c r="A1196" s="17">
        <v>1194</v>
      </c>
      <c r="B1196" s="17" t="s">
        <v>52</v>
      </c>
      <c r="C1196" s="34" t="s">
        <v>3681</v>
      </c>
      <c r="D1196" s="35" t="s">
        <v>52</v>
      </c>
      <c r="E1196" s="17" t="s">
        <v>3682</v>
      </c>
      <c r="F1196" s="17" t="s">
        <v>3683</v>
      </c>
      <c r="G1196" s="17">
        <v>22.015411</v>
      </c>
      <c r="H1196" s="17">
        <v>87.361503999999996</v>
      </c>
      <c r="I1196" s="17"/>
      <c r="J1196" s="17"/>
      <c r="K1196" s="17"/>
      <c r="L1196" s="17"/>
      <c r="M1196" s="35" t="s">
        <v>2223</v>
      </c>
      <c r="N1196" s="36">
        <v>9734686678</v>
      </c>
      <c r="O1196" s="17"/>
      <c r="P1196" s="17"/>
      <c r="Q1196" s="17"/>
      <c r="R1196" s="17"/>
      <c r="S1196" s="17"/>
      <c r="T1196" s="17"/>
      <c r="U1196" s="17"/>
      <c r="V1196" s="17"/>
      <c r="W1196" s="17"/>
      <c r="X1196" s="17"/>
      <c r="Y1196" s="17"/>
      <c r="Z1196" s="17"/>
      <c r="AA1196" s="17"/>
      <c r="AB1196" s="17"/>
      <c r="AC1196" s="17"/>
      <c r="AD1196" s="17"/>
      <c r="AE1196" s="17"/>
      <c r="AF1196" s="17"/>
      <c r="AG1196" s="17"/>
      <c r="AH1196" s="17"/>
      <c r="AI1196" s="17"/>
      <c r="AJ1196" s="17"/>
      <c r="AK1196" s="17"/>
      <c r="AL1196" s="17"/>
      <c r="AM1196" s="17"/>
      <c r="AN1196" s="17"/>
      <c r="AO1196" s="17"/>
      <c r="AP1196" s="17"/>
      <c r="AQ1196" s="17"/>
      <c r="AR1196" s="17"/>
      <c r="AS1196" s="17"/>
      <c r="AT1196" s="17"/>
      <c r="AU1196" s="17"/>
    </row>
    <row r="1197" hidden="1">
      <c r="A1197" s="17">
        <v>1195</v>
      </c>
      <c r="B1197" s="17" t="s">
        <v>52</v>
      </c>
      <c r="C1197" s="34" t="s">
        <v>3684</v>
      </c>
      <c r="D1197" s="35" t="s">
        <v>52</v>
      </c>
      <c r="E1197" s="17" t="s">
        <v>3685</v>
      </c>
      <c r="F1197" s="17" t="s">
        <v>3686</v>
      </c>
      <c r="G1197" s="17">
        <v>22.224972999999999</v>
      </c>
      <c r="H1197" s="17">
        <v>87.513334</v>
      </c>
      <c r="I1197" s="17"/>
      <c r="J1197" s="17"/>
      <c r="K1197" s="17"/>
      <c r="L1197" s="17"/>
      <c r="M1197" s="35" t="s">
        <v>2680</v>
      </c>
      <c r="N1197" s="17">
        <v>8240995955</v>
      </c>
      <c r="O1197" s="17"/>
      <c r="P1197" s="17"/>
      <c r="Q1197" s="17"/>
      <c r="R1197" s="17"/>
      <c r="S1197" s="17"/>
      <c r="T1197" s="17"/>
      <c r="U1197" s="17"/>
      <c r="V1197" s="17"/>
      <c r="W1197" s="17"/>
      <c r="X1197" s="17"/>
      <c r="Y1197" s="17"/>
      <c r="Z1197" s="17"/>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row>
    <row r="1198" hidden="1">
      <c r="A1198" s="17">
        <v>1196</v>
      </c>
      <c r="B1198" s="17" t="s">
        <v>52</v>
      </c>
      <c r="C1198" s="34" t="s">
        <v>3687</v>
      </c>
      <c r="D1198" s="35" t="s">
        <v>52</v>
      </c>
      <c r="E1198" s="17" t="s">
        <v>3688</v>
      </c>
      <c r="F1198" s="17" t="s">
        <v>3689</v>
      </c>
      <c r="G1198" s="17">
        <v>22.046747</v>
      </c>
      <c r="H1198" s="17">
        <v>87.383504000000002</v>
      </c>
      <c r="I1198" s="17"/>
      <c r="J1198" s="17"/>
      <c r="K1198" s="17"/>
      <c r="L1198" s="17"/>
      <c r="M1198" s="35" t="s">
        <v>2223</v>
      </c>
      <c r="N1198" s="36">
        <v>9734686678</v>
      </c>
      <c r="O1198" s="17"/>
      <c r="P1198" s="17"/>
      <c r="Q1198" s="17"/>
      <c r="R1198" s="17"/>
      <c r="S1198" s="17"/>
      <c r="T1198" s="17"/>
      <c r="U1198" s="17"/>
      <c r="V1198" s="17"/>
      <c r="W1198" s="17"/>
      <c r="X1198" s="17"/>
      <c r="Y1198" s="17"/>
      <c r="Z1198" s="17"/>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row>
    <row r="1199" hidden="1">
      <c r="A1199" s="17">
        <v>1197</v>
      </c>
      <c r="B1199" s="17" t="s">
        <v>52</v>
      </c>
      <c r="C1199" s="34" t="s">
        <v>3690</v>
      </c>
      <c r="D1199" s="35" t="s">
        <v>52</v>
      </c>
      <c r="E1199" s="17" t="s">
        <v>3691</v>
      </c>
      <c r="F1199" s="17" t="s">
        <v>3692</v>
      </c>
      <c r="G1199" s="17">
        <v>22.066213999999999</v>
      </c>
      <c r="H1199" s="17">
        <v>87.346176</v>
      </c>
      <c r="I1199" s="17"/>
      <c r="J1199" s="17"/>
      <c r="K1199" s="17"/>
      <c r="L1199" s="17"/>
      <c r="M1199" s="35" t="s">
        <v>2223</v>
      </c>
      <c r="N1199" s="36">
        <v>9734686678</v>
      </c>
      <c r="O1199" s="17"/>
      <c r="P1199" s="17"/>
      <c r="Q1199" s="17"/>
      <c r="R1199" s="17"/>
      <c r="S1199" s="17"/>
      <c r="T1199" s="17"/>
      <c r="U1199" s="17"/>
      <c r="V1199" s="17"/>
      <c r="W1199" s="17"/>
      <c r="X1199" s="17"/>
      <c r="Y1199" s="17"/>
      <c r="Z1199" s="17"/>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row>
    <row r="1200" hidden="1">
      <c r="A1200" s="17">
        <v>1198</v>
      </c>
      <c r="B1200" s="17" t="s">
        <v>52</v>
      </c>
      <c r="C1200" s="34" t="s">
        <v>3693</v>
      </c>
      <c r="D1200" s="35" t="s">
        <v>52</v>
      </c>
      <c r="E1200" s="17" t="s">
        <v>3694</v>
      </c>
      <c r="F1200" s="17" t="s">
        <v>3695</v>
      </c>
      <c r="G1200" s="17">
        <v>22.058519</v>
      </c>
      <c r="H1200" s="17">
        <v>87.421908000000002</v>
      </c>
      <c r="I1200" s="17"/>
      <c r="J1200" s="17"/>
      <c r="K1200" s="17"/>
      <c r="L1200" s="17"/>
      <c r="M1200" s="35" t="s">
        <v>2223</v>
      </c>
      <c r="N1200" s="36">
        <v>9734686678</v>
      </c>
      <c r="O1200" s="17"/>
      <c r="P1200" s="17"/>
      <c r="Q1200" s="17"/>
      <c r="R1200" s="17"/>
      <c r="S1200" s="17"/>
      <c r="T1200" s="17"/>
      <c r="U1200" s="17"/>
      <c r="V1200" s="17"/>
      <c r="W1200" s="17"/>
      <c r="X1200" s="17"/>
      <c r="Y1200" s="17"/>
      <c r="Z1200" s="17"/>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row>
    <row r="1201" hidden="1">
      <c r="A1201" s="17">
        <v>1199</v>
      </c>
      <c r="B1201" s="17" t="s">
        <v>52</v>
      </c>
      <c r="C1201" s="34" t="s">
        <v>3696</v>
      </c>
      <c r="D1201" s="35" t="s">
        <v>52</v>
      </c>
      <c r="E1201" s="17" t="s">
        <v>3697</v>
      </c>
      <c r="F1201" s="17" t="s">
        <v>3698</v>
      </c>
      <c r="G1201" s="17">
        <v>22.223756000000002</v>
      </c>
      <c r="H1201" s="17">
        <v>87.480373</v>
      </c>
      <c r="I1201" s="17"/>
      <c r="J1201" s="17"/>
      <c r="K1201" s="17"/>
      <c r="L1201" s="17"/>
      <c r="M1201" s="34" t="s">
        <v>2695</v>
      </c>
      <c r="N1201" s="17"/>
      <c r="O1201" s="17"/>
      <c r="P1201" s="17"/>
      <c r="Q1201" s="17"/>
      <c r="R1201" s="17"/>
      <c r="S1201" s="17"/>
      <c r="T1201" s="17"/>
      <c r="U1201" s="17"/>
      <c r="V1201" s="17"/>
      <c r="W1201" s="17"/>
      <c r="X1201" s="17"/>
      <c r="Y1201" s="17"/>
      <c r="Z1201" s="17"/>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row>
    <row r="1202" hidden="1">
      <c r="A1202" s="17">
        <v>1200</v>
      </c>
      <c r="B1202" s="17" t="s">
        <v>52</v>
      </c>
      <c r="C1202" s="34" t="s">
        <v>3699</v>
      </c>
      <c r="D1202" s="35" t="s">
        <v>52</v>
      </c>
      <c r="E1202" s="17" t="s">
        <v>3517</v>
      </c>
      <c r="F1202" s="17" t="s">
        <v>3700</v>
      </c>
      <c r="G1202" s="17">
        <v>22.104165999999999</v>
      </c>
      <c r="H1202" s="17">
        <v>87.486260999999999</v>
      </c>
      <c r="I1202" s="17"/>
      <c r="J1202" s="17"/>
      <c r="K1202" s="17"/>
      <c r="L1202" s="17"/>
      <c r="M1202" s="35" t="s">
        <v>2248</v>
      </c>
      <c r="N1202" s="17">
        <v>8100154683</v>
      </c>
      <c r="O1202" s="17"/>
      <c r="P1202" s="17"/>
      <c r="Q1202" s="17"/>
      <c r="R1202" s="17"/>
      <c r="S1202" s="17"/>
      <c r="T1202" s="17"/>
      <c r="U1202" s="17"/>
      <c r="V1202" s="17"/>
      <c r="W1202" s="17"/>
      <c r="X1202" s="17"/>
      <c r="Y1202" s="17"/>
      <c r="Z1202" s="17"/>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row>
    <row r="1203" hidden="1">
      <c r="A1203" s="17">
        <v>1201</v>
      </c>
      <c r="B1203" s="17" t="s">
        <v>52</v>
      </c>
      <c r="C1203" s="34" t="s">
        <v>3701</v>
      </c>
      <c r="D1203" s="35" t="s">
        <v>52</v>
      </c>
      <c r="E1203" s="17" t="s">
        <v>3702</v>
      </c>
      <c r="F1203" s="17" t="s">
        <v>3703</v>
      </c>
      <c r="G1203" s="17">
        <v>22.061959000000002</v>
      </c>
      <c r="H1203" s="17">
        <v>87.337556000000006</v>
      </c>
      <c r="I1203" s="17"/>
      <c r="J1203" s="17"/>
      <c r="K1203" s="17"/>
      <c r="L1203" s="17"/>
      <c r="M1203" s="35" t="s">
        <v>2223</v>
      </c>
      <c r="N1203" s="36">
        <v>9734686678</v>
      </c>
      <c r="O1203" s="17"/>
      <c r="P1203" s="17"/>
      <c r="Q1203" s="17"/>
      <c r="R1203" s="17"/>
      <c r="S1203" s="17"/>
      <c r="T1203" s="17"/>
      <c r="U1203" s="17"/>
      <c r="V1203" s="17"/>
      <c r="W1203" s="17"/>
      <c r="X1203" s="17"/>
      <c r="Y1203" s="17"/>
      <c r="Z1203" s="17"/>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row>
    <row r="1204" hidden="1">
      <c r="A1204" s="17">
        <v>1202</v>
      </c>
      <c r="B1204" s="17" t="s">
        <v>52</v>
      </c>
      <c r="C1204" s="34" t="s">
        <v>3704</v>
      </c>
      <c r="D1204" s="35" t="s">
        <v>52</v>
      </c>
      <c r="E1204" s="17" t="s">
        <v>3705</v>
      </c>
      <c r="F1204" s="17" t="s">
        <v>3705</v>
      </c>
      <c r="G1204" s="17">
        <v>22.166931000000002</v>
      </c>
      <c r="H1204" s="17">
        <v>87.404916999999998</v>
      </c>
      <c r="I1204" s="17"/>
      <c r="J1204" s="17"/>
      <c r="K1204" s="17"/>
      <c r="L1204" s="17"/>
      <c r="M1204" s="34" t="s">
        <v>2695</v>
      </c>
      <c r="N1204" s="17"/>
      <c r="O1204" s="17"/>
      <c r="P1204" s="17"/>
      <c r="Q1204" s="17"/>
      <c r="R1204" s="17"/>
      <c r="S1204" s="17"/>
      <c r="T1204" s="17"/>
      <c r="U1204" s="17"/>
      <c r="V1204" s="17"/>
      <c r="W1204" s="17"/>
      <c r="X1204" s="17"/>
      <c r="Y1204" s="17"/>
      <c r="Z1204" s="17"/>
      <c r="AA1204" s="17"/>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row>
    <row r="1205" hidden="1">
      <c r="A1205" s="17">
        <v>1203</v>
      </c>
      <c r="B1205" s="17" t="s">
        <v>52</v>
      </c>
      <c r="C1205" s="34" t="s">
        <v>3706</v>
      </c>
      <c r="D1205" s="35" t="s">
        <v>52</v>
      </c>
      <c r="E1205" s="17" t="s">
        <v>3707</v>
      </c>
      <c r="F1205" s="17" t="s">
        <v>3708</v>
      </c>
      <c r="G1205" s="17">
        <v>22.06549</v>
      </c>
      <c r="H1205" s="17">
        <v>87.367936999999998</v>
      </c>
      <c r="I1205" s="17"/>
      <c r="J1205" s="17"/>
      <c r="K1205" s="17"/>
      <c r="L1205" s="17"/>
      <c r="M1205" s="35" t="s">
        <v>2223</v>
      </c>
      <c r="N1205" s="36">
        <v>9734686678</v>
      </c>
      <c r="O1205" s="17"/>
      <c r="P1205" s="17"/>
      <c r="Q1205" s="17"/>
      <c r="R1205" s="17"/>
      <c r="S1205" s="17"/>
      <c r="T1205" s="17"/>
      <c r="U1205" s="17"/>
      <c r="V1205" s="17"/>
      <c r="W1205" s="17"/>
      <c r="X1205" s="17"/>
      <c r="Y1205" s="17"/>
      <c r="Z1205" s="17"/>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row>
    <row r="1206" hidden="1">
      <c r="A1206" s="17">
        <v>1204</v>
      </c>
      <c r="B1206" s="17" t="s">
        <v>52</v>
      </c>
      <c r="C1206" s="34" t="s">
        <v>3709</v>
      </c>
      <c r="D1206" s="35" t="s">
        <v>52</v>
      </c>
      <c r="E1206" s="17" t="s">
        <v>3710</v>
      </c>
      <c r="F1206" s="17" t="s">
        <v>3711</v>
      </c>
      <c r="G1206" s="17">
        <v>22.265588000000001</v>
      </c>
      <c r="H1206" s="17">
        <v>87.640754000000001</v>
      </c>
      <c r="I1206" s="17"/>
      <c r="J1206" s="17"/>
      <c r="K1206" s="17"/>
      <c r="L1206" s="17"/>
      <c r="M1206" s="35" t="s">
        <v>2680</v>
      </c>
      <c r="N1206" s="17">
        <v>8240995955</v>
      </c>
      <c r="O1206" s="17">
        <v>15</v>
      </c>
      <c r="P1206" s="17">
        <v>80</v>
      </c>
      <c r="Q1206" s="17" t="s">
        <v>73</v>
      </c>
      <c r="R1206" s="17" t="s">
        <v>74</v>
      </c>
      <c r="S1206" s="17" t="s">
        <v>137</v>
      </c>
      <c r="T1206" s="17" t="s">
        <v>3712</v>
      </c>
      <c r="U1206" s="17" t="s">
        <v>105</v>
      </c>
      <c r="V1206" s="17" t="s">
        <v>77</v>
      </c>
      <c r="W1206" s="17" t="s">
        <v>443</v>
      </c>
      <c r="X1206" s="17">
        <v>5</v>
      </c>
      <c r="Y1206" s="17">
        <v>3</v>
      </c>
      <c r="Z1206" s="17"/>
      <c r="AA1206" s="17" t="s">
        <v>73</v>
      </c>
      <c r="AB1206" s="17" t="s">
        <v>79</v>
      </c>
      <c r="AC1206" s="17">
        <v>3</v>
      </c>
      <c r="AD1206" s="17">
        <v>0</v>
      </c>
      <c r="AE1206" s="17">
        <v>2</v>
      </c>
      <c r="AF1206" s="17"/>
      <c r="AG1206" s="17" t="s">
        <v>724</v>
      </c>
      <c r="AH1206" s="17"/>
      <c r="AI1206" s="17"/>
      <c r="AJ1206" s="17"/>
      <c r="AK1206" s="17"/>
      <c r="AL1206" s="17"/>
      <c r="AM1206" s="17"/>
      <c r="AN1206" s="17"/>
      <c r="AO1206" s="17"/>
      <c r="AP1206" s="17"/>
      <c r="AQ1206" s="17"/>
      <c r="AR1206" s="17"/>
      <c r="AS1206" s="17"/>
      <c r="AT1206" s="17" t="s">
        <v>3713</v>
      </c>
      <c r="AU1206" s="17" t="s">
        <v>111</v>
      </c>
    </row>
    <row r="1207" hidden="1">
      <c r="A1207" s="17">
        <v>1205</v>
      </c>
      <c r="B1207" s="17" t="s">
        <v>52</v>
      </c>
      <c r="C1207" s="34" t="s">
        <v>3714</v>
      </c>
      <c r="D1207" s="35" t="s">
        <v>52</v>
      </c>
      <c r="E1207" s="17" t="s">
        <v>3715</v>
      </c>
      <c r="F1207" s="17" t="s">
        <v>3716</v>
      </c>
      <c r="G1207" s="17">
        <v>22.276219000000001</v>
      </c>
      <c r="H1207" s="17">
        <v>87.585256999999999</v>
      </c>
      <c r="I1207" s="17"/>
      <c r="J1207" s="17"/>
      <c r="K1207" s="17"/>
      <c r="L1207" s="17"/>
      <c r="M1207" s="35" t="s">
        <v>2680</v>
      </c>
      <c r="N1207" s="17">
        <v>8240995955</v>
      </c>
      <c r="O1207" s="17">
        <v>20</v>
      </c>
      <c r="P1207" s="17">
        <v>110</v>
      </c>
      <c r="Q1207" s="17" t="s">
        <v>73</v>
      </c>
      <c r="R1207" s="17" t="s">
        <v>74</v>
      </c>
      <c r="S1207" s="17" t="s">
        <v>137</v>
      </c>
      <c r="T1207" s="17" t="s">
        <v>1226</v>
      </c>
      <c r="U1207" s="17" t="s">
        <v>105</v>
      </c>
      <c r="V1207" s="17" t="s">
        <v>77</v>
      </c>
      <c r="W1207" s="17" t="s">
        <v>161</v>
      </c>
      <c r="X1207" s="17">
        <v>5</v>
      </c>
      <c r="Y1207" s="17">
        <v>0</v>
      </c>
      <c r="Z1207" s="17"/>
      <c r="AA1207" s="17"/>
      <c r="AB1207" s="17"/>
      <c r="AC1207" s="17">
        <v>4</v>
      </c>
      <c r="AD1207" s="17">
        <v>0</v>
      </c>
      <c r="AE1207" s="17">
        <v>3</v>
      </c>
      <c r="AF1207" s="17"/>
      <c r="AG1207" s="17" t="s">
        <v>414</v>
      </c>
      <c r="AH1207" s="17" t="s">
        <v>3151</v>
      </c>
      <c r="AI1207" s="17" t="s">
        <v>414</v>
      </c>
      <c r="AJ1207" s="17" t="s">
        <v>416</v>
      </c>
      <c r="AK1207" s="17" t="s">
        <v>137</v>
      </c>
      <c r="AL1207" s="17" t="s">
        <v>137</v>
      </c>
      <c r="AM1207" s="17" t="s">
        <v>137</v>
      </c>
      <c r="AN1207" s="17" t="s">
        <v>84</v>
      </c>
      <c r="AO1207" s="17" t="s">
        <v>75</v>
      </c>
      <c r="AP1207" s="17"/>
      <c r="AQ1207" s="17"/>
      <c r="AR1207" s="17"/>
      <c r="AS1207" s="17"/>
      <c r="AT1207" s="17" t="s">
        <v>3717</v>
      </c>
      <c r="AU1207" s="17" t="s">
        <v>111</v>
      </c>
    </row>
    <row r="1208" hidden="1">
      <c r="A1208" s="17">
        <v>1206</v>
      </c>
      <c r="B1208" s="17" t="s">
        <v>52</v>
      </c>
      <c r="C1208" s="34" t="s">
        <v>3718</v>
      </c>
      <c r="D1208" s="35" t="s">
        <v>52</v>
      </c>
      <c r="E1208" s="17" t="s">
        <v>3719</v>
      </c>
      <c r="F1208" s="17" t="s">
        <v>3720</v>
      </c>
      <c r="G1208" s="17">
        <v>22.249452999999999</v>
      </c>
      <c r="H1208" s="17">
        <v>87.616378999999995</v>
      </c>
      <c r="I1208" s="17"/>
      <c r="J1208" s="17"/>
      <c r="K1208" s="17"/>
      <c r="L1208" s="17"/>
      <c r="M1208" s="35" t="s">
        <v>2680</v>
      </c>
      <c r="N1208" s="17">
        <v>8240995955</v>
      </c>
      <c r="O1208" s="17">
        <v>18</v>
      </c>
      <c r="P1208" s="17">
        <v>100</v>
      </c>
      <c r="Q1208" s="17" t="s">
        <v>73</v>
      </c>
      <c r="R1208" s="17" t="s">
        <v>74</v>
      </c>
      <c r="S1208" s="17" t="s">
        <v>75</v>
      </c>
      <c r="T1208" s="17"/>
      <c r="U1208" s="17" t="s">
        <v>441</v>
      </c>
      <c r="V1208" s="17" t="s">
        <v>3721</v>
      </c>
      <c r="W1208" s="17" t="s">
        <v>454</v>
      </c>
      <c r="X1208" s="17">
        <v>8</v>
      </c>
      <c r="Y1208" s="17">
        <v>0</v>
      </c>
      <c r="Z1208" s="17"/>
      <c r="AA1208" s="17" t="s">
        <v>73</v>
      </c>
      <c r="AB1208" s="17" t="s">
        <v>79</v>
      </c>
      <c r="AC1208" s="17">
        <v>4</v>
      </c>
      <c r="AD1208" s="17">
        <v>0</v>
      </c>
      <c r="AE1208" s="17">
        <v>2</v>
      </c>
      <c r="AF1208" s="17"/>
      <c r="AG1208" s="17" t="s">
        <v>124</v>
      </c>
      <c r="AH1208" s="17" t="s">
        <v>82</v>
      </c>
      <c r="AI1208" s="17" t="s">
        <v>83</v>
      </c>
      <c r="AJ1208" s="17">
        <v>2111</v>
      </c>
      <c r="AK1208" s="17" t="s">
        <v>75</v>
      </c>
      <c r="AL1208" s="17" t="s">
        <v>75</v>
      </c>
      <c r="AM1208" s="17" t="s">
        <v>75</v>
      </c>
      <c r="AN1208" s="17" t="s">
        <v>84</v>
      </c>
      <c r="AO1208" s="17" t="s">
        <v>137</v>
      </c>
      <c r="AP1208" s="17"/>
      <c r="AQ1208" s="17"/>
      <c r="AR1208" s="17"/>
      <c r="AS1208" s="17"/>
      <c r="AT1208" s="17" t="s">
        <v>3722</v>
      </c>
      <c r="AU1208" s="17" t="s">
        <v>111</v>
      </c>
    </row>
    <row r="1209" hidden="1">
      <c r="A1209" s="17">
        <v>1207</v>
      </c>
      <c r="B1209" s="17" t="s">
        <v>52</v>
      </c>
      <c r="C1209" s="34" t="s">
        <v>3723</v>
      </c>
      <c r="D1209" s="35" t="s">
        <v>52</v>
      </c>
      <c r="E1209" s="17" t="s">
        <v>3724</v>
      </c>
      <c r="F1209" s="17" t="s">
        <v>3725</v>
      </c>
      <c r="G1209" s="17">
        <v>22.273389999999999</v>
      </c>
      <c r="H1209" s="17">
        <v>87.504974000000004</v>
      </c>
      <c r="I1209" s="17"/>
      <c r="J1209" s="17"/>
      <c r="K1209" s="17"/>
      <c r="L1209" s="17"/>
      <c r="M1209" s="35" t="s">
        <v>2680</v>
      </c>
      <c r="N1209" s="17">
        <v>8240995955</v>
      </c>
      <c r="O1209" s="17">
        <v>15</v>
      </c>
      <c r="P1209" s="17">
        <v>160</v>
      </c>
      <c r="Q1209" s="17" t="s">
        <v>105</v>
      </c>
      <c r="R1209" s="17" t="s">
        <v>142</v>
      </c>
      <c r="S1209" s="17" t="s">
        <v>75</v>
      </c>
      <c r="T1209" s="17"/>
      <c r="U1209" s="17" t="s">
        <v>503</v>
      </c>
      <c r="V1209" s="17" t="s">
        <v>504</v>
      </c>
      <c r="W1209" s="17" t="s">
        <v>3726</v>
      </c>
      <c r="X1209" s="17">
        <v>3</v>
      </c>
      <c r="Y1209" s="17">
        <v>0</v>
      </c>
      <c r="Z1209" s="17"/>
      <c r="AA1209" s="17" t="s">
        <v>105</v>
      </c>
      <c r="AB1209" s="17" t="s">
        <v>79</v>
      </c>
      <c r="AC1209" s="17">
        <v>6</v>
      </c>
      <c r="AD1209" s="17">
        <v>0</v>
      </c>
      <c r="AE1209" s="17">
        <v>0</v>
      </c>
      <c r="AF1209" s="17"/>
      <c r="AG1209" s="17" t="s">
        <v>81</v>
      </c>
      <c r="AH1209" s="17" t="s">
        <v>82</v>
      </c>
      <c r="AI1209" s="17" t="s">
        <v>107</v>
      </c>
      <c r="AJ1209" s="17"/>
      <c r="AK1209" s="17" t="s">
        <v>75</v>
      </c>
      <c r="AL1209" s="17" t="s">
        <v>75</v>
      </c>
      <c r="AM1209" s="17" t="s">
        <v>75</v>
      </c>
      <c r="AN1209" s="17" t="s">
        <v>84</v>
      </c>
      <c r="AO1209" s="17" t="s">
        <v>137</v>
      </c>
      <c r="AP1209" s="17"/>
      <c r="AQ1209" s="17"/>
      <c r="AR1209" s="17"/>
      <c r="AS1209" s="17"/>
      <c r="AT1209" s="17" t="s">
        <v>3727</v>
      </c>
      <c r="AU1209" s="17" t="s">
        <v>111</v>
      </c>
    </row>
    <row r="1210" hidden="1">
      <c r="A1210" s="17">
        <v>1208</v>
      </c>
      <c r="B1210" s="17" t="s">
        <v>52</v>
      </c>
      <c r="C1210" s="34" t="s">
        <v>3728</v>
      </c>
      <c r="D1210" s="35" t="s">
        <v>52</v>
      </c>
      <c r="E1210" s="17" t="s">
        <v>3729</v>
      </c>
      <c r="F1210" s="17" t="s">
        <v>3730</v>
      </c>
      <c r="G1210" s="17">
        <v>22.299327999999999</v>
      </c>
      <c r="H1210" s="17">
        <v>87.584365000000005</v>
      </c>
      <c r="I1210" s="17"/>
      <c r="J1210" s="17"/>
      <c r="K1210" s="17"/>
      <c r="L1210" s="17"/>
      <c r="M1210" s="35" t="s">
        <v>2680</v>
      </c>
      <c r="N1210" s="17">
        <v>8240995955</v>
      </c>
      <c r="O1210" s="17">
        <v>20</v>
      </c>
      <c r="P1210" s="17">
        <v>60</v>
      </c>
      <c r="Q1210" s="17" t="s">
        <v>105</v>
      </c>
      <c r="R1210" s="17" t="s">
        <v>2300</v>
      </c>
      <c r="S1210" s="17" t="s">
        <v>137</v>
      </c>
      <c r="T1210" s="17" t="s">
        <v>3731</v>
      </c>
      <c r="U1210" s="17" t="s">
        <v>76</v>
      </c>
      <c r="V1210" s="17" t="s">
        <v>77</v>
      </c>
      <c r="W1210" s="17" t="s">
        <v>454</v>
      </c>
      <c r="X1210" s="17">
        <v>3</v>
      </c>
      <c r="Y1210" s="17">
        <v>1</v>
      </c>
      <c r="Z1210" s="17"/>
      <c r="AA1210" s="17" t="s">
        <v>105</v>
      </c>
      <c r="AB1210" s="17" t="s">
        <v>239</v>
      </c>
      <c r="AC1210" s="17">
        <v>3</v>
      </c>
      <c r="AD1210" s="17">
        <v>0</v>
      </c>
      <c r="AE1210" s="17">
        <v>0</v>
      </c>
      <c r="AF1210" s="17"/>
      <c r="AG1210" s="17" t="s">
        <v>81</v>
      </c>
      <c r="AH1210" s="17" t="s">
        <v>82</v>
      </c>
      <c r="AI1210" s="17" t="s">
        <v>83</v>
      </c>
      <c r="AJ1210" s="17">
        <v>2111</v>
      </c>
      <c r="AK1210" s="17" t="s">
        <v>75</v>
      </c>
      <c r="AL1210" s="17" t="s">
        <v>75</v>
      </c>
      <c r="AM1210" s="17" t="s">
        <v>75</v>
      </c>
      <c r="AN1210" s="17" t="s">
        <v>84</v>
      </c>
      <c r="AO1210" s="17" t="s">
        <v>75</v>
      </c>
      <c r="AP1210" s="17"/>
      <c r="AQ1210" s="17"/>
      <c r="AR1210" s="17"/>
      <c r="AS1210" s="17"/>
      <c r="AT1210" s="17" t="s">
        <v>3722</v>
      </c>
      <c r="AU1210" s="17" t="s">
        <v>111</v>
      </c>
    </row>
    <row r="1211" hidden="1">
      <c r="A1211" s="17">
        <v>1209</v>
      </c>
      <c r="B1211" s="17" t="s">
        <v>52</v>
      </c>
      <c r="C1211" s="34" t="s">
        <v>3732</v>
      </c>
      <c r="D1211" s="35" t="s">
        <v>52</v>
      </c>
      <c r="E1211" s="17" t="s">
        <v>3733</v>
      </c>
      <c r="F1211" s="17" t="s">
        <v>3734</v>
      </c>
      <c r="G1211" s="17">
        <v>22.231534</v>
      </c>
      <c r="H1211" s="17">
        <v>87.684421999999998</v>
      </c>
      <c r="I1211" s="17"/>
      <c r="J1211" s="17"/>
      <c r="K1211" s="17"/>
      <c r="L1211" s="17"/>
      <c r="M1211" s="35" t="s">
        <v>166</v>
      </c>
      <c r="N1211" s="17">
        <v>9064976019</v>
      </c>
      <c r="O1211" s="17">
        <v>16</v>
      </c>
      <c r="P1211" s="17">
        <v>55</v>
      </c>
      <c r="Q1211" s="17" t="s">
        <v>105</v>
      </c>
      <c r="R1211" s="17" t="s">
        <v>154</v>
      </c>
      <c r="S1211" s="17" t="s">
        <v>75</v>
      </c>
      <c r="T1211" s="17"/>
      <c r="U1211" s="17" t="s">
        <v>105</v>
      </c>
      <c r="V1211" s="17" t="s">
        <v>77</v>
      </c>
      <c r="W1211" s="17" t="s">
        <v>252</v>
      </c>
      <c r="X1211" s="17">
        <v>4</v>
      </c>
      <c r="Y1211" s="17">
        <v>1</v>
      </c>
      <c r="Z1211" s="17" t="s">
        <v>3735</v>
      </c>
      <c r="AA1211" s="17" t="s">
        <v>105</v>
      </c>
      <c r="AB1211" s="17" t="s">
        <v>239</v>
      </c>
      <c r="AC1211" s="17">
        <v>2</v>
      </c>
      <c r="AD1211" s="17">
        <v>0</v>
      </c>
      <c r="AE1211" s="17">
        <v>1</v>
      </c>
      <c r="AF1211" s="17"/>
      <c r="AG1211" s="17" t="s">
        <v>81</v>
      </c>
      <c r="AH1211" s="17" t="s">
        <v>82</v>
      </c>
      <c r="AI1211" s="17" t="s">
        <v>107</v>
      </c>
      <c r="AJ1211" s="17"/>
      <c r="AK1211" s="17" t="s">
        <v>75</v>
      </c>
      <c r="AL1211" s="17" t="s">
        <v>75</v>
      </c>
      <c r="AM1211" s="17" t="s">
        <v>75</v>
      </c>
      <c r="AN1211" s="17" t="s">
        <v>125</v>
      </c>
      <c r="AO1211" s="17" t="s">
        <v>75</v>
      </c>
      <c r="AP1211" s="17"/>
      <c r="AQ1211" s="17"/>
      <c r="AR1211" s="17"/>
      <c r="AS1211" s="17"/>
      <c r="AT1211" s="17" t="s">
        <v>919</v>
      </c>
      <c r="AU1211" s="17" t="s">
        <v>127</v>
      </c>
    </row>
    <row r="1212" hidden="1">
      <c r="A1212" s="17">
        <v>1210</v>
      </c>
      <c r="B1212" s="17" t="s">
        <v>52</v>
      </c>
      <c r="C1212" s="34" t="s">
        <v>3736</v>
      </c>
      <c r="D1212" s="35" t="s">
        <v>52</v>
      </c>
      <c r="E1212" s="17" t="s">
        <v>3737</v>
      </c>
      <c r="F1212" s="17" t="s">
        <v>3738</v>
      </c>
      <c r="G1212" s="17">
        <v>22.322379000000002</v>
      </c>
      <c r="H1212" s="17">
        <v>87.679404000000005</v>
      </c>
      <c r="I1212" s="17"/>
      <c r="J1212" s="17"/>
      <c r="K1212" s="17"/>
      <c r="L1212" s="17"/>
      <c r="M1212" s="35" t="s">
        <v>166</v>
      </c>
      <c r="N1212" s="17">
        <v>9064976019</v>
      </c>
      <c r="O1212" s="17">
        <v>16</v>
      </c>
      <c r="P1212" s="17">
        <v>100</v>
      </c>
      <c r="Q1212" s="17" t="s">
        <v>105</v>
      </c>
      <c r="R1212" s="17" t="s">
        <v>74</v>
      </c>
      <c r="S1212" s="17" t="s">
        <v>75</v>
      </c>
      <c r="T1212" s="17"/>
      <c r="U1212" s="17" t="s">
        <v>160</v>
      </c>
      <c r="V1212" s="17" t="s">
        <v>77</v>
      </c>
      <c r="W1212" s="17" t="s">
        <v>252</v>
      </c>
      <c r="X1212" s="17">
        <v>5</v>
      </c>
      <c r="Y1212" s="17">
        <v>0</v>
      </c>
      <c r="Z1212" s="17"/>
      <c r="AA1212" s="17" t="s">
        <v>105</v>
      </c>
      <c r="AB1212" s="17" t="s">
        <v>79</v>
      </c>
      <c r="AC1212" s="17">
        <v>4</v>
      </c>
      <c r="AD1212" s="17">
        <v>0</v>
      </c>
      <c r="AE1212" s="17">
        <v>0</v>
      </c>
      <c r="AF1212" s="17"/>
      <c r="AG1212" s="17" t="s">
        <v>124</v>
      </c>
      <c r="AH1212" s="17" t="s">
        <v>82</v>
      </c>
      <c r="AI1212" s="17" t="s">
        <v>83</v>
      </c>
      <c r="AJ1212" s="17">
        <v>2111</v>
      </c>
      <c r="AK1212" s="17" t="s">
        <v>75</v>
      </c>
      <c r="AL1212" s="17" t="s">
        <v>75</v>
      </c>
      <c r="AM1212" s="17" t="s">
        <v>163</v>
      </c>
      <c r="AN1212" s="17" t="s">
        <v>125</v>
      </c>
      <c r="AO1212" s="17" t="s">
        <v>75</v>
      </c>
      <c r="AP1212" s="17"/>
      <c r="AQ1212" s="17"/>
      <c r="AR1212" s="17"/>
      <c r="AS1212" s="17"/>
      <c r="AT1212" s="17" t="s">
        <v>3739</v>
      </c>
      <c r="AU1212" s="17" t="s">
        <v>3740</v>
      </c>
    </row>
    <row r="1213" hidden="1">
      <c r="A1213" s="17">
        <v>1211</v>
      </c>
      <c r="B1213" s="17" t="s">
        <v>52</v>
      </c>
      <c r="C1213" s="34" t="s">
        <v>3741</v>
      </c>
      <c r="D1213" s="35" t="s">
        <v>52</v>
      </c>
      <c r="E1213" s="17" t="s">
        <v>3742</v>
      </c>
      <c r="F1213" s="17" t="s">
        <v>3743</v>
      </c>
      <c r="G1213" s="17">
        <v>22.251746000000001</v>
      </c>
      <c r="H1213" s="17">
        <v>87.641651999999993</v>
      </c>
      <c r="I1213" s="17"/>
      <c r="J1213" s="17"/>
      <c r="K1213" s="17"/>
      <c r="L1213" s="17"/>
      <c r="M1213" s="35" t="s">
        <v>2680</v>
      </c>
      <c r="N1213" s="17">
        <v>8240995955</v>
      </c>
      <c r="O1213" s="17">
        <v>14</v>
      </c>
      <c r="P1213" s="17">
        <v>120</v>
      </c>
      <c r="Q1213" s="17" t="s">
        <v>105</v>
      </c>
      <c r="R1213" s="17" t="s">
        <v>142</v>
      </c>
      <c r="S1213" s="17" t="s">
        <v>75</v>
      </c>
      <c r="T1213" s="17"/>
      <c r="U1213" s="17" t="s">
        <v>105</v>
      </c>
      <c r="V1213" s="17" t="s">
        <v>77</v>
      </c>
      <c r="W1213" s="17" t="s">
        <v>78</v>
      </c>
      <c r="X1213" s="17">
        <v>4</v>
      </c>
      <c r="Y1213" s="17">
        <v>1</v>
      </c>
      <c r="Z1213" s="17"/>
      <c r="AA1213" s="17" t="s">
        <v>145</v>
      </c>
      <c r="AB1213" s="17" t="s">
        <v>1838</v>
      </c>
      <c r="AC1213" s="17">
        <v>6</v>
      </c>
      <c r="AD1213" s="17">
        <v>0</v>
      </c>
      <c r="AE1213" s="17">
        <v>0</v>
      </c>
      <c r="AF1213" s="17"/>
      <c r="AG1213" s="17" t="s">
        <v>124</v>
      </c>
      <c r="AH1213" s="17" t="s">
        <v>162</v>
      </c>
      <c r="AI1213" s="17" t="s">
        <v>83</v>
      </c>
      <c r="AJ1213" s="17">
        <v>2112</v>
      </c>
      <c r="AK1213" s="17" t="s">
        <v>75</v>
      </c>
      <c r="AL1213" s="17" t="s">
        <v>75</v>
      </c>
      <c r="AM1213" s="17" t="s">
        <v>75</v>
      </c>
      <c r="AN1213" s="17" t="s">
        <v>84</v>
      </c>
      <c r="AO1213" s="17" t="s">
        <v>75</v>
      </c>
      <c r="AP1213" s="17"/>
      <c r="AQ1213" s="17"/>
      <c r="AR1213" s="17"/>
      <c r="AS1213" s="17"/>
      <c r="AT1213" s="17" t="s">
        <v>3744</v>
      </c>
      <c r="AU1213" s="17" t="s">
        <v>127</v>
      </c>
    </row>
    <row r="1214" hidden="1">
      <c r="A1214" s="17">
        <v>1212</v>
      </c>
      <c r="B1214" s="17" t="s">
        <v>52</v>
      </c>
      <c r="C1214" s="34" t="s">
        <v>3745</v>
      </c>
      <c r="D1214" s="35" t="s">
        <v>52</v>
      </c>
      <c r="E1214" s="17" t="s">
        <v>3746</v>
      </c>
      <c r="F1214" s="17" t="s">
        <v>3747</v>
      </c>
      <c r="G1214" s="17">
        <v>22.245452</v>
      </c>
      <c r="H1214" s="17">
        <v>87.558132000000001</v>
      </c>
      <c r="I1214" s="17"/>
      <c r="J1214" s="17"/>
      <c r="K1214" s="17"/>
      <c r="L1214" s="17"/>
      <c r="M1214" s="35" t="s">
        <v>2680</v>
      </c>
      <c r="N1214" s="17">
        <v>8240995955</v>
      </c>
      <c r="O1214" s="26">
        <v>20</v>
      </c>
      <c r="P1214" s="26">
        <v>85</v>
      </c>
      <c r="Q1214" s="26" t="s">
        <v>105</v>
      </c>
      <c r="R1214" s="26" t="s">
        <v>2300</v>
      </c>
      <c r="S1214" s="26" t="s">
        <v>137</v>
      </c>
      <c r="T1214" s="26" t="s">
        <v>3748</v>
      </c>
      <c r="U1214" s="26" t="s">
        <v>105</v>
      </c>
      <c r="V1214" s="26" t="s">
        <v>77</v>
      </c>
      <c r="W1214" s="26" t="s">
        <v>161</v>
      </c>
      <c r="X1214" s="26">
        <v>6</v>
      </c>
      <c r="Y1214" s="26">
        <v>0</v>
      </c>
      <c r="Z1214" s="26"/>
      <c r="AA1214" s="26" t="s">
        <v>145</v>
      </c>
      <c r="AB1214" s="26" t="s">
        <v>239</v>
      </c>
      <c r="AC1214" s="26">
        <v>3</v>
      </c>
      <c r="AD1214" s="26">
        <v>0</v>
      </c>
      <c r="AE1214" s="26">
        <v>0</v>
      </c>
      <c r="AF1214" s="26"/>
      <c r="AG1214" s="26" t="s">
        <v>81</v>
      </c>
      <c r="AH1214" s="26" t="s">
        <v>82</v>
      </c>
      <c r="AI1214" s="26" t="s">
        <v>107</v>
      </c>
      <c r="AJ1214" s="26"/>
      <c r="AK1214" s="26" t="s">
        <v>75</v>
      </c>
      <c r="AL1214" s="26" t="s">
        <v>75</v>
      </c>
      <c r="AM1214" s="26" t="s">
        <v>75</v>
      </c>
      <c r="AN1214" s="26" t="s">
        <v>84</v>
      </c>
      <c r="AO1214" s="26" t="s">
        <v>137</v>
      </c>
      <c r="AP1214" s="26" t="s">
        <v>105</v>
      </c>
      <c r="AQ1214" s="26" t="s">
        <v>2343</v>
      </c>
      <c r="AR1214" s="26">
        <v>4</v>
      </c>
      <c r="AS1214" s="26">
        <v>2</v>
      </c>
      <c r="AT1214" s="26" t="s">
        <v>3749</v>
      </c>
      <c r="AU1214" s="26" t="s">
        <v>111</v>
      </c>
    </row>
    <row r="1215" hidden="1">
      <c r="A1215" s="17">
        <v>1213</v>
      </c>
      <c r="B1215" s="17" t="s">
        <v>52</v>
      </c>
      <c r="C1215" s="34" t="s">
        <v>3750</v>
      </c>
      <c r="D1215" s="35" t="s">
        <v>52</v>
      </c>
      <c r="E1215" s="17" t="s">
        <v>2428</v>
      </c>
      <c r="F1215" s="17" t="s">
        <v>3751</v>
      </c>
      <c r="G1215" s="17">
        <v>22.261109999999999</v>
      </c>
      <c r="H1215" s="17">
        <v>87.529129999999995</v>
      </c>
      <c r="I1215" s="17"/>
      <c r="J1215" s="17"/>
      <c r="K1215" s="17"/>
      <c r="L1215" s="17"/>
      <c r="M1215" s="35" t="s">
        <v>2680</v>
      </c>
      <c r="N1215" s="27">
        <v>8240995955</v>
      </c>
      <c r="O1215" s="39">
        <v>18</v>
      </c>
      <c r="P1215" s="39">
        <v>60</v>
      </c>
      <c r="Q1215" s="39" t="s">
        <v>73</v>
      </c>
      <c r="R1215" s="39" t="s">
        <v>74</v>
      </c>
      <c r="S1215" s="39" t="s">
        <v>137</v>
      </c>
      <c r="T1215" s="39" t="s">
        <v>947</v>
      </c>
      <c r="U1215" s="39" t="s">
        <v>105</v>
      </c>
      <c r="V1215" s="39" t="s">
        <v>77</v>
      </c>
      <c r="W1215" s="39" t="s">
        <v>78</v>
      </c>
      <c r="X1215" s="39">
        <v>3</v>
      </c>
      <c r="Y1215" s="39">
        <v>0</v>
      </c>
      <c r="Z1215" s="40"/>
      <c r="AA1215" s="40" t="s">
        <v>73</v>
      </c>
      <c r="AB1215" s="40" t="s">
        <v>1838</v>
      </c>
      <c r="AC1215" s="39">
        <v>4</v>
      </c>
      <c r="AD1215" s="39">
        <v>0</v>
      </c>
      <c r="AE1215" s="39">
        <v>2</v>
      </c>
      <c r="AF1215" s="39"/>
      <c r="AG1215" s="39" t="s">
        <v>124</v>
      </c>
      <c r="AH1215" s="39" t="s">
        <v>82</v>
      </c>
      <c r="AI1215" s="39" t="s">
        <v>83</v>
      </c>
      <c r="AJ1215" s="39">
        <v>2111</v>
      </c>
      <c r="AK1215" s="39" t="s">
        <v>75</v>
      </c>
      <c r="AL1215" s="39" t="s">
        <v>75</v>
      </c>
      <c r="AM1215" s="39" t="s">
        <v>75</v>
      </c>
      <c r="AN1215" s="39" t="s">
        <v>125</v>
      </c>
      <c r="AO1215" s="39" t="s">
        <v>75</v>
      </c>
      <c r="AP1215" s="39"/>
      <c r="AQ1215" s="39"/>
      <c r="AR1215" s="39"/>
      <c r="AS1215" s="39"/>
      <c r="AT1215" s="39"/>
      <c r="AU1215" s="39" t="s">
        <v>127</v>
      </c>
    </row>
    <row r="1216" hidden="1">
      <c r="A1216" s="17">
        <v>1214</v>
      </c>
      <c r="B1216" s="17" t="s">
        <v>52</v>
      </c>
      <c r="C1216" s="34" t="s">
        <v>3752</v>
      </c>
      <c r="D1216" s="35" t="s">
        <v>52</v>
      </c>
      <c r="E1216" s="17" t="s">
        <v>3753</v>
      </c>
      <c r="F1216" s="17" t="s">
        <v>3754</v>
      </c>
      <c r="G1216" s="17">
        <v>22.286760000000001</v>
      </c>
      <c r="H1216" s="17">
        <v>87.685890000000001</v>
      </c>
      <c r="I1216" s="17"/>
      <c r="J1216" s="17"/>
      <c r="K1216" s="17"/>
      <c r="L1216" s="17"/>
      <c r="M1216" s="35" t="s">
        <v>166</v>
      </c>
      <c r="N1216" s="17">
        <v>9064976019</v>
      </c>
      <c r="O1216" s="17">
        <v>16</v>
      </c>
      <c r="P1216" s="17">
        <v>110</v>
      </c>
      <c r="Q1216" s="17" t="s">
        <v>105</v>
      </c>
      <c r="R1216" s="17" t="s">
        <v>74</v>
      </c>
      <c r="S1216" s="17" t="s">
        <v>75</v>
      </c>
      <c r="T1216" s="17"/>
      <c r="U1216" s="17" t="s">
        <v>105</v>
      </c>
      <c r="V1216" s="17" t="s">
        <v>340</v>
      </c>
      <c r="W1216" s="17" t="s">
        <v>123</v>
      </c>
      <c r="X1216" s="17">
        <v>5</v>
      </c>
      <c r="Y1216" s="17">
        <v>1</v>
      </c>
      <c r="Z1216" s="17"/>
      <c r="AA1216" s="17" t="s">
        <v>105</v>
      </c>
      <c r="AB1216" s="17" t="s">
        <v>79</v>
      </c>
      <c r="AC1216" s="17">
        <v>5</v>
      </c>
      <c r="AD1216" s="17">
        <v>0</v>
      </c>
      <c r="AE1216" s="17">
        <v>1</v>
      </c>
      <c r="AF1216" s="17"/>
      <c r="AG1216" s="17" t="s">
        <v>124</v>
      </c>
      <c r="AH1216" s="17" t="s">
        <v>82</v>
      </c>
      <c r="AI1216" s="17" t="s">
        <v>83</v>
      </c>
      <c r="AJ1216" s="17">
        <v>2111</v>
      </c>
      <c r="AK1216" s="17" t="s">
        <v>75</v>
      </c>
      <c r="AL1216" s="17" t="s">
        <v>75</v>
      </c>
      <c r="AM1216" s="17" t="s">
        <v>75</v>
      </c>
      <c r="AN1216" s="17" t="s">
        <v>84</v>
      </c>
      <c r="AO1216" s="17" t="s">
        <v>75</v>
      </c>
      <c r="AP1216" s="17"/>
      <c r="AQ1216" s="17"/>
      <c r="AR1216" s="17"/>
      <c r="AS1216" s="17"/>
      <c r="AT1216" s="17" t="s">
        <v>2676</v>
      </c>
      <c r="AU1216" s="17" t="s">
        <v>127</v>
      </c>
    </row>
    <row r="1217" hidden="1">
      <c r="A1217" s="17">
        <v>1215</v>
      </c>
      <c r="B1217" s="17" t="s">
        <v>52</v>
      </c>
      <c r="C1217" s="34" t="s">
        <v>3755</v>
      </c>
      <c r="D1217" s="35" t="s">
        <v>52</v>
      </c>
      <c r="E1217" s="17"/>
      <c r="F1217" s="17" t="s">
        <v>3756</v>
      </c>
      <c r="G1217" s="17">
        <v>22.32526</v>
      </c>
      <c r="H1217" s="17">
        <v>87.718549999999993</v>
      </c>
      <c r="I1217" s="17"/>
      <c r="J1217" s="17"/>
      <c r="K1217" s="17"/>
      <c r="L1217" s="17"/>
      <c r="M1217" s="35" t="s">
        <v>166</v>
      </c>
      <c r="N1217" s="17">
        <v>9064976019</v>
      </c>
      <c r="O1217" s="17">
        <v>16</v>
      </c>
      <c r="P1217" s="17">
        <v>100</v>
      </c>
      <c r="Q1217" s="17" t="s">
        <v>187</v>
      </c>
      <c r="R1217" s="17" t="s">
        <v>74</v>
      </c>
      <c r="S1217" s="17" t="s">
        <v>75</v>
      </c>
      <c r="T1217" s="17"/>
      <c r="U1217" s="17" t="s">
        <v>160</v>
      </c>
      <c r="V1217" s="17" t="s">
        <v>77</v>
      </c>
      <c r="W1217" s="17" t="s">
        <v>78</v>
      </c>
      <c r="X1217" s="17">
        <v>5</v>
      </c>
      <c r="Y1217" s="17">
        <v>1</v>
      </c>
      <c r="Z1217" s="17"/>
      <c r="AA1217" s="17" t="s">
        <v>187</v>
      </c>
      <c r="AB1217" s="17" t="s">
        <v>79</v>
      </c>
      <c r="AC1217" s="17">
        <v>2</v>
      </c>
      <c r="AD1217" s="17">
        <v>0</v>
      </c>
      <c r="AE1217" s="17">
        <v>0</v>
      </c>
      <c r="AF1217" s="17"/>
      <c r="AG1217" s="17" t="s">
        <v>124</v>
      </c>
      <c r="AH1217" s="17" t="s">
        <v>162</v>
      </c>
      <c r="AI1217" s="17" t="s">
        <v>83</v>
      </c>
      <c r="AJ1217" s="17">
        <v>2112</v>
      </c>
      <c r="AK1217" s="17" t="s">
        <v>75</v>
      </c>
      <c r="AL1217" s="17" t="s">
        <v>75</v>
      </c>
      <c r="AM1217" s="17" t="s">
        <v>75</v>
      </c>
      <c r="AN1217" s="17" t="s">
        <v>84</v>
      </c>
      <c r="AO1217" s="17" t="s">
        <v>75</v>
      </c>
      <c r="AP1217" s="17"/>
      <c r="AQ1217" s="17"/>
      <c r="AR1217" s="17"/>
      <c r="AS1217" s="17"/>
      <c r="AT1217" s="17" t="s">
        <v>3757</v>
      </c>
      <c r="AU1217" s="17" t="s">
        <v>127</v>
      </c>
    </row>
    <row r="1218" hidden="1">
      <c r="A1218" s="17">
        <v>1216</v>
      </c>
      <c r="B1218" s="17" t="s">
        <v>52</v>
      </c>
      <c r="C1218" s="34" t="s">
        <v>3758</v>
      </c>
      <c r="D1218" s="35" t="s">
        <v>52</v>
      </c>
      <c r="E1218" s="17"/>
      <c r="F1218" s="17" t="s">
        <v>3759</v>
      </c>
      <c r="G1218" s="17">
        <v>22.303922</v>
      </c>
      <c r="H1218" s="17">
        <v>87.553340000000006</v>
      </c>
      <c r="I1218" s="17"/>
      <c r="J1218" s="17"/>
      <c r="K1218" s="17"/>
      <c r="L1218" s="17"/>
      <c r="M1218" s="35" t="s">
        <v>2680</v>
      </c>
      <c r="N1218" s="17">
        <v>8240995955</v>
      </c>
      <c r="O1218" s="17">
        <v>20</v>
      </c>
      <c r="P1218" s="17">
        <v>60</v>
      </c>
      <c r="Q1218" s="17" t="s">
        <v>73</v>
      </c>
      <c r="R1218" s="17" t="s">
        <v>74</v>
      </c>
      <c r="S1218" s="17" t="s">
        <v>137</v>
      </c>
      <c r="T1218" s="17" t="s">
        <v>947</v>
      </c>
      <c r="U1218" s="17" t="s">
        <v>2285</v>
      </c>
      <c r="V1218" s="17" t="s">
        <v>77</v>
      </c>
      <c r="W1218" s="17" t="s">
        <v>161</v>
      </c>
      <c r="X1218" s="17">
        <v>5</v>
      </c>
      <c r="Y1218" s="17">
        <v>0</v>
      </c>
      <c r="Z1218" s="17"/>
      <c r="AA1218" s="17"/>
      <c r="AB1218" s="17"/>
      <c r="AC1218" s="17">
        <v>4</v>
      </c>
      <c r="AD1218" s="17">
        <v>0</v>
      </c>
      <c r="AE1218" s="17">
        <v>2</v>
      </c>
      <c r="AF1218" s="17"/>
      <c r="AG1218" s="17" t="s">
        <v>81</v>
      </c>
      <c r="AH1218" s="17" t="s">
        <v>82</v>
      </c>
      <c r="AI1218" s="17" t="s">
        <v>83</v>
      </c>
      <c r="AJ1218" s="17">
        <v>2111</v>
      </c>
      <c r="AK1218" s="17" t="s">
        <v>75</v>
      </c>
      <c r="AL1218" s="17" t="s">
        <v>75</v>
      </c>
      <c r="AM1218" s="17" t="s">
        <v>163</v>
      </c>
      <c r="AN1218" s="17" t="s">
        <v>125</v>
      </c>
      <c r="AO1218" s="17" t="s">
        <v>137</v>
      </c>
      <c r="AP1218" s="17"/>
      <c r="AQ1218" s="17"/>
      <c r="AR1218" s="17"/>
      <c r="AS1218" s="17"/>
      <c r="AT1218" s="17" t="s">
        <v>3760</v>
      </c>
      <c r="AU1218" s="17" t="s">
        <v>111</v>
      </c>
    </row>
    <row r="1219" hidden="1">
      <c r="A1219" s="17">
        <v>1217</v>
      </c>
      <c r="B1219" s="17" t="s">
        <v>52</v>
      </c>
      <c r="C1219" s="34" t="s">
        <v>3761</v>
      </c>
      <c r="D1219" s="35" t="s">
        <v>52</v>
      </c>
      <c r="E1219" s="17" t="s">
        <v>3762</v>
      </c>
      <c r="F1219" s="17" t="s">
        <v>3763</v>
      </c>
      <c r="G1219" s="17">
        <v>22.298817</v>
      </c>
      <c r="H1219" s="17">
        <v>87.676349999999999</v>
      </c>
      <c r="I1219" s="17"/>
      <c r="J1219" s="17"/>
      <c r="K1219" s="17"/>
      <c r="L1219" s="17"/>
      <c r="M1219" s="35" t="s">
        <v>166</v>
      </c>
      <c r="N1219" s="17">
        <v>9064976019</v>
      </c>
      <c r="O1219" s="17"/>
      <c r="P1219" s="17"/>
      <c r="Q1219" s="17"/>
      <c r="R1219" s="17"/>
      <c r="S1219" s="17"/>
      <c r="T1219" s="17"/>
      <c r="U1219" s="17"/>
      <c r="V1219" s="17"/>
      <c r="W1219" s="17"/>
      <c r="X1219" s="17"/>
      <c r="Y1219" s="17"/>
      <c r="Z1219" s="17"/>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row>
    <row r="1220" hidden="1">
      <c r="A1220" s="17">
        <v>1218</v>
      </c>
      <c r="B1220" s="17" t="s">
        <v>52</v>
      </c>
      <c r="C1220" s="34" t="s">
        <v>3764</v>
      </c>
      <c r="D1220" s="35" t="s">
        <v>52</v>
      </c>
      <c r="E1220" s="17" t="s">
        <v>2458</v>
      </c>
      <c r="F1220" s="17" t="s">
        <v>3765</v>
      </c>
      <c r="G1220" s="17">
        <v>22.256947</v>
      </c>
      <c r="H1220" s="17">
        <v>87.657839999999993</v>
      </c>
      <c r="I1220" s="17"/>
      <c r="J1220" s="17"/>
      <c r="K1220" s="17"/>
      <c r="L1220" s="17"/>
      <c r="M1220" s="35" t="s">
        <v>2680</v>
      </c>
      <c r="N1220" s="17">
        <v>8240995955</v>
      </c>
      <c r="O1220" s="17"/>
      <c r="P1220" s="17"/>
      <c r="Q1220" s="17"/>
      <c r="R1220" s="17"/>
      <c r="S1220" s="17"/>
      <c r="T1220" s="17"/>
      <c r="U1220" s="17"/>
      <c r="V1220" s="17"/>
      <c r="W1220" s="17"/>
      <c r="X1220" s="17"/>
      <c r="Y1220" s="17"/>
      <c r="Z1220" s="17"/>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row>
    <row r="1221" hidden="1">
      <c r="A1221" s="17">
        <v>1219</v>
      </c>
      <c r="B1221" s="17" t="s">
        <v>52</v>
      </c>
      <c r="C1221" s="34" t="s">
        <v>3766</v>
      </c>
      <c r="D1221" s="35" t="s">
        <v>52</v>
      </c>
      <c r="E1221" s="17" t="s">
        <v>3767</v>
      </c>
      <c r="F1221" s="17" t="s">
        <v>3768</v>
      </c>
      <c r="G1221" s="17">
        <v>22.293885</v>
      </c>
      <c r="H1221" s="17">
        <v>87.503707000000006</v>
      </c>
      <c r="I1221" s="17"/>
      <c r="J1221" s="17"/>
      <c r="K1221" s="17"/>
      <c r="L1221" s="17"/>
      <c r="M1221" s="35" t="s">
        <v>2680</v>
      </c>
      <c r="N1221" s="17">
        <v>8240995955</v>
      </c>
      <c r="O1221" s="17">
        <v>10</v>
      </c>
      <c r="P1221" s="17">
        <v>60</v>
      </c>
      <c r="Q1221" s="17" t="s">
        <v>73</v>
      </c>
      <c r="R1221" s="17" t="s">
        <v>104</v>
      </c>
      <c r="S1221" s="17" t="s">
        <v>137</v>
      </c>
      <c r="T1221" s="17" t="s">
        <v>3769</v>
      </c>
      <c r="U1221" s="17" t="s">
        <v>105</v>
      </c>
      <c r="V1221" s="17" t="s">
        <v>77</v>
      </c>
      <c r="W1221" s="17" t="s">
        <v>443</v>
      </c>
      <c r="X1221" s="17">
        <v>3</v>
      </c>
      <c r="Y1221" s="17">
        <v>2</v>
      </c>
      <c r="Z1221" s="17"/>
      <c r="AA1221" s="17" t="s">
        <v>73</v>
      </c>
      <c r="AB1221" s="17" t="s">
        <v>79</v>
      </c>
      <c r="AC1221" s="17">
        <v>3</v>
      </c>
      <c r="AD1221" s="17">
        <v>0</v>
      </c>
      <c r="AE1221" s="17">
        <v>2</v>
      </c>
      <c r="AF1221" s="17"/>
      <c r="AG1221" s="17" t="s">
        <v>724</v>
      </c>
      <c r="AH1221" s="17"/>
      <c r="AI1221" s="17"/>
      <c r="AJ1221" s="17"/>
      <c r="AK1221" s="17"/>
      <c r="AL1221" s="17"/>
      <c r="AM1221" s="17"/>
      <c r="AN1221" s="17"/>
      <c r="AO1221" s="17"/>
      <c r="AP1221" s="17"/>
      <c r="AQ1221" s="17"/>
      <c r="AR1221" s="17"/>
      <c r="AS1221" s="17"/>
      <c r="AT1221" s="17" t="s">
        <v>3770</v>
      </c>
      <c r="AU1221" s="17" t="s">
        <v>127</v>
      </c>
    </row>
    <row r="1222" hidden="1">
      <c r="A1222" s="17">
        <v>1220</v>
      </c>
      <c r="B1222" s="17" t="s">
        <v>52</v>
      </c>
      <c r="C1222" s="34" t="s">
        <v>3771</v>
      </c>
      <c r="D1222" s="35" t="s">
        <v>52</v>
      </c>
      <c r="E1222" s="17" t="s">
        <v>3772</v>
      </c>
      <c r="F1222" s="17" t="s">
        <v>3773</v>
      </c>
      <c r="G1222" s="17">
        <v>22.278711999999999</v>
      </c>
      <c r="H1222" s="17">
        <v>87.549221000000003</v>
      </c>
      <c r="I1222" s="17"/>
      <c r="J1222" s="17"/>
      <c r="K1222" s="17"/>
      <c r="L1222" s="17"/>
      <c r="M1222" s="35" t="s">
        <v>2680</v>
      </c>
      <c r="N1222" s="17">
        <v>8240995955</v>
      </c>
      <c r="O1222" s="17"/>
      <c r="P1222" s="17"/>
      <c r="Q1222" s="17"/>
      <c r="R1222" s="17"/>
      <c r="S1222" s="17"/>
      <c r="T1222" s="17"/>
      <c r="U1222" s="17"/>
      <c r="V1222" s="17"/>
      <c r="W1222" s="17"/>
      <c r="X1222" s="17"/>
      <c r="Y1222" s="17"/>
      <c r="Z1222" s="17"/>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row>
    <row r="1223" hidden="1">
      <c r="A1223" s="17">
        <v>1221</v>
      </c>
      <c r="B1223" s="17" t="s">
        <v>52</v>
      </c>
      <c r="C1223" s="34" t="s">
        <v>3774</v>
      </c>
      <c r="D1223" s="35" t="s">
        <v>52</v>
      </c>
      <c r="E1223" s="17" t="s">
        <v>3775</v>
      </c>
      <c r="F1223" s="17" t="s">
        <v>3776</v>
      </c>
      <c r="G1223" s="17">
        <v>22.318776</v>
      </c>
      <c r="H1223" s="17">
        <v>87.661141000000001</v>
      </c>
      <c r="I1223" s="17"/>
      <c r="J1223" s="17"/>
      <c r="K1223" s="17"/>
      <c r="L1223" s="17"/>
      <c r="M1223" s="35" t="s">
        <v>1579</v>
      </c>
      <c r="N1223" s="17">
        <v>7003188299</v>
      </c>
      <c r="O1223" s="17"/>
      <c r="P1223" s="17"/>
      <c r="Q1223" s="17"/>
      <c r="R1223" s="17"/>
      <c r="S1223" s="17"/>
      <c r="T1223" s="17"/>
      <c r="U1223" s="17"/>
      <c r="V1223" s="17"/>
      <c r="W1223" s="17"/>
      <c r="X1223" s="17"/>
      <c r="Y1223" s="17"/>
      <c r="Z1223" s="17"/>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row>
    <row r="1224" hidden="1">
      <c r="A1224" s="17">
        <v>1222</v>
      </c>
      <c r="B1224" s="17" t="s">
        <v>52</v>
      </c>
      <c r="C1224" s="34" t="s">
        <v>3777</v>
      </c>
      <c r="D1224" s="35" t="s">
        <v>52</v>
      </c>
      <c r="E1224" s="17" t="s">
        <v>3778</v>
      </c>
      <c r="F1224" s="17" t="s">
        <v>3779</v>
      </c>
      <c r="G1224" s="17">
        <v>22.236243999999999</v>
      </c>
      <c r="H1224" s="17">
        <v>87.543225000000007</v>
      </c>
      <c r="I1224" s="17"/>
      <c r="J1224" s="17"/>
      <c r="K1224" s="17"/>
      <c r="L1224" s="17"/>
      <c r="M1224" s="35" t="s">
        <v>2680</v>
      </c>
      <c r="N1224" s="17">
        <v>8240995955</v>
      </c>
      <c r="O1224" s="17"/>
      <c r="P1224" s="17"/>
      <c r="Q1224" s="17"/>
      <c r="R1224" s="17"/>
      <c r="S1224" s="17"/>
      <c r="T1224" s="17"/>
      <c r="U1224" s="17"/>
      <c r="V1224" s="17"/>
      <c r="W1224" s="17"/>
      <c r="X1224" s="17"/>
      <c r="Y1224" s="17"/>
      <c r="Z1224" s="17"/>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row>
    <row r="1225" hidden="1">
      <c r="A1225" s="17">
        <v>1223</v>
      </c>
      <c r="B1225" s="17" t="s">
        <v>52</v>
      </c>
      <c r="C1225" s="34" t="s">
        <v>3780</v>
      </c>
      <c r="D1225" s="35" t="s">
        <v>52</v>
      </c>
      <c r="E1225" s="17" t="s">
        <v>3781</v>
      </c>
      <c r="F1225" s="17" t="s">
        <v>3782</v>
      </c>
      <c r="G1225" s="17">
        <v>22.232811000000002</v>
      </c>
      <c r="H1225" s="17">
        <v>87.588125000000005</v>
      </c>
      <c r="I1225" s="17"/>
      <c r="J1225" s="17"/>
      <c r="K1225" s="17"/>
      <c r="L1225" s="17"/>
      <c r="M1225" s="35" t="s">
        <v>2680</v>
      </c>
      <c r="N1225" s="17">
        <v>8240995955</v>
      </c>
      <c r="O1225" s="17"/>
      <c r="P1225" s="17"/>
      <c r="Q1225" s="17"/>
      <c r="R1225" s="17"/>
      <c r="S1225" s="17"/>
      <c r="T1225" s="17"/>
      <c r="U1225" s="17"/>
      <c r="V1225" s="17"/>
      <c r="W1225" s="17"/>
      <c r="X1225" s="17"/>
      <c r="Y1225" s="17"/>
      <c r="Z1225" s="17"/>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row>
    <row r="1226" hidden="1">
      <c r="A1226" s="17">
        <v>1224</v>
      </c>
      <c r="B1226" s="17" t="s">
        <v>52</v>
      </c>
      <c r="C1226" s="34" t="s">
        <v>3783</v>
      </c>
      <c r="D1226" s="35" t="s">
        <v>52</v>
      </c>
      <c r="E1226" s="17" t="s">
        <v>3140</v>
      </c>
      <c r="F1226" s="17" t="s">
        <v>3784</v>
      </c>
      <c r="G1226" s="17">
        <v>22.256</v>
      </c>
      <c r="H1226" s="17">
        <v>87.565754999999996</v>
      </c>
      <c r="I1226" s="17"/>
      <c r="J1226" s="17"/>
      <c r="K1226" s="17"/>
      <c r="L1226" s="17"/>
      <c r="M1226" s="35" t="s">
        <v>2680</v>
      </c>
      <c r="N1226" s="17">
        <v>8240995955</v>
      </c>
      <c r="O1226" s="17"/>
      <c r="P1226" s="17"/>
      <c r="Q1226" s="17"/>
      <c r="R1226" s="17"/>
      <c r="S1226" s="17"/>
      <c r="T1226" s="17"/>
      <c r="U1226" s="17"/>
      <c r="V1226" s="17"/>
      <c r="W1226" s="17"/>
      <c r="X1226" s="17"/>
      <c r="Y1226" s="17"/>
      <c r="Z1226" s="17"/>
      <c r="AA1226" s="17"/>
      <c r="AB1226" s="17"/>
      <c r="AC1226" s="17"/>
      <c r="AD1226" s="17"/>
      <c r="AE1226" s="17"/>
      <c r="AF1226" s="17"/>
      <c r="AG1226" s="17"/>
      <c r="AH1226" s="17"/>
      <c r="AI1226" s="17"/>
      <c r="AJ1226" s="17"/>
      <c r="AK1226" s="17"/>
      <c r="AL1226" s="17"/>
      <c r="AM1226" s="17"/>
      <c r="AN1226" s="17"/>
      <c r="AO1226" s="17"/>
      <c r="AP1226" s="17"/>
      <c r="AQ1226" s="17"/>
      <c r="AR1226" s="17"/>
      <c r="AS1226" s="17"/>
      <c r="AT1226" s="17"/>
      <c r="AU1226" s="17"/>
    </row>
    <row r="1227" hidden="1">
      <c r="A1227" s="17">
        <v>1225</v>
      </c>
      <c r="B1227" s="17" t="s">
        <v>52</v>
      </c>
      <c r="C1227" s="34" t="s">
        <v>3785</v>
      </c>
      <c r="D1227" s="35" t="s">
        <v>52</v>
      </c>
      <c r="E1227" s="17" t="s">
        <v>3786</v>
      </c>
      <c r="F1227" s="17" t="s">
        <v>3787</v>
      </c>
      <c r="G1227" s="17">
        <v>22.271808</v>
      </c>
      <c r="H1227" s="17">
        <v>87.670232999999996</v>
      </c>
      <c r="I1227" s="17"/>
      <c r="J1227" s="17"/>
      <c r="K1227" s="17"/>
      <c r="L1227" s="17"/>
      <c r="M1227" s="35" t="s">
        <v>166</v>
      </c>
      <c r="N1227" s="17">
        <v>9064976019</v>
      </c>
      <c r="O1227" s="17"/>
      <c r="P1227" s="17"/>
      <c r="Q1227" s="17"/>
      <c r="R1227" s="17"/>
      <c r="S1227" s="17"/>
      <c r="T1227" s="17"/>
      <c r="U1227" s="17"/>
      <c r="V1227" s="17"/>
      <c r="W1227" s="17"/>
      <c r="X1227" s="17"/>
      <c r="Y1227" s="17"/>
      <c r="Z1227" s="17"/>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row>
    <row r="1228" hidden="1">
      <c r="A1228" s="17">
        <v>1226</v>
      </c>
      <c r="B1228" s="17" t="s">
        <v>52</v>
      </c>
      <c r="C1228" s="34" t="s">
        <v>3788</v>
      </c>
      <c r="D1228" s="35" t="s">
        <v>52</v>
      </c>
      <c r="E1228" s="17" t="s">
        <v>3789</v>
      </c>
      <c r="F1228" s="17" t="s">
        <v>3790</v>
      </c>
      <c r="G1228" s="17">
        <v>22.277152999999998</v>
      </c>
      <c r="H1228" s="17">
        <v>87.617625000000004</v>
      </c>
      <c r="I1228" s="17"/>
      <c r="J1228" s="17"/>
      <c r="K1228" s="17"/>
      <c r="L1228" s="17"/>
      <c r="M1228" s="35" t="s">
        <v>2680</v>
      </c>
      <c r="N1228" s="17">
        <v>8240995955</v>
      </c>
      <c r="O1228" s="17"/>
      <c r="P1228" s="17"/>
      <c r="Q1228" s="17"/>
      <c r="R1228" s="17"/>
      <c r="S1228" s="17"/>
      <c r="T1228" s="17"/>
      <c r="U1228" s="17"/>
      <c r="V1228" s="17"/>
      <c r="W1228" s="17"/>
      <c r="X1228" s="17"/>
      <c r="Y1228" s="17"/>
      <c r="Z1228" s="17"/>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row>
    <row r="1229" hidden="1">
      <c r="A1229" s="17">
        <v>1227</v>
      </c>
      <c r="B1229" s="17" t="s">
        <v>52</v>
      </c>
      <c r="C1229" s="34" t="s">
        <v>3791</v>
      </c>
      <c r="D1229" s="35" t="s">
        <v>52</v>
      </c>
      <c r="E1229" s="17" t="s">
        <v>3792</v>
      </c>
      <c r="F1229" s="17" t="s">
        <v>3793</v>
      </c>
      <c r="G1229" s="17">
        <v>22.309239000000002</v>
      </c>
      <c r="H1229" s="17">
        <v>87.523595999999998</v>
      </c>
      <c r="I1229" s="17"/>
      <c r="J1229" s="17"/>
      <c r="K1229" s="17"/>
      <c r="L1229" s="17"/>
      <c r="M1229" s="35" t="s">
        <v>2680</v>
      </c>
      <c r="N1229" s="17">
        <v>8240995955</v>
      </c>
      <c r="O1229" s="17"/>
      <c r="P1229" s="17"/>
      <c r="Q1229" s="17"/>
      <c r="R1229" s="17"/>
      <c r="S1229" s="17"/>
      <c r="T1229" s="17"/>
      <c r="U1229" s="17"/>
      <c r="V1229" s="17"/>
      <c r="W1229" s="17"/>
      <c r="X1229" s="17"/>
      <c r="Y1229" s="17"/>
      <c r="Z1229" s="17"/>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row>
    <row r="1230" hidden="1">
      <c r="A1230" s="17">
        <v>1228</v>
      </c>
      <c r="B1230" s="17" t="s">
        <v>52</v>
      </c>
      <c r="C1230" s="34" t="s">
        <v>3794</v>
      </c>
      <c r="D1230" s="35" t="s">
        <v>52</v>
      </c>
      <c r="E1230" s="17" t="s">
        <v>2458</v>
      </c>
      <c r="F1230" s="17" t="s">
        <v>3795</v>
      </c>
      <c r="G1230" s="17">
        <v>22.311700999999999</v>
      </c>
      <c r="H1230" s="17">
        <v>87.623113000000004</v>
      </c>
      <c r="I1230" s="17"/>
      <c r="J1230" s="17"/>
      <c r="K1230" s="17"/>
      <c r="L1230" s="17"/>
      <c r="M1230" s="35" t="s">
        <v>1579</v>
      </c>
      <c r="N1230" s="17">
        <v>7003188299</v>
      </c>
      <c r="O1230" s="17"/>
      <c r="P1230" s="17"/>
      <c r="Q1230" s="17"/>
      <c r="R1230" s="17"/>
      <c r="S1230" s="17"/>
      <c r="T1230" s="17"/>
      <c r="U1230" s="17"/>
      <c r="V1230" s="17"/>
      <c r="W1230" s="17"/>
      <c r="X1230" s="17"/>
      <c r="Y1230" s="17"/>
      <c r="Z1230" s="17"/>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row>
    <row r="1231" hidden="1">
      <c r="A1231" s="17">
        <v>1229</v>
      </c>
      <c r="B1231" s="17" t="s">
        <v>52</v>
      </c>
      <c r="C1231" s="34" t="s">
        <v>3796</v>
      </c>
      <c r="D1231" s="35" t="s">
        <v>52</v>
      </c>
      <c r="E1231" s="17" t="s">
        <v>3797</v>
      </c>
      <c r="F1231" s="17" t="s">
        <v>3798</v>
      </c>
      <c r="G1231" s="17">
        <v>22.334886000000001</v>
      </c>
      <c r="H1231" s="17">
        <v>87.331120999999996</v>
      </c>
      <c r="I1231" s="17"/>
      <c r="J1231" s="17"/>
      <c r="K1231" s="17"/>
      <c r="L1231" s="17"/>
      <c r="M1231" s="34" t="s">
        <v>2824</v>
      </c>
      <c r="N1231" s="17"/>
      <c r="O1231" s="17"/>
      <c r="P1231" s="17"/>
      <c r="Q1231" s="17"/>
      <c r="R1231" s="17"/>
      <c r="S1231" s="17"/>
      <c r="T1231" s="17"/>
      <c r="U1231" s="17"/>
      <c r="V1231" s="17"/>
      <c r="W1231" s="17"/>
      <c r="X1231" s="17"/>
      <c r="Y1231" s="17"/>
      <c r="Z1231" s="17"/>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row>
    <row r="1232" hidden="1">
      <c r="A1232" s="17">
        <v>1230</v>
      </c>
      <c r="B1232" s="17" t="s">
        <v>52</v>
      </c>
      <c r="C1232" s="34" t="s">
        <v>3799</v>
      </c>
      <c r="D1232" s="35" t="s">
        <v>52</v>
      </c>
      <c r="E1232" s="17" t="s">
        <v>3800</v>
      </c>
      <c r="F1232" s="17" t="s">
        <v>3801</v>
      </c>
      <c r="G1232" s="17">
        <v>22.342383999999999</v>
      </c>
      <c r="H1232" s="17">
        <v>87.320420999999996</v>
      </c>
      <c r="I1232" s="17"/>
      <c r="J1232" s="17"/>
      <c r="K1232" s="17"/>
      <c r="L1232" s="17"/>
      <c r="M1232" s="34" t="s">
        <v>2824</v>
      </c>
      <c r="N1232" s="17"/>
      <c r="O1232" s="17"/>
      <c r="P1232" s="17"/>
      <c r="Q1232" s="17"/>
      <c r="R1232" s="17"/>
      <c r="S1232" s="17"/>
      <c r="T1232" s="17"/>
      <c r="U1232" s="17"/>
      <c r="V1232" s="17"/>
      <c r="W1232" s="17"/>
      <c r="X1232" s="17"/>
      <c r="Y1232" s="17"/>
      <c r="Z1232" s="17"/>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row>
    <row r="1233" hidden="1">
      <c r="A1233" s="17">
        <v>1231</v>
      </c>
      <c r="B1233" s="17" t="s">
        <v>52</v>
      </c>
      <c r="C1233" s="34" t="s">
        <v>3802</v>
      </c>
      <c r="D1233" s="35" t="s">
        <v>52</v>
      </c>
      <c r="E1233" s="17" t="s">
        <v>3803</v>
      </c>
      <c r="F1233" s="17"/>
      <c r="G1233" s="17"/>
      <c r="H1233" s="17"/>
      <c r="I1233" s="17"/>
      <c r="J1233" s="17"/>
      <c r="K1233" s="17"/>
      <c r="L1233" s="17"/>
      <c r="M1233" s="34" t="s">
        <v>2824</v>
      </c>
      <c r="N1233" s="17"/>
      <c r="O1233" s="17"/>
      <c r="P1233" s="17"/>
      <c r="Q1233" s="17"/>
      <c r="R1233" s="17"/>
      <c r="S1233" s="17"/>
      <c r="T1233" s="17"/>
      <c r="U1233" s="17"/>
      <c r="V1233" s="17"/>
      <c r="W1233" s="17"/>
      <c r="X1233" s="17"/>
      <c r="Y1233" s="17"/>
      <c r="Z1233" s="17"/>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row>
    <row r="1234" hidden="1">
      <c r="A1234" s="17">
        <v>1232</v>
      </c>
      <c r="B1234" s="17" t="s">
        <v>52</v>
      </c>
      <c r="C1234" s="34" t="s">
        <v>3804</v>
      </c>
      <c r="D1234" s="35" t="s">
        <v>52</v>
      </c>
      <c r="E1234" s="17" t="s">
        <v>3805</v>
      </c>
      <c r="F1234" s="17"/>
      <c r="G1234" s="17"/>
      <c r="H1234" s="17"/>
      <c r="I1234" s="17"/>
      <c r="J1234" s="17"/>
      <c r="K1234" s="17"/>
      <c r="L1234" s="17"/>
      <c r="M1234" s="35" t="s">
        <v>2691</v>
      </c>
      <c r="N1234" s="17"/>
      <c r="O1234" s="17"/>
      <c r="P1234" s="17"/>
      <c r="Q1234" s="17"/>
      <c r="R1234" s="17"/>
      <c r="S1234" s="17"/>
      <c r="T1234" s="17"/>
      <c r="U1234" s="17"/>
      <c r="V1234" s="17"/>
      <c r="W1234" s="17"/>
      <c r="X1234" s="17"/>
      <c r="Y1234" s="17"/>
      <c r="Z1234" s="17"/>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row>
    <row r="1235" hidden="1">
      <c r="A1235" s="17">
        <v>1233</v>
      </c>
      <c r="B1235" s="17" t="s">
        <v>52</v>
      </c>
      <c r="C1235" s="34" t="s">
        <v>3806</v>
      </c>
      <c r="D1235" s="35" t="s">
        <v>52</v>
      </c>
      <c r="E1235" s="17" t="s">
        <v>3807</v>
      </c>
      <c r="F1235" s="17" t="s">
        <v>3808</v>
      </c>
      <c r="G1235" s="17">
        <v>22.339960000000001</v>
      </c>
      <c r="H1235" s="17">
        <v>87.310299999999998</v>
      </c>
      <c r="I1235" s="17"/>
      <c r="J1235" s="17"/>
      <c r="K1235" s="17"/>
      <c r="L1235" s="17"/>
      <c r="M1235" s="34" t="s">
        <v>2824</v>
      </c>
      <c r="N1235" s="17"/>
      <c r="O1235" s="17"/>
      <c r="P1235" s="17"/>
      <c r="Q1235" s="17"/>
      <c r="R1235" s="17"/>
      <c r="S1235" s="17"/>
      <c r="T1235" s="17"/>
      <c r="U1235" s="17"/>
      <c r="V1235" s="17"/>
      <c r="W1235" s="17"/>
      <c r="X1235" s="17"/>
      <c r="Y1235" s="17"/>
      <c r="Z1235" s="17"/>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row>
    <row r="1236" hidden="1">
      <c r="A1236" s="17">
        <v>1234</v>
      </c>
      <c r="B1236" s="17" t="s">
        <v>52</v>
      </c>
      <c r="C1236" s="34" t="s">
        <v>3809</v>
      </c>
      <c r="D1236" s="35" t="s">
        <v>52</v>
      </c>
      <c r="E1236" s="17" t="s">
        <v>3810</v>
      </c>
      <c r="F1236" s="17"/>
      <c r="G1236" s="17"/>
      <c r="H1236" s="17"/>
      <c r="I1236" s="17"/>
      <c r="J1236" s="17"/>
      <c r="K1236" s="17"/>
      <c r="L1236" s="17"/>
      <c r="M1236" s="34" t="s">
        <v>2824</v>
      </c>
      <c r="N1236" s="17"/>
      <c r="O1236" s="17"/>
      <c r="P1236" s="17"/>
      <c r="Q1236" s="17"/>
      <c r="R1236" s="17"/>
      <c r="S1236" s="17"/>
      <c r="T1236" s="17"/>
      <c r="U1236" s="17"/>
      <c r="V1236" s="17"/>
      <c r="W1236" s="17"/>
      <c r="X1236" s="17"/>
      <c r="Y1236" s="17"/>
      <c r="Z1236" s="17"/>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row>
    <row r="1237" hidden="1">
      <c r="A1237" s="17">
        <v>1235</v>
      </c>
      <c r="B1237" s="17" t="s">
        <v>52</v>
      </c>
      <c r="C1237" s="41" t="s">
        <v>3811</v>
      </c>
      <c r="D1237" s="35" t="s">
        <v>52</v>
      </c>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row>
    <row r="1238" hidden="1">
      <c r="A1238" s="17">
        <v>1236</v>
      </c>
      <c r="B1238" s="17" t="s">
        <v>52</v>
      </c>
      <c r="C1238" s="41" t="s">
        <v>3812</v>
      </c>
      <c r="D1238" s="35" t="s">
        <v>52</v>
      </c>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row>
    <row r="1239" hidden="1">
      <c r="A1239" s="17">
        <v>1237</v>
      </c>
      <c r="B1239" s="17" t="s">
        <v>52</v>
      </c>
      <c r="C1239" s="41" t="s">
        <v>3813</v>
      </c>
      <c r="D1239" s="35" t="s">
        <v>52</v>
      </c>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7"/>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row>
    <row r="1240" hidden="1">
      <c r="A1240" s="17">
        <v>1238</v>
      </c>
      <c r="B1240" s="17" t="s">
        <v>52</v>
      </c>
      <c r="C1240" s="41" t="s">
        <v>3814</v>
      </c>
      <c r="D1240" s="35" t="s">
        <v>52</v>
      </c>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7"/>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row>
    <row r="1241" hidden="1">
      <c r="A1241" s="17">
        <v>1239</v>
      </c>
      <c r="B1241" s="17" t="s">
        <v>52</v>
      </c>
      <c r="C1241" s="41" t="s">
        <v>3815</v>
      </c>
      <c r="D1241" s="35" t="s">
        <v>52</v>
      </c>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7"/>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row>
    <row r="1242" hidden="1">
      <c r="A1242" s="17">
        <v>1240</v>
      </c>
      <c r="B1242" s="17" t="s">
        <v>52</v>
      </c>
      <c r="C1242" s="41" t="s">
        <v>3816</v>
      </c>
      <c r="D1242" s="35" t="s">
        <v>52</v>
      </c>
      <c r="E1242" s="17"/>
      <c r="F1242" s="17"/>
      <c r="G1242" s="17"/>
      <c r="H1242" s="17"/>
      <c r="I1242" s="17"/>
      <c r="J1242" s="17"/>
      <c r="K1242" s="17"/>
      <c r="L1242" s="17"/>
      <c r="M1242" s="17"/>
      <c r="N1242" s="17"/>
      <c r="O1242" s="17"/>
      <c r="P1242" s="17"/>
      <c r="Q1242" s="17"/>
      <c r="R1242" s="17"/>
      <c r="S1242" s="17"/>
      <c r="T1242" s="17"/>
      <c r="U1242" s="17"/>
      <c r="V1242" s="17"/>
      <c r="W1242" s="17"/>
      <c r="X1242" s="17"/>
      <c r="Y1242" s="17"/>
      <c r="Z1242" s="17"/>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row>
    <row r="1243" hidden="1">
      <c r="A1243" s="17">
        <v>1241</v>
      </c>
      <c r="B1243" s="17" t="s">
        <v>52</v>
      </c>
      <c r="C1243" s="41" t="s">
        <v>3817</v>
      </c>
      <c r="D1243" s="35" t="s">
        <v>52</v>
      </c>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7"/>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row>
    <row r="1244" hidden="1">
      <c r="A1244" s="17">
        <v>1242</v>
      </c>
      <c r="B1244" s="17" t="s">
        <v>52</v>
      </c>
      <c r="C1244" s="41" t="s">
        <v>3818</v>
      </c>
      <c r="D1244" s="35" t="s">
        <v>52</v>
      </c>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row>
    <row r="1245" hidden="1">
      <c r="A1245" s="17">
        <v>1243</v>
      </c>
      <c r="B1245" s="17" t="s">
        <v>52</v>
      </c>
      <c r="C1245" s="41" t="s">
        <v>3819</v>
      </c>
      <c r="D1245" s="35" t="s">
        <v>52</v>
      </c>
      <c r="E1245" s="17"/>
      <c r="F1245" s="17"/>
      <c r="G1245" s="17"/>
      <c r="H1245" s="17"/>
      <c r="I1245" s="17"/>
      <c r="J1245" s="17"/>
      <c r="K1245" s="17"/>
      <c r="L1245" s="17"/>
      <c r="M1245" s="17"/>
      <c r="N1245" s="17"/>
      <c r="O1245" s="17"/>
      <c r="P1245" s="17"/>
      <c r="Q1245" s="17"/>
      <c r="R1245" s="17"/>
      <c r="S1245" s="17"/>
      <c r="T1245" s="17"/>
      <c r="U1245" s="17"/>
      <c r="V1245" s="17"/>
      <c r="W1245" s="17"/>
      <c r="X1245" s="17"/>
      <c r="Y1245" s="17"/>
      <c r="Z1245" s="17"/>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row>
    <row r="1246" hidden="1">
      <c r="A1246" s="17">
        <v>1244</v>
      </c>
      <c r="B1246" s="17" t="s">
        <v>52</v>
      </c>
      <c r="C1246" s="41" t="s">
        <v>3820</v>
      </c>
      <c r="D1246" s="35" t="s">
        <v>52</v>
      </c>
      <c r="E1246" s="17"/>
      <c r="F1246" s="17"/>
      <c r="G1246" s="17"/>
      <c r="H1246" s="17"/>
      <c r="I1246" s="17"/>
      <c r="J1246" s="17"/>
      <c r="K1246" s="17"/>
      <c r="L1246" s="17"/>
      <c r="M1246" s="17"/>
      <c r="N1246" s="17"/>
      <c r="O1246" s="17"/>
      <c r="P1246" s="17"/>
      <c r="Q1246" s="17"/>
      <c r="R1246" s="17"/>
      <c r="S1246" s="17"/>
      <c r="T1246" s="17"/>
      <c r="U1246" s="17"/>
      <c r="V1246" s="17"/>
      <c r="W1246" s="17"/>
      <c r="X1246" s="17"/>
      <c r="Y1246" s="17"/>
      <c r="Z1246" s="17"/>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row>
    <row r="1247" hidden="1">
      <c r="A1247" s="17">
        <v>1245</v>
      </c>
      <c r="B1247" s="17" t="s">
        <v>52</v>
      </c>
      <c r="C1247" s="41" t="s">
        <v>3821</v>
      </c>
      <c r="D1247" s="35" t="s">
        <v>52</v>
      </c>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row>
    <row r="1248" hidden="1">
      <c r="A1248" s="17">
        <v>1246</v>
      </c>
      <c r="B1248" s="17" t="s">
        <v>52</v>
      </c>
      <c r="C1248" s="41" t="s">
        <v>3822</v>
      </c>
      <c r="D1248" s="35" t="s">
        <v>52</v>
      </c>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row>
    <row r="1249" hidden="1">
      <c r="A1249" s="17">
        <v>1247</v>
      </c>
      <c r="B1249" s="17" t="s">
        <v>52</v>
      </c>
      <c r="C1249" s="41" t="s">
        <v>3823</v>
      </c>
      <c r="D1249" s="35" t="s">
        <v>52</v>
      </c>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row>
    <row r="1250" hidden="1">
      <c r="A1250" s="17">
        <v>1248</v>
      </c>
      <c r="B1250" s="17" t="s">
        <v>52</v>
      </c>
      <c r="C1250" s="41" t="s">
        <v>3824</v>
      </c>
      <c r="D1250" s="35" t="s">
        <v>52</v>
      </c>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row>
    <row r="1251" hidden="1">
      <c r="A1251" s="17">
        <v>1249</v>
      </c>
      <c r="B1251" s="17" t="s">
        <v>52</v>
      </c>
      <c r="C1251" s="41" t="s">
        <v>3825</v>
      </c>
      <c r="D1251" s="35" t="s">
        <v>52</v>
      </c>
      <c r="E1251" s="17"/>
      <c r="F1251" s="17"/>
      <c r="G1251" s="17"/>
      <c r="H1251" s="17"/>
      <c r="I1251" s="17"/>
      <c r="J1251" s="17"/>
      <c r="K1251" s="17"/>
      <c r="L1251" s="17"/>
      <c r="M1251" s="17"/>
      <c r="N1251" s="17"/>
      <c r="O1251" s="17"/>
      <c r="P1251" s="17"/>
      <c r="Q1251" s="17"/>
      <c r="R1251" s="17"/>
      <c r="S1251" s="17"/>
      <c r="T1251" s="17"/>
      <c r="U1251" s="17"/>
      <c r="V1251" s="17"/>
      <c r="W1251" s="17"/>
      <c r="X1251" s="17"/>
      <c r="Y1251" s="17"/>
      <c r="Z1251" s="17"/>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row>
    <row r="1252" hidden="1">
      <c r="A1252" s="17">
        <v>1250</v>
      </c>
      <c r="B1252" s="17" t="s">
        <v>52</v>
      </c>
      <c r="C1252" s="41" t="s">
        <v>3826</v>
      </c>
      <c r="D1252" s="35" t="s">
        <v>52</v>
      </c>
      <c r="E1252" s="17"/>
      <c r="F1252" s="17"/>
      <c r="G1252" s="17"/>
      <c r="H1252" s="17"/>
      <c r="I1252" s="17"/>
      <c r="J1252" s="17"/>
      <c r="K1252" s="17"/>
      <c r="L1252" s="17"/>
      <c r="M1252" s="17"/>
      <c r="N1252" s="17"/>
      <c r="O1252" s="17"/>
      <c r="P1252" s="17"/>
      <c r="Q1252" s="17"/>
      <c r="R1252" s="17"/>
      <c r="S1252" s="17"/>
      <c r="T1252" s="17"/>
      <c r="U1252" s="17"/>
      <c r="V1252" s="17"/>
      <c r="W1252" s="17"/>
      <c r="X1252" s="17"/>
      <c r="Y1252" s="17"/>
      <c r="Z1252" s="17"/>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row>
    <row r="1253" hidden="1">
      <c r="A1253" s="17">
        <v>1251</v>
      </c>
      <c r="B1253" s="17" t="s">
        <v>52</v>
      </c>
      <c r="C1253" s="41" t="s">
        <v>3827</v>
      </c>
      <c r="D1253" s="35" t="s">
        <v>52</v>
      </c>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7"/>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row>
    <row r="1254" hidden="1">
      <c r="A1254" s="17">
        <v>1252</v>
      </c>
      <c r="B1254" s="17" t="s">
        <v>52</v>
      </c>
      <c r="C1254" s="41" t="s">
        <v>3828</v>
      </c>
      <c r="D1254" s="35" t="s">
        <v>52</v>
      </c>
      <c r="E1254" s="17"/>
      <c r="F1254" s="17"/>
      <c r="G1254" s="17"/>
      <c r="H1254" s="17"/>
      <c r="I1254" s="17"/>
      <c r="J1254" s="17"/>
      <c r="K1254" s="17"/>
      <c r="L1254" s="17"/>
      <c r="M1254" s="17"/>
      <c r="N1254" s="17"/>
      <c r="O1254" s="17"/>
      <c r="P1254" s="17"/>
      <c r="Q1254" s="17"/>
      <c r="R1254" s="17"/>
      <c r="S1254" s="17"/>
      <c r="T1254" s="17"/>
      <c r="U1254" s="17"/>
      <c r="V1254" s="17"/>
      <c r="W1254" s="17"/>
      <c r="X1254" s="17"/>
      <c r="Y1254" s="17"/>
      <c r="Z1254" s="17"/>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row>
    <row r="1255" hidden="1">
      <c r="A1255" s="17">
        <v>1253</v>
      </c>
      <c r="B1255" s="17" t="s">
        <v>52</v>
      </c>
      <c r="C1255" s="41" t="s">
        <v>3829</v>
      </c>
      <c r="D1255" s="35" t="s">
        <v>52</v>
      </c>
      <c r="E1255" s="17"/>
      <c r="F1255" s="17"/>
      <c r="G1255" s="17"/>
      <c r="H1255" s="17"/>
      <c r="I1255" s="17"/>
      <c r="J1255" s="17"/>
      <c r="K1255" s="17"/>
      <c r="L1255" s="17"/>
      <c r="M1255" s="17"/>
      <c r="N1255" s="17"/>
      <c r="O1255" s="17"/>
      <c r="P1255" s="17"/>
      <c r="Q1255" s="17"/>
      <c r="R1255" s="17"/>
      <c r="S1255" s="17"/>
      <c r="T1255" s="17"/>
      <c r="U1255" s="17"/>
      <c r="V1255" s="17"/>
      <c r="W1255" s="17"/>
      <c r="X1255" s="17"/>
      <c r="Y1255" s="17"/>
      <c r="Z1255" s="17"/>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row>
    <row r="1256" hidden="1">
      <c r="A1256" s="17">
        <v>1254</v>
      </c>
      <c r="B1256" s="17" t="s">
        <v>52</v>
      </c>
      <c r="C1256" s="41" t="s">
        <v>3830</v>
      </c>
      <c r="D1256" s="35" t="s">
        <v>52</v>
      </c>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7"/>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row>
    <row r="1257" hidden="1">
      <c r="A1257" s="17">
        <v>1255</v>
      </c>
      <c r="B1257" s="17" t="s">
        <v>52</v>
      </c>
      <c r="C1257" s="41" t="s">
        <v>3831</v>
      </c>
      <c r="D1257" s="35" t="s">
        <v>52</v>
      </c>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7"/>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row>
    <row r="1258" hidden="1">
      <c r="A1258" s="17">
        <v>1256</v>
      </c>
      <c r="B1258" s="17" t="s">
        <v>52</v>
      </c>
      <c r="C1258" s="41" t="s">
        <v>3832</v>
      </c>
      <c r="D1258" s="35" t="s">
        <v>52</v>
      </c>
      <c r="E1258" s="17"/>
      <c r="F1258" s="17"/>
      <c r="G1258" s="17"/>
      <c r="H1258" s="17"/>
      <c r="I1258" s="17"/>
      <c r="J1258" s="17"/>
      <c r="K1258" s="17"/>
      <c r="L1258" s="17"/>
      <c r="M1258" s="17"/>
      <c r="N1258" s="17"/>
      <c r="O1258" s="17"/>
      <c r="P1258" s="17"/>
      <c r="Q1258" s="17"/>
      <c r="R1258" s="17"/>
      <c r="S1258" s="17"/>
      <c r="T1258" s="17"/>
      <c r="U1258" s="17"/>
      <c r="V1258" s="17"/>
      <c r="W1258" s="17"/>
      <c r="X1258" s="17"/>
      <c r="Y1258" s="17"/>
      <c r="Z1258" s="17"/>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row>
    <row r="1259" hidden="1">
      <c r="A1259" s="17">
        <v>1257</v>
      </c>
      <c r="B1259" s="17" t="s">
        <v>52</v>
      </c>
      <c r="C1259" s="41" t="s">
        <v>3833</v>
      </c>
      <c r="D1259" s="35" t="s">
        <v>52</v>
      </c>
      <c r="E1259" s="17"/>
      <c r="F1259" s="17"/>
      <c r="G1259" s="17"/>
      <c r="H1259" s="17"/>
      <c r="I1259" s="17"/>
      <c r="J1259" s="17"/>
      <c r="K1259" s="17"/>
      <c r="L1259" s="17"/>
      <c r="M1259" s="17"/>
      <c r="N1259" s="17"/>
      <c r="O1259" s="17"/>
      <c r="P1259" s="17"/>
      <c r="Q1259" s="17"/>
      <c r="R1259" s="17"/>
      <c r="S1259" s="17"/>
      <c r="T1259" s="17"/>
      <c r="U1259" s="17"/>
      <c r="V1259" s="17"/>
      <c r="W1259" s="17"/>
      <c r="X1259" s="17"/>
      <c r="Y1259" s="17"/>
      <c r="Z1259" s="17"/>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row>
    <row r="1260" hidden="1">
      <c r="A1260" s="17">
        <v>1258</v>
      </c>
      <c r="B1260" s="17" t="s">
        <v>52</v>
      </c>
      <c r="C1260" s="41" t="s">
        <v>3834</v>
      </c>
      <c r="D1260" s="35" t="s">
        <v>52</v>
      </c>
      <c r="E1260" s="17"/>
      <c r="F1260" s="17"/>
      <c r="G1260" s="17"/>
      <c r="H1260" s="17"/>
      <c r="I1260" s="17"/>
      <c r="J1260" s="17"/>
      <c r="K1260" s="17"/>
      <c r="L1260" s="17"/>
      <c r="M1260" s="17"/>
      <c r="N1260" s="17"/>
      <c r="O1260" s="17"/>
      <c r="P1260" s="17"/>
      <c r="Q1260" s="17"/>
      <c r="R1260" s="17"/>
      <c r="S1260" s="17"/>
      <c r="T1260" s="17"/>
      <c r="U1260" s="17"/>
      <c r="V1260" s="17"/>
      <c r="W1260" s="17"/>
      <c r="X1260" s="17"/>
      <c r="Y1260" s="17"/>
      <c r="Z1260" s="17"/>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row>
    <row r="1261" hidden="1">
      <c r="A1261" s="17">
        <v>1259</v>
      </c>
      <c r="B1261" s="17" t="s">
        <v>52</v>
      </c>
      <c r="C1261" s="41" t="s">
        <v>3835</v>
      </c>
      <c r="D1261" s="35" t="s">
        <v>52</v>
      </c>
      <c r="E1261" s="17"/>
      <c r="F1261" s="17"/>
      <c r="G1261" s="17"/>
      <c r="H1261" s="17"/>
      <c r="I1261" s="17"/>
      <c r="J1261" s="17"/>
      <c r="K1261" s="17"/>
      <c r="L1261" s="17"/>
      <c r="M1261" s="17"/>
      <c r="N1261" s="17"/>
      <c r="O1261" s="17"/>
      <c r="P1261" s="17"/>
      <c r="Q1261" s="17"/>
      <c r="R1261" s="17"/>
      <c r="S1261" s="17"/>
      <c r="T1261" s="17"/>
      <c r="U1261" s="17"/>
      <c r="V1261" s="17"/>
      <c r="W1261" s="17"/>
      <c r="X1261" s="17"/>
      <c r="Y1261" s="17"/>
      <c r="Z1261" s="17"/>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row>
    <row r="1262" hidden="1">
      <c r="A1262" s="17">
        <v>1260</v>
      </c>
      <c r="B1262" s="17" t="s">
        <v>52</v>
      </c>
      <c r="C1262" s="41" t="s">
        <v>3836</v>
      </c>
      <c r="D1262" s="35" t="s">
        <v>52</v>
      </c>
      <c r="E1262" s="17"/>
      <c r="F1262" s="17"/>
      <c r="G1262" s="17"/>
      <c r="H1262" s="17"/>
      <c r="I1262" s="17"/>
      <c r="J1262" s="17"/>
      <c r="K1262" s="17"/>
      <c r="L1262" s="17"/>
      <c r="M1262" s="17"/>
      <c r="N1262" s="17"/>
      <c r="O1262" s="17"/>
      <c r="P1262" s="17"/>
      <c r="Q1262" s="17"/>
      <c r="R1262" s="17"/>
      <c r="S1262" s="17"/>
      <c r="T1262" s="17"/>
      <c r="U1262" s="17"/>
      <c r="V1262" s="17"/>
      <c r="W1262" s="17"/>
      <c r="X1262" s="17"/>
      <c r="Y1262" s="17"/>
      <c r="Z1262" s="17"/>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row>
    <row r="1263" hidden="1">
      <c r="A1263" s="17">
        <v>1261</v>
      </c>
      <c r="B1263" s="17" t="s">
        <v>52</v>
      </c>
      <c r="C1263" s="41" t="s">
        <v>3837</v>
      </c>
      <c r="D1263" s="35" t="s">
        <v>52</v>
      </c>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7"/>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row>
    <row r="1264" hidden="1">
      <c r="A1264" s="17">
        <v>1262</v>
      </c>
      <c r="B1264" s="17" t="s">
        <v>52</v>
      </c>
      <c r="C1264" s="41" t="s">
        <v>3838</v>
      </c>
      <c r="D1264" s="35" t="s">
        <v>52</v>
      </c>
      <c r="E1264" s="17"/>
      <c r="F1264" s="17"/>
      <c r="G1264" s="17"/>
      <c r="H1264" s="17"/>
      <c r="I1264" s="17"/>
      <c r="J1264" s="17"/>
      <c r="K1264" s="17"/>
      <c r="L1264" s="17"/>
      <c r="M1264" s="17"/>
      <c r="N1264" s="17"/>
      <c r="O1264" s="17"/>
      <c r="P1264" s="17"/>
      <c r="Q1264" s="17"/>
      <c r="R1264" s="17"/>
      <c r="S1264" s="17"/>
      <c r="T1264" s="17"/>
      <c r="U1264" s="17"/>
      <c r="V1264" s="17"/>
      <c r="W1264" s="17"/>
      <c r="X1264" s="17"/>
      <c r="Y1264" s="17"/>
      <c r="Z1264" s="17"/>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row>
    <row r="1265" hidden="1">
      <c r="A1265" s="17">
        <v>1263</v>
      </c>
      <c r="B1265" s="17" t="s">
        <v>52</v>
      </c>
      <c r="C1265" s="41" t="s">
        <v>3839</v>
      </c>
      <c r="D1265" s="35" t="s">
        <v>52</v>
      </c>
      <c r="E1265" s="17"/>
      <c r="F1265" s="17"/>
      <c r="G1265" s="17"/>
      <c r="H1265" s="17"/>
      <c r="I1265" s="17"/>
      <c r="J1265" s="17"/>
      <c r="K1265" s="17"/>
      <c r="L1265" s="17"/>
      <c r="M1265" s="17"/>
      <c r="N1265" s="17"/>
      <c r="O1265" s="17"/>
      <c r="P1265" s="17"/>
      <c r="Q1265" s="17"/>
      <c r="R1265" s="17"/>
      <c r="S1265" s="17"/>
      <c r="T1265" s="17"/>
      <c r="U1265" s="17"/>
      <c r="V1265" s="17"/>
      <c r="W1265" s="17"/>
      <c r="X1265" s="17"/>
      <c r="Y1265" s="17"/>
      <c r="Z1265" s="17"/>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row>
    <row r="1266" hidden="1">
      <c r="A1266" s="17">
        <v>1264</v>
      </c>
      <c r="B1266" s="17" t="s">
        <v>52</v>
      </c>
      <c r="C1266" s="41" t="s">
        <v>3840</v>
      </c>
      <c r="D1266" s="35" t="s">
        <v>52</v>
      </c>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7"/>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row>
    <row r="1267" hidden="1">
      <c r="A1267" s="17">
        <v>1265</v>
      </c>
      <c r="B1267" s="17" t="s">
        <v>52</v>
      </c>
      <c r="C1267" s="41" t="s">
        <v>3841</v>
      </c>
      <c r="D1267" s="35" t="s">
        <v>52</v>
      </c>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7"/>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row>
    <row r="1268" hidden="1">
      <c r="A1268" s="17">
        <v>1266</v>
      </c>
      <c r="B1268" s="17" t="s">
        <v>52</v>
      </c>
      <c r="C1268" s="41" t="s">
        <v>3842</v>
      </c>
      <c r="D1268" s="35" t="s">
        <v>52</v>
      </c>
      <c r="E1268" s="17"/>
      <c r="F1268" s="17"/>
      <c r="G1268" s="17"/>
      <c r="H1268" s="17"/>
      <c r="I1268" s="17"/>
      <c r="J1268" s="17"/>
      <c r="K1268" s="17"/>
      <c r="L1268" s="17"/>
      <c r="M1268" s="17"/>
      <c r="N1268" s="17"/>
      <c r="O1268" s="17"/>
      <c r="P1268" s="17"/>
      <c r="Q1268" s="17"/>
      <c r="R1268" s="17"/>
      <c r="S1268" s="17"/>
      <c r="T1268" s="17"/>
      <c r="U1268" s="17"/>
      <c r="V1268" s="17"/>
      <c r="W1268" s="17"/>
      <c r="X1268" s="17"/>
      <c r="Y1268" s="17"/>
      <c r="Z1268" s="17"/>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row>
    <row r="1269" hidden="1">
      <c r="A1269" s="17">
        <v>1267</v>
      </c>
      <c r="B1269" s="17" t="s">
        <v>52</v>
      </c>
      <c r="C1269" s="41" t="s">
        <v>3843</v>
      </c>
      <c r="D1269" s="35" t="s">
        <v>52</v>
      </c>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7"/>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row>
    <row r="1270" hidden="1">
      <c r="A1270" s="17">
        <v>1268</v>
      </c>
      <c r="B1270" s="17" t="s">
        <v>52</v>
      </c>
      <c r="C1270" s="41" t="s">
        <v>3844</v>
      </c>
      <c r="D1270" s="35" t="s">
        <v>52</v>
      </c>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7"/>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row>
    <row r="1271" hidden="1">
      <c r="A1271" s="17">
        <v>1269</v>
      </c>
      <c r="B1271" s="17" t="s">
        <v>52</v>
      </c>
      <c r="C1271" s="41" t="s">
        <v>3845</v>
      </c>
      <c r="D1271" s="35" t="s">
        <v>52</v>
      </c>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7"/>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row>
    <row r="1272" hidden="1">
      <c r="A1272" s="17">
        <v>1270</v>
      </c>
      <c r="B1272" s="17" t="s">
        <v>52</v>
      </c>
      <c r="C1272" s="41" t="s">
        <v>3846</v>
      </c>
      <c r="D1272" s="35" t="s">
        <v>52</v>
      </c>
      <c r="E1272" s="17"/>
      <c r="F1272" s="17"/>
      <c r="G1272" s="17"/>
      <c r="H1272" s="17"/>
      <c r="I1272" s="17"/>
      <c r="J1272" s="17"/>
      <c r="K1272" s="17"/>
      <c r="L1272" s="17"/>
      <c r="M1272" s="17"/>
      <c r="N1272" s="17"/>
      <c r="O1272" s="17"/>
      <c r="P1272" s="17"/>
      <c r="Q1272" s="17"/>
      <c r="R1272" s="17"/>
      <c r="S1272" s="17"/>
      <c r="T1272" s="17"/>
      <c r="U1272" s="17"/>
      <c r="V1272" s="17"/>
      <c r="W1272" s="17"/>
      <c r="X1272" s="17"/>
      <c r="Y1272" s="17"/>
      <c r="Z1272" s="17"/>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row>
    <row r="1273" hidden="1">
      <c r="A1273" s="17">
        <v>1271</v>
      </c>
      <c r="B1273" s="17" t="s">
        <v>52</v>
      </c>
      <c r="C1273" s="41" t="s">
        <v>3847</v>
      </c>
      <c r="D1273" s="35" t="s">
        <v>52</v>
      </c>
      <c r="E1273" s="17"/>
      <c r="F1273" s="17"/>
      <c r="G1273" s="17"/>
      <c r="H1273" s="17"/>
      <c r="I1273" s="17"/>
      <c r="J1273" s="17"/>
      <c r="K1273" s="17"/>
      <c r="L1273" s="17"/>
      <c r="M1273" s="17"/>
      <c r="N1273" s="17"/>
      <c r="O1273" s="17"/>
      <c r="P1273" s="17"/>
      <c r="Q1273" s="17"/>
      <c r="R1273" s="17"/>
      <c r="S1273" s="17"/>
      <c r="T1273" s="17"/>
      <c r="U1273" s="17"/>
      <c r="V1273" s="17"/>
      <c r="W1273" s="17"/>
      <c r="X1273" s="17"/>
      <c r="Y1273" s="17"/>
      <c r="Z1273" s="17"/>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row>
    <row r="1274" hidden="1">
      <c r="A1274" s="17">
        <v>1272</v>
      </c>
      <c r="B1274" s="17" t="s">
        <v>52</v>
      </c>
      <c r="C1274" s="41" t="s">
        <v>3848</v>
      </c>
      <c r="D1274" s="35" t="s">
        <v>52</v>
      </c>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7"/>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row>
    <row r="1275" hidden="1">
      <c r="A1275" s="17">
        <v>1273</v>
      </c>
      <c r="B1275" s="17" t="s">
        <v>52</v>
      </c>
      <c r="C1275" s="41" t="s">
        <v>3849</v>
      </c>
      <c r="D1275" s="35" t="s">
        <v>52</v>
      </c>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7"/>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row>
    <row r="1276" hidden="1">
      <c r="A1276" s="17">
        <v>1274</v>
      </c>
      <c r="B1276" s="17" t="s">
        <v>52</v>
      </c>
      <c r="C1276" s="41" t="s">
        <v>3850</v>
      </c>
      <c r="D1276" s="35" t="s">
        <v>52</v>
      </c>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7"/>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row>
    <row r="1277" hidden="1">
      <c r="A1277" s="17">
        <v>1275</v>
      </c>
      <c r="B1277" s="17" t="s">
        <v>52</v>
      </c>
      <c r="C1277" s="41" t="s">
        <v>3851</v>
      </c>
      <c r="D1277" s="35" t="s">
        <v>52</v>
      </c>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7"/>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row>
    <row r="1278" hidden="1">
      <c r="A1278" s="17">
        <v>1276</v>
      </c>
      <c r="B1278" s="17" t="s">
        <v>52</v>
      </c>
      <c r="C1278" s="41" t="s">
        <v>3852</v>
      </c>
      <c r="D1278" s="35" t="s">
        <v>52</v>
      </c>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7"/>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row>
    <row r="1279" hidden="1">
      <c r="A1279" s="17">
        <v>1277</v>
      </c>
      <c r="B1279" s="17" t="s">
        <v>52</v>
      </c>
      <c r="C1279" s="41" t="s">
        <v>3853</v>
      </c>
      <c r="D1279" s="35" t="s">
        <v>52</v>
      </c>
      <c r="E1279" s="17"/>
      <c r="F1279" s="17"/>
      <c r="G1279" s="17"/>
      <c r="H1279" s="17"/>
      <c r="I1279" s="17"/>
      <c r="J1279" s="17"/>
      <c r="K1279" s="17"/>
      <c r="L1279" s="17"/>
      <c r="M1279" s="17"/>
      <c r="N1279" s="17"/>
      <c r="O1279" s="17"/>
      <c r="P1279" s="17"/>
      <c r="Q1279" s="17"/>
      <c r="R1279" s="17"/>
      <c r="S1279" s="17"/>
      <c r="T1279" s="17"/>
      <c r="U1279" s="17"/>
      <c r="V1279" s="17"/>
      <c r="W1279" s="17"/>
      <c r="X1279" s="17"/>
      <c r="Y1279" s="17"/>
      <c r="Z1279" s="17"/>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row>
    <row r="1280" hidden="1">
      <c r="A1280" s="17">
        <v>1278</v>
      </c>
      <c r="B1280" s="17" t="s">
        <v>52</v>
      </c>
      <c r="C1280" s="41" t="s">
        <v>3854</v>
      </c>
      <c r="D1280" s="35" t="s">
        <v>52</v>
      </c>
      <c r="E1280" s="17"/>
      <c r="F1280" s="17"/>
      <c r="G1280" s="17"/>
      <c r="H1280" s="17"/>
      <c r="I1280" s="17"/>
      <c r="J1280" s="17"/>
      <c r="K1280" s="17"/>
      <c r="L1280" s="17"/>
      <c r="M1280" s="17"/>
      <c r="N1280" s="17"/>
      <c r="O1280" s="17"/>
      <c r="P1280" s="17"/>
      <c r="Q1280" s="17"/>
      <c r="R1280" s="17"/>
      <c r="S1280" s="17"/>
      <c r="T1280" s="17"/>
      <c r="U1280" s="17"/>
      <c r="V1280" s="17"/>
      <c r="W1280" s="17"/>
      <c r="X1280" s="17"/>
      <c r="Y1280" s="17"/>
      <c r="Z1280" s="17"/>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row>
    <row r="1281" hidden="1">
      <c r="A1281" s="17">
        <v>1279</v>
      </c>
      <c r="B1281" s="17" t="s">
        <v>52</v>
      </c>
      <c r="C1281" s="41" t="s">
        <v>3855</v>
      </c>
      <c r="D1281" s="35" t="s">
        <v>52</v>
      </c>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7"/>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row>
    <row r="1282" hidden="1">
      <c r="A1282" s="17">
        <v>1280</v>
      </c>
      <c r="B1282" s="17" t="s">
        <v>52</v>
      </c>
      <c r="C1282" s="41" t="s">
        <v>3856</v>
      </c>
      <c r="D1282" s="35" t="s">
        <v>52</v>
      </c>
      <c r="E1282" s="17"/>
      <c r="F1282" s="17"/>
      <c r="G1282" s="17"/>
      <c r="H1282" s="17"/>
      <c r="I1282" s="17"/>
      <c r="J1282" s="17"/>
      <c r="K1282" s="17"/>
      <c r="L1282" s="17"/>
      <c r="M1282" s="17"/>
      <c r="N1282" s="17"/>
      <c r="O1282" s="17"/>
      <c r="P1282" s="17"/>
      <c r="Q1282" s="17"/>
      <c r="R1282" s="17"/>
      <c r="S1282" s="17"/>
      <c r="T1282" s="17"/>
      <c r="U1282" s="17"/>
      <c r="V1282" s="17"/>
      <c r="W1282" s="17"/>
      <c r="X1282" s="17"/>
      <c r="Y1282" s="17"/>
      <c r="Z1282" s="17"/>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row>
    <row r="1283" hidden="1">
      <c r="A1283" s="17">
        <v>1281</v>
      </c>
      <c r="B1283" s="17" t="s">
        <v>52</v>
      </c>
      <c r="C1283" s="41" t="s">
        <v>3857</v>
      </c>
      <c r="D1283" s="35" t="s">
        <v>52</v>
      </c>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7"/>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row>
    <row r="1284" hidden="1">
      <c r="A1284" s="17">
        <v>1282</v>
      </c>
      <c r="B1284" s="17" t="s">
        <v>52</v>
      </c>
      <c r="C1284" s="41" t="s">
        <v>3858</v>
      </c>
      <c r="D1284" s="35" t="s">
        <v>52</v>
      </c>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7"/>
      <c r="AA1284" s="17"/>
      <c r="AB1284" s="17"/>
      <c r="AC1284" s="17"/>
      <c r="AD1284" s="17"/>
      <c r="AE1284" s="17"/>
      <c r="AF1284" s="17"/>
      <c r="AG1284" s="17"/>
      <c r="AH1284" s="17"/>
      <c r="AI1284" s="17"/>
      <c r="AJ1284" s="17"/>
      <c r="AK1284" s="17"/>
      <c r="AL1284" s="17"/>
      <c r="AM1284" s="17"/>
      <c r="AN1284" s="17"/>
      <c r="AO1284" s="17"/>
      <c r="AP1284" s="17"/>
      <c r="AQ1284" s="17"/>
      <c r="AR1284" s="17"/>
      <c r="AS1284" s="17"/>
      <c r="AT1284" s="17"/>
      <c r="AU1284" s="17"/>
    </row>
    <row r="1285" hidden="1">
      <c r="A1285" s="17">
        <v>1283</v>
      </c>
      <c r="B1285" s="17" t="s">
        <v>52</v>
      </c>
      <c r="C1285" s="41" t="s">
        <v>3859</v>
      </c>
      <c r="D1285" s="35" t="s">
        <v>52</v>
      </c>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7"/>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row>
    <row r="1286" hidden="1">
      <c r="A1286" s="17">
        <v>1284</v>
      </c>
      <c r="B1286" s="17" t="s">
        <v>52</v>
      </c>
      <c r="C1286" s="41" t="s">
        <v>3860</v>
      </c>
      <c r="D1286" s="35" t="s">
        <v>52</v>
      </c>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7"/>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row>
    <row r="1287" hidden="1">
      <c r="A1287" s="17">
        <v>1285</v>
      </c>
      <c r="B1287" s="17" t="s">
        <v>52</v>
      </c>
      <c r="C1287" s="41" t="s">
        <v>3861</v>
      </c>
      <c r="D1287" s="35" t="s">
        <v>52</v>
      </c>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7"/>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row>
    <row r="1288" hidden="1">
      <c r="A1288" s="17">
        <v>1286</v>
      </c>
      <c r="B1288" s="17" t="s">
        <v>52</v>
      </c>
      <c r="C1288" s="41" t="s">
        <v>3862</v>
      </c>
      <c r="D1288" s="35" t="s">
        <v>52</v>
      </c>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7"/>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row>
    <row r="1289" hidden="1">
      <c r="A1289" s="17">
        <v>1287</v>
      </c>
      <c r="B1289" s="17" t="s">
        <v>52</v>
      </c>
      <c r="C1289" s="41" t="s">
        <v>3863</v>
      </c>
      <c r="D1289" s="35" t="s">
        <v>52</v>
      </c>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row>
    <row r="1290" hidden="1">
      <c r="A1290" s="17">
        <v>1288</v>
      </c>
      <c r="B1290" s="17" t="s">
        <v>52</v>
      </c>
      <c r="C1290" s="41" t="s">
        <v>3864</v>
      </c>
      <c r="D1290" s="35" t="s">
        <v>52</v>
      </c>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7"/>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row>
    <row r="1291" hidden="1">
      <c r="A1291" s="17">
        <v>1289</v>
      </c>
      <c r="B1291" s="17" t="s">
        <v>52</v>
      </c>
      <c r="C1291" s="41" t="s">
        <v>3865</v>
      </c>
      <c r="D1291" s="35" t="s">
        <v>52</v>
      </c>
      <c r="E1291" s="17"/>
      <c r="F1291" s="17"/>
      <c r="G1291" s="17"/>
      <c r="H1291" s="17"/>
      <c r="I1291" s="17"/>
      <c r="J1291" s="17"/>
      <c r="K1291" s="17"/>
      <c r="L1291" s="17"/>
      <c r="M1291" s="17"/>
      <c r="N1291" s="17"/>
      <c r="O1291" s="17"/>
      <c r="P1291" s="17"/>
      <c r="Q1291" s="17"/>
      <c r="R1291" s="17"/>
      <c r="S1291" s="17"/>
      <c r="T1291" s="17"/>
      <c r="U1291" s="17"/>
      <c r="V1291" s="17"/>
      <c r="W1291" s="17"/>
      <c r="X1291" s="17"/>
      <c r="Y1291" s="17"/>
      <c r="Z1291" s="17"/>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row>
    <row r="1292" hidden="1">
      <c r="A1292" s="17">
        <v>1290</v>
      </c>
      <c r="B1292" s="17" t="s">
        <v>52</v>
      </c>
      <c r="C1292" s="41" t="s">
        <v>3866</v>
      </c>
      <c r="D1292" s="35" t="s">
        <v>52</v>
      </c>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7"/>
      <c r="AA1292" s="17"/>
      <c r="AB1292" s="17"/>
      <c r="AC1292" s="17"/>
      <c r="AD1292" s="17"/>
      <c r="AE1292" s="17"/>
      <c r="AF1292" s="17"/>
      <c r="AG1292" s="17"/>
      <c r="AH1292" s="17"/>
      <c r="AI1292" s="17"/>
      <c r="AJ1292" s="17"/>
      <c r="AK1292" s="17"/>
      <c r="AL1292" s="17"/>
      <c r="AM1292" s="17"/>
      <c r="AN1292" s="17"/>
      <c r="AO1292" s="17"/>
      <c r="AP1292" s="17"/>
      <c r="AQ1292" s="17"/>
      <c r="AR1292" s="17"/>
      <c r="AS1292" s="17"/>
      <c r="AT1292" s="17"/>
      <c r="AU1292" s="17"/>
    </row>
    <row r="1293" hidden="1">
      <c r="A1293" s="17">
        <v>1291</v>
      </c>
      <c r="B1293" s="17" t="s">
        <v>52</v>
      </c>
      <c r="C1293" s="41" t="s">
        <v>3867</v>
      </c>
      <c r="D1293" s="35" t="s">
        <v>52</v>
      </c>
      <c r="E1293" s="17"/>
      <c r="F1293" s="17"/>
      <c r="G1293" s="17"/>
      <c r="H1293" s="17"/>
      <c r="I1293" s="17"/>
      <c r="J1293" s="17"/>
      <c r="K1293" s="17"/>
      <c r="L1293" s="17"/>
      <c r="M1293" s="17"/>
      <c r="N1293" s="17"/>
      <c r="O1293" s="17"/>
      <c r="P1293" s="17"/>
      <c r="Q1293" s="17"/>
      <c r="R1293" s="17"/>
      <c r="S1293" s="17"/>
      <c r="T1293" s="17"/>
      <c r="U1293" s="17"/>
      <c r="V1293" s="17"/>
      <c r="W1293" s="17"/>
      <c r="X1293" s="17"/>
      <c r="Y1293" s="17"/>
      <c r="Z1293" s="17"/>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row>
    <row r="1294" hidden="1">
      <c r="A1294" s="17">
        <v>1292</v>
      </c>
      <c r="B1294" s="17" t="s">
        <v>52</v>
      </c>
      <c r="C1294" s="41" t="s">
        <v>3868</v>
      </c>
      <c r="D1294" s="35" t="s">
        <v>52</v>
      </c>
      <c r="E1294" s="17"/>
      <c r="F1294" s="17"/>
      <c r="G1294" s="17"/>
      <c r="H1294" s="17"/>
      <c r="I1294" s="17"/>
      <c r="J1294" s="17"/>
      <c r="K1294" s="17"/>
      <c r="L1294" s="17"/>
      <c r="M1294" s="17"/>
      <c r="N1294" s="17"/>
      <c r="O1294" s="17"/>
      <c r="P1294" s="17"/>
      <c r="Q1294" s="17"/>
      <c r="R1294" s="17"/>
      <c r="S1294" s="17"/>
      <c r="T1294" s="17"/>
      <c r="U1294" s="17"/>
      <c r="V1294" s="17"/>
      <c r="W1294" s="17"/>
      <c r="X1294" s="17"/>
      <c r="Y1294" s="17"/>
      <c r="Z1294" s="17"/>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row>
    <row r="1295" hidden="1">
      <c r="A1295" s="17">
        <v>1293</v>
      </c>
      <c r="B1295" s="17" t="s">
        <v>52</v>
      </c>
      <c r="C1295" s="41" t="s">
        <v>3869</v>
      </c>
      <c r="D1295" s="35" t="s">
        <v>52</v>
      </c>
      <c r="E1295" s="17"/>
      <c r="F1295" s="17"/>
      <c r="G1295" s="17"/>
      <c r="H1295" s="17"/>
      <c r="I1295" s="17"/>
      <c r="J1295" s="17"/>
      <c r="K1295" s="17"/>
      <c r="L1295" s="17"/>
      <c r="M1295" s="17"/>
      <c r="N1295" s="17"/>
      <c r="O1295" s="17"/>
      <c r="P1295" s="17"/>
      <c r="Q1295" s="17"/>
      <c r="R1295" s="17"/>
      <c r="S1295" s="17"/>
      <c r="T1295" s="17"/>
      <c r="U1295" s="17"/>
      <c r="V1295" s="17"/>
      <c r="W1295" s="17"/>
      <c r="X1295" s="17"/>
      <c r="Y1295" s="17"/>
      <c r="Z1295" s="17"/>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row>
    <row r="1296" hidden="1">
      <c r="A1296" s="17">
        <v>1294</v>
      </c>
      <c r="B1296" s="17" t="s">
        <v>52</v>
      </c>
      <c r="C1296" s="41" t="s">
        <v>3870</v>
      </c>
      <c r="D1296" s="35" t="s">
        <v>52</v>
      </c>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7"/>
      <c r="AA1296" s="17"/>
      <c r="AB1296" s="17"/>
      <c r="AC1296" s="17"/>
      <c r="AD1296" s="17"/>
      <c r="AE1296" s="17"/>
      <c r="AF1296" s="17"/>
      <c r="AG1296" s="17"/>
      <c r="AH1296" s="17"/>
      <c r="AI1296" s="17"/>
      <c r="AJ1296" s="17"/>
      <c r="AK1296" s="17"/>
      <c r="AL1296" s="17"/>
      <c r="AM1296" s="17"/>
      <c r="AN1296" s="17"/>
      <c r="AO1296" s="17"/>
      <c r="AP1296" s="17"/>
      <c r="AQ1296" s="17"/>
      <c r="AR1296" s="17"/>
      <c r="AS1296" s="17"/>
      <c r="AT1296" s="17"/>
      <c r="AU1296" s="17"/>
    </row>
    <row r="1297" hidden="1">
      <c r="A1297" s="17">
        <v>1295</v>
      </c>
      <c r="B1297" s="17" t="s">
        <v>52</v>
      </c>
      <c r="C1297" s="41" t="s">
        <v>3871</v>
      </c>
      <c r="D1297" s="35" t="s">
        <v>52</v>
      </c>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7"/>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row>
    <row r="1298" hidden="1">
      <c r="A1298" s="17">
        <v>1296</v>
      </c>
      <c r="B1298" s="17" t="s">
        <v>52</v>
      </c>
      <c r="C1298" s="41" t="s">
        <v>3872</v>
      </c>
      <c r="D1298" s="35" t="s">
        <v>52</v>
      </c>
      <c r="E1298" s="17"/>
      <c r="F1298" s="17"/>
      <c r="G1298" s="17"/>
      <c r="H1298" s="17"/>
      <c r="I1298" s="17"/>
      <c r="J1298" s="17"/>
      <c r="K1298" s="17"/>
      <c r="L1298" s="17"/>
      <c r="M1298" s="17"/>
      <c r="N1298" s="17"/>
      <c r="O1298" s="17"/>
      <c r="P1298" s="17"/>
      <c r="Q1298" s="17"/>
      <c r="R1298" s="17"/>
      <c r="S1298" s="17"/>
      <c r="T1298" s="17"/>
      <c r="U1298" s="17"/>
      <c r="V1298" s="17"/>
      <c r="W1298" s="17"/>
      <c r="X1298" s="17"/>
      <c r="Y1298" s="17"/>
      <c r="Z1298" s="17"/>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row>
    <row r="1299" hidden="1">
      <c r="A1299" s="17">
        <v>1297</v>
      </c>
      <c r="B1299" s="17" t="s">
        <v>52</v>
      </c>
      <c r="C1299" s="41" t="s">
        <v>3873</v>
      </c>
      <c r="D1299" s="35" t="s">
        <v>52</v>
      </c>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7"/>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row>
    <row r="1300" hidden="1">
      <c r="A1300" s="17">
        <v>1298</v>
      </c>
      <c r="B1300" s="17" t="s">
        <v>52</v>
      </c>
      <c r="C1300" s="41" t="s">
        <v>3874</v>
      </c>
      <c r="D1300" s="35" t="s">
        <v>52</v>
      </c>
      <c r="E1300" s="17"/>
      <c r="F1300" s="17"/>
      <c r="G1300" s="17"/>
      <c r="H1300" s="17"/>
      <c r="I1300" s="17"/>
      <c r="J1300" s="17"/>
      <c r="K1300" s="17"/>
      <c r="L1300" s="17"/>
      <c r="M1300" s="17"/>
      <c r="N1300" s="17"/>
      <c r="O1300" s="17"/>
      <c r="P1300" s="17"/>
      <c r="Q1300" s="17"/>
      <c r="R1300" s="17"/>
      <c r="S1300" s="17"/>
      <c r="T1300" s="17"/>
      <c r="U1300" s="17"/>
      <c r="V1300" s="17"/>
      <c r="W1300" s="17"/>
      <c r="X1300" s="17"/>
      <c r="Y1300" s="17"/>
      <c r="Z1300" s="17"/>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row>
    <row r="1301" hidden="1">
      <c r="A1301" s="17">
        <v>1299</v>
      </c>
      <c r="B1301" s="17" t="s">
        <v>52</v>
      </c>
      <c r="C1301" s="41" t="s">
        <v>3875</v>
      </c>
      <c r="D1301" s="35" t="s">
        <v>52</v>
      </c>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7"/>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row>
    <row r="1302" hidden="1">
      <c r="A1302" s="17">
        <v>1300</v>
      </c>
      <c r="B1302" s="17" t="s">
        <v>52</v>
      </c>
      <c r="C1302" s="41" t="s">
        <v>3876</v>
      </c>
      <c r="D1302" s="35" t="s">
        <v>52</v>
      </c>
      <c r="E1302" s="17"/>
      <c r="F1302" s="17"/>
      <c r="G1302" s="17"/>
      <c r="H1302" s="17"/>
      <c r="I1302" s="17"/>
      <c r="J1302" s="17"/>
      <c r="K1302" s="17"/>
      <c r="L1302" s="17"/>
      <c r="M1302" s="17"/>
      <c r="N1302" s="17"/>
      <c r="O1302" s="17"/>
      <c r="P1302" s="17"/>
      <c r="Q1302" s="17"/>
      <c r="R1302" s="17"/>
      <c r="S1302" s="17"/>
      <c r="T1302" s="17"/>
      <c r="U1302" s="17"/>
      <c r="V1302" s="17"/>
      <c r="W1302" s="17"/>
      <c r="X1302" s="17"/>
      <c r="Y1302" s="17"/>
      <c r="Z1302" s="17"/>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row>
    <row r="1303" hidden="1">
      <c r="A1303" s="17">
        <v>1301</v>
      </c>
      <c r="B1303" s="17" t="s">
        <v>52</v>
      </c>
      <c r="C1303" s="41" t="s">
        <v>3877</v>
      </c>
      <c r="D1303" s="35" t="s">
        <v>52</v>
      </c>
      <c r="E1303" s="17"/>
      <c r="F1303" s="17"/>
      <c r="G1303" s="17"/>
      <c r="H1303" s="17"/>
      <c r="I1303" s="17"/>
      <c r="J1303" s="17"/>
      <c r="K1303" s="17"/>
      <c r="L1303" s="17"/>
      <c r="M1303" s="17"/>
      <c r="N1303" s="17"/>
      <c r="O1303" s="17"/>
      <c r="P1303" s="17"/>
      <c r="Q1303" s="17"/>
      <c r="R1303" s="17"/>
      <c r="S1303" s="17"/>
      <c r="T1303" s="17"/>
      <c r="U1303" s="17"/>
      <c r="V1303" s="17"/>
      <c r="W1303" s="17"/>
      <c r="X1303" s="17"/>
      <c r="Y1303" s="17"/>
      <c r="Z1303" s="17"/>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row>
    <row r="1304" hidden="1">
      <c r="A1304" s="17">
        <v>1302</v>
      </c>
      <c r="B1304" s="17" t="s">
        <v>52</v>
      </c>
      <c r="C1304" s="41" t="s">
        <v>3878</v>
      </c>
      <c r="D1304" s="35" t="s">
        <v>52</v>
      </c>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7"/>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row>
    <row r="1305" hidden="1">
      <c r="A1305" s="17">
        <v>1303</v>
      </c>
      <c r="B1305" s="17" t="s">
        <v>52</v>
      </c>
      <c r="C1305" s="41" t="s">
        <v>3879</v>
      </c>
      <c r="D1305" s="35" t="s">
        <v>52</v>
      </c>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7"/>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row>
    <row r="1306" hidden="1">
      <c r="A1306" s="17">
        <v>1304</v>
      </c>
      <c r="B1306" s="17" t="s">
        <v>52</v>
      </c>
      <c r="C1306" s="41" t="s">
        <v>3880</v>
      </c>
      <c r="D1306" s="35" t="s">
        <v>52</v>
      </c>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7"/>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row>
    <row r="1307" hidden="1">
      <c r="A1307" s="17">
        <v>1305</v>
      </c>
      <c r="B1307" s="17" t="s">
        <v>52</v>
      </c>
      <c r="C1307" s="41" t="s">
        <v>3881</v>
      </c>
      <c r="D1307" s="35" t="s">
        <v>52</v>
      </c>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row>
    <row r="1308" hidden="1">
      <c r="A1308" s="17">
        <v>1306</v>
      </c>
      <c r="B1308" s="17" t="s">
        <v>52</v>
      </c>
      <c r="C1308" s="41" t="s">
        <v>3882</v>
      </c>
      <c r="D1308" s="35" t="s">
        <v>52</v>
      </c>
      <c r="E1308" s="17"/>
      <c r="F1308" s="17"/>
      <c r="G1308" s="17"/>
      <c r="H1308" s="17"/>
      <c r="I1308" s="17"/>
      <c r="J1308" s="17"/>
      <c r="K1308" s="17"/>
      <c r="L1308" s="17"/>
      <c r="M1308" s="17"/>
      <c r="N1308" s="17"/>
      <c r="O1308" s="17"/>
      <c r="P1308" s="17"/>
      <c r="Q1308" s="17"/>
      <c r="R1308" s="17"/>
      <c r="S1308" s="17"/>
      <c r="T1308" s="17"/>
      <c r="U1308" s="17"/>
      <c r="V1308" s="17"/>
      <c r="W1308" s="17"/>
      <c r="X1308" s="17"/>
      <c r="Y1308" s="17"/>
      <c r="Z1308" s="17"/>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row>
    <row r="1309" hidden="1">
      <c r="A1309" s="17">
        <v>1307</v>
      </c>
      <c r="B1309" s="17" t="s">
        <v>52</v>
      </c>
      <c r="C1309" s="42" t="s">
        <v>3883</v>
      </c>
      <c r="D1309" s="35" t="s">
        <v>52</v>
      </c>
      <c r="E1309" s="17"/>
      <c r="F1309" s="17"/>
      <c r="G1309" s="17"/>
      <c r="H1309" s="17"/>
      <c r="I1309" s="17"/>
      <c r="J1309" s="17"/>
      <c r="K1309" s="17"/>
      <c r="L1309" s="17"/>
      <c r="M1309" s="17"/>
      <c r="N1309" s="17"/>
      <c r="O1309" s="17"/>
      <c r="P1309" s="17"/>
      <c r="Q1309" s="17"/>
      <c r="R1309" s="17"/>
      <c r="S1309" s="17"/>
      <c r="T1309" s="17"/>
      <c r="U1309" s="17"/>
      <c r="V1309" s="17"/>
      <c r="W1309" s="17"/>
      <c r="X1309" s="17"/>
      <c r="Y1309" s="17"/>
      <c r="Z1309" s="17"/>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row>
    <row r="1310" hidden="1">
      <c r="A1310" s="17">
        <v>1308</v>
      </c>
      <c r="B1310" s="17" t="s">
        <v>52</v>
      </c>
      <c r="C1310" s="42" t="s">
        <v>3884</v>
      </c>
      <c r="D1310" s="35" t="s">
        <v>52</v>
      </c>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row>
    <row r="1311">
      <c r="A1311" s="17">
        <v>1309</v>
      </c>
      <c r="B1311" s="17" t="s">
        <v>52</v>
      </c>
      <c r="C1311" s="42" t="s">
        <v>3885</v>
      </c>
      <c r="D1311" s="35" t="s">
        <v>3886</v>
      </c>
      <c r="E1311" s="17" t="s">
        <v>3887</v>
      </c>
      <c r="F1311" s="17" t="s">
        <v>3888</v>
      </c>
      <c r="G1311" s="17">
        <v>22.430420999999999</v>
      </c>
      <c r="H1311" s="17">
        <v>87.310649999999995</v>
      </c>
      <c r="I1311" s="17"/>
      <c r="J1311" s="17"/>
      <c r="K1311" s="17"/>
      <c r="L1311" s="17"/>
      <c r="M1311" s="42" t="s">
        <v>3889</v>
      </c>
      <c r="N1311" s="17">
        <v>9749822454</v>
      </c>
      <c r="O1311" s="17"/>
      <c r="P1311" s="17"/>
      <c r="Q1311" s="17"/>
      <c r="R1311" s="17"/>
      <c r="S1311" s="17"/>
      <c r="T1311" s="17"/>
      <c r="U1311" s="17"/>
      <c r="V1311" s="17"/>
      <c r="W1311" s="17"/>
      <c r="X1311" s="17"/>
      <c r="Y1311" s="17"/>
      <c r="Z1311" s="17"/>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row>
    <row r="1312">
      <c r="A1312" s="17">
        <v>1310</v>
      </c>
      <c r="B1312" s="17" t="s">
        <v>52</v>
      </c>
      <c r="C1312" s="42" t="s">
        <v>3890</v>
      </c>
      <c r="D1312" s="35" t="s">
        <v>3886</v>
      </c>
      <c r="E1312" s="17" t="s">
        <v>3891</v>
      </c>
      <c r="F1312" s="17" t="s">
        <v>3892</v>
      </c>
      <c r="G1312" s="17">
        <v>22.411246999999999</v>
      </c>
      <c r="H1312" s="17">
        <v>87.326471999999995</v>
      </c>
      <c r="I1312" s="17"/>
      <c r="J1312" s="17"/>
      <c r="K1312" s="17"/>
      <c r="L1312" s="17"/>
      <c r="M1312" s="42" t="s">
        <v>3893</v>
      </c>
      <c r="N1312" s="17" t="s">
        <v>3894</v>
      </c>
      <c r="O1312" s="17"/>
      <c r="P1312" s="17"/>
      <c r="Q1312" s="17"/>
      <c r="R1312" s="17"/>
      <c r="S1312" s="17"/>
      <c r="T1312" s="17"/>
      <c r="U1312" s="17"/>
      <c r="V1312" s="17"/>
      <c r="W1312" s="17"/>
      <c r="X1312" s="17"/>
      <c r="Y1312" s="17"/>
      <c r="Z1312" s="17"/>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row>
    <row r="1313">
      <c r="A1313" s="17">
        <v>1311</v>
      </c>
      <c r="B1313" s="17" t="s">
        <v>52</v>
      </c>
      <c r="C1313" s="42" t="s">
        <v>3895</v>
      </c>
      <c r="D1313" s="35" t="s">
        <v>3886</v>
      </c>
      <c r="E1313" s="17" t="s">
        <v>3896</v>
      </c>
      <c r="F1313" s="17" t="s">
        <v>3897</v>
      </c>
      <c r="G1313" s="17">
        <v>22.407152</v>
      </c>
      <c r="H1313" s="17">
        <v>87.339983000000004</v>
      </c>
      <c r="I1313" s="17"/>
      <c r="J1313" s="17"/>
      <c r="K1313" s="17"/>
      <c r="L1313" s="17"/>
      <c r="M1313" s="42" t="s">
        <v>3889</v>
      </c>
      <c r="N1313" s="17"/>
      <c r="O1313" s="17"/>
      <c r="P1313" s="17"/>
      <c r="Q1313" s="17"/>
      <c r="R1313" s="17"/>
      <c r="S1313" s="17"/>
      <c r="T1313" s="17"/>
      <c r="U1313" s="17"/>
      <c r="V1313" s="17"/>
      <c r="W1313" s="17"/>
      <c r="X1313" s="17"/>
      <c r="Y1313" s="17"/>
      <c r="Z1313" s="17"/>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row>
    <row r="1314">
      <c r="A1314" s="17">
        <v>1312</v>
      </c>
      <c r="B1314" s="17" t="s">
        <v>52</v>
      </c>
      <c r="C1314" s="42" t="s">
        <v>3898</v>
      </c>
      <c r="D1314" s="35" t="s">
        <v>3886</v>
      </c>
      <c r="E1314" s="17" t="s">
        <v>3899</v>
      </c>
      <c r="F1314" s="17" t="s">
        <v>3900</v>
      </c>
      <c r="G1314" s="17">
        <v>22.413170999999998</v>
      </c>
      <c r="H1314" s="17">
        <v>87.321712000000005</v>
      </c>
      <c r="I1314" s="17"/>
      <c r="J1314" s="17"/>
      <c r="K1314" s="17"/>
      <c r="L1314" s="17"/>
      <c r="M1314" s="42" t="s">
        <v>3889</v>
      </c>
      <c r="N1314" s="17"/>
      <c r="O1314" s="17"/>
      <c r="P1314" s="17"/>
      <c r="Q1314" s="17"/>
      <c r="R1314" s="17"/>
      <c r="S1314" s="17"/>
      <c r="T1314" s="17"/>
      <c r="U1314" s="17"/>
      <c r="V1314" s="17"/>
      <c r="W1314" s="17"/>
      <c r="X1314" s="17"/>
      <c r="Y1314" s="17"/>
      <c r="Z1314" s="17"/>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row>
    <row r="1315">
      <c r="A1315" s="17">
        <v>1313</v>
      </c>
      <c r="B1315" s="17" t="s">
        <v>52</v>
      </c>
      <c r="C1315" s="42" t="s">
        <v>3901</v>
      </c>
      <c r="D1315" s="35" t="s">
        <v>3886</v>
      </c>
      <c r="E1315" s="17" t="s">
        <v>3902</v>
      </c>
      <c r="F1315" s="17" t="s">
        <v>3903</v>
      </c>
      <c r="G1315" s="17">
        <v>22.412555999999999</v>
      </c>
      <c r="H1315" s="17">
        <v>87.315622000000005</v>
      </c>
      <c r="I1315" s="17"/>
      <c r="J1315" s="17"/>
      <c r="K1315" s="17"/>
      <c r="L1315" s="17"/>
      <c r="M1315" s="42" t="s">
        <v>3893</v>
      </c>
      <c r="N1315" s="17"/>
      <c r="O1315" s="17"/>
      <c r="P1315" s="17"/>
      <c r="Q1315" s="17"/>
      <c r="R1315" s="17"/>
      <c r="S1315" s="17"/>
      <c r="T1315" s="17"/>
      <c r="U1315" s="17"/>
      <c r="V1315" s="17"/>
      <c r="W1315" s="17"/>
      <c r="X1315" s="17"/>
      <c r="Y1315" s="17"/>
      <c r="Z1315" s="17"/>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row>
    <row r="1316">
      <c r="A1316" s="17">
        <v>1314</v>
      </c>
      <c r="B1316" s="17" t="s">
        <v>52</v>
      </c>
      <c r="C1316" s="42" t="s">
        <v>3904</v>
      </c>
      <c r="D1316" s="35" t="s">
        <v>3886</v>
      </c>
      <c r="E1316" s="17" t="s">
        <v>3905</v>
      </c>
      <c r="F1316" s="17" t="s">
        <v>3906</v>
      </c>
      <c r="G1316" s="17">
        <v>22.410107</v>
      </c>
      <c r="H1316" s="17">
        <v>87.320469000000003</v>
      </c>
      <c r="I1316" s="17"/>
      <c r="J1316" s="17"/>
      <c r="K1316" s="17"/>
      <c r="L1316" s="17"/>
      <c r="M1316" s="42" t="s">
        <v>3893</v>
      </c>
      <c r="N1316" s="17"/>
      <c r="O1316" s="17"/>
      <c r="P1316" s="17"/>
      <c r="Q1316" s="17"/>
      <c r="R1316" s="17"/>
      <c r="S1316" s="17"/>
      <c r="T1316" s="17"/>
      <c r="U1316" s="17"/>
      <c r="V1316" s="17"/>
      <c r="W1316" s="17"/>
      <c r="X1316" s="17"/>
      <c r="Y1316" s="17"/>
      <c r="Z1316" s="17"/>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row>
    <row r="1317">
      <c r="A1317" s="17">
        <v>1315</v>
      </c>
      <c r="B1317" s="17" t="s">
        <v>52</v>
      </c>
      <c r="C1317" s="42" t="s">
        <v>3907</v>
      </c>
      <c r="D1317" s="35" t="s">
        <v>3886</v>
      </c>
      <c r="E1317" s="17" t="s">
        <v>3908</v>
      </c>
      <c r="F1317" s="17" t="s">
        <v>3909</v>
      </c>
      <c r="G1317" s="17">
        <v>22.423338999999999</v>
      </c>
      <c r="H1317" s="17">
        <v>87.321083999999999</v>
      </c>
      <c r="I1317" s="17"/>
      <c r="J1317" s="17"/>
      <c r="K1317" s="17"/>
      <c r="L1317" s="17"/>
      <c r="M1317" s="42" t="s">
        <v>3893</v>
      </c>
      <c r="N1317" s="17"/>
      <c r="O1317" s="17"/>
      <c r="P1317" s="17"/>
      <c r="Q1317" s="17"/>
      <c r="R1317" s="17"/>
      <c r="S1317" s="17"/>
      <c r="T1317" s="17"/>
      <c r="U1317" s="17"/>
      <c r="V1317" s="17"/>
      <c r="W1317" s="17"/>
      <c r="X1317" s="17"/>
      <c r="Y1317" s="17"/>
      <c r="Z1317" s="17"/>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row>
    <row r="1318">
      <c r="A1318" s="17">
        <v>1316</v>
      </c>
      <c r="B1318" s="17" t="s">
        <v>52</v>
      </c>
      <c r="C1318" s="42" t="s">
        <v>3910</v>
      </c>
      <c r="D1318" s="35" t="s">
        <v>3886</v>
      </c>
      <c r="E1318" s="17" t="s">
        <v>3911</v>
      </c>
      <c r="F1318" s="17" t="s">
        <v>3912</v>
      </c>
      <c r="G1318" s="17">
        <v>22.414726000000002</v>
      </c>
      <c r="H1318" s="17">
        <v>87.308618999999993</v>
      </c>
      <c r="I1318" s="17"/>
      <c r="J1318" s="17"/>
      <c r="K1318" s="17"/>
      <c r="L1318" s="17"/>
      <c r="M1318" s="42" t="s">
        <v>3889</v>
      </c>
      <c r="N1318" s="17"/>
      <c r="O1318" s="17"/>
      <c r="P1318" s="17"/>
      <c r="Q1318" s="17"/>
      <c r="R1318" s="17"/>
      <c r="S1318" s="17"/>
      <c r="T1318" s="17"/>
      <c r="U1318" s="17"/>
      <c r="V1318" s="17"/>
      <c r="W1318" s="17"/>
      <c r="X1318" s="17"/>
      <c r="Y1318" s="17"/>
      <c r="Z1318" s="17"/>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row>
    <row r="1319">
      <c r="A1319" s="17">
        <v>1317</v>
      </c>
      <c r="B1319" s="17" t="s">
        <v>52</v>
      </c>
      <c r="C1319" s="42" t="s">
        <v>3913</v>
      </c>
      <c r="D1319" s="35" t="s">
        <v>3886</v>
      </c>
      <c r="E1319" s="17" t="s">
        <v>3914</v>
      </c>
      <c r="F1319" s="17" t="s">
        <v>3915</v>
      </c>
      <c r="G1319" s="17">
        <v>22.422602000000001</v>
      </c>
      <c r="H1319" s="17">
        <v>87.307844000000003</v>
      </c>
      <c r="I1319" s="17"/>
      <c r="J1319" s="17"/>
      <c r="K1319" s="17"/>
      <c r="L1319" s="17"/>
      <c r="M1319" s="42" t="s">
        <v>3889</v>
      </c>
      <c r="N1319" s="17"/>
      <c r="O1319" s="17"/>
      <c r="P1319" s="17"/>
      <c r="Q1319" s="17"/>
      <c r="R1319" s="17"/>
      <c r="S1319" s="17"/>
      <c r="T1319" s="17"/>
      <c r="U1319" s="17"/>
      <c r="V1319" s="17"/>
      <c r="W1319" s="17"/>
      <c r="X1319" s="17"/>
      <c r="Y1319" s="17"/>
      <c r="Z1319" s="17"/>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row>
    <row r="1320">
      <c r="A1320" s="17">
        <v>1318</v>
      </c>
      <c r="B1320" s="17" t="s">
        <v>52</v>
      </c>
      <c r="C1320" s="42" t="s">
        <v>3916</v>
      </c>
      <c r="D1320" s="35" t="s">
        <v>3886</v>
      </c>
      <c r="E1320" s="17" t="s">
        <v>3917</v>
      </c>
      <c r="F1320" s="17" t="s">
        <v>3918</v>
      </c>
      <c r="G1320" s="17">
        <v>22.420310000000001</v>
      </c>
      <c r="H1320" s="17">
        <v>87.332258999999993</v>
      </c>
      <c r="I1320" s="17"/>
      <c r="J1320" s="17"/>
      <c r="K1320" s="17"/>
      <c r="L1320" s="17"/>
      <c r="M1320" s="42" t="s">
        <v>3889</v>
      </c>
      <c r="N1320" s="17"/>
      <c r="O1320" s="17"/>
      <c r="P1320" s="17"/>
      <c r="Q1320" s="17"/>
      <c r="R1320" s="17"/>
      <c r="S1320" s="17"/>
      <c r="T1320" s="17"/>
      <c r="U1320" s="17"/>
      <c r="V1320" s="17"/>
      <c r="W1320" s="17"/>
      <c r="X1320" s="17"/>
      <c r="Y1320" s="17"/>
      <c r="Z1320" s="17"/>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row>
    <row r="1321">
      <c r="A1321" s="17">
        <v>1319</v>
      </c>
      <c r="B1321" s="17" t="s">
        <v>52</v>
      </c>
      <c r="C1321" s="42" t="s">
        <v>3919</v>
      </c>
      <c r="D1321" s="35" t="s">
        <v>3886</v>
      </c>
      <c r="E1321" s="17" t="s">
        <v>3920</v>
      </c>
      <c r="F1321" s="17" t="s">
        <v>3921</v>
      </c>
      <c r="G1321" s="17">
        <v>22.434926000000001</v>
      </c>
      <c r="H1321" s="17">
        <v>87.323363999999998</v>
      </c>
      <c r="I1321" s="17"/>
      <c r="J1321" s="17"/>
      <c r="K1321" s="17"/>
      <c r="L1321" s="17"/>
      <c r="M1321" s="42" t="s">
        <v>3893</v>
      </c>
      <c r="N1321" s="17"/>
      <c r="O1321" s="17"/>
      <c r="P1321" s="17"/>
      <c r="Q1321" s="17"/>
      <c r="R1321" s="17"/>
      <c r="S1321" s="17"/>
      <c r="T1321" s="17"/>
      <c r="U1321" s="17"/>
      <c r="V1321" s="17"/>
      <c r="W1321" s="17"/>
      <c r="X1321" s="17"/>
      <c r="Y1321" s="17"/>
      <c r="Z1321" s="17"/>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row>
    <row r="1322">
      <c r="A1322" s="17">
        <v>1320</v>
      </c>
      <c r="B1322" s="17" t="s">
        <v>52</v>
      </c>
      <c r="C1322" s="42" t="s">
        <v>3922</v>
      </c>
      <c r="D1322" s="35" t="s">
        <v>3886</v>
      </c>
      <c r="E1322" s="17" t="s">
        <v>3923</v>
      </c>
      <c r="F1322" s="17" t="s">
        <v>3924</v>
      </c>
      <c r="G1322" s="17">
        <v>22.441706</v>
      </c>
      <c r="H1322" s="17">
        <v>87.322957000000002</v>
      </c>
      <c r="I1322" s="17"/>
      <c r="J1322" s="17"/>
      <c r="K1322" s="17"/>
      <c r="L1322" s="17"/>
      <c r="M1322" s="42" t="s">
        <v>3893</v>
      </c>
      <c r="N1322" s="17"/>
      <c r="O1322" s="17"/>
      <c r="P1322" s="17"/>
      <c r="Q1322" s="17"/>
      <c r="R1322" s="17"/>
      <c r="S1322" s="17"/>
      <c r="T1322" s="17"/>
      <c r="U1322" s="17"/>
      <c r="V1322" s="17"/>
      <c r="W1322" s="17"/>
      <c r="X1322" s="17"/>
      <c r="Y1322" s="17"/>
      <c r="Z1322" s="17"/>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row>
    <row r="1323">
      <c r="A1323" s="17">
        <v>1321</v>
      </c>
      <c r="B1323" s="17" t="s">
        <v>52</v>
      </c>
      <c r="C1323" s="42" t="s">
        <v>3925</v>
      </c>
      <c r="D1323" s="35" t="s">
        <v>3886</v>
      </c>
      <c r="E1323" s="17" t="s">
        <v>3926</v>
      </c>
      <c r="F1323" s="17" t="s">
        <v>3927</v>
      </c>
      <c r="G1323" s="17">
        <v>22.438817</v>
      </c>
      <c r="H1323" s="17">
        <v>87.330556999999999</v>
      </c>
      <c r="I1323" s="17"/>
      <c r="J1323" s="17"/>
      <c r="K1323" s="17"/>
      <c r="L1323" s="17"/>
      <c r="M1323" s="42" t="s">
        <v>3893</v>
      </c>
      <c r="N1323" s="17"/>
      <c r="O1323" s="17"/>
      <c r="P1323" s="17"/>
      <c r="Q1323" s="17"/>
      <c r="R1323" s="17"/>
      <c r="S1323" s="17"/>
      <c r="T1323" s="17"/>
      <c r="U1323" s="17"/>
      <c r="V1323" s="17"/>
      <c r="W1323" s="17"/>
      <c r="X1323" s="17"/>
      <c r="Y1323" s="17"/>
      <c r="Z1323" s="17"/>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row>
    <row r="1324">
      <c r="A1324" s="17">
        <v>1322</v>
      </c>
      <c r="B1324" s="17" t="s">
        <v>52</v>
      </c>
      <c r="C1324" s="42" t="s">
        <v>3928</v>
      </c>
      <c r="D1324" s="35" t="s">
        <v>3886</v>
      </c>
      <c r="E1324" s="17" t="s">
        <v>3929</v>
      </c>
      <c r="F1324" s="17" t="s">
        <v>3930</v>
      </c>
      <c r="G1324" s="17">
        <v>22.404803999999999</v>
      </c>
      <c r="H1324" s="17">
        <v>87.313755</v>
      </c>
      <c r="I1324" s="17"/>
      <c r="J1324" s="17"/>
      <c r="K1324" s="17"/>
      <c r="L1324" s="17"/>
      <c r="M1324" s="42" t="s">
        <v>3889</v>
      </c>
      <c r="N1324" s="17"/>
      <c r="O1324" s="17"/>
      <c r="P1324" s="17"/>
      <c r="Q1324" s="17"/>
      <c r="R1324" s="17"/>
      <c r="S1324" s="17"/>
      <c r="T1324" s="17"/>
      <c r="U1324" s="17"/>
      <c r="V1324" s="17"/>
      <c r="W1324" s="17"/>
      <c r="X1324" s="17"/>
      <c r="Y1324" s="17"/>
      <c r="Z1324" s="17"/>
      <c r="AA1324" s="17"/>
      <c r="AB1324" s="17"/>
      <c r="AC1324" s="17"/>
      <c r="AD1324" s="17"/>
      <c r="AE1324" s="17"/>
      <c r="AF1324" s="17"/>
      <c r="AG1324" s="17"/>
      <c r="AH1324" s="17"/>
      <c r="AI1324" s="17"/>
      <c r="AJ1324" s="17"/>
      <c r="AK1324" s="17"/>
      <c r="AL1324" s="17"/>
      <c r="AM1324" s="17"/>
      <c r="AN1324" s="17"/>
      <c r="AO1324" s="17"/>
      <c r="AP1324" s="17"/>
      <c r="AQ1324" s="17"/>
      <c r="AR1324" s="17"/>
      <c r="AS1324" s="17"/>
      <c r="AT1324" s="17"/>
      <c r="AU1324" s="17"/>
    </row>
    <row r="1325">
      <c r="A1325" s="17">
        <v>1323</v>
      </c>
      <c r="B1325" s="17" t="s">
        <v>52</v>
      </c>
      <c r="C1325" s="42" t="s">
        <v>3931</v>
      </c>
      <c r="D1325" s="35" t="s">
        <v>3886</v>
      </c>
      <c r="E1325" s="17" t="s">
        <v>3932</v>
      </c>
      <c r="F1325" s="17" t="s">
        <v>3933</v>
      </c>
      <c r="G1325" s="17">
        <v>22.422971</v>
      </c>
      <c r="H1325" s="17">
        <v>87.303462999999994</v>
      </c>
      <c r="I1325" s="17"/>
      <c r="J1325" s="17"/>
      <c r="K1325" s="17"/>
      <c r="L1325" s="17"/>
      <c r="M1325" s="42" t="s">
        <v>3889</v>
      </c>
      <c r="N1325" s="17"/>
      <c r="O1325" s="17"/>
      <c r="P1325" s="17"/>
      <c r="Q1325" s="17"/>
      <c r="R1325" s="17"/>
      <c r="S1325" s="17"/>
      <c r="T1325" s="17"/>
      <c r="U1325" s="17"/>
      <c r="V1325" s="17"/>
      <c r="W1325" s="17"/>
      <c r="X1325" s="17"/>
      <c r="Y1325" s="17"/>
      <c r="Z1325" s="17"/>
      <c r="AA1325" s="17"/>
      <c r="AB1325" s="17"/>
      <c r="AC1325" s="17"/>
      <c r="AD1325" s="17"/>
      <c r="AE1325" s="17"/>
      <c r="AF1325" s="17"/>
      <c r="AG1325" s="17"/>
      <c r="AH1325" s="17"/>
      <c r="AI1325" s="17"/>
      <c r="AJ1325" s="17"/>
      <c r="AK1325" s="17"/>
      <c r="AL1325" s="17"/>
      <c r="AM1325" s="17"/>
      <c r="AN1325" s="17"/>
      <c r="AO1325" s="17"/>
      <c r="AP1325" s="17"/>
      <c r="AQ1325" s="17"/>
      <c r="AR1325" s="17"/>
      <c r="AS1325" s="17"/>
      <c r="AT1325" s="17"/>
      <c r="AU1325" s="17"/>
    </row>
    <row r="1326">
      <c r="A1326" s="17">
        <v>1324</v>
      </c>
      <c r="B1326" s="17" t="s">
        <v>52</v>
      </c>
      <c r="C1326" s="42" t="s">
        <v>3934</v>
      </c>
      <c r="D1326" s="35" t="s">
        <v>3886</v>
      </c>
      <c r="E1326" s="17" t="s">
        <v>3935</v>
      </c>
      <c r="F1326" s="17" t="s">
        <v>3936</v>
      </c>
      <c r="G1326" s="17">
        <v>22.416367999999999</v>
      </c>
      <c r="H1326" s="17">
        <v>87.314133999999996</v>
      </c>
      <c r="I1326" s="17"/>
      <c r="J1326" s="17"/>
      <c r="K1326" s="17"/>
      <c r="L1326" s="17"/>
      <c r="M1326" s="42" t="s">
        <v>3889</v>
      </c>
      <c r="N1326" s="17"/>
      <c r="O1326" s="17"/>
      <c r="P1326" s="17"/>
      <c r="Q1326" s="17"/>
      <c r="R1326" s="17"/>
      <c r="S1326" s="17"/>
      <c r="T1326" s="17"/>
      <c r="U1326" s="17"/>
      <c r="V1326" s="17"/>
      <c r="W1326" s="17"/>
      <c r="X1326" s="17"/>
      <c r="Y1326" s="17"/>
      <c r="Z1326" s="17"/>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row>
    <row r="1327">
      <c r="A1327" s="17">
        <v>1325</v>
      </c>
      <c r="B1327" s="17" t="s">
        <v>52</v>
      </c>
      <c r="C1327" s="42" t="s">
        <v>3937</v>
      </c>
      <c r="D1327" s="35" t="s">
        <v>3886</v>
      </c>
      <c r="E1327" s="17" t="s">
        <v>3938</v>
      </c>
      <c r="F1327" s="17" t="s">
        <v>3939</v>
      </c>
      <c r="G1327" s="17">
        <v>22.416924999999999</v>
      </c>
      <c r="H1327" s="17">
        <v>87.326677000000004</v>
      </c>
      <c r="I1327" s="17"/>
      <c r="J1327" s="17"/>
      <c r="K1327" s="17"/>
      <c r="L1327" s="17"/>
      <c r="M1327" s="42" t="s">
        <v>3889</v>
      </c>
      <c r="N1327" s="17"/>
      <c r="O1327" s="17"/>
      <c r="P1327" s="17"/>
      <c r="Q1327" s="17"/>
      <c r="R1327" s="17"/>
      <c r="S1327" s="17"/>
      <c r="T1327" s="17"/>
      <c r="U1327" s="17"/>
      <c r="V1327" s="17"/>
      <c r="W1327" s="17"/>
      <c r="X1327" s="17"/>
      <c r="Y1327" s="17"/>
      <c r="Z1327" s="17"/>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row>
    <row r="1328">
      <c r="A1328" s="17">
        <v>1326</v>
      </c>
      <c r="B1328" s="17" t="s">
        <v>52</v>
      </c>
      <c r="C1328" s="42" t="s">
        <v>3940</v>
      </c>
      <c r="D1328" s="35" t="s">
        <v>3886</v>
      </c>
      <c r="E1328" s="17" t="s">
        <v>3941</v>
      </c>
      <c r="F1328" s="17" t="s">
        <v>3942</v>
      </c>
      <c r="G1328" s="17">
        <v>22.420059999999999</v>
      </c>
      <c r="H1328" s="17">
        <v>87.315736000000001</v>
      </c>
      <c r="I1328" s="17"/>
      <c r="J1328" s="17"/>
      <c r="K1328" s="17"/>
      <c r="L1328" s="17"/>
      <c r="M1328" s="42" t="s">
        <v>3889</v>
      </c>
      <c r="N1328" s="17"/>
      <c r="O1328" s="17"/>
      <c r="P1328" s="17"/>
      <c r="Q1328" s="17"/>
      <c r="R1328" s="17"/>
      <c r="S1328" s="17"/>
      <c r="T1328" s="17"/>
      <c r="U1328" s="17"/>
      <c r="V1328" s="17"/>
      <c r="W1328" s="17"/>
      <c r="X1328" s="17"/>
      <c r="Y1328" s="17"/>
      <c r="Z1328" s="17"/>
      <c r="AA1328" s="17"/>
      <c r="AB1328" s="17"/>
      <c r="AC1328" s="17"/>
      <c r="AD1328" s="17"/>
      <c r="AE1328" s="17"/>
      <c r="AF1328" s="17"/>
      <c r="AG1328" s="17"/>
      <c r="AH1328" s="17"/>
      <c r="AI1328" s="17"/>
      <c r="AJ1328" s="17"/>
      <c r="AK1328" s="17"/>
      <c r="AL1328" s="17"/>
      <c r="AM1328" s="17"/>
      <c r="AN1328" s="17"/>
      <c r="AO1328" s="17"/>
      <c r="AP1328" s="17"/>
      <c r="AQ1328" s="17"/>
      <c r="AR1328" s="17"/>
      <c r="AS1328" s="17"/>
      <c r="AT1328" s="17"/>
      <c r="AU1328" s="17"/>
    </row>
    <row r="1329">
      <c r="A1329" s="17">
        <v>1327</v>
      </c>
      <c r="B1329" s="17" t="s">
        <v>52</v>
      </c>
      <c r="C1329" s="42" t="s">
        <v>3943</v>
      </c>
      <c r="D1329" s="35" t="s">
        <v>3886</v>
      </c>
      <c r="E1329" s="17" t="s">
        <v>3944</v>
      </c>
      <c r="F1329" s="17" t="s">
        <v>3945</v>
      </c>
      <c r="G1329" s="17">
        <v>22.429289000000001</v>
      </c>
      <c r="H1329" s="17">
        <v>87.322383000000002</v>
      </c>
      <c r="I1329" s="17"/>
      <c r="J1329" s="17"/>
      <c r="K1329" s="17"/>
      <c r="L1329" s="17"/>
      <c r="M1329" s="42" t="s">
        <v>3889</v>
      </c>
      <c r="N1329" s="17"/>
      <c r="O1329" s="17"/>
      <c r="P1329" s="17"/>
      <c r="Q1329" s="17"/>
      <c r="R1329" s="17"/>
      <c r="S1329" s="17"/>
      <c r="T1329" s="17"/>
      <c r="U1329" s="17"/>
      <c r="V1329" s="17"/>
      <c r="W1329" s="17"/>
      <c r="X1329" s="17"/>
      <c r="Y1329" s="17"/>
      <c r="Z1329" s="17"/>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row>
    <row r="1330">
      <c r="A1330" s="17">
        <v>1328</v>
      </c>
      <c r="B1330" s="17" t="s">
        <v>52</v>
      </c>
      <c r="C1330" s="42" t="s">
        <v>3946</v>
      </c>
      <c r="D1330" s="35" t="s">
        <v>3886</v>
      </c>
      <c r="E1330" s="17" t="s">
        <v>3947</v>
      </c>
      <c r="F1330" s="17" t="s">
        <v>3948</v>
      </c>
      <c r="G1330" s="17">
        <v>22.423351</v>
      </c>
      <c r="H1330" s="17">
        <v>87.326577999999998</v>
      </c>
      <c r="I1330" s="17"/>
      <c r="J1330" s="17"/>
      <c r="K1330" s="17"/>
      <c r="L1330" s="17"/>
      <c r="M1330" s="42" t="s">
        <v>3889</v>
      </c>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row>
    <row r="1331">
      <c r="A1331" s="17">
        <v>1329</v>
      </c>
      <c r="B1331" s="17" t="s">
        <v>52</v>
      </c>
      <c r="C1331" s="42" t="s">
        <v>3949</v>
      </c>
      <c r="D1331" s="35" t="s">
        <v>3886</v>
      </c>
      <c r="E1331" s="17" t="s">
        <v>3950</v>
      </c>
      <c r="F1331" s="17" t="s">
        <v>3951</v>
      </c>
      <c r="G1331" s="17">
        <v>22.426231999999999</v>
      </c>
      <c r="H1331" s="17">
        <v>87.316475999999994</v>
      </c>
      <c r="I1331" s="17"/>
      <c r="J1331" s="17"/>
      <c r="K1331" s="17"/>
      <c r="L1331" s="17"/>
      <c r="M1331" s="42" t="s">
        <v>3889</v>
      </c>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row>
    <row r="1332">
      <c r="A1332" s="17">
        <v>1330</v>
      </c>
      <c r="B1332" s="17" t="s">
        <v>52</v>
      </c>
      <c r="C1332" s="42" t="s">
        <v>3952</v>
      </c>
      <c r="D1332" s="35" t="s">
        <v>3886</v>
      </c>
      <c r="E1332" s="17" t="s">
        <v>3953</v>
      </c>
      <c r="F1332" s="17" t="s">
        <v>3954</v>
      </c>
      <c r="G1332" s="17">
        <v>22.433093</v>
      </c>
      <c r="H1332" s="17">
        <v>87.330800999999994</v>
      </c>
      <c r="I1332" s="17"/>
      <c r="J1332" s="17"/>
      <c r="K1332" s="17"/>
      <c r="L1332" s="17"/>
      <c r="M1332" s="42" t="s">
        <v>3893</v>
      </c>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row>
    <row r="1333">
      <c r="A1333" s="17">
        <v>1331</v>
      </c>
      <c r="B1333" s="17" t="s">
        <v>52</v>
      </c>
      <c r="C1333" s="42" t="s">
        <v>3955</v>
      </c>
      <c r="D1333" s="35" t="s">
        <v>3886</v>
      </c>
      <c r="E1333" s="17" t="s">
        <v>3956</v>
      </c>
      <c r="F1333" s="17" t="s">
        <v>3957</v>
      </c>
      <c r="G1333" s="17">
        <v>22.404779999999999</v>
      </c>
      <c r="H1333" s="17">
        <v>87.329801000000003</v>
      </c>
      <c r="I1333" s="17"/>
      <c r="J1333" s="17"/>
      <c r="K1333" s="17"/>
      <c r="L1333" s="17"/>
      <c r="M1333" s="42" t="s">
        <v>3893</v>
      </c>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row>
    <row r="1334">
      <c r="A1334" s="17">
        <v>1332</v>
      </c>
      <c r="B1334" s="17" t="s">
        <v>52</v>
      </c>
      <c r="C1334" s="42" t="s">
        <v>3958</v>
      </c>
      <c r="D1334" s="35" t="s">
        <v>3886</v>
      </c>
      <c r="E1334" s="17" t="s">
        <v>3959</v>
      </c>
      <c r="F1334" s="17" t="s">
        <v>3960</v>
      </c>
      <c r="G1334" s="17">
        <v>22.408545</v>
      </c>
      <c r="H1334" s="17">
        <v>87.317400000000006</v>
      </c>
      <c r="I1334" s="17"/>
      <c r="J1334" s="17"/>
      <c r="K1334" s="17"/>
      <c r="L1334" s="17"/>
      <c r="M1334" s="42" t="s">
        <v>3889</v>
      </c>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row>
    <row r="1335">
      <c r="A1335" s="17">
        <v>1333</v>
      </c>
      <c r="B1335" s="17" t="s">
        <v>52</v>
      </c>
      <c r="C1335" s="42" t="s">
        <v>3961</v>
      </c>
      <c r="D1335" s="35" t="s">
        <v>3886</v>
      </c>
      <c r="E1335" s="17" t="s">
        <v>3962</v>
      </c>
      <c r="F1335" s="17" t="s">
        <v>3963</v>
      </c>
      <c r="G1335" s="17">
        <v>22.425799000000001</v>
      </c>
      <c r="H1335" s="17">
        <v>87.328117000000006</v>
      </c>
      <c r="I1335" s="17"/>
      <c r="J1335" s="17"/>
      <c r="K1335" s="17"/>
      <c r="L1335" s="17"/>
      <c r="M1335" s="42" t="s">
        <v>3893</v>
      </c>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row>
    <row r="1336">
      <c r="A1336" s="17">
        <v>1334</v>
      </c>
      <c r="B1336" s="17" t="s">
        <v>52</v>
      </c>
      <c r="C1336" s="42" t="s">
        <v>3964</v>
      </c>
      <c r="D1336" s="35" t="s">
        <v>3886</v>
      </c>
      <c r="E1336" s="17" t="s">
        <v>3965</v>
      </c>
      <c r="F1336" s="17" t="s">
        <v>3966</v>
      </c>
      <c r="G1336" s="17">
        <v>22.863683000000002</v>
      </c>
      <c r="H1336" s="17">
        <v>87.356814999999997</v>
      </c>
      <c r="I1336" s="17"/>
      <c r="J1336" s="17"/>
      <c r="K1336" s="17"/>
      <c r="L1336" s="17"/>
      <c r="M1336" s="42" t="s">
        <v>3967</v>
      </c>
      <c r="N1336" s="17">
        <v>7003284784</v>
      </c>
      <c r="O1336" s="17"/>
      <c r="P1336" s="17"/>
      <c r="Q1336" s="17"/>
      <c r="R1336" s="17"/>
      <c r="S1336" s="17"/>
      <c r="T1336" s="17"/>
      <c r="U1336" s="17"/>
      <c r="V1336" s="17"/>
      <c r="W1336" s="17"/>
      <c r="X1336" s="17"/>
      <c r="Y1336" s="17"/>
      <c r="Z1336" s="17"/>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row>
    <row r="1337">
      <c r="A1337" s="17">
        <v>1335</v>
      </c>
      <c r="B1337" s="17" t="s">
        <v>52</v>
      </c>
      <c r="C1337" s="42" t="s">
        <v>3968</v>
      </c>
      <c r="D1337" s="35" t="s">
        <v>3886</v>
      </c>
      <c r="E1337" s="17" t="s">
        <v>3969</v>
      </c>
      <c r="F1337" s="17" t="s">
        <v>3970</v>
      </c>
      <c r="G1337" s="17">
        <v>22.920779</v>
      </c>
      <c r="H1337" s="17">
        <v>87.327460000000002</v>
      </c>
      <c r="I1337" s="17"/>
      <c r="J1337" s="17"/>
      <c r="K1337" s="17"/>
      <c r="L1337" s="17"/>
      <c r="M1337" s="42" t="s">
        <v>3967</v>
      </c>
      <c r="N1337" s="17"/>
      <c r="O1337" s="17">
        <v>20</v>
      </c>
      <c r="P1337" s="17">
        <v>50</v>
      </c>
      <c r="Q1337" s="17" t="s">
        <v>73</v>
      </c>
      <c r="R1337" s="17" t="s">
        <v>1180</v>
      </c>
      <c r="S1337" s="17" t="s">
        <v>137</v>
      </c>
      <c r="T1337" s="17" t="s">
        <v>3971</v>
      </c>
      <c r="U1337" s="17" t="s">
        <v>76</v>
      </c>
      <c r="V1337" s="17" t="s">
        <v>340</v>
      </c>
      <c r="W1337" s="17" t="s">
        <v>143</v>
      </c>
      <c r="X1337" s="17">
        <v>2</v>
      </c>
      <c r="Y1337" s="17">
        <v>2</v>
      </c>
      <c r="Z1337" s="17"/>
      <c r="AA1337" s="17" t="s">
        <v>73</v>
      </c>
      <c r="AB1337" s="17" t="s">
        <v>79</v>
      </c>
      <c r="AC1337" s="17">
        <v>2</v>
      </c>
      <c r="AD1337" s="17">
        <v>0</v>
      </c>
      <c r="AE1337" s="17">
        <v>0</v>
      </c>
      <c r="AF1337" s="17"/>
      <c r="AG1337" s="17" t="s">
        <v>124</v>
      </c>
      <c r="AH1337" s="17" t="s">
        <v>82</v>
      </c>
      <c r="AI1337" s="17" t="s">
        <v>83</v>
      </c>
      <c r="AJ1337" s="17">
        <v>2111</v>
      </c>
      <c r="AK1337" s="17" t="s">
        <v>75</v>
      </c>
      <c r="AL1337" s="17" t="s">
        <v>75</v>
      </c>
      <c r="AM1337" s="17" t="s">
        <v>75</v>
      </c>
      <c r="AN1337" s="17" t="s">
        <v>84</v>
      </c>
      <c r="AO1337" s="17" t="s">
        <v>75</v>
      </c>
      <c r="AP1337" s="17"/>
      <c r="AQ1337" s="17"/>
      <c r="AR1337" s="17"/>
      <c r="AS1337" s="17"/>
      <c r="AT1337" s="17" t="s">
        <v>3972</v>
      </c>
      <c r="AU1337" s="17" t="s">
        <v>111</v>
      </c>
    </row>
    <row r="1338">
      <c r="A1338" s="17">
        <v>1336</v>
      </c>
      <c r="B1338" s="17" t="s">
        <v>52</v>
      </c>
      <c r="C1338" s="42" t="s">
        <v>3973</v>
      </c>
      <c r="D1338" s="35" t="s">
        <v>3886</v>
      </c>
      <c r="E1338" s="17" t="s">
        <v>3974</v>
      </c>
      <c r="F1338" s="17" t="s">
        <v>3975</v>
      </c>
      <c r="G1338" s="17">
        <v>22.888874999999999</v>
      </c>
      <c r="H1338" s="17">
        <v>87.322969000000001</v>
      </c>
      <c r="I1338" s="17"/>
      <c r="J1338" s="17"/>
      <c r="K1338" s="17"/>
      <c r="L1338" s="17"/>
      <c r="M1338" s="42" t="s">
        <v>3967</v>
      </c>
      <c r="N1338" s="17"/>
      <c r="O1338" s="17">
        <v>20</v>
      </c>
      <c r="P1338" s="17">
        <v>50</v>
      </c>
      <c r="Q1338" s="17" t="s">
        <v>105</v>
      </c>
      <c r="R1338" s="17" t="s">
        <v>142</v>
      </c>
      <c r="S1338" s="17" t="s">
        <v>75</v>
      </c>
      <c r="T1338" s="17"/>
      <c r="U1338" s="17" t="s">
        <v>441</v>
      </c>
      <c r="V1338" s="17" t="s">
        <v>442</v>
      </c>
      <c r="W1338" s="17" t="s">
        <v>443</v>
      </c>
      <c r="X1338" s="17">
        <v>4</v>
      </c>
      <c r="Y1338" s="17">
        <v>0</v>
      </c>
      <c r="Z1338" s="17" t="s">
        <v>424</v>
      </c>
      <c r="AA1338" s="17" t="s">
        <v>105</v>
      </c>
      <c r="AB1338" s="17" t="s">
        <v>79</v>
      </c>
      <c r="AC1338" s="17">
        <v>5</v>
      </c>
      <c r="AD1338" s="17">
        <v>0</v>
      </c>
      <c r="AE1338" s="17">
        <v>0</v>
      </c>
      <c r="AF1338" s="17"/>
      <c r="AG1338" s="17" t="s">
        <v>124</v>
      </c>
      <c r="AH1338" s="17" t="s">
        <v>82</v>
      </c>
      <c r="AI1338" s="17" t="s">
        <v>83</v>
      </c>
      <c r="AJ1338" s="17">
        <v>2111</v>
      </c>
      <c r="AK1338" s="17" t="s">
        <v>75</v>
      </c>
      <c r="AL1338" s="17" t="s">
        <v>75</v>
      </c>
      <c r="AM1338" s="17" t="s">
        <v>75</v>
      </c>
      <c r="AN1338" s="17" t="s">
        <v>125</v>
      </c>
      <c r="AO1338" s="17" t="s">
        <v>75</v>
      </c>
      <c r="AP1338" s="17"/>
      <c r="AQ1338" s="17"/>
      <c r="AR1338" s="17"/>
      <c r="AS1338" s="17"/>
      <c r="AT1338" s="17" t="s">
        <v>3976</v>
      </c>
      <c r="AU1338" s="17" t="s">
        <v>430</v>
      </c>
    </row>
    <row r="1339">
      <c r="A1339" s="17">
        <v>1337</v>
      </c>
      <c r="B1339" s="17" t="s">
        <v>52</v>
      </c>
      <c r="C1339" s="42" t="s">
        <v>3977</v>
      </c>
      <c r="D1339" s="35" t="s">
        <v>3886</v>
      </c>
      <c r="E1339" s="17" t="s">
        <v>3978</v>
      </c>
      <c r="F1339" s="17" t="s">
        <v>3979</v>
      </c>
      <c r="G1339" s="17">
        <v>22.897445000000001</v>
      </c>
      <c r="H1339" s="17">
        <v>87.359711000000004</v>
      </c>
      <c r="I1339" s="17"/>
      <c r="J1339" s="17"/>
      <c r="K1339" s="17"/>
      <c r="L1339" s="17"/>
      <c r="M1339" s="42" t="s">
        <v>3967</v>
      </c>
      <c r="N1339" s="17"/>
      <c r="O1339" s="17">
        <v>20</v>
      </c>
      <c r="P1339" s="17">
        <v>122</v>
      </c>
      <c r="Q1339" s="17" t="s">
        <v>413</v>
      </c>
      <c r="R1339" s="17" t="s">
        <v>142</v>
      </c>
      <c r="S1339" s="17" t="s">
        <v>75</v>
      </c>
      <c r="T1339" s="17" t="s">
        <v>3980</v>
      </c>
      <c r="U1339" s="17" t="s">
        <v>160</v>
      </c>
      <c r="V1339" s="17" t="s">
        <v>77</v>
      </c>
      <c r="W1339" s="17" t="s">
        <v>454</v>
      </c>
      <c r="X1339" s="17">
        <v>4</v>
      </c>
      <c r="Y1339" s="17">
        <v>0</v>
      </c>
      <c r="Z1339" s="17" t="s">
        <v>3981</v>
      </c>
      <c r="AA1339" s="17" t="s">
        <v>413</v>
      </c>
      <c r="AB1339" s="17" t="s">
        <v>79</v>
      </c>
      <c r="AC1339" s="17">
        <v>4</v>
      </c>
      <c r="AD1339" s="17">
        <v>0</v>
      </c>
      <c r="AE1339" s="17">
        <v>0</v>
      </c>
      <c r="AF1339" s="17" t="s">
        <v>3982</v>
      </c>
      <c r="AG1339" s="17" t="s">
        <v>124</v>
      </c>
      <c r="AH1339" s="17" t="s">
        <v>82</v>
      </c>
      <c r="AI1339" s="17" t="s">
        <v>83</v>
      </c>
      <c r="AJ1339" s="17">
        <v>2111</v>
      </c>
      <c r="AK1339" s="17" t="s">
        <v>75</v>
      </c>
      <c r="AL1339" s="17" t="s">
        <v>137</v>
      </c>
      <c r="AM1339" s="17" t="s">
        <v>75</v>
      </c>
      <c r="AN1339" s="17" t="s">
        <v>84</v>
      </c>
      <c r="AO1339" s="17" t="s">
        <v>75</v>
      </c>
      <c r="AP1339" s="17"/>
      <c r="AQ1339" s="17"/>
      <c r="AR1339" s="17"/>
      <c r="AS1339" s="17"/>
      <c r="AT1339" s="17" t="s">
        <v>3983</v>
      </c>
      <c r="AU1339" s="17" t="s">
        <v>111</v>
      </c>
    </row>
    <row r="1340">
      <c r="A1340" s="17">
        <v>1338</v>
      </c>
      <c r="B1340" s="17" t="s">
        <v>52</v>
      </c>
      <c r="C1340" s="42" t="s">
        <v>3984</v>
      </c>
      <c r="D1340" s="35" t="s">
        <v>3886</v>
      </c>
      <c r="E1340" s="17" t="s">
        <v>3985</v>
      </c>
      <c r="F1340" s="17" t="s">
        <v>3986</v>
      </c>
      <c r="G1340" s="17">
        <v>22.764471</v>
      </c>
      <c r="H1340" s="17">
        <v>87.582031000000001</v>
      </c>
      <c r="I1340" s="17"/>
      <c r="J1340" s="17"/>
      <c r="K1340" s="17"/>
      <c r="L1340" s="17"/>
      <c r="M1340" s="42" t="s">
        <v>3987</v>
      </c>
      <c r="N1340" s="17">
        <v>8240995373</v>
      </c>
      <c r="O1340" s="17"/>
      <c r="P1340" s="17"/>
      <c r="Q1340" s="17"/>
      <c r="R1340" s="17"/>
      <c r="S1340" s="17"/>
      <c r="T1340" s="17"/>
      <c r="U1340" s="17"/>
      <c r="V1340" s="17"/>
      <c r="W1340" s="17"/>
      <c r="X1340" s="17"/>
      <c r="Y1340" s="17"/>
      <c r="Z1340" s="17"/>
      <c r="AA1340" s="17"/>
      <c r="AB1340" s="17"/>
      <c r="AC1340" s="17"/>
      <c r="AD1340" s="17"/>
      <c r="AE1340" s="17"/>
      <c r="AF1340" s="17"/>
      <c r="AG1340" s="17"/>
      <c r="AH1340" s="17"/>
      <c r="AI1340" s="17"/>
      <c r="AJ1340" s="17"/>
      <c r="AK1340" s="17"/>
      <c r="AL1340" s="17"/>
      <c r="AM1340" s="17"/>
      <c r="AN1340" s="17"/>
      <c r="AO1340" s="17"/>
      <c r="AP1340" s="17"/>
      <c r="AQ1340" s="17"/>
      <c r="AR1340" s="17"/>
      <c r="AS1340" s="17"/>
      <c r="AT1340" s="17"/>
      <c r="AU1340" s="17"/>
    </row>
    <row r="1341">
      <c r="A1341" s="17">
        <v>1339</v>
      </c>
      <c r="B1341" s="17" t="s">
        <v>52</v>
      </c>
      <c r="C1341" s="42" t="s">
        <v>3988</v>
      </c>
      <c r="D1341" s="35" t="s">
        <v>3886</v>
      </c>
      <c r="E1341" s="17" t="s">
        <v>3989</v>
      </c>
      <c r="F1341" s="17" t="s">
        <v>3990</v>
      </c>
      <c r="G1341" s="17">
        <v>22.688518999999999</v>
      </c>
      <c r="H1341" s="17">
        <v>87.643921000000006</v>
      </c>
      <c r="I1341" s="17"/>
      <c r="J1341" s="17"/>
      <c r="K1341" s="17"/>
      <c r="L1341" s="17"/>
      <c r="M1341" s="42" t="s">
        <v>3987</v>
      </c>
      <c r="N1341" s="17"/>
      <c r="O1341" s="17"/>
      <c r="P1341" s="17"/>
      <c r="Q1341" s="17"/>
      <c r="R1341" s="17"/>
      <c r="S1341" s="17"/>
      <c r="T1341" s="17"/>
      <c r="U1341" s="17"/>
      <c r="V1341" s="17"/>
      <c r="W1341" s="17"/>
      <c r="X1341" s="17"/>
      <c r="Y1341" s="17"/>
      <c r="Z1341" s="17"/>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row>
    <row r="1342">
      <c r="A1342" s="17">
        <v>1340</v>
      </c>
      <c r="B1342" s="17" t="s">
        <v>52</v>
      </c>
      <c r="C1342" s="42" t="s">
        <v>3991</v>
      </c>
      <c r="D1342" s="35" t="s">
        <v>3886</v>
      </c>
      <c r="E1342" s="17" t="s">
        <v>3992</v>
      </c>
      <c r="F1342" s="17" t="s">
        <v>3993</v>
      </c>
      <c r="G1342" s="17">
        <v>22.710930999999999</v>
      </c>
      <c r="H1342" s="17">
        <v>87.614405000000005</v>
      </c>
      <c r="I1342" s="17"/>
      <c r="J1342" s="17"/>
      <c r="K1342" s="17"/>
      <c r="L1342" s="17"/>
      <c r="M1342" s="42" t="s">
        <v>3987</v>
      </c>
      <c r="N1342" s="17"/>
      <c r="O1342" s="17"/>
      <c r="P1342" s="17"/>
      <c r="Q1342" s="17"/>
      <c r="R1342" s="17"/>
      <c r="S1342" s="17"/>
      <c r="T1342" s="17"/>
      <c r="U1342" s="17"/>
      <c r="V1342" s="17"/>
      <c r="W1342" s="17"/>
      <c r="X1342" s="17"/>
      <c r="Y1342" s="17"/>
      <c r="Z1342" s="17"/>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row>
    <row r="1343">
      <c r="A1343" s="17">
        <v>1341</v>
      </c>
      <c r="B1343" s="17" t="s">
        <v>52</v>
      </c>
      <c r="C1343" s="42" t="s">
        <v>3994</v>
      </c>
      <c r="D1343" s="35" t="s">
        <v>3886</v>
      </c>
      <c r="E1343" s="17" t="s">
        <v>3995</v>
      </c>
      <c r="F1343" s="17" t="s">
        <v>3996</v>
      </c>
      <c r="G1343" s="17">
        <v>22.700983999999998</v>
      </c>
      <c r="H1343" s="17">
        <v>87.613748000000001</v>
      </c>
      <c r="I1343" s="17"/>
      <c r="J1343" s="17"/>
      <c r="K1343" s="17"/>
      <c r="L1343" s="17"/>
      <c r="M1343" s="42" t="s">
        <v>3987</v>
      </c>
      <c r="N1343" s="17"/>
      <c r="O1343" s="17"/>
      <c r="P1343" s="17"/>
      <c r="Q1343" s="17"/>
      <c r="R1343" s="17"/>
      <c r="S1343" s="17"/>
      <c r="T1343" s="17"/>
      <c r="U1343" s="17"/>
      <c r="V1343" s="17"/>
      <c r="W1343" s="17"/>
      <c r="X1343" s="17"/>
      <c r="Y1343" s="17"/>
      <c r="Z1343" s="17"/>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row>
    <row r="1344">
      <c r="A1344" s="17">
        <v>1342</v>
      </c>
      <c r="B1344" s="17" t="s">
        <v>52</v>
      </c>
      <c r="C1344" s="42" t="s">
        <v>3997</v>
      </c>
      <c r="D1344" s="35" t="s">
        <v>3886</v>
      </c>
      <c r="E1344" s="17" t="s">
        <v>3998</v>
      </c>
      <c r="F1344" s="17" t="s">
        <v>3999</v>
      </c>
      <c r="G1344" s="17">
        <v>22.563728000000001</v>
      </c>
      <c r="H1344" s="17">
        <v>87.612657999999996</v>
      </c>
      <c r="I1344" s="17"/>
      <c r="J1344" s="17"/>
      <c r="K1344" s="17"/>
      <c r="L1344" s="17"/>
      <c r="M1344" s="42" t="s">
        <v>4000</v>
      </c>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row>
    <row r="1345">
      <c r="A1345" s="17">
        <v>1343</v>
      </c>
      <c r="B1345" s="17" t="s">
        <v>52</v>
      </c>
      <c r="C1345" s="42" t="s">
        <v>4001</v>
      </c>
      <c r="D1345" s="35" t="s">
        <v>3886</v>
      </c>
      <c r="E1345" s="17" t="s">
        <v>4002</v>
      </c>
      <c r="F1345" s="17" t="s">
        <v>4003</v>
      </c>
      <c r="G1345" s="17">
        <v>22.549814000000001</v>
      </c>
      <c r="H1345" s="17">
        <v>87.820651999999995</v>
      </c>
      <c r="I1345" s="17"/>
      <c r="J1345" s="17"/>
      <c r="K1345" s="17"/>
      <c r="L1345" s="17"/>
      <c r="M1345" s="42" t="s">
        <v>4004</v>
      </c>
      <c r="N1345" s="17">
        <v>9382071290</v>
      </c>
      <c r="O1345" s="17">
        <v>24</v>
      </c>
      <c r="P1345" s="17">
        <v>70</v>
      </c>
      <c r="Q1345" s="17" t="s">
        <v>187</v>
      </c>
      <c r="R1345" s="17" t="s">
        <v>74</v>
      </c>
      <c r="S1345" s="17" t="s">
        <v>75</v>
      </c>
      <c r="T1345" s="17"/>
      <c r="U1345" s="17" t="s">
        <v>76</v>
      </c>
      <c r="V1345" s="17" t="s">
        <v>77</v>
      </c>
      <c r="W1345" s="17" t="s">
        <v>252</v>
      </c>
      <c r="X1345" s="17">
        <v>5</v>
      </c>
      <c r="Y1345" s="17">
        <v>1</v>
      </c>
      <c r="Z1345" s="17"/>
      <c r="AA1345" s="17" t="s">
        <v>187</v>
      </c>
      <c r="AB1345" s="17" t="s">
        <v>79</v>
      </c>
      <c r="AC1345" s="17">
        <v>5</v>
      </c>
      <c r="AD1345" s="17">
        <v>0</v>
      </c>
      <c r="AE1345" s="17">
        <v>0</v>
      </c>
      <c r="AF1345" s="17" t="s">
        <v>4005</v>
      </c>
      <c r="AG1345" s="17" t="s">
        <v>124</v>
      </c>
      <c r="AH1345" s="17" t="s">
        <v>162</v>
      </c>
      <c r="AI1345" s="17" t="s">
        <v>4006</v>
      </c>
      <c r="AJ1345" s="17"/>
      <c r="AK1345" s="17" t="s">
        <v>137</v>
      </c>
      <c r="AL1345" s="17" t="s">
        <v>137</v>
      </c>
      <c r="AM1345" s="17" t="s">
        <v>137</v>
      </c>
      <c r="AN1345" s="17" t="s">
        <v>84</v>
      </c>
      <c r="AO1345" s="17" t="s">
        <v>137</v>
      </c>
      <c r="AP1345" s="17"/>
      <c r="AQ1345" s="17"/>
      <c r="AR1345" s="17"/>
      <c r="AS1345" s="17"/>
      <c r="AT1345" s="17" t="s">
        <v>4007</v>
      </c>
      <c r="AU1345" s="17" t="s">
        <v>2368</v>
      </c>
    </row>
    <row r="1346">
      <c r="A1346" s="17">
        <v>1344</v>
      </c>
      <c r="B1346" s="17" t="s">
        <v>52</v>
      </c>
      <c r="C1346" s="42" t="s">
        <v>4008</v>
      </c>
      <c r="D1346" s="35" t="s">
        <v>3886</v>
      </c>
      <c r="E1346" s="17" t="s">
        <v>4009</v>
      </c>
      <c r="F1346" s="17" t="s">
        <v>4010</v>
      </c>
      <c r="G1346" s="17">
        <v>22.867284000000001</v>
      </c>
      <c r="H1346" s="17">
        <v>87.433458000000002</v>
      </c>
      <c r="I1346" s="17"/>
      <c r="J1346" s="17"/>
      <c r="K1346" s="17"/>
      <c r="L1346" s="17"/>
      <c r="M1346" s="42" t="s">
        <v>4011</v>
      </c>
      <c r="N1346" s="17">
        <v>8240995350</v>
      </c>
      <c r="O1346" s="17">
        <v>13</v>
      </c>
      <c r="P1346" s="17">
        <v>48</v>
      </c>
      <c r="Q1346" s="17" t="s">
        <v>105</v>
      </c>
      <c r="R1346" s="17" t="s">
        <v>238</v>
      </c>
      <c r="S1346" s="17" t="s">
        <v>75</v>
      </c>
      <c r="T1346" s="17"/>
      <c r="U1346" s="17" t="s">
        <v>105</v>
      </c>
      <c r="V1346" s="17" t="s">
        <v>77</v>
      </c>
      <c r="W1346" s="17" t="s">
        <v>454</v>
      </c>
      <c r="X1346" s="17">
        <v>3</v>
      </c>
      <c r="Y1346" s="17">
        <v>1</v>
      </c>
      <c r="Z1346" s="17"/>
      <c r="AA1346" s="17" t="s">
        <v>105</v>
      </c>
      <c r="AB1346" s="17" t="s">
        <v>239</v>
      </c>
      <c r="AC1346" s="17">
        <v>5</v>
      </c>
      <c r="AD1346" s="17">
        <v>0</v>
      </c>
      <c r="AE1346" s="17">
        <v>0</v>
      </c>
      <c r="AF1346" s="17"/>
      <c r="AG1346" s="17" t="s">
        <v>414</v>
      </c>
      <c r="AH1346" s="17" t="s">
        <v>415</v>
      </c>
      <c r="AI1346" s="17" t="s">
        <v>414</v>
      </c>
      <c r="AJ1346" s="17" t="s">
        <v>416</v>
      </c>
      <c r="AK1346" s="17" t="s">
        <v>137</v>
      </c>
      <c r="AL1346" s="17" t="s">
        <v>1203</v>
      </c>
      <c r="AM1346" s="17" t="s">
        <v>163</v>
      </c>
      <c r="AN1346" s="17" t="s">
        <v>84</v>
      </c>
      <c r="AO1346" s="17" t="s">
        <v>75</v>
      </c>
      <c r="AP1346" s="17"/>
      <c r="AQ1346" s="17"/>
      <c r="AR1346" s="17"/>
      <c r="AS1346" s="17"/>
      <c r="AT1346" s="17" t="s">
        <v>4012</v>
      </c>
      <c r="AU1346" s="17" t="s">
        <v>127</v>
      </c>
    </row>
    <row r="1347">
      <c r="A1347" s="17">
        <v>1345</v>
      </c>
      <c r="B1347" s="17" t="s">
        <v>52</v>
      </c>
      <c r="C1347" s="42" t="s">
        <v>4013</v>
      </c>
      <c r="D1347" s="35" t="s">
        <v>3886</v>
      </c>
      <c r="E1347" s="17" t="s">
        <v>4014</v>
      </c>
      <c r="F1347" s="17" t="s">
        <v>4015</v>
      </c>
      <c r="G1347" s="17">
        <v>22.555157999999999</v>
      </c>
      <c r="H1347" s="17">
        <v>87.457398999999995</v>
      </c>
      <c r="I1347" s="17"/>
      <c r="J1347" s="17"/>
      <c r="K1347" s="17"/>
      <c r="L1347" s="17"/>
      <c r="M1347" s="42" t="s">
        <v>4016</v>
      </c>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row>
    <row r="1348">
      <c r="A1348" s="17">
        <v>1346</v>
      </c>
      <c r="B1348" s="17" t="s">
        <v>52</v>
      </c>
      <c r="C1348" s="42" t="s">
        <v>4017</v>
      </c>
      <c r="D1348" s="35" t="s">
        <v>3886</v>
      </c>
      <c r="E1348" s="17" t="s">
        <v>4018</v>
      </c>
      <c r="F1348" s="17" t="s">
        <v>4019</v>
      </c>
      <c r="G1348" s="17">
        <v>22.411764999999999</v>
      </c>
      <c r="H1348" s="17">
        <v>87.340615</v>
      </c>
      <c r="I1348" s="17"/>
      <c r="J1348" s="17"/>
      <c r="K1348" s="17"/>
      <c r="L1348" s="17"/>
      <c r="M1348" s="42" t="s">
        <v>3893</v>
      </c>
      <c r="N1348" s="17"/>
      <c r="O1348" s="17"/>
      <c r="P1348" s="17"/>
      <c r="Q1348" s="17"/>
      <c r="R1348" s="17"/>
      <c r="S1348" s="17"/>
      <c r="T1348" s="17"/>
      <c r="U1348" s="17"/>
      <c r="V1348" s="17"/>
      <c r="W1348" s="17"/>
      <c r="X1348" s="17"/>
      <c r="Y1348" s="17"/>
      <c r="Z1348" s="17"/>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row>
    <row r="1349">
      <c r="A1349" s="17">
        <v>1347</v>
      </c>
      <c r="B1349" s="17" t="s">
        <v>52</v>
      </c>
      <c r="C1349" s="42" t="s">
        <v>4020</v>
      </c>
      <c r="D1349" s="35" t="s">
        <v>3886</v>
      </c>
      <c r="E1349" s="17" t="s">
        <v>4021</v>
      </c>
      <c r="F1349" s="17" t="s">
        <v>4022</v>
      </c>
      <c r="G1349" s="17">
        <v>22.427813</v>
      </c>
      <c r="H1349" s="17">
        <v>87.205146999999997</v>
      </c>
      <c r="I1349" s="17"/>
      <c r="J1349" s="17"/>
      <c r="K1349" s="17"/>
      <c r="L1349" s="17"/>
      <c r="M1349" s="42" t="s">
        <v>3889</v>
      </c>
      <c r="N1349" s="17"/>
      <c r="O1349" s="17"/>
      <c r="P1349" s="17"/>
      <c r="Q1349" s="17"/>
      <c r="R1349" s="17"/>
      <c r="S1349" s="17"/>
      <c r="T1349" s="17"/>
      <c r="U1349" s="17"/>
      <c r="V1349" s="17"/>
      <c r="W1349" s="17"/>
      <c r="X1349" s="17"/>
      <c r="Y1349" s="17"/>
      <c r="Z1349" s="17"/>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row>
    <row r="1350">
      <c r="A1350" s="17">
        <v>1348</v>
      </c>
      <c r="B1350" s="17" t="s">
        <v>52</v>
      </c>
      <c r="C1350" s="42" t="s">
        <v>4023</v>
      </c>
      <c r="D1350" s="35" t="s">
        <v>3886</v>
      </c>
      <c r="E1350" s="17" t="s">
        <v>4024</v>
      </c>
      <c r="F1350" s="17" t="s">
        <v>4025</v>
      </c>
      <c r="G1350" s="17">
        <v>22.827750000000002</v>
      </c>
      <c r="H1350" s="17">
        <v>87.613636</v>
      </c>
      <c r="I1350" s="17"/>
      <c r="J1350" s="17"/>
      <c r="K1350" s="17"/>
      <c r="L1350" s="17"/>
      <c r="M1350" s="42" t="s">
        <v>4011</v>
      </c>
      <c r="N1350" s="17">
        <v>8240995350</v>
      </c>
      <c r="O1350" s="17">
        <v>18</v>
      </c>
      <c r="P1350" s="17">
        <v>155</v>
      </c>
      <c r="Q1350" s="17" t="s">
        <v>413</v>
      </c>
      <c r="R1350" s="17" t="s">
        <v>74</v>
      </c>
      <c r="S1350" s="17" t="s">
        <v>75</v>
      </c>
      <c r="T1350" s="17"/>
      <c r="U1350" s="17" t="s">
        <v>105</v>
      </c>
      <c r="V1350" s="17" t="s">
        <v>77</v>
      </c>
      <c r="W1350" s="17" t="s">
        <v>78</v>
      </c>
      <c r="X1350" s="17">
        <v>7</v>
      </c>
      <c r="Y1350" s="17">
        <v>0</v>
      </c>
      <c r="Z1350" s="17"/>
      <c r="AA1350" s="17" t="s">
        <v>413</v>
      </c>
      <c r="AB1350" s="17" t="s">
        <v>79</v>
      </c>
      <c r="AC1350" s="17">
        <v>4</v>
      </c>
      <c r="AD1350" s="17">
        <v>0</v>
      </c>
      <c r="AE1350" s="17">
        <v>0</v>
      </c>
      <c r="AF1350" s="17"/>
      <c r="AG1350" s="17" t="s">
        <v>414</v>
      </c>
      <c r="AH1350" s="17" t="s">
        <v>415</v>
      </c>
      <c r="AI1350" s="17" t="s">
        <v>414</v>
      </c>
      <c r="AJ1350" s="17" t="s">
        <v>416</v>
      </c>
      <c r="AK1350" s="17" t="s">
        <v>137</v>
      </c>
      <c r="AL1350" s="17" t="s">
        <v>1203</v>
      </c>
      <c r="AM1350" s="17" t="s">
        <v>163</v>
      </c>
      <c r="AN1350" s="17" t="s">
        <v>84</v>
      </c>
      <c r="AO1350" s="17" t="s">
        <v>75</v>
      </c>
      <c r="AP1350" s="17"/>
      <c r="AQ1350" s="17"/>
      <c r="AR1350" s="17"/>
      <c r="AS1350" s="17"/>
      <c r="AT1350" s="17" t="s">
        <v>4026</v>
      </c>
      <c r="AU1350" s="17" t="s">
        <v>111</v>
      </c>
    </row>
    <row r="1351">
      <c r="A1351" s="17">
        <v>1349</v>
      </c>
      <c r="B1351" s="17" t="s">
        <v>52</v>
      </c>
      <c r="C1351" s="42" t="s">
        <v>4027</v>
      </c>
      <c r="D1351" s="35" t="s">
        <v>3886</v>
      </c>
      <c r="E1351" s="17" t="s">
        <v>4028</v>
      </c>
      <c r="F1351" s="17" t="s">
        <v>4029</v>
      </c>
      <c r="G1351" s="17">
        <v>22.457045999999998</v>
      </c>
      <c r="H1351" s="17">
        <v>87.323605000000001</v>
      </c>
      <c r="I1351" s="17"/>
      <c r="J1351" s="17"/>
      <c r="K1351" s="17"/>
      <c r="L1351" s="17"/>
      <c r="M1351" s="42" t="s">
        <v>3893</v>
      </c>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row>
    <row r="1352">
      <c r="A1352" s="17">
        <v>1350</v>
      </c>
      <c r="B1352" s="17" t="s">
        <v>52</v>
      </c>
      <c r="C1352" s="42" t="s">
        <v>4030</v>
      </c>
      <c r="D1352" s="35" t="s">
        <v>3886</v>
      </c>
      <c r="E1352" s="17" t="s">
        <v>4031</v>
      </c>
      <c r="F1352" s="17" t="s">
        <v>4032</v>
      </c>
      <c r="G1352" s="17">
        <v>22.530289</v>
      </c>
      <c r="H1352" s="17">
        <v>87.323937999999998</v>
      </c>
      <c r="I1352" s="17"/>
      <c r="J1352" s="17"/>
      <c r="K1352" s="17"/>
      <c r="L1352" s="17"/>
      <c r="M1352" s="42" t="s">
        <v>4033</v>
      </c>
      <c r="N1352" s="17" t="s">
        <v>4034</v>
      </c>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row>
    <row r="1353">
      <c r="A1353" s="17">
        <v>1351</v>
      </c>
      <c r="B1353" s="17" t="s">
        <v>52</v>
      </c>
      <c r="C1353" s="42" t="s">
        <v>4035</v>
      </c>
      <c r="D1353" s="35" t="s">
        <v>3886</v>
      </c>
      <c r="E1353" s="17" t="s">
        <v>4036</v>
      </c>
      <c r="F1353" s="17" t="s">
        <v>4037</v>
      </c>
      <c r="G1353" s="17">
        <v>22.483127</v>
      </c>
      <c r="H1353" s="17">
        <v>87.326561999999996</v>
      </c>
      <c r="I1353" s="17"/>
      <c r="J1353" s="17"/>
      <c r="K1353" s="17"/>
      <c r="L1353" s="17"/>
      <c r="M1353" s="42" t="s">
        <v>4038</v>
      </c>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row>
    <row r="1354">
      <c r="A1354" s="17">
        <v>1352</v>
      </c>
      <c r="B1354" s="17" t="s">
        <v>52</v>
      </c>
      <c r="C1354" s="42" t="s">
        <v>4039</v>
      </c>
      <c r="D1354" s="35" t="s">
        <v>3886</v>
      </c>
      <c r="E1354" s="17" t="s">
        <v>4040</v>
      </c>
      <c r="F1354" s="17" t="s">
        <v>4041</v>
      </c>
      <c r="G1354" s="17">
        <v>22.563676000000001</v>
      </c>
      <c r="H1354" s="17">
        <v>87.328500000000005</v>
      </c>
      <c r="I1354" s="17"/>
      <c r="J1354" s="17"/>
      <c r="K1354" s="17"/>
      <c r="L1354" s="17"/>
      <c r="M1354" s="42" t="s">
        <v>4038</v>
      </c>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row>
    <row r="1355">
      <c r="A1355" s="17">
        <v>1353</v>
      </c>
      <c r="B1355" s="17" t="s">
        <v>52</v>
      </c>
      <c r="C1355" s="42" t="s">
        <v>4042</v>
      </c>
      <c r="D1355" s="35" t="s">
        <v>3886</v>
      </c>
      <c r="E1355" s="17" t="s">
        <v>4043</v>
      </c>
      <c r="F1355" s="17" t="s">
        <v>4044</v>
      </c>
      <c r="G1355" s="17">
        <v>22.703251000000002</v>
      </c>
      <c r="H1355" s="17">
        <v>87.338665000000006</v>
      </c>
      <c r="I1355" s="17"/>
      <c r="J1355" s="17"/>
      <c r="K1355" s="17"/>
      <c r="L1355" s="17"/>
      <c r="M1355" s="42" t="s">
        <v>4045</v>
      </c>
      <c r="N1355" s="17">
        <v>6290709471</v>
      </c>
      <c r="O1355" s="17">
        <v>18</v>
      </c>
      <c r="P1355" s="17">
        <v>65</v>
      </c>
      <c r="Q1355" s="17" t="s">
        <v>73</v>
      </c>
      <c r="R1355" s="17" t="s">
        <v>104</v>
      </c>
      <c r="S1355" s="17" t="s">
        <v>137</v>
      </c>
      <c r="T1355" s="17" t="s">
        <v>4046</v>
      </c>
      <c r="U1355" s="17" t="s">
        <v>105</v>
      </c>
      <c r="V1355" s="17" t="s">
        <v>77</v>
      </c>
      <c r="W1355" s="17" t="s">
        <v>123</v>
      </c>
      <c r="X1355" s="17"/>
      <c r="Y1355" s="17"/>
      <c r="Z1355" s="17"/>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row>
    <row r="1356">
      <c r="A1356" s="17">
        <v>1354</v>
      </c>
      <c r="B1356" s="17" t="s">
        <v>52</v>
      </c>
      <c r="C1356" s="42" t="s">
        <v>4047</v>
      </c>
      <c r="D1356" s="35" t="s">
        <v>3886</v>
      </c>
      <c r="E1356" s="17" t="s">
        <v>4048</v>
      </c>
      <c r="F1356" s="17" t="s">
        <v>4049</v>
      </c>
      <c r="G1356" s="17">
        <v>22.798278</v>
      </c>
      <c r="H1356" s="17">
        <v>87.343737000000004</v>
      </c>
      <c r="I1356" s="17"/>
      <c r="J1356" s="17"/>
      <c r="K1356" s="17"/>
      <c r="L1356" s="17"/>
      <c r="M1356" s="42" t="s">
        <v>3967</v>
      </c>
      <c r="N1356" s="17"/>
      <c r="O1356" s="17"/>
      <c r="P1356" s="17"/>
      <c r="Q1356" s="17"/>
      <c r="R1356" s="17"/>
      <c r="S1356" s="17"/>
      <c r="T1356" s="17"/>
      <c r="U1356" s="17"/>
      <c r="V1356" s="17"/>
      <c r="W1356" s="17"/>
      <c r="X1356" s="17"/>
      <c r="Y1356" s="17"/>
      <c r="Z1356" s="17"/>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row>
    <row r="1357">
      <c r="A1357" s="17">
        <v>1355</v>
      </c>
      <c r="B1357" s="17" t="s">
        <v>52</v>
      </c>
      <c r="C1357" s="42" t="s">
        <v>4050</v>
      </c>
      <c r="D1357" s="35" t="s">
        <v>3886</v>
      </c>
      <c r="E1357" s="17" t="s">
        <v>4051</v>
      </c>
      <c r="F1357" s="17" t="s">
        <v>4052</v>
      </c>
      <c r="G1357" s="17">
        <v>22.665091</v>
      </c>
      <c r="H1357" s="17">
        <v>87.326580000000007</v>
      </c>
      <c r="I1357" s="17"/>
      <c r="J1357" s="17"/>
      <c r="K1357" s="17"/>
      <c r="L1357" s="17"/>
      <c r="M1357" s="42" t="s">
        <v>4045</v>
      </c>
      <c r="N1357" s="17">
        <v>6290709471</v>
      </c>
      <c r="O1357" s="17">
        <v>18</v>
      </c>
      <c r="P1357" s="17">
        <v>70</v>
      </c>
      <c r="Q1357" s="17" t="s">
        <v>73</v>
      </c>
      <c r="R1357" s="17" t="s">
        <v>1180</v>
      </c>
      <c r="S1357" s="17" t="s">
        <v>75</v>
      </c>
      <c r="T1357" s="17"/>
      <c r="U1357" s="17" t="s">
        <v>76</v>
      </c>
      <c r="V1357" s="17" t="s">
        <v>77</v>
      </c>
      <c r="W1357" s="17" t="s">
        <v>123</v>
      </c>
      <c r="X1357" s="17">
        <v>4</v>
      </c>
      <c r="Y1357" s="17">
        <v>0</v>
      </c>
      <c r="Z1357" s="17"/>
      <c r="AA1357" s="17" t="s">
        <v>73</v>
      </c>
      <c r="AB1357" s="17" t="s">
        <v>79</v>
      </c>
      <c r="AC1357" s="17">
        <v>1</v>
      </c>
      <c r="AD1357" s="17">
        <v>0</v>
      </c>
      <c r="AE1357" s="17">
        <v>1</v>
      </c>
      <c r="AF1357" s="17"/>
      <c r="AG1357" s="17" t="s">
        <v>124</v>
      </c>
      <c r="AH1357" s="17" t="s">
        <v>82</v>
      </c>
      <c r="AI1357" s="17" t="s">
        <v>83</v>
      </c>
      <c r="AJ1357" s="17">
        <v>2111</v>
      </c>
      <c r="AK1357" s="17" t="s">
        <v>75</v>
      </c>
      <c r="AL1357" s="17" t="s">
        <v>137</v>
      </c>
      <c r="AM1357" s="17" t="s">
        <v>75</v>
      </c>
      <c r="AN1357" s="17" t="s">
        <v>84</v>
      </c>
      <c r="AO1357" s="17" t="s">
        <v>75</v>
      </c>
      <c r="AP1357" s="17"/>
      <c r="AQ1357" s="17"/>
      <c r="AR1357" s="17"/>
      <c r="AS1357" s="17"/>
      <c r="AT1357" s="17" t="s">
        <v>4053</v>
      </c>
      <c r="AU1357" s="17" t="s">
        <v>111</v>
      </c>
    </row>
    <row r="1358">
      <c r="A1358" s="17">
        <v>1356</v>
      </c>
      <c r="B1358" s="17" t="s">
        <v>52</v>
      </c>
      <c r="C1358" s="42" t="s">
        <v>4054</v>
      </c>
      <c r="D1358" s="35" t="s">
        <v>3886</v>
      </c>
      <c r="E1358" s="17" t="s">
        <v>4055</v>
      </c>
      <c r="F1358" s="17" t="s">
        <v>4056</v>
      </c>
      <c r="G1358" s="17">
        <v>22.591380999999998</v>
      </c>
      <c r="H1358" s="17">
        <v>87.322435999999996</v>
      </c>
      <c r="I1358" s="17"/>
      <c r="J1358" s="17"/>
      <c r="K1358" s="17"/>
      <c r="L1358" s="17"/>
      <c r="M1358" s="42" t="s">
        <v>4033</v>
      </c>
      <c r="N1358" s="17"/>
      <c r="O1358" s="17"/>
      <c r="P1358" s="17"/>
      <c r="Q1358" s="17"/>
      <c r="R1358" s="17"/>
      <c r="S1358" s="17"/>
      <c r="T1358" s="17"/>
      <c r="U1358" s="17"/>
      <c r="V1358" s="17"/>
      <c r="W1358" s="17"/>
      <c r="X1358" s="17"/>
      <c r="Y1358" s="17"/>
      <c r="Z1358" s="17"/>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row>
    <row r="1359">
      <c r="A1359" s="17">
        <v>1357</v>
      </c>
      <c r="B1359" s="17" t="s">
        <v>52</v>
      </c>
      <c r="C1359" s="42" t="s">
        <v>4057</v>
      </c>
      <c r="D1359" s="35" t="s">
        <v>3886</v>
      </c>
      <c r="E1359" s="17" t="s">
        <v>4058</v>
      </c>
      <c r="F1359" s="17" t="s">
        <v>4059</v>
      </c>
      <c r="G1359" s="17">
        <v>22.780411000000001</v>
      </c>
      <c r="H1359" s="17">
        <v>87.341538</v>
      </c>
      <c r="I1359" s="17"/>
      <c r="J1359" s="17"/>
      <c r="K1359" s="17"/>
      <c r="L1359" s="17"/>
      <c r="M1359" s="42" t="s">
        <v>3967</v>
      </c>
      <c r="N1359" s="17"/>
      <c r="O1359" s="17"/>
      <c r="P1359" s="17"/>
      <c r="Q1359" s="17"/>
      <c r="R1359" s="17"/>
      <c r="S1359" s="17"/>
      <c r="T1359" s="17"/>
      <c r="U1359" s="17"/>
      <c r="V1359" s="17"/>
      <c r="W1359" s="17"/>
      <c r="X1359" s="17"/>
      <c r="Y1359" s="17"/>
      <c r="Z1359" s="17"/>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row>
    <row r="1360">
      <c r="A1360" s="17">
        <v>1358</v>
      </c>
      <c r="B1360" s="17" t="s">
        <v>52</v>
      </c>
      <c r="C1360" s="42" t="s">
        <v>4060</v>
      </c>
      <c r="D1360" s="35" t="s">
        <v>3886</v>
      </c>
      <c r="E1360" s="17" t="s">
        <v>3956</v>
      </c>
      <c r="F1360" s="17" t="s">
        <v>4061</v>
      </c>
      <c r="G1360" s="17">
        <v>22.811540999999998</v>
      </c>
      <c r="H1360" s="17">
        <v>87.330433999999997</v>
      </c>
      <c r="I1360" s="17"/>
      <c r="J1360" s="17"/>
      <c r="K1360" s="17"/>
      <c r="L1360" s="17"/>
      <c r="M1360" s="42" t="s">
        <v>3967</v>
      </c>
      <c r="N1360" s="17"/>
      <c r="O1360" s="17"/>
      <c r="P1360" s="17"/>
      <c r="Q1360" s="17"/>
      <c r="R1360" s="17"/>
      <c r="S1360" s="17"/>
      <c r="T1360" s="17"/>
      <c r="U1360" s="17"/>
      <c r="V1360" s="17"/>
      <c r="W1360" s="17"/>
      <c r="X1360" s="17"/>
      <c r="Y1360" s="17"/>
      <c r="Z1360" s="17"/>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row>
    <row r="1361">
      <c r="A1361" s="17">
        <v>1359</v>
      </c>
      <c r="B1361" s="17" t="s">
        <v>52</v>
      </c>
      <c r="C1361" s="42" t="s">
        <v>4062</v>
      </c>
      <c r="D1361" s="35" t="s">
        <v>3886</v>
      </c>
      <c r="E1361" s="17" t="s">
        <v>4063</v>
      </c>
      <c r="F1361" s="17" t="s">
        <v>4064</v>
      </c>
      <c r="G1361" s="17">
        <v>22.850352999999998</v>
      </c>
      <c r="H1361" s="17">
        <v>87.322953999999996</v>
      </c>
      <c r="I1361" s="17"/>
      <c r="J1361" s="17"/>
      <c r="K1361" s="17"/>
      <c r="L1361" s="17"/>
      <c r="M1361" s="42" t="s">
        <v>3967</v>
      </c>
      <c r="N1361" s="17"/>
      <c r="O1361" s="17"/>
      <c r="P1361" s="17"/>
      <c r="Q1361" s="17"/>
      <c r="R1361" s="17"/>
      <c r="S1361" s="17"/>
      <c r="T1361" s="17"/>
      <c r="U1361" s="17"/>
      <c r="V1361" s="17"/>
      <c r="W1361" s="17"/>
      <c r="X1361" s="17"/>
      <c r="Y1361" s="17"/>
      <c r="Z1361" s="17"/>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row>
    <row r="1362">
      <c r="A1362" s="17">
        <v>1360</v>
      </c>
      <c r="B1362" s="17" t="s">
        <v>52</v>
      </c>
      <c r="C1362" s="42" t="s">
        <v>4065</v>
      </c>
      <c r="D1362" s="35" t="s">
        <v>3886</v>
      </c>
      <c r="E1362" s="17" t="s">
        <v>4066</v>
      </c>
      <c r="F1362" s="17" t="s">
        <v>4067</v>
      </c>
      <c r="G1362" s="17">
        <v>22.734416</v>
      </c>
      <c r="H1362" s="17">
        <v>87.336544000000004</v>
      </c>
      <c r="I1362" s="17"/>
      <c r="J1362" s="17"/>
      <c r="K1362" s="17"/>
      <c r="L1362" s="17"/>
      <c r="M1362" s="42" t="s">
        <v>4045</v>
      </c>
      <c r="N1362" s="17">
        <v>6290709471</v>
      </c>
      <c r="O1362" s="17">
        <v>19</v>
      </c>
      <c r="P1362" s="17">
        <v>55</v>
      </c>
      <c r="Q1362" s="17" t="s">
        <v>73</v>
      </c>
      <c r="R1362" s="17" t="s">
        <v>74</v>
      </c>
      <c r="S1362" s="17" t="s">
        <v>75</v>
      </c>
      <c r="T1362" s="17"/>
      <c r="U1362" s="17" t="s">
        <v>160</v>
      </c>
      <c r="V1362" s="17" t="s">
        <v>77</v>
      </c>
      <c r="W1362" s="17" t="s">
        <v>454</v>
      </c>
      <c r="X1362" s="17">
        <v>4</v>
      </c>
      <c r="Y1362" s="17">
        <v>0</v>
      </c>
      <c r="Z1362" s="17"/>
      <c r="AA1362" s="17" t="s">
        <v>73</v>
      </c>
      <c r="AB1362" s="17" t="s">
        <v>79</v>
      </c>
      <c r="AC1362" s="17">
        <v>3</v>
      </c>
      <c r="AD1362" s="17">
        <v>0</v>
      </c>
      <c r="AE1362" s="17">
        <v>0</v>
      </c>
      <c r="AF1362" s="17"/>
      <c r="AG1362" s="17" t="s">
        <v>4068</v>
      </c>
      <c r="AH1362" s="17"/>
      <c r="AI1362" s="17"/>
      <c r="AJ1362" s="17"/>
      <c r="AK1362" s="17"/>
      <c r="AL1362" s="17"/>
      <c r="AM1362" s="17"/>
      <c r="AN1362" s="17"/>
      <c r="AO1362" s="17"/>
      <c r="AP1362" s="17"/>
      <c r="AQ1362" s="17"/>
      <c r="AR1362" s="17"/>
      <c r="AS1362" s="17"/>
      <c r="AT1362" s="17"/>
      <c r="AU1362" s="17" t="s">
        <v>111</v>
      </c>
    </row>
    <row r="1363">
      <c r="A1363" s="17">
        <v>1361</v>
      </c>
      <c r="B1363" s="17" t="s">
        <v>52</v>
      </c>
      <c r="C1363" s="42" t="s">
        <v>4069</v>
      </c>
      <c r="D1363" s="35" t="s">
        <v>3886</v>
      </c>
      <c r="E1363" s="17" t="s">
        <v>4070</v>
      </c>
      <c r="F1363" s="17" t="s">
        <v>4071</v>
      </c>
      <c r="G1363" s="17">
        <v>22.636050999999998</v>
      </c>
      <c r="H1363" s="17">
        <v>87.326521999999997</v>
      </c>
      <c r="I1363" s="17"/>
      <c r="J1363" s="17"/>
      <c r="K1363" s="17"/>
      <c r="L1363" s="17"/>
      <c r="M1363" s="42" t="s">
        <v>4033</v>
      </c>
      <c r="N1363" s="17"/>
      <c r="O1363" s="17"/>
      <c r="P1363" s="17"/>
      <c r="Q1363" s="17"/>
      <c r="R1363" s="17"/>
      <c r="S1363" s="17"/>
      <c r="T1363" s="17"/>
      <c r="U1363" s="17"/>
      <c r="V1363" s="17"/>
      <c r="W1363" s="17"/>
      <c r="X1363" s="17"/>
      <c r="Y1363" s="17"/>
      <c r="Z1363" s="17"/>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row>
    <row r="1364">
      <c r="A1364" s="17">
        <v>1362</v>
      </c>
      <c r="B1364" s="17" t="s">
        <v>52</v>
      </c>
      <c r="C1364" s="42" t="s">
        <v>4072</v>
      </c>
      <c r="D1364" s="35" t="s">
        <v>3886</v>
      </c>
      <c r="E1364" s="17" t="s">
        <v>4073</v>
      </c>
      <c r="F1364" s="17" t="s">
        <v>4074</v>
      </c>
      <c r="G1364" s="17">
        <v>22.513862</v>
      </c>
      <c r="H1364" s="17">
        <v>87.328408999999994</v>
      </c>
      <c r="I1364" s="17"/>
      <c r="J1364" s="17"/>
      <c r="K1364" s="17"/>
      <c r="L1364" s="17"/>
      <c r="M1364" s="42" t="s">
        <v>4033</v>
      </c>
      <c r="N1364" s="17"/>
      <c r="O1364" s="17"/>
      <c r="P1364" s="17"/>
      <c r="Q1364" s="17"/>
      <c r="R1364" s="17"/>
      <c r="S1364" s="17"/>
      <c r="T1364" s="17"/>
      <c r="U1364" s="17"/>
      <c r="V1364" s="17"/>
      <c r="W1364" s="17"/>
      <c r="X1364" s="17"/>
      <c r="Y1364" s="17"/>
      <c r="Z1364" s="17"/>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row>
    <row r="1365">
      <c r="A1365" s="17">
        <v>1363</v>
      </c>
      <c r="B1365" s="17" t="s">
        <v>52</v>
      </c>
      <c r="C1365" s="42" t="s">
        <v>4075</v>
      </c>
      <c r="D1365" s="35" t="s">
        <v>3886</v>
      </c>
      <c r="E1365" s="17" t="s">
        <v>4076</v>
      </c>
      <c r="F1365" s="17" t="s">
        <v>4077</v>
      </c>
      <c r="G1365" s="17">
        <v>22.438313000000001</v>
      </c>
      <c r="H1365" s="17">
        <v>87.311385999999999</v>
      </c>
      <c r="I1365" s="17"/>
      <c r="J1365" s="17"/>
      <c r="K1365" s="17"/>
      <c r="L1365" s="17"/>
      <c r="M1365" s="42" t="s">
        <v>3889</v>
      </c>
      <c r="N1365" s="17"/>
      <c r="O1365" s="17"/>
      <c r="P1365" s="17"/>
      <c r="Q1365" s="17"/>
      <c r="R1365" s="17"/>
      <c r="S1365" s="17"/>
      <c r="T1365" s="17"/>
      <c r="U1365" s="17"/>
      <c r="V1365" s="17"/>
      <c r="W1365" s="17"/>
      <c r="X1365" s="17"/>
      <c r="Y1365" s="17"/>
      <c r="Z1365" s="17"/>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row>
    <row r="1366">
      <c r="A1366" s="17">
        <v>1364</v>
      </c>
      <c r="B1366" s="17" t="s">
        <v>52</v>
      </c>
      <c r="C1366" s="42" t="s">
        <v>4078</v>
      </c>
      <c r="D1366" s="35" t="s">
        <v>3886</v>
      </c>
      <c r="E1366" s="17" t="s">
        <v>4079</v>
      </c>
      <c r="F1366" s="17" t="s">
        <v>4080</v>
      </c>
      <c r="G1366" s="17">
        <v>22.427273</v>
      </c>
      <c r="H1366" s="17">
        <v>87.291786999999999</v>
      </c>
      <c r="I1366" s="17"/>
      <c r="J1366" s="17"/>
      <c r="K1366" s="17"/>
      <c r="L1366" s="17"/>
      <c r="M1366" s="42" t="s">
        <v>3889</v>
      </c>
      <c r="N1366" s="17"/>
      <c r="O1366" s="17"/>
      <c r="P1366" s="17"/>
      <c r="Q1366" s="17"/>
      <c r="R1366" s="17"/>
      <c r="S1366" s="17"/>
      <c r="T1366" s="17"/>
      <c r="U1366" s="17"/>
      <c r="V1366" s="17"/>
      <c r="W1366" s="17"/>
      <c r="X1366" s="17"/>
      <c r="Y1366" s="17"/>
      <c r="Z1366" s="17"/>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row>
    <row r="1367">
      <c r="A1367" s="17">
        <v>1365</v>
      </c>
      <c r="B1367" s="17" t="s">
        <v>52</v>
      </c>
      <c r="C1367" s="42" t="s">
        <v>4081</v>
      </c>
      <c r="D1367" s="35" t="s">
        <v>3886</v>
      </c>
      <c r="E1367" s="17" t="s">
        <v>4082</v>
      </c>
      <c r="F1367" s="17" t="s">
        <v>4083</v>
      </c>
      <c r="G1367" s="17">
        <v>22.427033999999999</v>
      </c>
      <c r="H1367" s="17">
        <v>87.338605000000001</v>
      </c>
      <c r="I1367" s="17"/>
      <c r="J1367" s="17"/>
      <c r="K1367" s="17"/>
      <c r="L1367" s="17"/>
      <c r="M1367" s="42" t="s">
        <v>3893</v>
      </c>
      <c r="N1367" s="17"/>
      <c r="O1367" s="17"/>
      <c r="P1367" s="17"/>
      <c r="Q1367" s="17"/>
      <c r="R1367" s="17"/>
      <c r="S1367" s="17"/>
      <c r="T1367" s="17"/>
      <c r="U1367" s="17"/>
      <c r="V1367" s="17"/>
      <c r="W1367" s="17"/>
      <c r="X1367" s="17"/>
      <c r="Y1367" s="17"/>
      <c r="Z1367" s="17"/>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row>
    <row r="1368">
      <c r="A1368" s="17">
        <v>1366</v>
      </c>
      <c r="B1368" s="17" t="s">
        <v>52</v>
      </c>
      <c r="C1368" s="42" t="s">
        <v>4084</v>
      </c>
      <c r="D1368" s="35" t="s">
        <v>3886</v>
      </c>
      <c r="E1368" s="17" t="s">
        <v>4085</v>
      </c>
      <c r="F1368" s="17" t="s">
        <v>4086</v>
      </c>
      <c r="G1368" s="17">
        <v>22.408996999999999</v>
      </c>
      <c r="H1368" s="17">
        <v>87.301989000000006</v>
      </c>
      <c r="I1368" s="17"/>
      <c r="J1368" s="17"/>
      <c r="K1368" s="17"/>
      <c r="L1368" s="17"/>
      <c r="M1368" s="42" t="s">
        <v>3889</v>
      </c>
      <c r="N1368" s="17"/>
      <c r="O1368" s="17"/>
      <c r="P1368" s="17"/>
      <c r="Q1368" s="17"/>
      <c r="R1368" s="17"/>
      <c r="S1368" s="17"/>
      <c r="T1368" s="17"/>
      <c r="U1368" s="17"/>
      <c r="V1368" s="17"/>
      <c r="W1368" s="17"/>
      <c r="X1368" s="17"/>
      <c r="Y1368" s="17"/>
      <c r="Z1368" s="17"/>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row>
    <row r="1369">
      <c r="A1369" s="17">
        <v>1367</v>
      </c>
      <c r="B1369" s="17" t="s">
        <v>52</v>
      </c>
      <c r="C1369" s="42" t="s">
        <v>4087</v>
      </c>
      <c r="D1369" s="35" t="s">
        <v>3886</v>
      </c>
      <c r="E1369" s="17" t="s">
        <v>4088</v>
      </c>
      <c r="F1369" s="17" t="s">
        <v>4089</v>
      </c>
      <c r="G1369" s="17">
        <v>22.418402</v>
      </c>
      <c r="H1369" s="17">
        <v>87.323244000000003</v>
      </c>
      <c r="I1369" s="17"/>
      <c r="J1369" s="17"/>
      <c r="K1369" s="17"/>
      <c r="L1369" s="17"/>
      <c r="M1369" s="42" t="s">
        <v>3889</v>
      </c>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row>
    <row r="1370">
      <c r="A1370" s="17">
        <v>1368</v>
      </c>
      <c r="B1370" s="17" t="s">
        <v>52</v>
      </c>
      <c r="C1370" s="42" t="s">
        <v>4090</v>
      </c>
      <c r="D1370" s="35" t="s">
        <v>3886</v>
      </c>
      <c r="E1370" s="17" t="s">
        <v>4091</v>
      </c>
      <c r="F1370" s="17" t="s">
        <v>4092</v>
      </c>
      <c r="G1370" s="17">
        <v>22.403714000000001</v>
      </c>
      <c r="H1370" s="17">
        <v>87.320452000000003</v>
      </c>
      <c r="I1370" s="17"/>
      <c r="J1370" s="17"/>
      <c r="K1370" s="17"/>
      <c r="L1370" s="17"/>
      <c r="M1370" s="42" t="s">
        <v>3889</v>
      </c>
      <c r="N1370" s="17"/>
      <c r="O1370" s="17"/>
      <c r="P1370" s="17"/>
      <c r="Q1370" s="17"/>
      <c r="R1370" s="17"/>
      <c r="S1370" s="17"/>
      <c r="T1370" s="17"/>
      <c r="U1370" s="17"/>
      <c r="V1370" s="17"/>
      <c r="W1370" s="17"/>
      <c r="X1370" s="17"/>
      <c r="Y1370" s="17"/>
      <c r="Z1370" s="17"/>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row>
    <row r="1371">
      <c r="A1371" s="17">
        <v>1369</v>
      </c>
      <c r="B1371" s="17" t="s">
        <v>52</v>
      </c>
      <c r="C1371" s="42" t="s">
        <v>4093</v>
      </c>
      <c r="D1371" s="35" t="s">
        <v>3886</v>
      </c>
      <c r="E1371" s="17" t="s">
        <v>4094</v>
      </c>
      <c r="F1371" s="17" t="s">
        <v>4095</v>
      </c>
      <c r="G1371" s="17">
        <v>22.933713999999998</v>
      </c>
      <c r="H1371" s="17">
        <v>87.361131999999998</v>
      </c>
      <c r="I1371" s="17"/>
      <c r="J1371" s="17"/>
      <c r="K1371" s="17"/>
      <c r="L1371" s="17"/>
      <c r="M1371" s="42" t="s">
        <v>3967</v>
      </c>
      <c r="N1371" s="17"/>
      <c r="O1371" s="17"/>
      <c r="P1371" s="17"/>
      <c r="Q1371" s="17"/>
      <c r="R1371" s="17"/>
      <c r="S1371" s="17"/>
      <c r="T1371" s="17"/>
      <c r="U1371" s="17"/>
      <c r="V1371" s="17"/>
      <c r="W1371" s="17"/>
      <c r="X1371" s="17"/>
      <c r="Y1371" s="17"/>
      <c r="Z1371" s="17"/>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row>
    <row r="1372">
      <c r="A1372" s="17">
        <v>1370</v>
      </c>
      <c r="B1372" s="17" t="s">
        <v>52</v>
      </c>
      <c r="C1372" s="42" t="s">
        <v>4096</v>
      </c>
      <c r="D1372" s="35" t="s">
        <v>3886</v>
      </c>
      <c r="E1372" s="17" t="s">
        <v>4097</v>
      </c>
      <c r="F1372" s="17" t="s">
        <v>4098</v>
      </c>
      <c r="G1372" s="17">
        <v>22.669694</v>
      </c>
      <c r="H1372" s="17">
        <v>87.782769000000002</v>
      </c>
      <c r="I1372" s="17"/>
      <c r="J1372" s="17"/>
      <c r="K1372" s="17"/>
      <c r="L1372" s="17"/>
      <c r="M1372" s="42" t="s">
        <v>4099</v>
      </c>
      <c r="N1372" s="17">
        <v>7003921625</v>
      </c>
      <c r="O1372" s="17">
        <v>20</v>
      </c>
      <c r="P1372" s="17">
        <v>80</v>
      </c>
      <c r="Q1372" s="17" t="s">
        <v>413</v>
      </c>
      <c r="R1372" s="17" t="s">
        <v>74</v>
      </c>
      <c r="S1372" s="17" t="s">
        <v>75</v>
      </c>
      <c r="T1372" s="17"/>
      <c r="U1372" s="17" t="s">
        <v>76</v>
      </c>
      <c r="V1372" s="17" t="s">
        <v>77</v>
      </c>
      <c r="W1372" s="17" t="s">
        <v>252</v>
      </c>
      <c r="X1372" s="17">
        <v>5</v>
      </c>
      <c r="Y1372" s="17">
        <v>0</v>
      </c>
      <c r="Z1372" s="17"/>
      <c r="AA1372" s="17" t="s">
        <v>413</v>
      </c>
      <c r="AB1372" s="17" t="s">
        <v>79</v>
      </c>
      <c r="AC1372" s="17">
        <v>4</v>
      </c>
      <c r="AD1372" s="17">
        <v>0</v>
      </c>
      <c r="AE1372" s="17">
        <v>0</v>
      </c>
      <c r="AF1372" s="17"/>
      <c r="AG1372" s="17" t="s">
        <v>4100</v>
      </c>
      <c r="AH1372" s="17"/>
      <c r="AI1372" s="17"/>
      <c r="AJ1372" s="17"/>
      <c r="AK1372" s="17"/>
      <c r="AL1372" s="17"/>
      <c r="AM1372" s="17"/>
      <c r="AN1372" s="17"/>
      <c r="AO1372" s="17"/>
      <c r="AP1372" s="17"/>
      <c r="AQ1372" s="17"/>
      <c r="AR1372" s="17"/>
      <c r="AS1372" s="17"/>
      <c r="AT1372" s="17" t="s">
        <v>4101</v>
      </c>
      <c r="AU1372" s="17" t="s">
        <v>111</v>
      </c>
    </row>
    <row r="1373">
      <c r="A1373" s="17">
        <v>1371</v>
      </c>
      <c r="B1373" s="17" t="s">
        <v>52</v>
      </c>
      <c r="C1373" s="42" t="s">
        <v>4102</v>
      </c>
      <c r="D1373" s="35" t="s">
        <v>3886</v>
      </c>
      <c r="E1373" s="17" t="s">
        <v>4103</v>
      </c>
      <c r="F1373" s="17" t="s">
        <v>4104</v>
      </c>
      <c r="G1373" s="17">
        <v>22.486235000000001</v>
      </c>
      <c r="H1373" s="17">
        <v>87.742690999999994</v>
      </c>
      <c r="I1373" s="17"/>
      <c r="J1373" s="17"/>
      <c r="K1373" s="17"/>
      <c r="L1373" s="17"/>
      <c r="M1373" s="42" t="s">
        <v>4004</v>
      </c>
      <c r="N1373" s="17">
        <v>9382071290</v>
      </c>
      <c r="O1373" s="17"/>
      <c r="P1373" s="17"/>
      <c r="Q1373" s="17"/>
      <c r="R1373" s="17"/>
      <c r="S1373" s="17"/>
      <c r="T1373" s="17"/>
      <c r="U1373" s="17"/>
      <c r="V1373" s="17"/>
      <c r="W1373" s="17"/>
      <c r="X1373" s="17"/>
      <c r="Y1373" s="17"/>
      <c r="Z1373" s="17"/>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row>
    <row r="1374">
      <c r="A1374" s="17">
        <v>1372</v>
      </c>
      <c r="B1374" s="17" t="s">
        <v>52</v>
      </c>
      <c r="C1374" s="42" t="s">
        <v>4105</v>
      </c>
      <c r="D1374" s="35" t="s">
        <v>3886</v>
      </c>
      <c r="E1374" s="17" t="s">
        <v>4106</v>
      </c>
      <c r="F1374" s="17" t="s">
        <v>4107</v>
      </c>
      <c r="G1374" s="17">
        <v>22.439029999999999</v>
      </c>
      <c r="H1374" s="17">
        <v>87.187121000000005</v>
      </c>
      <c r="I1374" s="17"/>
      <c r="J1374" s="17"/>
      <c r="K1374" s="17"/>
      <c r="L1374" s="17"/>
      <c r="M1374" s="42" t="s">
        <v>3889</v>
      </c>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row>
    <row r="1375">
      <c r="A1375" s="17">
        <v>1373</v>
      </c>
      <c r="B1375" s="17" t="s">
        <v>52</v>
      </c>
      <c r="C1375" s="42" t="s">
        <v>4108</v>
      </c>
      <c r="D1375" s="35" t="s">
        <v>3886</v>
      </c>
      <c r="E1375" s="17" t="s">
        <v>223</v>
      </c>
      <c r="F1375" s="17" t="s">
        <v>4109</v>
      </c>
      <c r="G1375" s="17">
        <v>22.715001999999998</v>
      </c>
      <c r="H1375" s="17">
        <v>87.512423999999996</v>
      </c>
      <c r="I1375" s="17"/>
      <c r="J1375" s="17"/>
      <c r="K1375" s="17"/>
      <c r="L1375" s="17"/>
      <c r="M1375" s="42" t="s">
        <v>3987</v>
      </c>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row>
    <row r="1376">
      <c r="A1376" s="17">
        <v>1374</v>
      </c>
      <c r="B1376" s="17" t="s">
        <v>52</v>
      </c>
      <c r="C1376" s="42" t="s">
        <v>4110</v>
      </c>
      <c r="D1376" s="35" t="s">
        <v>3886</v>
      </c>
      <c r="E1376" s="17" t="s">
        <v>4111</v>
      </c>
      <c r="F1376" s="17" t="s">
        <v>4112</v>
      </c>
      <c r="G1376" s="17">
        <v>22.729893000000001</v>
      </c>
      <c r="H1376" s="17">
        <v>87.542382000000003</v>
      </c>
      <c r="I1376" s="17"/>
      <c r="J1376" s="17"/>
      <c r="K1376" s="17"/>
      <c r="L1376" s="17"/>
      <c r="M1376" s="42" t="s">
        <v>3987</v>
      </c>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row>
    <row r="1377">
      <c r="A1377" s="17">
        <v>1375</v>
      </c>
      <c r="B1377" s="17" t="s">
        <v>52</v>
      </c>
      <c r="C1377" s="42" t="s">
        <v>4113</v>
      </c>
      <c r="D1377" s="35" t="s">
        <v>3886</v>
      </c>
      <c r="E1377" s="17" t="s">
        <v>4114</v>
      </c>
      <c r="F1377" s="17" t="s">
        <v>4115</v>
      </c>
      <c r="G1377" s="17">
        <v>22.80275</v>
      </c>
      <c r="H1377" s="17">
        <v>87.575925999999995</v>
      </c>
      <c r="I1377" s="17"/>
      <c r="J1377" s="17"/>
      <c r="K1377" s="17"/>
      <c r="L1377" s="17"/>
      <c r="M1377" s="42" t="s">
        <v>4011</v>
      </c>
      <c r="N1377" s="17">
        <v>8240995350</v>
      </c>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row>
    <row r="1378">
      <c r="A1378" s="17">
        <v>1376</v>
      </c>
      <c r="B1378" s="17" t="s">
        <v>52</v>
      </c>
      <c r="C1378" s="42" t="s">
        <v>4116</v>
      </c>
      <c r="D1378" s="35" t="s">
        <v>3886</v>
      </c>
      <c r="E1378" s="17" t="s">
        <v>4117</v>
      </c>
      <c r="F1378" s="17" t="s">
        <v>4118</v>
      </c>
      <c r="G1378" s="17">
        <v>22.757704</v>
      </c>
      <c r="H1378" s="17">
        <v>87.679663000000005</v>
      </c>
      <c r="I1378" s="17"/>
      <c r="J1378" s="17"/>
      <c r="K1378" s="17"/>
      <c r="L1378" s="17"/>
      <c r="M1378" s="42" t="s">
        <v>3987</v>
      </c>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row>
    <row r="1379">
      <c r="A1379" s="17">
        <v>1377</v>
      </c>
      <c r="B1379" s="17" t="s">
        <v>52</v>
      </c>
      <c r="C1379" s="42" t="s">
        <v>4119</v>
      </c>
      <c r="D1379" s="35" t="s">
        <v>3886</v>
      </c>
      <c r="E1379" s="17" t="s">
        <v>4120</v>
      </c>
      <c r="F1379" s="17" t="s">
        <v>4121</v>
      </c>
      <c r="G1379" s="17">
        <v>22.631988</v>
      </c>
      <c r="H1379" s="17">
        <v>87.605045000000004</v>
      </c>
      <c r="I1379" s="17"/>
      <c r="J1379" s="17"/>
      <c r="K1379" s="17"/>
      <c r="L1379" s="17"/>
      <c r="M1379" s="42" t="s">
        <v>4122</v>
      </c>
      <c r="N1379" s="17">
        <v>7003921625</v>
      </c>
      <c r="O1379" s="17"/>
      <c r="P1379" s="17"/>
      <c r="Q1379" s="17"/>
      <c r="R1379" s="17"/>
      <c r="S1379" s="17"/>
      <c r="T1379" s="17"/>
      <c r="U1379" s="17"/>
      <c r="V1379" s="17"/>
      <c r="W1379" s="17"/>
      <c r="X1379" s="17"/>
      <c r="Y1379" s="17"/>
      <c r="Z1379" s="17"/>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row>
    <row r="1380">
      <c r="A1380" s="17">
        <v>1378</v>
      </c>
      <c r="B1380" s="17" t="s">
        <v>52</v>
      </c>
      <c r="C1380" s="42" t="s">
        <v>4123</v>
      </c>
      <c r="D1380" s="35" t="s">
        <v>3886</v>
      </c>
      <c r="E1380" s="17" t="s">
        <v>4124</v>
      </c>
      <c r="F1380" s="17" t="s">
        <v>4125</v>
      </c>
      <c r="G1380" s="17">
        <v>22.618487999999999</v>
      </c>
      <c r="H1380" s="17">
        <v>87.560799000000003</v>
      </c>
      <c r="I1380" s="17"/>
      <c r="J1380" s="17"/>
      <c r="K1380" s="17"/>
      <c r="L1380" s="17"/>
      <c r="M1380" s="42" t="s">
        <v>3987</v>
      </c>
      <c r="N1380" s="17"/>
      <c r="O1380" s="17"/>
      <c r="P1380" s="17"/>
      <c r="Q1380" s="17"/>
      <c r="R1380" s="17"/>
      <c r="S1380" s="17"/>
      <c r="T1380" s="17"/>
      <c r="U1380" s="17"/>
      <c r="V1380" s="17"/>
      <c r="W1380" s="17"/>
      <c r="X1380" s="17"/>
      <c r="Y1380" s="17"/>
      <c r="Z1380" s="17"/>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row>
    <row r="1381">
      <c r="A1381" s="17">
        <v>1379</v>
      </c>
      <c r="B1381" s="17" t="s">
        <v>52</v>
      </c>
      <c r="C1381" s="42" t="s">
        <v>4126</v>
      </c>
      <c r="D1381" s="35" t="s">
        <v>3886</v>
      </c>
      <c r="E1381" s="17" t="s">
        <v>4127</v>
      </c>
      <c r="F1381" s="17" t="s">
        <v>4128</v>
      </c>
      <c r="G1381" s="17">
        <v>22.774808</v>
      </c>
      <c r="H1381" s="17">
        <v>87.632801000000001</v>
      </c>
      <c r="I1381" s="17"/>
      <c r="J1381" s="17"/>
      <c r="K1381" s="17"/>
      <c r="L1381" s="17"/>
      <c r="M1381" s="42" t="s">
        <v>3987</v>
      </c>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row>
    <row r="1382">
      <c r="A1382" s="17">
        <v>1380</v>
      </c>
      <c r="B1382" s="17" t="s">
        <v>52</v>
      </c>
      <c r="C1382" s="42" t="s">
        <v>4129</v>
      </c>
      <c r="D1382" s="35" t="s">
        <v>3886</v>
      </c>
      <c r="E1382" s="17" t="s">
        <v>4130</v>
      </c>
      <c r="F1382" s="17" t="s">
        <v>4131</v>
      </c>
      <c r="G1382" s="17">
        <v>22.824708000000001</v>
      </c>
      <c r="H1382" s="17">
        <v>87.534514999999999</v>
      </c>
      <c r="I1382" s="17"/>
      <c r="J1382" s="17"/>
      <c r="K1382" s="17"/>
      <c r="L1382" s="17"/>
      <c r="M1382" s="42" t="s">
        <v>4011</v>
      </c>
      <c r="N1382" s="17">
        <v>8240995350</v>
      </c>
      <c r="O1382" s="17"/>
      <c r="P1382" s="17"/>
      <c r="Q1382" s="17"/>
      <c r="R1382" s="17"/>
      <c r="S1382" s="17"/>
      <c r="T1382" s="17"/>
      <c r="U1382" s="17"/>
      <c r="V1382" s="17"/>
      <c r="W1382" s="17"/>
      <c r="X1382" s="17"/>
      <c r="Y1382" s="17"/>
      <c r="Z1382" s="17"/>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row>
    <row r="1383">
      <c r="A1383" s="17">
        <v>1381</v>
      </c>
      <c r="B1383" s="17" t="s">
        <v>52</v>
      </c>
      <c r="C1383" s="42" t="s">
        <v>4132</v>
      </c>
      <c r="D1383" s="35" t="s">
        <v>3886</v>
      </c>
      <c r="E1383" s="17" t="s">
        <v>4133</v>
      </c>
      <c r="F1383" s="17" t="s">
        <v>4134</v>
      </c>
      <c r="G1383" s="17">
        <v>22.80189</v>
      </c>
      <c r="H1383" s="17">
        <v>87.503722999999994</v>
      </c>
      <c r="I1383" s="17"/>
      <c r="J1383" s="17"/>
      <c r="K1383" s="17"/>
      <c r="L1383" s="17"/>
      <c r="M1383" s="42" t="s">
        <v>4011</v>
      </c>
      <c r="N1383" s="17">
        <v>8240995350</v>
      </c>
      <c r="O1383" s="17">
        <v>18</v>
      </c>
      <c r="P1383" s="17">
        <v>48</v>
      </c>
      <c r="Q1383" s="17" t="s">
        <v>73</v>
      </c>
      <c r="R1383" s="17" t="s">
        <v>104</v>
      </c>
      <c r="S1383" s="17" t="s">
        <v>75</v>
      </c>
      <c r="T1383" s="17"/>
      <c r="U1383" s="17" t="s">
        <v>105</v>
      </c>
      <c r="V1383" s="17" t="s">
        <v>77</v>
      </c>
      <c r="W1383" s="17" t="s">
        <v>78</v>
      </c>
      <c r="X1383" s="17">
        <v>2</v>
      </c>
      <c r="Y1383" s="17">
        <v>0</v>
      </c>
      <c r="Z1383" s="17" t="s">
        <v>4135</v>
      </c>
      <c r="AA1383" s="17" t="s">
        <v>73</v>
      </c>
      <c r="AB1383" s="17" t="s">
        <v>79</v>
      </c>
      <c r="AC1383" s="17">
        <v>2</v>
      </c>
      <c r="AD1383" s="17">
        <v>0</v>
      </c>
      <c r="AE1383" s="17">
        <v>0</v>
      </c>
      <c r="AF1383" s="17"/>
      <c r="AG1383" s="17" t="s">
        <v>724</v>
      </c>
      <c r="AH1383" s="17"/>
      <c r="AI1383" s="17"/>
      <c r="AJ1383" s="17"/>
      <c r="AK1383" s="17"/>
      <c r="AL1383" s="17"/>
      <c r="AM1383" s="17"/>
      <c r="AN1383" s="17"/>
      <c r="AO1383" s="17"/>
      <c r="AP1383" s="17"/>
      <c r="AQ1383" s="17"/>
      <c r="AR1383" s="17"/>
      <c r="AS1383" s="17"/>
      <c r="AT1383" s="17"/>
      <c r="AU1383" s="17" t="s">
        <v>111</v>
      </c>
    </row>
    <row r="1384">
      <c r="A1384" s="17">
        <v>1382</v>
      </c>
      <c r="B1384" s="17" t="s">
        <v>52</v>
      </c>
      <c r="C1384" s="42" t="s">
        <v>4136</v>
      </c>
      <c r="D1384" s="35" t="s">
        <v>3886</v>
      </c>
      <c r="E1384" s="17" t="s">
        <v>4137</v>
      </c>
      <c r="F1384" s="17" t="s">
        <v>4138</v>
      </c>
      <c r="G1384" s="17">
        <v>22.779084999999998</v>
      </c>
      <c r="H1384" s="17">
        <v>87.520966000000001</v>
      </c>
      <c r="I1384" s="17"/>
      <c r="J1384" s="17"/>
      <c r="K1384" s="17"/>
      <c r="L1384" s="17"/>
      <c r="M1384" s="42" t="s">
        <v>4011</v>
      </c>
      <c r="N1384" s="17">
        <v>8240995350</v>
      </c>
      <c r="O1384" s="17"/>
      <c r="P1384" s="17"/>
      <c r="Q1384" s="17"/>
      <c r="R1384" s="17"/>
      <c r="S1384" s="17"/>
      <c r="T1384" s="17"/>
      <c r="U1384" s="17"/>
      <c r="V1384" s="17"/>
      <c r="W1384" s="17"/>
      <c r="X1384" s="17"/>
      <c r="Y1384" s="17"/>
      <c r="Z1384" s="17"/>
      <c r="AA1384" s="17"/>
      <c r="AB1384" s="17"/>
      <c r="AC1384" s="17"/>
      <c r="AD1384" s="17"/>
      <c r="AE1384" s="17"/>
      <c r="AF1384" s="17"/>
      <c r="AG1384" s="17"/>
      <c r="AH1384" s="17"/>
      <c r="AI1384" s="17"/>
      <c r="AJ1384" s="17"/>
      <c r="AK1384" s="17"/>
      <c r="AL1384" s="17"/>
      <c r="AM1384" s="17"/>
      <c r="AN1384" s="17"/>
      <c r="AO1384" s="17"/>
      <c r="AP1384" s="17"/>
      <c r="AQ1384" s="17"/>
      <c r="AR1384" s="17"/>
      <c r="AS1384" s="17"/>
      <c r="AT1384" s="17"/>
      <c r="AU1384" s="17"/>
    </row>
    <row r="1385">
      <c r="A1385" s="17">
        <v>1383</v>
      </c>
      <c r="B1385" s="17" t="s">
        <v>52</v>
      </c>
      <c r="C1385" s="42" t="s">
        <v>4139</v>
      </c>
      <c r="D1385" s="35" t="s">
        <v>3886</v>
      </c>
      <c r="E1385" s="17" t="s">
        <v>4140</v>
      </c>
      <c r="F1385" s="17" t="s">
        <v>4141</v>
      </c>
      <c r="G1385" s="17">
        <v>22.685600999999998</v>
      </c>
      <c r="H1385" s="17">
        <v>87.555093999999997</v>
      </c>
      <c r="I1385" s="17"/>
      <c r="J1385" s="17"/>
      <c r="K1385" s="17"/>
      <c r="L1385" s="17"/>
      <c r="M1385" s="42" t="s">
        <v>3987</v>
      </c>
      <c r="N1385" s="17"/>
      <c r="O1385" s="17"/>
      <c r="P1385" s="17"/>
      <c r="Q1385" s="17"/>
      <c r="R1385" s="17"/>
      <c r="S1385" s="17"/>
      <c r="T1385" s="17"/>
      <c r="U1385" s="17"/>
      <c r="V1385" s="17"/>
      <c r="W1385" s="17"/>
      <c r="X1385" s="17"/>
      <c r="Y1385" s="17"/>
      <c r="Z1385" s="17"/>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row>
    <row r="1386">
      <c r="A1386" s="17">
        <v>1384</v>
      </c>
      <c r="B1386" s="17" t="s">
        <v>52</v>
      </c>
      <c r="C1386" s="42" t="s">
        <v>4142</v>
      </c>
      <c r="D1386" s="35" t="s">
        <v>3886</v>
      </c>
      <c r="E1386" s="17" t="s">
        <v>4143</v>
      </c>
      <c r="F1386" s="17" t="s">
        <v>4144</v>
      </c>
      <c r="G1386" s="17">
        <v>22.613384</v>
      </c>
      <c r="H1386" s="17">
        <v>87.810522000000006</v>
      </c>
      <c r="I1386" s="17"/>
      <c r="J1386" s="17"/>
      <c r="K1386" s="17"/>
      <c r="L1386" s="17"/>
      <c r="M1386" s="42" t="s">
        <v>4004</v>
      </c>
      <c r="N1386" s="17">
        <v>9382071290</v>
      </c>
      <c r="O1386" s="17"/>
      <c r="P1386" s="17"/>
      <c r="Q1386" s="17"/>
      <c r="R1386" s="17"/>
      <c r="S1386" s="17"/>
      <c r="T1386" s="17"/>
      <c r="U1386" s="17"/>
      <c r="V1386" s="17"/>
      <c r="W1386" s="17"/>
      <c r="X1386" s="17"/>
      <c r="Y1386" s="17"/>
      <c r="Z1386" s="17"/>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row>
    <row r="1387">
      <c r="A1387" s="17">
        <v>1385</v>
      </c>
      <c r="B1387" s="17" t="s">
        <v>52</v>
      </c>
      <c r="C1387" s="42" t="s">
        <v>4145</v>
      </c>
      <c r="D1387" s="35" t="s">
        <v>3886</v>
      </c>
      <c r="E1387" s="17" t="s">
        <v>4146</v>
      </c>
      <c r="F1387" s="17" t="s">
        <v>4147</v>
      </c>
      <c r="G1387" s="17">
        <v>22.574542000000001</v>
      </c>
      <c r="H1387" s="17">
        <v>87.784505999999993</v>
      </c>
      <c r="I1387" s="17"/>
      <c r="J1387" s="17"/>
      <c r="K1387" s="17"/>
      <c r="L1387" s="17"/>
      <c r="M1387" s="42" t="s">
        <v>4004</v>
      </c>
      <c r="N1387" s="17">
        <v>9382071290</v>
      </c>
      <c r="O1387" s="17"/>
      <c r="P1387" s="17"/>
      <c r="Q1387" s="17"/>
      <c r="R1387" s="17"/>
      <c r="S1387" s="17"/>
      <c r="T1387" s="17"/>
      <c r="U1387" s="17"/>
      <c r="V1387" s="17"/>
      <c r="W1387" s="17"/>
      <c r="X1387" s="17"/>
      <c r="Y1387" s="17"/>
      <c r="Z1387" s="17"/>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row>
    <row r="1388">
      <c r="A1388" s="17">
        <v>1386</v>
      </c>
      <c r="B1388" s="17" t="s">
        <v>52</v>
      </c>
      <c r="C1388" s="42" t="s">
        <v>4148</v>
      </c>
      <c r="D1388" s="35" t="s">
        <v>3886</v>
      </c>
      <c r="E1388" s="17" t="s">
        <v>4149</v>
      </c>
      <c r="F1388" s="17" t="s">
        <v>4150</v>
      </c>
      <c r="G1388" s="17">
        <v>22.616066</v>
      </c>
      <c r="H1388" s="17">
        <v>87.764392999999998</v>
      </c>
      <c r="I1388" s="17"/>
      <c r="J1388" s="17"/>
      <c r="K1388" s="17"/>
      <c r="L1388" s="17"/>
      <c r="M1388" s="42" t="s">
        <v>4004</v>
      </c>
      <c r="N1388" s="17">
        <v>9382071290</v>
      </c>
      <c r="O1388" s="17"/>
      <c r="P1388" s="17"/>
      <c r="Q1388" s="17"/>
      <c r="R1388" s="17"/>
      <c r="S1388" s="17"/>
      <c r="T1388" s="17"/>
      <c r="U1388" s="17"/>
      <c r="V1388" s="17"/>
      <c r="W1388" s="17"/>
      <c r="X1388" s="17"/>
      <c r="Y1388" s="17"/>
      <c r="Z1388" s="17"/>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row>
    <row r="1389">
      <c r="A1389" s="17">
        <v>1387</v>
      </c>
      <c r="B1389" s="17" t="s">
        <v>52</v>
      </c>
      <c r="C1389" s="42" t="s">
        <v>4151</v>
      </c>
      <c r="D1389" s="35" t="s">
        <v>3886</v>
      </c>
      <c r="E1389" s="17" t="s">
        <v>4152</v>
      </c>
      <c r="F1389" s="17" t="s">
        <v>4153</v>
      </c>
      <c r="G1389" s="17">
        <v>22.535352</v>
      </c>
      <c r="H1389" s="17">
        <v>87.776026999999999</v>
      </c>
      <c r="I1389" s="17"/>
      <c r="J1389" s="17"/>
      <c r="K1389" s="17"/>
      <c r="L1389" s="17"/>
      <c r="M1389" s="42" t="s">
        <v>4004</v>
      </c>
      <c r="N1389" s="17">
        <v>9382071290</v>
      </c>
      <c r="O1389" s="17"/>
      <c r="P1389" s="17"/>
      <c r="Q1389" s="17"/>
      <c r="R1389" s="17"/>
      <c r="S1389" s="17"/>
      <c r="T1389" s="17"/>
      <c r="U1389" s="17"/>
      <c r="V1389" s="17"/>
      <c r="W1389" s="17"/>
      <c r="X1389" s="17"/>
      <c r="Y1389" s="17"/>
      <c r="Z1389" s="17"/>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row>
    <row r="1390">
      <c r="A1390" s="17">
        <v>1388</v>
      </c>
      <c r="B1390" s="17" t="s">
        <v>52</v>
      </c>
      <c r="C1390" s="42" t="s">
        <v>4154</v>
      </c>
      <c r="D1390" s="35" t="s">
        <v>3886</v>
      </c>
      <c r="E1390" s="17" t="s">
        <v>4155</v>
      </c>
      <c r="F1390" s="17" t="s">
        <v>4156</v>
      </c>
      <c r="G1390" s="17">
        <v>22.524569</v>
      </c>
      <c r="H1390" s="17">
        <v>87.849084000000005</v>
      </c>
      <c r="I1390" s="17"/>
      <c r="J1390" s="17"/>
      <c r="K1390" s="17"/>
      <c r="L1390" s="17"/>
      <c r="M1390" s="42" t="s">
        <v>4004</v>
      </c>
      <c r="N1390" s="17">
        <v>9382071290</v>
      </c>
      <c r="O1390" s="17"/>
      <c r="P1390" s="17"/>
      <c r="Q1390" s="17"/>
      <c r="R1390" s="17"/>
      <c r="S1390" s="17"/>
      <c r="T1390" s="17"/>
      <c r="U1390" s="17"/>
      <c r="V1390" s="17"/>
      <c r="W1390" s="17"/>
      <c r="X1390" s="17"/>
      <c r="Y1390" s="17"/>
      <c r="Z1390" s="17"/>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row>
    <row r="1391">
      <c r="A1391" s="17">
        <v>1389</v>
      </c>
      <c r="B1391" s="17" t="s">
        <v>52</v>
      </c>
      <c r="C1391" s="42" t="s">
        <v>4157</v>
      </c>
      <c r="D1391" s="35" t="s">
        <v>3886</v>
      </c>
      <c r="E1391" s="17" t="s">
        <v>4158</v>
      </c>
      <c r="F1391" s="17" t="s">
        <v>4159</v>
      </c>
      <c r="G1391" s="17">
        <v>22.501989999999999</v>
      </c>
      <c r="H1391" s="17">
        <v>87.783967000000004</v>
      </c>
      <c r="I1391" s="17"/>
      <c r="J1391" s="17"/>
      <c r="K1391" s="17"/>
      <c r="L1391" s="17"/>
      <c r="M1391" s="42" t="s">
        <v>4004</v>
      </c>
      <c r="N1391" s="17">
        <v>9382071290</v>
      </c>
      <c r="O1391" s="17"/>
      <c r="P1391" s="17"/>
      <c r="Q1391" s="17"/>
      <c r="R1391" s="17"/>
      <c r="S1391" s="17"/>
      <c r="T1391" s="17"/>
      <c r="U1391" s="17"/>
      <c r="V1391" s="17"/>
      <c r="W1391" s="17"/>
      <c r="X1391" s="17"/>
      <c r="Y1391" s="17"/>
      <c r="Z1391" s="17"/>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row>
    <row r="1392">
      <c r="A1392" s="17">
        <v>1390</v>
      </c>
      <c r="B1392" s="17" t="s">
        <v>52</v>
      </c>
      <c r="C1392" s="42" t="s">
        <v>4160</v>
      </c>
      <c r="D1392" s="35" t="s">
        <v>3886</v>
      </c>
      <c r="E1392" s="17" t="s">
        <v>4161</v>
      </c>
      <c r="F1392" s="17" t="s">
        <v>4162</v>
      </c>
      <c r="G1392" s="17">
        <v>22.592731000000001</v>
      </c>
      <c r="H1392" s="17">
        <v>87.812348</v>
      </c>
      <c r="I1392" s="17"/>
      <c r="J1392" s="17"/>
      <c r="K1392" s="17"/>
      <c r="L1392" s="17"/>
      <c r="M1392" s="42" t="s">
        <v>4004</v>
      </c>
      <c r="N1392" s="17">
        <v>9382071290</v>
      </c>
      <c r="O1392" s="17"/>
      <c r="P1392" s="17"/>
      <c r="Q1392" s="17"/>
      <c r="R1392" s="17"/>
      <c r="S1392" s="17"/>
      <c r="T1392" s="17"/>
      <c r="U1392" s="17"/>
      <c r="V1392" s="17"/>
      <c r="W1392" s="17"/>
      <c r="X1392" s="17"/>
      <c r="Y1392" s="17"/>
      <c r="Z1392" s="17"/>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row>
    <row r="1393">
      <c r="A1393" s="17">
        <v>1391</v>
      </c>
      <c r="B1393" s="17" t="s">
        <v>52</v>
      </c>
      <c r="C1393" s="42" t="s">
        <v>4163</v>
      </c>
      <c r="D1393" s="35" t="s">
        <v>3886</v>
      </c>
      <c r="E1393" s="17" t="s">
        <v>4164</v>
      </c>
      <c r="F1393" s="17" t="s">
        <v>4165</v>
      </c>
      <c r="G1393" s="17">
        <v>22.642005000000001</v>
      </c>
      <c r="H1393" s="17">
        <v>87.770054999999999</v>
      </c>
      <c r="I1393" s="17"/>
      <c r="J1393" s="17"/>
      <c r="K1393" s="17"/>
      <c r="L1393" s="17"/>
      <c r="M1393" s="42" t="s">
        <v>4004</v>
      </c>
      <c r="N1393" s="17">
        <v>9382071290</v>
      </c>
      <c r="O1393" s="17"/>
      <c r="P1393" s="17"/>
      <c r="Q1393" s="17"/>
      <c r="R1393" s="17"/>
      <c r="S1393" s="17"/>
      <c r="T1393" s="17"/>
      <c r="U1393" s="17"/>
      <c r="V1393" s="17"/>
      <c r="W1393" s="17"/>
      <c r="X1393" s="17"/>
      <c r="Y1393" s="17"/>
      <c r="Z1393" s="17"/>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row>
    <row r="1394">
      <c r="A1394" s="17">
        <v>1392</v>
      </c>
      <c r="B1394" s="17" t="s">
        <v>52</v>
      </c>
      <c r="C1394" s="42" t="s">
        <v>4166</v>
      </c>
      <c r="D1394" s="35" t="s">
        <v>3886</v>
      </c>
      <c r="E1394" s="17" t="s">
        <v>4167</v>
      </c>
      <c r="F1394" s="17" t="s">
        <v>4168</v>
      </c>
      <c r="G1394" s="17">
        <v>22.523416000000001</v>
      </c>
      <c r="H1394" s="17">
        <v>87.746970000000005</v>
      </c>
      <c r="I1394" s="17"/>
      <c r="J1394" s="17"/>
      <c r="K1394" s="17"/>
      <c r="L1394" s="17"/>
      <c r="M1394" s="42" t="s">
        <v>4004</v>
      </c>
      <c r="N1394" s="17">
        <v>9382071290</v>
      </c>
      <c r="O1394" s="17"/>
      <c r="P1394" s="17"/>
      <c r="Q1394" s="17"/>
      <c r="R1394" s="17"/>
      <c r="S1394" s="17"/>
      <c r="T1394" s="17"/>
      <c r="U1394" s="17"/>
      <c r="V1394" s="17"/>
      <c r="W1394" s="17"/>
      <c r="X1394" s="17"/>
      <c r="Y1394" s="17"/>
      <c r="Z1394" s="17"/>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row>
    <row r="1395">
      <c r="A1395" s="17">
        <v>1393</v>
      </c>
      <c r="B1395" s="17" t="s">
        <v>52</v>
      </c>
      <c r="C1395" s="42" t="s">
        <v>4169</v>
      </c>
      <c r="D1395" s="35" t="s">
        <v>3886</v>
      </c>
      <c r="E1395" s="17" t="s">
        <v>4170</v>
      </c>
      <c r="F1395" s="17" t="s">
        <v>4171</v>
      </c>
      <c r="G1395" s="17">
        <v>22.584502000000001</v>
      </c>
      <c r="H1395" s="17">
        <v>87.725088</v>
      </c>
      <c r="I1395" s="17"/>
      <c r="J1395" s="17"/>
      <c r="K1395" s="17"/>
      <c r="L1395" s="17"/>
      <c r="M1395" s="42" t="s">
        <v>4004</v>
      </c>
      <c r="N1395" s="17">
        <v>9382071290</v>
      </c>
      <c r="O1395" s="17"/>
      <c r="P1395" s="17"/>
      <c r="Q1395" s="17"/>
      <c r="R1395" s="17"/>
      <c r="S1395" s="17"/>
      <c r="T1395" s="17"/>
      <c r="U1395" s="17"/>
      <c r="V1395" s="17"/>
      <c r="W1395" s="17"/>
      <c r="X1395" s="17"/>
      <c r="Y1395" s="17"/>
      <c r="Z1395" s="17"/>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row>
    <row r="1396">
      <c r="A1396" s="17">
        <v>1394</v>
      </c>
      <c r="B1396" s="17" t="s">
        <v>52</v>
      </c>
      <c r="C1396" s="42" t="s">
        <v>4172</v>
      </c>
      <c r="D1396" s="35" t="s">
        <v>3886</v>
      </c>
      <c r="E1396" s="17" t="s">
        <v>4173</v>
      </c>
      <c r="F1396" s="17" t="s">
        <v>4174</v>
      </c>
      <c r="G1396" s="17">
        <v>22.540144999999999</v>
      </c>
      <c r="H1396" s="17">
        <v>87.696475000000007</v>
      </c>
      <c r="I1396" s="17"/>
      <c r="J1396" s="17"/>
      <c r="K1396" s="17"/>
      <c r="L1396" s="17"/>
      <c r="M1396" s="42" t="s">
        <v>4004</v>
      </c>
      <c r="N1396" s="17">
        <v>9382071290</v>
      </c>
      <c r="O1396" s="17"/>
      <c r="P1396" s="17"/>
      <c r="Q1396" s="17"/>
      <c r="R1396" s="17"/>
      <c r="S1396" s="17"/>
      <c r="T1396" s="17"/>
      <c r="U1396" s="17"/>
      <c r="V1396" s="17"/>
      <c r="W1396" s="17"/>
      <c r="X1396" s="17"/>
      <c r="Y1396" s="17"/>
      <c r="Z1396" s="17"/>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row>
    <row r="1397">
      <c r="A1397" s="17">
        <v>1395</v>
      </c>
      <c r="B1397" s="17" t="s">
        <v>52</v>
      </c>
      <c r="C1397" s="42" t="s">
        <v>4175</v>
      </c>
      <c r="D1397" s="35" t="s">
        <v>3886</v>
      </c>
      <c r="E1397" s="17" t="s">
        <v>4176</v>
      </c>
      <c r="F1397" s="17" t="s">
        <v>4177</v>
      </c>
      <c r="G1397" s="17">
        <v>22.597636000000001</v>
      </c>
      <c r="H1397" s="17">
        <v>87.585869000000002</v>
      </c>
      <c r="I1397" s="17"/>
      <c r="J1397" s="17"/>
      <c r="K1397" s="17"/>
      <c r="L1397" s="17"/>
      <c r="M1397" s="42" t="s">
        <v>4122</v>
      </c>
      <c r="N1397" s="17">
        <v>7003921625</v>
      </c>
      <c r="O1397" s="17"/>
      <c r="P1397" s="17"/>
      <c r="Q1397" s="17"/>
      <c r="R1397" s="17"/>
      <c r="S1397" s="17"/>
      <c r="T1397" s="17"/>
      <c r="U1397" s="17"/>
      <c r="V1397" s="17"/>
      <c r="W1397" s="17"/>
      <c r="X1397" s="17"/>
      <c r="Y1397" s="17"/>
      <c r="Z1397" s="17"/>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row>
    <row r="1398">
      <c r="A1398" s="17">
        <v>1396</v>
      </c>
      <c r="B1398" s="17" t="s">
        <v>52</v>
      </c>
      <c r="C1398" s="42" t="s">
        <v>4178</v>
      </c>
      <c r="D1398" s="35" t="s">
        <v>3886</v>
      </c>
      <c r="E1398" s="17" t="s">
        <v>4179</v>
      </c>
      <c r="F1398" s="17" t="s">
        <v>4180</v>
      </c>
      <c r="G1398" s="17">
        <v>22.559473000000001</v>
      </c>
      <c r="H1398" s="17">
        <v>87.575691000000006</v>
      </c>
      <c r="I1398" s="17"/>
      <c r="J1398" s="17"/>
      <c r="K1398" s="17"/>
      <c r="L1398" s="17"/>
      <c r="M1398" s="42" t="s">
        <v>4016</v>
      </c>
      <c r="N1398" s="17"/>
      <c r="O1398" s="17"/>
      <c r="P1398" s="17"/>
      <c r="Q1398" s="17"/>
      <c r="R1398" s="17"/>
      <c r="S1398" s="17"/>
      <c r="T1398" s="17"/>
      <c r="U1398" s="17"/>
      <c r="V1398" s="17"/>
      <c r="W1398" s="17"/>
      <c r="X1398" s="17"/>
      <c r="Y1398" s="17"/>
      <c r="Z1398" s="17"/>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row>
    <row r="1399">
      <c r="A1399" s="17">
        <v>1397</v>
      </c>
      <c r="B1399" s="17" t="s">
        <v>52</v>
      </c>
      <c r="C1399" s="42" t="s">
        <v>4181</v>
      </c>
      <c r="D1399" s="35" t="s">
        <v>3886</v>
      </c>
      <c r="E1399" s="17" t="s">
        <v>4182</v>
      </c>
      <c r="F1399" s="17" t="s">
        <v>4183</v>
      </c>
      <c r="G1399" s="17">
        <v>22.652318999999999</v>
      </c>
      <c r="H1399" s="17">
        <v>87.735652999999999</v>
      </c>
      <c r="I1399" s="17"/>
      <c r="J1399" s="17"/>
      <c r="K1399" s="17"/>
      <c r="L1399" s="17"/>
      <c r="M1399" s="42" t="s">
        <v>4122</v>
      </c>
      <c r="N1399" s="17">
        <v>7003921625</v>
      </c>
      <c r="O1399" s="17"/>
      <c r="P1399" s="17"/>
      <c r="Q1399" s="17"/>
      <c r="R1399" s="17"/>
      <c r="S1399" s="17"/>
      <c r="T1399" s="17"/>
      <c r="U1399" s="17"/>
      <c r="V1399" s="17"/>
      <c r="W1399" s="17"/>
      <c r="X1399" s="17"/>
      <c r="Y1399" s="17"/>
      <c r="Z1399" s="17"/>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row>
    <row r="1400">
      <c r="A1400" s="17">
        <v>1398</v>
      </c>
      <c r="B1400" s="17" t="s">
        <v>52</v>
      </c>
      <c r="C1400" s="42" t="s">
        <v>4184</v>
      </c>
      <c r="D1400" s="35" t="s">
        <v>3886</v>
      </c>
      <c r="E1400" s="17" t="s">
        <v>4185</v>
      </c>
      <c r="F1400" s="17" t="s">
        <v>4186</v>
      </c>
      <c r="G1400" s="17">
        <v>22.663554999999999</v>
      </c>
      <c r="H1400" s="17">
        <v>87.741116000000005</v>
      </c>
      <c r="I1400" s="17"/>
      <c r="J1400" s="17"/>
      <c r="K1400" s="17"/>
      <c r="L1400" s="17"/>
      <c r="M1400" s="42" t="s">
        <v>4122</v>
      </c>
      <c r="N1400" s="17">
        <v>7003921625</v>
      </c>
      <c r="O1400" s="17"/>
      <c r="P1400" s="17"/>
      <c r="Q1400" s="17"/>
      <c r="R1400" s="17"/>
      <c r="S1400" s="17"/>
      <c r="T1400" s="17"/>
      <c r="U1400" s="17"/>
      <c r="V1400" s="17"/>
      <c r="W1400" s="17"/>
      <c r="X1400" s="17"/>
      <c r="Y1400" s="17"/>
      <c r="Z1400" s="17"/>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row>
    <row r="1401">
      <c r="A1401" s="17">
        <v>1399</v>
      </c>
      <c r="B1401" s="17" t="s">
        <v>52</v>
      </c>
      <c r="C1401" s="42" t="s">
        <v>4187</v>
      </c>
      <c r="D1401" s="35" t="s">
        <v>3886</v>
      </c>
      <c r="E1401" s="17" t="s">
        <v>4188</v>
      </c>
      <c r="F1401" s="17" t="s">
        <v>4189</v>
      </c>
      <c r="G1401" s="17">
        <v>22.632497000000001</v>
      </c>
      <c r="H1401" s="17">
        <v>87.720060000000004</v>
      </c>
      <c r="I1401" s="17"/>
      <c r="J1401" s="17"/>
      <c r="K1401" s="17"/>
      <c r="L1401" s="17"/>
      <c r="M1401" s="42" t="s">
        <v>4122</v>
      </c>
      <c r="N1401" s="17">
        <v>7003921625</v>
      </c>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row>
    <row r="1402">
      <c r="A1402" s="17">
        <v>1400</v>
      </c>
      <c r="B1402" s="17" t="s">
        <v>52</v>
      </c>
      <c r="C1402" s="42" t="s">
        <v>4190</v>
      </c>
      <c r="D1402" s="35" t="s">
        <v>3886</v>
      </c>
      <c r="E1402" s="17" t="s">
        <v>4191</v>
      </c>
      <c r="F1402" s="17" t="s">
        <v>4192</v>
      </c>
      <c r="G1402" s="17">
        <v>22.643076000000001</v>
      </c>
      <c r="H1402" s="17">
        <v>87.728612999999996</v>
      </c>
      <c r="I1402" s="17"/>
      <c r="J1402" s="17"/>
      <c r="K1402" s="17"/>
      <c r="L1402" s="17"/>
      <c r="M1402" s="42" t="s">
        <v>4099</v>
      </c>
      <c r="N1402" s="17">
        <v>7003921625</v>
      </c>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row>
    <row r="1403">
      <c r="A1403" s="17">
        <v>1401</v>
      </c>
      <c r="B1403" s="17" t="s">
        <v>52</v>
      </c>
      <c r="C1403" s="42" t="s">
        <v>4193</v>
      </c>
      <c r="D1403" s="35" t="s">
        <v>3886</v>
      </c>
      <c r="E1403" s="17" t="s">
        <v>4194</v>
      </c>
      <c r="F1403" s="17" t="s">
        <v>4195</v>
      </c>
      <c r="G1403" s="17">
        <v>22.670822999999999</v>
      </c>
      <c r="H1403" s="17">
        <v>87.691339999999997</v>
      </c>
      <c r="I1403" s="17"/>
      <c r="J1403" s="17"/>
      <c r="K1403" s="17"/>
      <c r="L1403" s="17"/>
      <c r="M1403" s="42" t="s">
        <v>4122</v>
      </c>
      <c r="N1403" s="17">
        <v>7003921625</v>
      </c>
      <c r="O1403" s="17"/>
      <c r="P1403" s="17"/>
      <c r="Q1403" s="17"/>
      <c r="R1403" s="17"/>
      <c r="S1403" s="17"/>
      <c r="T1403" s="17"/>
      <c r="U1403" s="17"/>
      <c r="V1403" s="17"/>
      <c r="W1403" s="17"/>
      <c r="X1403" s="17"/>
      <c r="Y1403" s="17"/>
      <c r="Z1403" s="17"/>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row>
    <row r="1404">
      <c r="A1404" s="17">
        <v>1402</v>
      </c>
      <c r="B1404" s="17" t="s">
        <v>52</v>
      </c>
      <c r="C1404" s="42" t="s">
        <v>4196</v>
      </c>
      <c r="D1404" s="35" t="s">
        <v>3886</v>
      </c>
      <c r="E1404" s="17" t="s">
        <v>4197</v>
      </c>
      <c r="F1404" s="17" t="s">
        <v>4198</v>
      </c>
      <c r="G1404" s="17">
        <v>22.683499000000001</v>
      </c>
      <c r="H1404" s="17">
        <v>87.732382999999999</v>
      </c>
      <c r="I1404" s="17"/>
      <c r="J1404" s="17"/>
      <c r="K1404" s="17"/>
      <c r="L1404" s="17"/>
      <c r="M1404" s="42" t="s">
        <v>4122</v>
      </c>
      <c r="N1404" s="17">
        <v>7003921625</v>
      </c>
      <c r="O1404" s="17"/>
      <c r="P1404" s="17"/>
      <c r="Q1404" s="17"/>
      <c r="R1404" s="17"/>
      <c r="S1404" s="17"/>
      <c r="T1404" s="17"/>
      <c r="U1404" s="17"/>
      <c r="V1404" s="17"/>
      <c r="W1404" s="17"/>
      <c r="X1404" s="17"/>
      <c r="Y1404" s="17"/>
      <c r="Z1404" s="17"/>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row>
    <row r="1405">
      <c r="A1405" s="17">
        <v>1403</v>
      </c>
      <c r="B1405" s="17" t="s">
        <v>52</v>
      </c>
      <c r="C1405" s="42" t="s">
        <v>4199</v>
      </c>
      <c r="D1405" s="35" t="s">
        <v>3886</v>
      </c>
      <c r="E1405" s="17" t="s">
        <v>4200</v>
      </c>
      <c r="F1405" s="17" t="s">
        <v>4201</v>
      </c>
      <c r="G1405" s="17">
        <v>22.715924000000001</v>
      </c>
      <c r="H1405" s="17">
        <v>87.732371999999998</v>
      </c>
      <c r="I1405" s="17"/>
      <c r="J1405" s="17"/>
      <c r="K1405" s="17"/>
      <c r="L1405" s="17"/>
      <c r="M1405" s="42" t="s">
        <v>4099</v>
      </c>
      <c r="N1405" s="17">
        <v>7003921625</v>
      </c>
      <c r="O1405" s="17">
        <v>18</v>
      </c>
      <c r="P1405" s="17">
        <v>90</v>
      </c>
      <c r="Q1405" s="17" t="s">
        <v>413</v>
      </c>
      <c r="R1405" s="17" t="s">
        <v>74</v>
      </c>
      <c r="S1405" s="17" t="s">
        <v>75</v>
      </c>
      <c r="T1405" s="17"/>
      <c r="U1405" s="17" t="s">
        <v>160</v>
      </c>
      <c r="V1405" s="17" t="s">
        <v>77</v>
      </c>
      <c r="W1405" s="17" t="s">
        <v>330</v>
      </c>
      <c r="X1405" s="17">
        <v>3</v>
      </c>
      <c r="Y1405" s="17">
        <v>0</v>
      </c>
      <c r="Z1405" s="17" t="s">
        <v>4202</v>
      </c>
      <c r="AA1405" s="17" t="s">
        <v>413</v>
      </c>
      <c r="AB1405" s="17" t="s">
        <v>79</v>
      </c>
      <c r="AC1405" s="17">
        <v>4</v>
      </c>
      <c r="AD1405" s="17">
        <v>0</v>
      </c>
      <c r="AE1405" s="17">
        <v>0</v>
      </c>
      <c r="AF1405" s="17"/>
      <c r="AG1405" s="17" t="s">
        <v>414</v>
      </c>
      <c r="AH1405" s="17" t="s">
        <v>4203</v>
      </c>
      <c r="AI1405" s="17" t="s">
        <v>414</v>
      </c>
      <c r="AJ1405" s="17" t="s">
        <v>416</v>
      </c>
      <c r="AK1405" s="17" t="s">
        <v>137</v>
      </c>
      <c r="AL1405" s="17" t="s">
        <v>137</v>
      </c>
      <c r="AM1405" s="17" t="s">
        <v>163</v>
      </c>
      <c r="AN1405" s="17" t="s">
        <v>84</v>
      </c>
      <c r="AO1405" s="17" t="s">
        <v>75</v>
      </c>
      <c r="AP1405" s="17"/>
      <c r="AQ1405" s="17"/>
      <c r="AR1405" s="17"/>
      <c r="AS1405" s="17"/>
      <c r="AT1405" s="17"/>
      <c r="AU1405" s="17" t="s">
        <v>111</v>
      </c>
    </row>
    <row r="1406">
      <c r="A1406" s="17">
        <v>1404</v>
      </c>
      <c r="B1406" s="17" t="s">
        <v>52</v>
      </c>
      <c r="C1406" s="42" t="s">
        <v>4204</v>
      </c>
      <c r="D1406" s="35" t="s">
        <v>3886</v>
      </c>
      <c r="E1406" s="17" t="s">
        <v>4205</v>
      </c>
      <c r="F1406" s="17" t="s">
        <v>4206</v>
      </c>
      <c r="G1406" s="17">
        <v>22.628045</v>
      </c>
      <c r="H1406" s="17">
        <v>87.656932999999995</v>
      </c>
      <c r="I1406" s="17"/>
      <c r="J1406" s="17"/>
      <c r="K1406" s="17"/>
      <c r="L1406" s="17"/>
      <c r="M1406" s="42" t="s">
        <v>4122</v>
      </c>
      <c r="N1406" s="17">
        <v>7003921625</v>
      </c>
      <c r="O1406" s="17"/>
      <c r="P1406" s="17"/>
      <c r="Q1406" s="17"/>
      <c r="R1406" s="17"/>
      <c r="S1406" s="17"/>
      <c r="T1406" s="17"/>
      <c r="U1406" s="17"/>
      <c r="V1406" s="17"/>
      <c r="W1406" s="17"/>
      <c r="X1406" s="17"/>
      <c r="Y1406" s="17"/>
      <c r="Z1406" s="17"/>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row>
    <row r="1407">
      <c r="A1407" s="17">
        <v>1405</v>
      </c>
      <c r="B1407" s="17" t="s">
        <v>52</v>
      </c>
      <c r="C1407" s="42" t="s">
        <v>4207</v>
      </c>
      <c r="D1407" s="35" t="s">
        <v>3886</v>
      </c>
      <c r="E1407" s="17" t="s">
        <v>4208</v>
      </c>
      <c r="F1407" s="17" t="s">
        <v>4209</v>
      </c>
      <c r="G1407" s="17">
        <v>22.828386999999999</v>
      </c>
      <c r="H1407" s="17">
        <v>87.248113000000004</v>
      </c>
      <c r="I1407" s="17"/>
      <c r="J1407" s="17"/>
      <c r="K1407" s="17"/>
      <c r="L1407" s="17"/>
      <c r="M1407" s="42" t="s">
        <v>4210</v>
      </c>
      <c r="N1407" s="17">
        <v>7980098242</v>
      </c>
      <c r="O1407" s="17">
        <v>13</v>
      </c>
      <c r="P1407" s="17">
        <v>120</v>
      </c>
      <c r="Q1407" s="17" t="s">
        <v>105</v>
      </c>
      <c r="R1407" s="17" t="s">
        <v>74</v>
      </c>
      <c r="S1407" s="17" t="s">
        <v>75</v>
      </c>
      <c r="T1407" s="17"/>
      <c r="U1407" s="17" t="s">
        <v>76</v>
      </c>
      <c r="V1407" s="17" t="s">
        <v>77</v>
      </c>
      <c r="W1407" s="17" t="s">
        <v>330</v>
      </c>
      <c r="X1407" s="17">
        <v>5</v>
      </c>
      <c r="Y1407" s="17">
        <v>0</v>
      </c>
      <c r="Z1407" s="17"/>
      <c r="AA1407" s="17" t="s">
        <v>105</v>
      </c>
      <c r="AB1407" s="17" t="s">
        <v>79</v>
      </c>
      <c r="AC1407" s="17">
        <v>5</v>
      </c>
      <c r="AD1407" s="17">
        <v>0</v>
      </c>
      <c r="AE1407" s="17">
        <v>3</v>
      </c>
      <c r="AF1407" s="17" t="s">
        <v>4211</v>
      </c>
      <c r="AG1407" s="17" t="s">
        <v>4212</v>
      </c>
      <c r="AH1407" s="17"/>
      <c r="AI1407" s="17"/>
      <c r="AJ1407" s="17"/>
      <c r="AK1407" s="17"/>
      <c r="AL1407" s="17"/>
      <c r="AM1407" s="17"/>
      <c r="AN1407" s="17"/>
      <c r="AO1407" s="17"/>
      <c r="AP1407" s="17"/>
      <c r="AQ1407" s="17"/>
      <c r="AR1407" s="17"/>
      <c r="AS1407" s="17"/>
      <c r="AT1407" s="17" t="s">
        <v>4213</v>
      </c>
      <c r="AU1407" s="17" t="s">
        <v>127</v>
      </c>
    </row>
    <row r="1408">
      <c r="A1408" s="17">
        <v>1406</v>
      </c>
      <c r="B1408" s="17" t="s">
        <v>52</v>
      </c>
      <c r="C1408" s="42" t="s">
        <v>4214</v>
      </c>
      <c r="D1408" s="35" t="s">
        <v>3886</v>
      </c>
      <c r="E1408" s="17" t="s">
        <v>4215</v>
      </c>
      <c r="F1408" s="17" t="s">
        <v>4216</v>
      </c>
      <c r="G1408" s="17">
        <v>22.716439000000001</v>
      </c>
      <c r="H1408" s="17">
        <v>87.239535000000004</v>
      </c>
      <c r="I1408" s="17"/>
      <c r="J1408" s="17"/>
      <c r="K1408" s="17"/>
      <c r="L1408" s="17"/>
      <c r="M1408" s="42" t="s">
        <v>4045</v>
      </c>
      <c r="N1408" s="17">
        <v>6290709471</v>
      </c>
      <c r="O1408" s="17"/>
      <c r="P1408" s="17"/>
      <c r="Q1408" s="17"/>
      <c r="R1408" s="17"/>
      <c r="S1408" s="17"/>
      <c r="T1408" s="17"/>
      <c r="U1408" s="17"/>
      <c r="V1408" s="17"/>
      <c r="W1408" s="17"/>
      <c r="X1408" s="17"/>
      <c r="Y1408" s="17"/>
      <c r="Z1408" s="17"/>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row>
    <row r="1409">
      <c r="A1409" s="17">
        <v>1407</v>
      </c>
      <c r="B1409" s="17" t="s">
        <v>52</v>
      </c>
      <c r="C1409" s="42" t="s">
        <v>4217</v>
      </c>
      <c r="D1409" s="35" t="s">
        <v>3886</v>
      </c>
      <c r="E1409" s="17" t="s">
        <v>4218</v>
      </c>
      <c r="F1409" s="17" t="s">
        <v>4219</v>
      </c>
      <c r="G1409" s="17">
        <v>22.708027000000001</v>
      </c>
      <c r="H1409" s="17">
        <v>87.172308000000001</v>
      </c>
      <c r="I1409" s="17"/>
      <c r="J1409" s="17"/>
      <c r="K1409" s="17"/>
      <c r="L1409" s="17"/>
      <c r="M1409" s="42" t="s">
        <v>4210</v>
      </c>
      <c r="N1409" s="17">
        <v>7980098242</v>
      </c>
      <c r="O1409" s="17">
        <v>13</v>
      </c>
      <c r="P1409" s="17">
        <v>120</v>
      </c>
      <c r="Q1409" s="17" t="s">
        <v>413</v>
      </c>
      <c r="R1409" s="17" t="s">
        <v>74</v>
      </c>
      <c r="S1409" s="17" t="s">
        <v>75</v>
      </c>
      <c r="T1409" s="17" t="s">
        <v>4220</v>
      </c>
      <c r="U1409" s="17" t="s">
        <v>105</v>
      </c>
      <c r="V1409" s="17" t="s">
        <v>340</v>
      </c>
      <c r="W1409" s="17" t="s">
        <v>78</v>
      </c>
      <c r="X1409" s="17">
        <v>5</v>
      </c>
      <c r="Y1409" s="17">
        <v>0</v>
      </c>
      <c r="Z1409" s="17"/>
      <c r="AA1409" s="17" t="s">
        <v>413</v>
      </c>
      <c r="AB1409" s="17" t="s">
        <v>79</v>
      </c>
      <c r="AC1409" s="17">
        <v>5</v>
      </c>
      <c r="AD1409" s="17">
        <v>0</v>
      </c>
      <c r="AE1409" s="17">
        <v>1</v>
      </c>
      <c r="AF1409" s="17" t="s">
        <v>4221</v>
      </c>
      <c r="AG1409" s="17" t="s">
        <v>414</v>
      </c>
      <c r="AH1409" s="17" t="s">
        <v>415</v>
      </c>
      <c r="AI1409" s="17" t="s">
        <v>4222</v>
      </c>
      <c r="AJ1409" s="17"/>
      <c r="AK1409" s="17" t="s">
        <v>137</v>
      </c>
      <c r="AL1409" s="17" t="s">
        <v>137</v>
      </c>
      <c r="AM1409" s="17" t="s">
        <v>4223</v>
      </c>
      <c r="AN1409" s="17" t="s">
        <v>84</v>
      </c>
      <c r="AO1409" s="17" t="s">
        <v>109</v>
      </c>
      <c r="AP1409" s="17"/>
      <c r="AQ1409" s="17"/>
      <c r="AR1409" s="17"/>
      <c r="AS1409" s="17"/>
      <c r="AT1409" s="17" t="s">
        <v>4224</v>
      </c>
      <c r="AU1409" s="17"/>
    </row>
    <row r="1410">
      <c r="A1410" s="17">
        <v>1408</v>
      </c>
      <c r="B1410" s="17" t="s">
        <v>52</v>
      </c>
      <c r="C1410" s="42" t="s">
        <v>4225</v>
      </c>
      <c r="D1410" s="35" t="s">
        <v>3886</v>
      </c>
      <c r="E1410" s="17" t="s">
        <v>4226</v>
      </c>
      <c r="F1410" s="17" t="s">
        <v>4227</v>
      </c>
      <c r="G1410" s="17">
        <v>22.732119999999998</v>
      </c>
      <c r="H1410" s="17">
        <v>87.108930999999998</v>
      </c>
      <c r="I1410" s="17"/>
      <c r="J1410" s="17"/>
      <c r="K1410" s="17"/>
      <c r="L1410" s="17"/>
      <c r="M1410" s="42" t="s">
        <v>4210</v>
      </c>
      <c r="N1410" s="17">
        <v>7980098242</v>
      </c>
      <c r="O1410" s="17"/>
      <c r="P1410" s="17"/>
      <c r="Q1410" s="17"/>
      <c r="R1410" s="17"/>
      <c r="S1410" s="17"/>
      <c r="T1410" s="17"/>
      <c r="U1410" s="17"/>
      <c r="V1410" s="17"/>
      <c r="W1410" s="17"/>
      <c r="X1410" s="17"/>
      <c r="Y1410" s="17"/>
      <c r="Z1410" s="17"/>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row>
    <row r="1411">
      <c r="A1411" s="17">
        <v>1409</v>
      </c>
      <c r="B1411" s="17" t="s">
        <v>52</v>
      </c>
      <c r="C1411" s="42" t="s">
        <v>4228</v>
      </c>
      <c r="D1411" s="35" t="s">
        <v>3886</v>
      </c>
      <c r="E1411" s="17" t="s">
        <v>4229</v>
      </c>
      <c r="F1411" s="17" t="s">
        <v>4230</v>
      </c>
      <c r="G1411" s="17">
        <v>22.790997000000001</v>
      </c>
      <c r="H1411" s="17">
        <v>87.151219999999995</v>
      </c>
      <c r="I1411" s="17"/>
      <c r="J1411" s="17"/>
      <c r="K1411" s="17"/>
      <c r="L1411" s="17"/>
      <c r="M1411" s="42" t="s">
        <v>4210</v>
      </c>
      <c r="N1411" s="17">
        <v>7980098242</v>
      </c>
      <c r="O1411" s="17"/>
      <c r="P1411" s="17"/>
      <c r="Q1411" s="17"/>
      <c r="R1411" s="17"/>
      <c r="S1411" s="17"/>
      <c r="T1411" s="17"/>
      <c r="U1411" s="17"/>
      <c r="V1411" s="17"/>
      <c r="W1411" s="17"/>
      <c r="X1411" s="17"/>
      <c r="Y1411" s="17"/>
      <c r="Z1411" s="17"/>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row>
    <row r="1412">
      <c r="A1412" s="17">
        <v>1410</v>
      </c>
      <c r="B1412" s="17" t="s">
        <v>52</v>
      </c>
      <c r="C1412" s="42" t="s">
        <v>4231</v>
      </c>
      <c r="D1412" s="35" t="s">
        <v>3886</v>
      </c>
      <c r="E1412" s="17" t="s">
        <v>4232</v>
      </c>
      <c r="F1412" s="17" t="s">
        <v>4233</v>
      </c>
      <c r="G1412" s="17">
        <v>22.822075000000002</v>
      </c>
      <c r="H1412" s="17">
        <v>87.151545999999996</v>
      </c>
      <c r="I1412" s="17"/>
      <c r="J1412" s="17"/>
      <c r="K1412" s="17"/>
      <c r="L1412" s="17"/>
      <c r="M1412" s="42" t="s">
        <v>4210</v>
      </c>
      <c r="N1412" s="17">
        <v>7980098242</v>
      </c>
      <c r="O1412" s="17"/>
      <c r="P1412" s="17"/>
      <c r="Q1412" s="17"/>
      <c r="R1412" s="17"/>
      <c r="S1412" s="17"/>
      <c r="T1412" s="17"/>
      <c r="U1412" s="17"/>
      <c r="V1412" s="17"/>
      <c r="W1412" s="17"/>
      <c r="X1412" s="17"/>
      <c r="Y1412" s="17"/>
      <c r="Z1412" s="17"/>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row>
    <row r="1413">
      <c r="A1413" s="17">
        <v>1411</v>
      </c>
      <c r="B1413" s="17" t="s">
        <v>52</v>
      </c>
      <c r="C1413" s="42" t="s">
        <v>4234</v>
      </c>
      <c r="D1413" s="35" t="s">
        <v>3886</v>
      </c>
      <c r="E1413" s="17" t="s">
        <v>4235</v>
      </c>
      <c r="F1413" s="17" t="s">
        <v>4236</v>
      </c>
      <c r="G1413" s="17">
        <v>22.836379000000001</v>
      </c>
      <c r="H1413" s="17">
        <v>87.220124999999996</v>
      </c>
      <c r="I1413" s="17"/>
      <c r="J1413" s="17"/>
      <c r="K1413" s="17"/>
      <c r="L1413" s="17"/>
      <c r="M1413" s="42" t="s">
        <v>4210</v>
      </c>
      <c r="N1413" s="17">
        <v>7980098242</v>
      </c>
      <c r="O1413" s="17"/>
      <c r="P1413" s="17"/>
      <c r="Q1413" s="17"/>
      <c r="R1413" s="17"/>
      <c r="S1413" s="17"/>
      <c r="T1413" s="17"/>
      <c r="U1413" s="17"/>
      <c r="V1413" s="17"/>
      <c r="W1413" s="17"/>
      <c r="X1413" s="17"/>
      <c r="Y1413" s="17"/>
      <c r="Z1413" s="17"/>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row>
    <row r="1414">
      <c r="A1414" s="17">
        <v>1412</v>
      </c>
      <c r="B1414" s="17" t="s">
        <v>52</v>
      </c>
      <c r="C1414" s="42" t="s">
        <v>4237</v>
      </c>
      <c r="D1414" s="35" t="s">
        <v>3886</v>
      </c>
      <c r="E1414" s="17" t="s">
        <v>4238</v>
      </c>
      <c r="F1414" s="17" t="s">
        <v>4239</v>
      </c>
      <c r="G1414" s="17">
        <v>22.754784000000001</v>
      </c>
      <c r="H1414" s="17">
        <v>87.234954000000002</v>
      </c>
      <c r="I1414" s="17"/>
      <c r="J1414" s="17"/>
      <c r="K1414" s="17"/>
      <c r="L1414" s="17"/>
      <c r="M1414" s="42" t="s">
        <v>4045</v>
      </c>
      <c r="N1414" s="17">
        <v>6290709471</v>
      </c>
      <c r="O1414" s="17"/>
      <c r="P1414" s="17"/>
      <c r="Q1414" s="17"/>
      <c r="R1414" s="17"/>
      <c r="S1414" s="17"/>
      <c r="T1414" s="17"/>
      <c r="U1414" s="17"/>
      <c r="V1414" s="17"/>
      <c r="W1414" s="17"/>
      <c r="X1414" s="17"/>
      <c r="Y1414" s="17"/>
      <c r="Z1414" s="17"/>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row>
    <row r="1415">
      <c r="A1415" s="17">
        <v>1413</v>
      </c>
      <c r="B1415" s="17" t="s">
        <v>52</v>
      </c>
      <c r="C1415" s="42" t="s">
        <v>4240</v>
      </c>
      <c r="D1415" s="35" t="s">
        <v>3886</v>
      </c>
      <c r="E1415" s="17" t="s">
        <v>4241</v>
      </c>
      <c r="F1415" s="17" t="s">
        <v>4242</v>
      </c>
      <c r="G1415" s="17">
        <v>22.791975999999998</v>
      </c>
      <c r="H1415" s="17">
        <v>87.211451999999994</v>
      </c>
      <c r="I1415" s="17"/>
      <c r="J1415" s="17"/>
      <c r="K1415" s="17"/>
      <c r="L1415" s="17"/>
      <c r="M1415" s="42" t="s">
        <v>4210</v>
      </c>
      <c r="N1415" s="17">
        <v>7980098242</v>
      </c>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row>
    <row r="1416">
      <c r="A1416" s="17">
        <v>1414</v>
      </c>
      <c r="B1416" s="17" t="s">
        <v>52</v>
      </c>
      <c r="C1416" s="42" t="s">
        <v>4243</v>
      </c>
      <c r="D1416" s="35" t="s">
        <v>3886</v>
      </c>
      <c r="E1416" s="17" t="s">
        <v>4244</v>
      </c>
      <c r="F1416" s="17" t="s">
        <v>4245</v>
      </c>
      <c r="G1416" s="17">
        <v>22.796251999999999</v>
      </c>
      <c r="H1416" s="17">
        <v>87.105756999999997</v>
      </c>
      <c r="I1416" s="17"/>
      <c r="J1416" s="17"/>
      <c r="K1416" s="17"/>
      <c r="L1416" s="17"/>
      <c r="M1416" s="42" t="s">
        <v>4210</v>
      </c>
      <c r="N1416" s="17">
        <v>7980098242</v>
      </c>
      <c r="O1416" s="17"/>
      <c r="P1416" s="17"/>
      <c r="Q1416" s="17"/>
      <c r="R1416" s="17"/>
      <c r="S1416" s="17"/>
      <c r="T1416" s="17"/>
      <c r="U1416" s="17"/>
      <c r="V1416" s="17"/>
      <c r="W1416" s="17"/>
      <c r="X1416" s="17"/>
      <c r="Y1416" s="17"/>
      <c r="Z1416" s="17"/>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row>
    <row r="1417">
      <c r="A1417" s="17">
        <v>1415</v>
      </c>
      <c r="B1417" s="17" t="s">
        <v>52</v>
      </c>
      <c r="C1417" s="42" t="s">
        <v>4246</v>
      </c>
      <c r="D1417" s="35" t="s">
        <v>3886</v>
      </c>
      <c r="E1417" s="17" t="s">
        <v>4247</v>
      </c>
      <c r="F1417" s="17" t="s">
        <v>4248</v>
      </c>
      <c r="G1417" s="17">
        <v>22.870517</v>
      </c>
      <c r="H1417" s="17">
        <v>87.188755</v>
      </c>
      <c r="I1417" s="17"/>
      <c r="J1417" s="17"/>
      <c r="K1417" s="17"/>
      <c r="L1417" s="17"/>
      <c r="M1417" s="42" t="s">
        <v>4210</v>
      </c>
      <c r="N1417" s="17">
        <v>7980098242</v>
      </c>
      <c r="O1417" s="17"/>
      <c r="P1417" s="17"/>
      <c r="Q1417" s="17"/>
      <c r="R1417" s="17"/>
      <c r="S1417" s="17"/>
      <c r="T1417" s="17"/>
      <c r="U1417" s="17"/>
      <c r="V1417" s="17"/>
      <c r="W1417" s="17"/>
      <c r="X1417" s="17"/>
      <c r="Y1417" s="17"/>
      <c r="Z1417" s="17"/>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row>
    <row r="1418">
      <c r="A1418" s="17">
        <v>1416</v>
      </c>
      <c r="B1418" s="17" t="s">
        <v>52</v>
      </c>
      <c r="C1418" s="42" t="s">
        <v>4249</v>
      </c>
      <c r="D1418" s="35" t="s">
        <v>3886</v>
      </c>
      <c r="E1418" s="17" t="s">
        <v>4250</v>
      </c>
      <c r="F1418" s="17" t="s">
        <v>4251</v>
      </c>
      <c r="G1418" s="17">
        <v>22.858906999999999</v>
      </c>
      <c r="H1418" s="17">
        <v>87.252352000000002</v>
      </c>
      <c r="I1418" s="17"/>
      <c r="J1418" s="17"/>
      <c r="K1418" s="17"/>
      <c r="L1418" s="17"/>
      <c r="M1418" s="42" t="s">
        <v>3967</v>
      </c>
      <c r="N1418" s="17"/>
      <c r="O1418" s="17"/>
      <c r="P1418" s="17"/>
      <c r="Q1418" s="17"/>
      <c r="R1418" s="17"/>
      <c r="S1418" s="17"/>
      <c r="T1418" s="17"/>
      <c r="U1418" s="17"/>
      <c r="V1418" s="17"/>
      <c r="W1418" s="17"/>
      <c r="X1418" s="17"/>
      <c r="Y1418" s="17"/>
      <c r="Z1418" s="17"/>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row>
    <row r="1419">
      <c r="A1419" s="17">
        <v>1417</v>
      </c>
      <c r="B1419" s="17" t="s">
        <v>52</v>
      </c>
      <c r="C1419" s="42" t="s">
        <v>4252</v>
      </c>
      <c r="D1419" s="35" t="s">
        <v>3886</v>
      </c>
      <c r="E1419" s="17" t="s">
        <v>4253</v>
      </c>
      <c r="F1419" s="17" t="s">
        <v>4254</v>
      </c>
      <c r="G1419" s="17">
        <v>22.849381999999999</v>
      </c>
      <c r="H1419" s="17">
        <v>87.179276999999999</v>
      </c>
      <c r="I1419" s="17"/>
      <c r="J1419" s="17"/>
      <c r="K1419" s="17"/>
      <c r="L1419" s="17"/>
      <c r="M1419" s="42" t="s">
        <v>4210</v>
      </c>
      <c r="N1419" s="17">
        <v>7980098242</v>
      </c>
      <c r="O1419" s="17">
        <v>15</v>
      </c>
      <c r="P1419" s="17">
        <v>60</v>
      </c>
      <c r="Q1419" s="17" t="s">
        <v>73</v>
      </c>
      <c r="R1419" s="17" t="s">
        <v>104</v>
      </c>
      <c r="S1419" s="17" t="s">
        <v>75</v>
      </c>
      <c r="T1419" s="17"/>
      <c r="U1419" s="17" t="s">
        <v>160</v>
      </c>
      <c r="V1419" s="17" t="s">
        <v>77</v>
      </c>
      <c r="W1419" s="17" t="s">
        <v>252</v>
      </c>
      <c r="X1419" s="17">
        <v>3</v>
      </c>
      <c r="Y1419" s="17">
        <v>0</v>
      </c>
      <c r="Z1419" s="17"/>
      <c r="AA1419" s="17" t="s">
        <v>73</v>
      </c>
      <c r="AB1419" s="17" t="s">
        <v>79</v>
      </c>
      <c r="AC1419" s="17">
        <v>2</v>
      </c>
      <c r="AD1419" s="17">
        <v>0</v>
      </c>
      <c r="AE1419" s="17">
        <v>0</v>
      </c>
      <c r="AF1419" s="17"/>
      <c r="AG1419" s="17"/>
      <c r="AH1419" s="17"/>
      <c r="AI1419" s="17"/>
      <c r="AJ1419" s="17"/>
      <c r="AK1419" s="17"/>
      <c r="AL1419" s="17"/>
      <c r="AM1419" s="17"/>
      <c r="AN1419" s="17"/>
      <c r="AO1419" s="17"/>
      <c r="AP1419" s="17"/>
      <c r="AQ1419" s="17"/>
      <c r="AR1419" s="17"/>
      <c r="AS1419" s="17"/>
      <c r="AT1419" s="17" t="s">
        <v>4255</v>
      </c>
      <c r="AU1419" s="17" t="s">
        <v>127</v>
      </c>
    </row>
    <row r="1420">
      <c r="A1420" s="17">
        <v>1418</v>
      </c>
      <c r="B1420" s="17" t="s">
        <v>52</v>
      </c>
      <c r="C1420" s="42" t="s">
        <v>4256</v>
      </c>
      <c r="D1420" s="35" t="s">
        <v>3886</v>
      </c>
      <c r="E1420" s="17" t="s">
        <v>4257</v>
      </c>
      <c r="F1420" s="17" t="s">
        <v>4257</v>
      </c>
      <c r="G1420" s="17">
        <v>22.837893999999999</v>
      </c>
      <c r="H1420" s="17">
        <v>87.480964999999998</v>
      </c>
      <c r="I1420" s="17"/>
      <c r="J1420" s="17"/>
      <c r="K1420" s="17"/>
      <c r="L1420" s="17"/>
      <c r="M1420" s="42" t="s">
        <v>4011</v>
      </c>
      <c r="N1420" s="17">
        <v>8240995350</v>
      </c>
      <c r="O1420" s="17">
        <v>17</v>
      </c>
      <c r="P1420" s="17">
        <v>50</v>
      </c>
      <c r="Q1420" s="17" t="s">
        <v>105</v>
      </c>
      <c r="R1420" s="17" t="s">
        <v>154</v>
      </c>
      <c r="S1420" s="17" t="s">
        <v>75</v>
      </c>
      <c r="T1420" s="17" t="s">
        <v>2254</v>
      </c>
      <c r="U1420" s="17" t="s">
        <v>105</v>
      </c>
      <c r="V1420" s="17" t="s">
        <v>77</v>
      </c>
      <c r="W1420" s="17" t="s">
        <v>78</v>
      </c>
      <c r="X1420" s="17">
        <v>3</v>
      </c>
      <c r="Y1420" s="17">
        <v>0</v>
      </c>
      <c r="Z1420" s="17" t="s">
        <v>4135</v>
      </c>
      <c r="AA1420" s="17" t="s">
        <v>105</v>
      </c>
      <c r="AB1420" s="17" t="s">
        <v>239</v>
      </c>
      <c r="AC1420" s="17">
        <v>3</v>
      </c>
      <c r="AD1420" s="17">
        <v>0</v>
      </c>
      <c r="AE1420" s="17">
        <v>0</v>
      </c>
      <c r="AF1420" s="17"/>
      <c r="AG1420" s="17" t="s">
        <v>724</v>
      </c>
      <c r="AH1420" s="17"/>
      <c r="AI1420" s="17"/>
      <c r="AJ1420" s="17"/>
      <c r="AK1420" s="17"/>
      <c r="AL1420" s="17"/>
      <c r="AM1420" s="17"/>
      <c r="AN1420" s="17"/>
      <c r="AO1420" s="17"/>
      <c r="AP1420" s="17"/>
      <c r="AQ1420" s="17"/>
      <c r="AR1420" s="17"/>
      <c r="AS1420" s="17"/>
      <c r="AT1420" s="17"/>
      <c r="AU1420" s="17" t="s">
        <v>111</v>
      </c>
    </row>
    <row r="1421">
      <c r="A1421" s="17">
        <v>1419</v>
      </c>
      <c r="B1421" s="17" t="s">
        <v>52</v>
      </c>
      <c r="C1421" s="42" t="s">
        <v>4258</v>
      </c>
      <c r="D1421" s="35" t="s">
        <v>3886</v>
      </c>
      <c r="E1421" s="17" t="s">
        <v>4259</v>
      </c>
      <c r="F1421" s="17" t="s">
        <v>4260</v>
      </c>
      <c r="G1421" s="17">
        <v>22.902601000000001</v>
      </c>
      <c r="H1421" s="17">
        <v>87.462959999999995</v>
      </c>
      <c r="I1421" s="17"/>
      <c r="J1421" s="17"/>
      <c r="K1421" s="17"/>
      <c r="L1421" s="17"/>
      <c r="M1421" s="42" t="s">
        <v>4011</v>
      </c>
      <c r="N1421" s="17">
        <v>8240995350</v>
      </c>
      <c r="O1421" s="17"/>
      <c r="P1421" s="17"/>
      <c r="Q1421" s="17"/>
      <c r="R1421" s="17"/>
      <c r="S1421" s="17"/>
      <c r="T1421" s="17"/>
      <c r="U1421" s="17"/>
      <c r="V1421" s="17"/>
      <c r="W1421" s="17"/>
      <c r="X1421" s="17"/>
      <c r="Y1421" s="17"/>
      <c r="Z1421" s="17"/>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row>
    <row r="1422">
      <c r="A1422" s="17">
        <v>1420</v>
      </c>
      <c r="B1422" s="17" t="s">
        <v>52</v>
      </c>
      <c r="C1422" s="42" t="s">
        <v>4261</v>
      </c>
      <c r="D1422" s="35" t="s">
        <v>3886</v>
      </c>
      <c r="E1422" s="17" t="s">
        <v>4262</v>
      </c>
      <c r="F1422" s="17" t="s">
        <v>4263</v>
      </c>
      <c r="G1422" s="17">
        <v>22.896919</v>
      </c>
      <c r="H1422" s="17">
        <v>87.409006000000005</v>
      </c>
      <c r="I1422" s="17"/>
      <c r="J1422" s="17"/>
      <c r="K1422" s="17"/>
      <c r="L1422" s="17"/>
      <c r="M1422" s="42" t="s">
        <v>3967</v>
      </c>
      <c r="N1422" s="17"/>
      <c r="O1422" s="17"/>
      <c r="P1422" s="17"/>
      <c r="Q1422" s="17"/>
      <c r="R1422" s="17"/>
      <c r="S1422" s="17"/>
      <c r="T1422" s="17"/>
      <c r="U1422" s="17"/>
      <c r="V1422" s="17"/>
      <c r="W1422" s="17"/>
      <c r="X1422" s="17"/>
      <c r="Y1422" s="17"/>
      <c r="Z1422" s="17"/>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row>
    <row r="1423">
      <c r="A1423" s="17">
        <v>1421</v>
      </c>
      <c r="B1423" s="17" t="s">
        <v>52</v>
      </c>
      <c r="C1423" s="42" t="s">
        <v>4264</v>
      </c>
      <c r="D1423" s="35" t="s">
        <v>3886</v>
      </c>
      <c r="E1423" s="17" t="s">
        <v>4265</v>
      </c>
      <c r="F1423" s="17" t="s">
        <v>4266</v>
      </c>
      <c r="G1423" s="17">
        <v>22.835664999999999</v>
      </c>
      <c r="H1423" s="17">
        <v>87.278194999999997</v>
      </c>
      <c r="I1423" s="17"/>
      <c r="J1423" s="17"/>
      <c r="K1423" s="17"/>
      <c r="L1423" s="17"/>
      <c r="M1423" s="42" t="s">
        <v>3967</v>
      </c>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row>
    <row r="1424">
      <c r="A1424" s="17">
        <v>1422</v>
      </c>
      <c r="B1424" s="17" t="s">
        <v>52</v>
      </c>
      <c r="C1424" s="42" t="s">
        <v>4267</v>
      </c>
      <c r="D1424" s="35" t="s">
        <v>3886</v>
      </c>
      <c r="E1424" s="17" t="s">
        <v>4268</v>
      </c>
      <c r="F1424" s="17" t="s">
        <v>4269</v>
      </c>
      <c r="G1424" s="17">
        <v>22.714784999999999</v>
      </c>
      <c r="H1424" s="17">
        <v>87.303324000000003</v>
      </c>
      <c r="I1424" s="17"/>
      <c r="J1424" s="17"/>
      <c r="K1424" s="17"/>
      <c r="L1424" s="17"/>
      <c r="M1424" s="42" t="s">
        <v>4045</v>
      </c>
      <c r="N1424" s="17">
        <v>6290709471</v>
      </c>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row>
    <row r="1425">
      <c r="A1425" s="17">
        <v>1423</v>
      </c>
      <c r="B1425" s="17" t="s">
        <v>52</v>
      </c>
      <c r="C1425" s="42" t="s">
        <v>4270</v>
      </c>
      <c r="D1425" s="35" t="s">
        <v>3886</v>
      </c>
      <c r="E1425" s="17" t="s">
        <v>4271</v>
      </c>
      <c r="F1425" s="17" t="s">
        <v>4272</v>
      </c>
      <c r="G1425" s="17">
        <v>22.733560000000001</v>
      </c>
      <c r="H1425" s="17">
        <v>87.458457999999993</v>
      </c>
      <c r="I1425" s="17"/>
      <c r="J1425" s="17"/>
      <c r="K1425" s="17"/>
      <c r="L1425" s="17"/>
      <c r="M1425" s="42" t="s">
        <v>4011</v>
      </c>
      <c r="N1425" s="17">
        <v>8240995350</v>
      </c>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row>
    <row r="1426">
      <c r="A1426" s="17">
        <v>1424</v>
      </c>
      <c r="B1426" s="17" t="s">
        <v>52</v>
      </c>
      <c r="C1426" s="42" t="s">
        <v>4273</v>
      </c>
      <c r="D1426" s="35" t="s">
        <v>3886</v>
      </c>
      <c r="E1426" s="17" t="s">
        <v>4274</v>
      </c>
      <c r="F1426" s="17" t="s">
        <v>4275</v>
      </c>
      <c r="G1426" s="17">
        <v>22.742349000000001</v>
      </c>
      <c r="H1426" s="17">
        <v>87.404135999999994</v>
      </c>
      <c r="I1426" s="17"/>
      <c r="J1426" s="17"/>
      <c r="K1426" s="17"/>
      <c r="L1426" s="17"/>
      <c r="M1426" s="42" t="s">
        <v>4045</v>
      </c>
      <c r="N1426" s="17">
        <v>6290709471</v>
      </c>
      <c r="O1426" s="17"/>
      <c r="P1426" s="17"/>
      <c r="Q1426" s="17"/>
      <c r="R1426" s="17"/>
      <c r="S1426" s="17"/>
      <c r="T1426" s="17"/>
      <c r="U1426" s="17"/>
      <c r="V1426" s="17"/>
      <c r="W1426" s="17"/>
      <c r="X1426" s="17"/>
      <c r="Y1426" s="17"/>
      <c r="Z1426" s="17"/>
      <c r="AA1426" s="17"/>
      <c r="AB1426" s="17"/>
      <c r="AC1426" s="17"/>
      <c r="AD1426" s="17"/>
      <c r="AE1426" s="17"/>
      <c r="AF1426" s="17"/>
      <c r="AG1426" s="17"/>
      <c r="AH1426" s="17"/>
      <c r="AI1426" s="17"/>
      <c r="AJ1426" s="17"/>
      <c r="AK1426" s="17"/>
      <c r="AL1426" s="17"/>
      <c r="AM1426" s="17"/>
      <c r="AN1426" s="17"/>
      <c r="AO1426" s="17"/>
      <c r="AP1426" s="17"/>
      <c r="AQ1426" s="17"/>
      <c r="AR1426" s="17"/>
      <c r="AS1426" s="17"/>
      <c r="AT1426" s="17"/>
      <c r="AU1426" s="17"/>
    </row>
    <row r="1427">
      <c r="A1427" s="17">
        <v>1425</v>
      </c>
      <c r="B1427" s="17" t="s">
        <v>52</v>
      </c>
      <c r="C1427" s="42" t="s">
        <v>4276</v>
      </c>
      <c r="D1427" s="35" t="s">
        <v>3886</v>
      </c>
      <c r="E1427" s="17" t="s">
        <v>4277</v>
      </c>
      <c r="F1427" s="17" t="s">
        <v>4278</v>
      </c>
      <c r="G1427" s="17">
        <v>22.783714</v>
      </c>
      <c r="H1427" s="17">
        <v>87.393449000000004</v>
      </c>
      <c r="I1427" s="17"/>
      <c r="J1427" s="17"/>
      <c r="K1427" s="17"/>
      <c r="L1427" s="17"/>
      <c r="M1427" s="42" t="s">
        <v>3967</v>
      </c>
      <c r="N1427" s="17"/>
      <c r="O1427" s="17"/>
      <c r="P1427" s="17"/>
      <c r="Q1427" s="17"/>
      <c r="R1427" s="17"/>
      <c r="S1427" s="17"/>
      <c r="T1427" s="17"/>
      <c r="U1427" s="17"/>
      <c r="V1427" s="17"/>
      <c r="W1427" s="17"/>
      <c r="X1427" s="17"/>
      <c r="Y1427" s="17"/>
      <c r="Z1427" s="17"/>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row>
    <row r="1428">
      <c r="A1428" s="17">
        <v>1426</v>
      </c>
      <c r="B1428" s="17" t="s">
        <v>52</v>
      </c>
      <c r="C1428" s="42" t="s">
        <v>4279</v>
      </c>
      <c r="D1428" s="35" t="s">
        <v>3886</v>
      </c>
      <c r="E1428" s="17" t="s">
        <v>4280</v>
      </c>
      <c r="F1428" s="17" t="s">
        <v>4281</v>
      </c>
      <c r="G1428" s="17">
        <v>22.773641000000001</v>
      </c>
      <c r="H1428" s="17">
        <v>87.479455000000002</v>
      </c>
      <c r="I1428" s="17"/>
      <c r="J1428" s="17"/>
      <c r="K1428" s="17"/>
      <c r="L1428" s="17"/>
      <c r="M1428" s="42" t="s">
        <v>4011</v>
      </c>
      <c r="N1428" s="17">
        <v>8240995350</v>
      </c>
      <c r="O1428" s="17"/>
      <c r="P1428" s="17"/>
      <c r="Q1428" s="17"/>
      <c r="R1428" s="17"/>
      <c r="S1428" s="17"/>
      <c r="T1428" s="17"/>
      <c r="U1428" s="17"/>
      <c r="V1428" s="17"/>
      <c r="W1428" s="17"/>
      <c r="X1428" s="17"/>
      <c r="Y1428" s="17"/>
      <c r="Z1428" s="17"/>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row>
    <row r="1429">
      <c r="A1429" s="17">
        <v>1427</v>
      </c>
      <c r="B1429" s="17" t="s">
        <v>52</v>
      </c>
      <c r="C1429" s="42" t="s">
        <v>4282</v>
      </c>
      <c r="D1429" s="35" t="s">
        <v>3886</v>
      </c>
      <c r="E1429" s="17" t="s">
        <v>4283</v>
      </c>
      <c r="F1429" s="17" t="s">
        <v>4284</v>
      </c>
      <c r="G1429" s="17">
        <v>22.762329999999999</v>
      </c>
      <c r="H1429" s="17">
        <v>87.279545999999996</v>
      </c>
      <c r="I1429" s="17"/>
      <c r="J1429" s="17"/>
      <c r="K1429" s="17"/>
      <c r="L1429" s="17"/>
      <c r="M1429" s="42" t="s">
        <v>4045</v>
      </c>
      <c r="N1429" s="17">
        <v>6290709471</v>
      </c>
      <c r="O1429" s="17">
        <v>15</v>
      </c>
      <c r="P1429" s="17">
        <v>50</v>
      </c>
      <c r="Q1429" s="17" t="s">
        <v>73</v>
      </c>
      <c r="R1429" s="17" t="s">
        <v>104</v>
      </c>
      <c r="S1429" s="17" t="s">
        <v>137</v>
      </c>
      <c r="T1429" s="17" t="s">
        <v>1425</v>
      </c>
      <c r="U1429" s="17"/>
      <c r="V1429" s="17"/>
      <c r="W1429" s="17"/>
      <c r="X1429" s="17"/>
      <c r="Y1429" s="17"/>
      <c r="Z1429" s="17"/>
      <c r="AA1429" s="17" t="s">
        <v>73</v>
      </c>
      <c r="AB1429" s="17" t="s">
        <v>79</v>
      </c>
      <c r="AC1429" s="17">
        <v>3</v>
      </c>
      <c r="AD1429" s="17">
        <v>0</v>
      </c>
      <c r="AE1429" s="17">
        <v>1</v>
      </c>
      <c r="AF1429" s="17"/>
      <c r="AG1429" s="17"/>
      <c r="AH1429" s="17"/>
      <c r="AI1429" s="17"/>
      <c r="AJ1429" s="17"/>
      <c r="AK1429" s="17"/>
      <c r="AL1429" s="17"/>
      <c r="AM1429" s="17"/>
      <c r="AN1429" s="17"/>
      <c r="AO1429" s="17"/>
      <c r="AP1429" s="17"/>
      <c r="AQ1429" s="17"/>
      <c r="AR1429" s="17"/>
      <c r="AS1429" s="17"/>
      <c r="AT1429" s="17" t="s">
        <v>4285</v>
      </c>
      <c r="AU1429" s="17" t="s">
        <v>111</v>
      </c>
    </row>
    <row r="1430">
      <c r="A1430" s="17">
        <v>1428</v>
      </c>
      <c r="B1430" s="17" t="s">
        <v>52</v>
      </c>
      <c r="C1430" s="42" t="s">
        <v>4286</v>
      </c>
      <c r="D1430" s="35" t="s">
        <v>3886</v>
      </c>
      <c r="E1430" s="17" t="s">
        <v>4287</v>
      </c>
      <c r="F1430" s="17" t="s">
        <v>4288</v>
      </c>
      <c r="G1430" s="17">
        <v>22.699147</v>
      </c>
      <c r="H1430" s="17">
        <v>87.382981000000001</v>
      </c>
      <c r="I1430" s="17"/>
      <c r="J1430" s="17"/>
      <c r="K1430" s="17"/>
      <c r="L1430" s="17"/>
      <c r="M1430" s="42" t="s">
        <v>4045</v>
      </c>
      <c r="N1430" s="17">
        <v>6290709471</v>
      </c>
      <c r="O1430" s="17"/>
      <c r="P1430" s="17"/>
      <c r="Q1430" s="17"/>
      <c r="R1430" s="17"/>
      <c r="S1430" s="17"/>
      <c r="T1430" s="17"/>
      <c r="U1430" s="17"/>
      <c r="V1430" s="17"/>
      <c r="W1430" s="17"/>
      <c r="X1430" s="17"/>
      <c r="Y1430" s="17"/>
      <c r="Z1430" s="17"/>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row>
    <row r="1431">
      <c r="A1431" s="17">
        <v>1429</v>
      </c>
      <c r="B1431" s="17" t="s">
        <v>52</v>
      </c>
      <c r="C1431" s="42" t="s">
        <v>4289</v>
      </c>
      <c r="D1431" s="35" t="s">
        <v>3886</v>
      </c>
      <c r="E1431" s="17" t="s">
        <v>4290</v>
      </c>
      <c r="F1431" s="17" t="s">
        <v>4291</v>
      </c>
      <c r="G1431" s="17">
        <v>22.801065999999999</v>
      </c>
      <c r="H1431" s="17">
        <v>87.433887999999996</v>
      </c>
      <c r="I1431" s="17"/>
      <c r="J1431" s="17"/>
      <c r="K1431" s="17"/>
      <c r="L1431" s="17"/>
      <c r="M1431" s="42" t="s">
        <v>4045</v>
      </c>
      <c r="N1431" s="17">
        <v>6290709471</v>
      </c>
      <c r="O1431" s="17"/>
      <c r="P1431" s="17"/>
      <c r="Q1431" s="17"/>
      <c r="R1431" s="17"/>
      <c r="S1431" s="17"/>
      <c r="T1431" s="17"/>
      <c r="U1431" s="17"/>
      <c r="V1431" s="17"/>
      <c r="W1431" s="17"/>
      <c r="X1431" s="17"/>
      <c r="Y1431" s="17"/>
      <c r="Z1431" s="17"/>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row>
    <row r="1432">
      <c r="A1432" s="17">
        <v>1430</v>
      </c>
      <c r="B1432" s="17" t="s">
        <v>52</v>
      </c>
      <c r="C1432" s="42" t="s">
        <v>4292</v>
      </c>
      <c r="D1432" s="35" t="s">
        <v>3886</v>
      </c>
      <c r="E1432" s="17" t="s">
        <v>4293</v>
      </c>
      <c r="F1432" s="17" t="s">
        <v>4294</v>
      </c>
      <c r="G1432" s="17">
        <v>22.674084000000001</v>
      </c>
      <c r="H1432" s="17">
        <v>87.505134999999996</v>
      </c>
      <c r="I1432" s="17"/>
      <c r="J1432" s="17"/>
      <c r="K1432" s="17"/>
      <c r="L1432" s="17"/>
      <c r="M1432" s="42" t="s">
        <v>3987</v>
      </c>
      <c r="N1432" s="17"/>
      <c r="O1432" s="17"/>
      <c r="P1432" s="17"/>
      <c r="Q1432" s="17"/>
      <c r="R1432" s="17"/>
      <c r="S1432" s="17"/>
      <c r="T1432" s="17"/>
      <c r="U1432" s="17"/>
      <c r="V1432" s="17"/>
      <c r="W1432" s="17"/>
      <c r="X1432" s="17"/>
      <c r="Y1432" s="17"/>
      <c r="Z1432" s="17"/>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row>
    <row r="1433">
      <c r="A1433" s="17">
        <v>1431</v>
      </c>
      <c r="B1433" s="17" t="s">
        <v>52</v>
      </c>
      <c r="C1433" s="42" t="s">
        <v>4295</v>
      </c>
      <c r="D1433" s="35" t="s">
        <v>3886</v>
      </c>
      <c r="E1433" s="17" t="s">
        <v>4296</v>
      </c>
      <c r="F1433" s="17" t="s">
        <v>4297</v>
      </c>
      <c r="G1433" s="17">
        <v>22.563948</v>
      </c>
      <c r="H1433" s="17">
        <v>87.409261999999998</v>
      </c>
      <c r="I1433" s="17"/>
      <c r="J1433" s="17"/>
      <c r="K1433" s="17"/>
      <c r="L1433" s="17"/>
      <c r="M1433" s="42" t="s">
        <v>4298</v>
      </c>
      <c r="N1433" s="17"/>
      <c r="O1433" s="17"/>
      <c r="P1433" s="17"/>
      <c r="Q1433" s="17"/>
      <c r="R1433" s="17"/>
      <c r="S1433" s="17"/>
      <c r="T1433" s="17"/>
      <c r="U1433" s="17"/>
      <c r="V1433" s="17"/>
      <c r="W1433" s="17"/>
      <c r="X1433" s="17"/>
      <c r="Y1433" s="17"/>
      <c r="Z1433" s="17"/>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row>
    <row r="1434">
      <c r="A1434" s="17">
        <v>1432</v>
      </c>
      <c r="B1434" s="17" t="s">
        <v>52</v>
      </c>
      <c r="C1434" s="42" t="s">
        <v>4299</v>
      </c>
      <c r="D1434" s="35" t="s">
        <v>3886</v>
      </c>
      <c r="E1434" s="17" t="s">
        <v>4300</v>
      </c>
      <c r="F1434" s="17" t="s">
        <v>4301</v>
      </c>
      <c r="G1434" s="17">
        <v>22.507418999999999</v>
      </c>
      <c r="H1434" s="17">
        <v>87.458286999999999</v>
      </c>
      <c r="I1434" s="17"/>
      <c r="J1434" s="17"/>
      <c r="K1434" s="17"/>
      <c r="L1434" s="17"/>
      <c r="M1434" s="42" t="s">
        <v>4016</v>
      </c>
      <c r="N1434" s="17"/>
      <c r="O1434" s="17"/>
      <c r="P1434" s="17"/>
      <c r="Q1434" s="17"/>
      <c r="R1434" s="17"/>
      <c r="S1434" s="17"/>
      <c r="T1434" s="17"/>
      <c r="U1434" s="17"/>
      <c r="V1434" s="17"/>
      <c r="W1434" s="17"/>
      <c r="X1434" s="17"/>
      <c r="Y1434" s="17"/>
      <c r="Z1434" s="17"/>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row>
    <row r="1435">
      <c r="A1435" s="17">
        <v>1433</v>
      </c>
      <c r="B1435" s="17" t="s">
        <v>52</v>
      </c>
      <c r="C1435" s="42" t="s">
        <v>4302</v>
      </c>
      <c r="D1435" s="35" t="s">
        <v>3886</v>
      </c>
      <c r="E1435" s="17" t="s">
        <v>4303</v>
      </c>
      <c r="F1435" s="17" t="s">
        <v>4304</v>
      </c>
      <c r="G1435" s="17">
        <v>22.508009999999999</v>
      </c>
      <c r="H1435" s="17">
        <v>87.409364999999994</v>
      </c>
      <c r="I1435" s="17"/>
      <c r="J1435" s="17"/>
      <c r="K1435" s="17"/>
      <c r="L1435" s="17"/>
      <c r="M1435" s="42" t="s">
        <v>4016</v>
      </c>
      <c r="N1435" s="17"/>
      <c r="O1435" s="17"/>
      <c r="P1435" s="17"/>
      <c r="Q1435" s="17"/>
      <c r="R1435" s="17"/>
      <c r="S1435" s="17"/>
      <c r="T1435" s="17"/>
      <c r="U1435" s="17"/>
      <c r="V1435" s="17"/>
      <c r="W1435" s="17"/>
      <c r="X1435" s="17"/>
      <c r="Y1435" s="17"/>
      <c r="Z1435" s="17"/>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row>
    <row r="1436">
      <c r="A1436" s="17">
        <v>1434</v>
      </c>
      <c r="B1436" s="17" t="s">
        <v>52</v>
      </c>
      <c r="C1436" s="42" t="s">
        <v>4305</v>
      </c>
      <c r="D1436" s="35" t="s">
        <v>3886</v>
      </c>
      <c r="E1436" s="17" t="s">
        <v>4306</v>
      </c>
      <c r="F1436" s="17" t="s">
        <v>4307</v>
      </c>
      <c r="G1436" s="17">
        <v>22.625419999999998</v>
      </c>
      <c r="H1436" s="17">
        <v>87.469689000000002</v>
      </c>
      <c r="I1436" s="17"/>
      <c r="J1436" s="17"/>
      <c r="K1436" s="17"/>
      <c r="L1436" s="17"/>
      <c r="M1436" s="42" t="s">
        <v>4298</v>
      </c>
      <c r="N1436" s="17"/>
      <c r="O1436" s="17"/>
      <c r="P1436" s="17"/>
      <c r="Q1436" s="17"/>
      <c r="R1436" s="17"/>
      <c r="S1436" s="17"/>
      <c r="T1436" s="17"/>
      <c r="U1436" s="17"/>
      <c r="V1436" s="17"/>
      <c r="W1436" s="17"/>
      <c r="X1436" s="17"/>
      <c r="Y1436" s="17"/>
      <c r="Z1436" s="17"/>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row>
    <row r="1437">
      <c r="A1437" s="17">
        <v>1435</v>
      </c>
      <c r="B1437" s="17" t="s">
        <v>52</v>
      </c>
      <c r="C1437" s="42" t="s">
        <v>4308</v>
      </c>
      <c r="D1437" s="35" t="s">
        <v>3886</v>
      </c>
      <c r="E1437" s="17" t="s">
        <v>4309</v>
      </c>
      <c r="F1437" s="17" t="s">
        <v>4310</v>
      </c>
      <c r="G1437" s="17">
        <v>22.477475999999999</v>
      </c>
      <c r="H1437" s="17">
        <v>87.526908000000006</v>
      </c>
      <c r="I1437" s="17"/>
      <c r="J1437" s="17"/>
      <c r="K1437" s="17"/>
      <c r="L1437" s="17"/>
      <c r="M1437" s="42" t="s">
        <v>4298</v>
      </c>
      <c r="N1437" s="17"/>
      <c r="O1437" s="17"/>
      <c r="P1437" s="17"/>
      <c r="Q1437" s="17"/>
      <c r="R1437" s="17"/>
      <c r="S1437" s="17"/>
      <c r="T1437" s="17"/>
      <c r="U1437" s="17"/>
      <c r="V1437" s="17"/>
      <c r="W1437" s="17"/>
      <c r="X1437" s="17"/>
      <c r="Y1437" s="17"/>
      <c r="Z1437" s="17"/>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row>
    <row r="1438">
      <c r="A1438" s="17">
        <v>1436</v>
      </c>
      <c r="B1438" s="17" t="s">
        <v>52</v>
      </c>
      <c r="C1438" s="42" t="s">
        <v>4311</v>
      </c>
      <c r="D1438" s="35" t="s">
        <v>3886</v>
      </c>
      <c r="E1438" s="17" t="s">
        <v>4312</v>
      </c>
      <c r="F1438" s="17" t="s">
        <v>4313</v>
      </c>
      <c r="G1438" s="17">
        <v>22.553804</v>
      </c>
      <c r="H1438" s="17">
        <v>87.495947999999999</v>
      </c>
      <c r="I1438" s="17"/>
      <c r="J1438" s="17"/>
      <c r="K1438" s="17"/>
      <c r="L1438" s="17"/>
      <c r="M1438" s="42" t="s">
        <v>4298</v>
      </c>
      <c r="N1438" s="17"/>
      <c r="O1438" s="17"/>
      <c r="P1438" s="17"/>
      <c r="Q1438" s="17"/>
      <c r="R1438" s="17"/>
      <c r="S1438" s="17"/>
      <c r="T1438" s="17"/>
      <c r="U1438" s="17"/>
      <c r="V1438" s="17"/>
      <c r="W1438" s="17"/>
      <c r="X1438" s="17"/>
      <c r="Y1438" s="17"/>
      <c r="Z1438" s="17"/>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row>
    <row r="1439">
      <c r="A1439" s="17">
        <v>1437</v>
      </c>
      <c r="B1439" s="17" t="s">
        <v>52</v>
      </c>
      <c r="C1439" s="42" t="s">
        <v>4314</v>
      </c>
      <c r="D1439" s="35" t="s">
        <v>3886</v>
      </c>
      <c r="E1439" s="17" t="s">
        <v>4315</v>
      </c>
      <c r="F1439" s="17" t="s">
        <v>4316</v>
      </c>
      <c r="G1439" s="17">
        <v>22.574579</v>
      </c>
      <c r="H1439" s="17">
        <v>87.525953000000001</v>
      </c>
      <c r="I1439" s="17"/>
      <c r="J1439" s="17"/>
      <c r="K1439" s="17"/>
      <c r="L1439" s="17"/>
      <c r="M1439" s="42" t="s">
        <v>4298</v>
      </c>
      <c r="N1439" s="17"/>
      <c r="O1439" s="17"/>
      <c r="P1439" s="17"/>
      <c r="Q1439" s="17"/>
      <c r="R1439" s="17"/>
      <c r="S1439" s="17"/>
      <c r="T1439" s="17"/>
      <c r="U1439" s="17"/>
      <c r="V1439" s="17"/>
      <c r="W1439" s="17"/>
      <c r="X1439" s="17"/>
      <c r="Y1439" s="17"/>
      <c r="Z1439" s="17"/>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row>
    <row r="1440">
      <c r="A1440" s="17">
        <v>1438</v>
      </c>
      <c r="B1440" s="17" t="s">
        <v>52</v>
      </c>
      <c r="C1440" s="42" t="s">
        <v>4317</v>
      </c>
      <c r="D1440" s="35" t="s">
        <v>3886</v>
      </c>
      <c r="E1440" s="17" t="s">
        <v>4318</v>
      </c>
      <c r="F1440" s="17" t="s">
        <v>4319</v>
      </c>
      <c r="G1440" s="17">
        <v>22.614346999999999</v>
      </c>
      <c r="H1440" s="17">
        <v>87.534397999999996</v>
      </c>
      <c r="I1440" s="17"/>
      <c r="J1440" s="17"/>
      <c r="K1440" s="17"/>
      <c r="L1440" s="17"/>
      <c r="M1440" s="42" t="s">
        <v>4298</v>
      </c>
      <c r="N1440" s="17"/>
      <c r="O1440" s="17"/>
      <c r="P1440" s="17"/>
      <c r="Q1440" s="17"/>
      <c r="R1440" s="17"/>
      <c r="S1440" s="17"/>
      <c r="T1440" s="17"/>
      <c r="U1440" s="17"/>
      <c r="V1440" s="17"/>
      <c r="W1440" s="17"/>
      <c r="X1440" s="17"/>
      <c r="Y1440" s="17"/>
      <c r="Z1440" s="17"/>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row>
    <row r="1441">
      <c r="A1441" s="17">
        <v>1439</v>
      </c>
      <c r="B1441" s="17" t="s">
        <v>52</v>
      </c>
      <c r="C1441" s="42" t="s">
        <v>4320</v>
      </c>
      <c r="D1441" s="35" t="s">
        <v>3886</v>
      </c>
      <c r="E1441" s="17" t="s">
        <v>4321</v>
      </c>
      <c r="F1441" s="17" t="s">
        <v>4322</v>
      </c>
      <c r="G1441" s="17">
        <v>22.606268</v>
      </c>
      <c r="H1441" s="17">
        <v>87.423610999999994</v>
      </c>
      <c r="I1441" s="17"/>
      <c r="J1441" s="17"/>
      <c r="K1441" s="17"/>
      <c r="L1441" s="17"/>
      <c r="M1441" s="42" t="s">
        <v>4298</v>
      </c>
      <c r="N1441" s="17"/>
      <c r="O1441" s="17"/>
      <c r="P1441" s="17"/>
      <c r="Q1441" s="17"/>
      <c r="R1441" s="17"/>
      <c r="S1441" s="17"/>
      <c r="T1441" s="17"/>
      <c r="U1441" s="17"/>
      <c r="V1441" s="17"/>
      <c r="W1441" s="17"/>
      <c r="X1441" s="17"/>
      <c r="Y1441" s="17"/>
      <c r="Z1441" s="17"/>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row>
    <row r="1442">
      <c r="A1442" s="17">
        <v>1440</v>
      </c>
      <c r="B1442" s="17" t="s">
        <v>52</v>
      </c>
      <c r="C1442" s="42" t="s">
        <v>4323</v>
      </c>
      <c r="D1442" s="35" t="s">
        <v>3886</v>
      </c>
      <c r="E1442" s="17" t="s">
        <v>4324</v>
      </c>
      <c r="F1442" s="17" t="s">
        <v>4325</v>
      </c>
      <c r="G1442" s="17">
        <v>22.597636000000001</v>
      </c>
      <c r="H1442" s="17">
        <v>87.481781999999995</v>
      </c>
      <c r="I1442" s="17"/>
      <c r="J1442" s="17"/>
      <c r="K1442" s="17"/>
      <c r="L1442" s="17"/>
      <c r="M1442" s="42" t="s">
        <v>4298</v>
      </c>
      <c r="N1442" s="17"/>
      <c r="O1442" s="17"/>
      <c r="P1442" s="17"/>
      <c r="Q1442" s="17"/>
      <c r="R1442" s="17"/>
      <c r="S1442" s="17"/>
      <c r="T1442" s="17"/>
      <c r="U1442" s="17"/>
      <c r="V1442" s="17"/>
      <c r="W1442" s="17"/>
      <c r="X1442" s="17"/>
      <c r="Y1442" s="17"/>
      <c r="Z1442" s="17"/>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row>
    <row r="1443">
      <c r="A1443" s="17">
        <v>1441</v>
      </c>
      <c r="B1443" s="17" t="s">
        <v>52</v>
      </c>
      <c r="C1443" s="42" t="s">
        <v>4326</v>
      </c>
      <c r="D1443" s="35" t="s">
        <v>3886</v>
      </c>
      <c r="E1443" s="17" t="s">
        <v>4327</v>
      </c>
      <c r="F1443" s="17" t="s">
        <v>4328</v>
      </c>
      <c r="G1443" s="17">
        <v>22.630057000000001</v>
      </c>
      <c r="H1443" s="17">
        <v>87.407037000000003</v>
      </c>
      <c r="I1443" s="17"/>
      <c r="J1443" s="17"/>
      <c r="K1443" s="17"/>
      <c r="L1443" s="17"/>
      <c r="M1443" s="42" t="s">
        <v>4045</v>
      </c>
      <c r="N1443" s="17">
        <v>6290709471</v>
      </c>
      <c r="O1443" s="17"/>
      <c r="P1443" s="17"/>
      <c r="Q1443" s="17"/>
      <c r="R1443" s="17"/>
      <c r="S1443" s="17"/>
      <c r="T1443" s="17"/>
      <c r="U1443" s="17"/>
      <c r="V1443" s="17"/>
      <c r="W1443" s="17"/>
      <c r="X1443" s="17"/>
      <c r="Y1443" s="17"/>
      <c r="Z1443" s="17"/>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row>
    <row r="1444">
      <c r="A1444" s="17">
        <v>1442</v>
      </c>
      <c r="B1444" s="17" t="s">
        <v>52</v>
      </c>
      <c r="C1444" s="42" t="s">
        <v>4329</v>
      </c>
      <c r="D1444" s="35" t="s">
        <v>3886</v>
      </c>
      <c r="E1444" s="17" t="s">
        <v>4330</v>
      </c>
      <c r="F1444" s="17" t="s">
        <v>4331</v>
      </c>
      <c r="G1444" s="17">
        <v>22.524723999999999</v>
      </c>
      <c r="H1444" s="17">
        <v>87.375461000000001</v>
      </c>
      <c r="I1444" s="17"/>
      <c r="J1444" s="17"/>
      <c r="K1444" s="17"/>
      <c r="L1444" s="17"/>
      <c r="M1444" s="42" t="s">
        <v>4038</v>
      </c>
      <c r="N1444" s="17"/>
      <c r="O1444" s="17"/>
      <c r="P1444" s="17"/>
      <c r="Q1444" s="17"/>
      <c r="R1444" s="17"/>
      <c r="S1444" s="17"/>
      <c r="T1444" s="17"/>
      <c r="U1444" s="17"/>
      <c r="V1444" s="17"/>
      <c r="W1444" s="17"/>
      <c r="X1444" s="17"/>
      <c r="Y1444" s="17"/>
      <c r="Z1444" s="17"/>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row>
    <row r="1445">
      <c r="A1445" s="17">
        <v>1443</v>
      </c>
      <c r="B1445" s="17" t="s">
        <v>52</v>
      </c>
      <c r="C1445" s="42" t="s">
        <v>4332</v>
      </c>
      <c r="D1445" s="35" t="s">
        <v>3886</v>
      </c>
      <c r="E1445" s="17" t="s">
        <v>4333</v>
      </c>
      <c r="F1445" s="17" t="s">
        <v>4334</v>
      </c>
      <c r="G1445" s="17">
        <v>22.719975999999999</v>
      </c>
      <c r="H1445" s="17">
        <v>87.684173999999999</v>
      </c>
      <c r="I1445" s="17"/>
      <c r="J1445" s="17"/>
      <c r="K1445" s="17"/>
      <c r="L1445" s="17"/>
      <c r="M1445" s="42" t="s">
        <v>3987</v>
      </c>
      <c r="N1445" s="17"/>
      <c r="O1445" s="17"/>
      <c r="P1445" s="17"/>
      <c r="Q1445" s="17"/>
      <c r="R1445" s="17"/>
      <c r="S1445" s="17"/>
      <c r="T1445" s="17"/>
      <c r="U1445" s="17"/>
      <c r="V1445" s="17"/>
      <c r="W1445" s="17"/>
      <c r="X1445" s="17"/>
      <c r="Y1445" s="17"/>
      <c r="Z1445" s="17"/>
      <c r="AA1445" s="17"/>
      <c r="AB1445" s="17"/>
      <c r="AC1445" s="17"/>
      <c r="AD1445" s="17"/>
      <c r="AE1445" s="17"/>
      <c r="AF1445" s="17"/>
      <c r="AG1445" s="17"/>
      <c r="AH1445" s="17"/>
      <c r="AI1445" s="17"/>
      <c r="AJ1445" s="17"/>
      <c r="AK1445" s="17"/>
      <c r="AL1445" s="17"/>
      <c r="AM1445" s="17"/>
      <c r="AN1445" s="17"/>
      <c r="AO1445" s="17"/>
      <c r="AP1445" s="17"/>
      <c r="AQ1445" s="17"/>
      <c r="AR1445" s="17"/>
      <c r="AS1445" s="17"/>
      <c r="AT1445" s="17"/>
      <c r="AU1445" s="17"/>
    </row>
    <row r="1446">
      <c r="A1446" s="17">
        <v>1444</v>
      </c>
      <c r="B1446" s="17" t="s">
        <v>52</v>
      </c>
      <c r="C1446" s="42" t="s">
        <v>4335</v>
      </c>
      <c r="D1446" s="35" t="s">
        <v>3886</v>
      </c>
      <c r="E1446" s="17" t="s">
        <v>4336</v>
      </c>
      <c r="F1446" s="17" t="s">
        <v>4337</v>
      </c>
      <c r="G1446" s="17">
        <v>22.444962</v>
      </c>
      <c r="H1446" s="17">
        <v>87.387952999999996</v>
      </c>
      <c r="I1446" s="17"/>
      <c r="J1446" s="17"/>
      <c r="K1446" s="17"/>
      <c r="L1446" s="17"/>
      <c r="M1446" s="42" t="s">
        <v>3893</v>
      </c>
      <c r="N1446" s="17"/>
      <c r="O1446" s="17"/>
      <c r="P1446" s="17"/>
      <c r="Q1446" s="17"/>
      <c r="R1446" s="17"/>
      <c r="S1446" s="17"/>
      <c r="T1446" s="17"/>
      <c r="U1446" s="17"/>
      <c r="V1446" s="17"/>
      <c r="W1446" s="17"/>
      <c r="X1446" s="17"/>
      <c r="Y1446" s="17"/>
      <c r="Z1446" s="17"/>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row>
    <row r="1447">
      <c r="A1447" s="17">
        <v>1445</v>
      </c>
      <c r="B1447" s="17" t="s">
        <v>52</v>
      </c>
      <c r="C1447" s="42" t="s">
        <v>4338</v>
      </c>
      <c r="D1447" s="35" t="s">
        <v>3886</v>
      </c>
      <c r="E1447" s="17" t="s">
        <v>4339</v>
      </c>
      <c r="F1447" s="17" t="s">
        <v>4340</v>
      </c>
      <c r="G1447" s="17">
        <v>22.443776</v>
      </c>
      <c r="H1447" s="17">
        <v>87.440202999999997</v>
      </c>
      <c r="I1447" s="17"/>
      <c r="J1447" s="17"/>
      <c r="K1447" s="17"/>
      <c r="L1447" s="17"/>
      <c r="M1447" s="42" t="s">
        <v>3893</v>
      </c>
      <c r="N1447" s="17"/>
      <c r="O1447" s="17"/>
      <c r="P1447" s="17"/>
      <c r="Q1447" s="17"/>
      <c r="R1447" s="17"/>
      <c r="S1447" s="17"/>
      <c r="T1447" s="17"/>
      <c r="U1447" s="17"/>
      <c r="V1447" s="17"/>
      <c r="W1447" s="17"/>
      <c r="X1447" s="17"/>
      <c r="Y1447" s="17"/>
      <c r="Z1447" s="17"/>
      <c r="AA1447" s="17"/>
      <c r="AB1447" s="17"/>
      <c r="AC1447" s="17"/>
      <c r="AD1447" s="17"/>
      <c r="AE1447" s="17"/>
      <c r="AF1447" s="17"/>
      <c r="AG1447" s="17"/>
      <c r="AH1447" s="17"/>
      <c r="AI1447" s="17"/>
      <c r="AJ1447" s="17"/>
      <c r="AK1447" s="17"/>
      <c r="AL1447" s="17"/>
      <c r="AM1447" s="17"/>
      <c r="AN1447" s="17"/>
      <c r="AO1447" s="17"/>
      <c r="AP1447" s="17"/>
      <c r="AQ1447" s="17"/>
      <c r="AR1447" s="17"/>
      <c r="AS1447" s="17"/>
      <c r="AT1447" s="17"/>
      <c r="AU1447" s="17"/>
    </row>
    <row r="1448">
      <c r="A1448" s="17">
        <v>1446</v>
      </c>
      <c r="B1448" s="17" t="s">
        <v>52</v>
      </c>
      <c r="C1448" s="42" t="s">
        <v>4341</v>
      </c>
      <c r="D1448" s="35" t="s">
        <v>3886</v>
      </c>
      <c r="E1448" s="17" t="s">
        <v>4342</v>
      </c>
      <c r="F1448" s="17" t="s">
        <v>4343</v>
      </c>
      <c r="G1448" s="17">
        <v>22.470741</v>
      </c>
      <c r="H1448" s="17">
        <v>87.237495999999993</v>
      </c>
      <c r="I1448" s="17"/>
      <c r="J1448" s="17"/>
      <c r="K1448" s="17"/>
      <c r="L1448" s="17"/>
      <c r="M1448" s="42" t="s">
        <v>3889</v>
      </c>
      <c r="N1448" s="17"/>
      <c r="O1448" s="17"/>
      <c r="P1448" s="17"/>
      <c r="Q1448" s="17"/>
      <c r="R1448" s="17"/>
      <c r="S1448" s="17"/>
      <c r="T1448" s="17"/>
      <c r="U1448" s="17"/>
      <c r="V1448" s="17"/>
      <c r="W1448" s="17"/>
      <c r="X1448" s="17"/>
      <c r="Y1448" s="17"/>
      <c r="Z1448" s="17"/>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row>
    <row r="1449">
      <c r="A1449" s="17">
        <v>1447</v>
      </c>
      <c r="B1449" s="17" t="s">
        <v>52</v>
      </c>
      <c r="C1449" s="42" t="s">
        <v>4344</v>
      </c>
      <c r="D1449" s="35" t="s">
        <v>3886</v>
      </c>
      <c r="E1449" s="17" t="s">
        <v>4345</v>
      </c>
      <c r="F1449" s="17" t="s">
        <v>4346</v>
      </c>
      <c r="G1449" s="17">
        <v>22.489927999999999</v>
      </c>
      <c r="H1449" s="17">
        <v>87.097076000000001</v>
      </c>
      <c r="I1449" s="17"/>
      <c r="J1449" s="17"/>
      <c r="K1449" s="17"/>
      <c r="L1449" s="17"/>
      <c r="M1449" s="42" t="s">
        <v>4347</v>
      </c>
      <c r="N1449" s="17"/>
      <c r="O1449" s="17"/>
      <c r="P1449" s="17"/>
      <c r="Q1449" s="17"/>
      <c r="R1449" s="17"/>
      <c r="S1449" s="17"/>
      <c r="T1449" s="17"/>
      <c r="U1449" s="17"/>
      <c r="V1449" s="17"/>
      <c r="W1449" s="17"/>
      <c r="X1449" s="17"/>
      <c r="Y1449" s="17"/>
      <c r="Z1449" s="17"/>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row>
    <row r="1450">
      <c r="A1450" s="17">
        <v>1448</v>
      </c>
      <c r="B1450" s="17" t="s">
        <v>52</v>
      </c>
      <c r="C1450" s="42" t="s">
        <v>4348</v>
      </c>
      <c r="D1450" s="35" t="s">
        <v>3886</v>
      </c>
      <c r="E1450" s="17" t="s">
        <v>4349</v>
      </c>
      <c r="F1450" s="17" t="s">
        <v>4350</v>
      </c>
      <c r="G1450" s="17">
        <v>22.467672</v>
      </c>
      <c r="H1450" s="17">
        <v>87.399439999999998</v>
      </c>
      <c r="I1450" s="17"/>
      <c r="J1450" s="17"/>
      <c r="K1450" s="17"/>
      <c r="L1450" s="17"/>
      <c r="M1450" s="42" t="s">
        <v>3893</v>
      </c>
      <c r="N1450" s="17"/>
      <c r="O1450" s="17"/>
      <c r="P1450" s="17"/>
      <c r="Q1450" s="17"/>
      <c r="R1450" s="17"/>
      <c r="S1450" s="17"/>
      <c r="T1450" s="17"/>
      <c r="U1450" s="17"/>
      <c r="V1450" s="17"/>
      <c r="W1450" s="17"/>
      <c r="X1450" s="17"/>
      <c r="Y1450" s="17"/>
      <c r="Z1450" s="17"/>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row>
    <row r="1451">
      <c r="A1451" s="17">
        <v>1449</v>
      </c>
      <c r="B1451" s="17" t="s">
        <v>52</v>
      </c>
      <c r="C1451" s="42" t="s">
        <v>4351</v>
      </c>
      <c r="D1451" s="35" t="s">
        <v>3886</v>
      </c>
      <c r="E1451" s="17" t="s">
        <v>4352</v>
      </c>
      <c r="F1451" s="17" t="s">
        <v>4353</v>
      </c>
      <c r="G1451" s="17">
        <v>22.476035</v>
      </c>
      <c r="H1451" s="17">
        <v>87.360956999999999</v>
      </c>
      <c r="I1451" s="17"/>
      <c r="J1451" s="17"/>
      <c r="K1451" s="17"/>
      <c r="L1451" s="17"/>
      <c r="M1451" s="42" t="s">
        <v>3893</v>
      </c>
      <c r="N1451" s="17"/>
      <c r="O1451" s="17"/>
      <c r="P1451" s="17"/>
      <c r="Q1451" s="17"/>
      <c r="R1451" s="17"/>
      <c r="S1451" s="17"/>
      <c r="T1451" s="17"/>
      <c r="U1451" s="17"/>
      <c r="V1451" s="17"/>
      <c r="W1451" s="17"/>
      <c r="X1451" s="17"/>
      <c r="Y1451" s="17"/>
      <c r="Z1451" s="17"/>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row>
    <row r="1452">
      <c r="A1452" s="17">
        <v>1450</v>
      </c>
      <c r="B1452" s="17" t="s">
        <v>52</v>
      </c>
      <c r="C1452" s="42" t="s">
        <v>4354</v>
      </c>
      <c r="D1452" s="35" t="s">
        <v>3886</v>
      </c>
      <c r="E1452" s="17" t="s">
        <v>4355</v>
      </c>
      <c r="F1452" s="17" t="s">
        <v>4356</v>
      </c>
      <c r="G1452" s="17">
        <v>22.420788000000002</v>
      </c>
      <c r="H1452" s="17">
        <v>87.290051000000005</v>
      </c>
      <c r="I1452" s="17"/>
      <c r="J1452" s="17"/>
      <c r="K1452" s="17"/>
      <c r="L1452" s="17"/>
      <c r="M1452" s="42" t="s">
        <v>3889</v>
      </c>
      <c r="N1452" s="17"/>
      <c r="O1452" s="17"/>
      <c r="P1452" s="17"/>
      <c r="Q1452" s="17"/>
      <c r="R1452" s="17"/>
      <c r="S1452" s="17"/>
      <c r="T1452" s="17"/>
      <c r="U1452" s="17"/>
      <c r="V1452" s="17"/>
      <c r="W1452" s="17"/>
      <c r="X1452" s="17"/>
      <c r="Y1452" s="17"/>
      <c r="Z1452" s="17"/>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row>
    <row r="1453">
      <c r="A1453" s="17">
        <v>1451</v>
      </c>
      <c r="B1453" s="17" t="s">
        <v>52</v>
      </c>
      <c r="C1453" s="42" t="s">
        <v>4357</v>
      </c>
      <c r="D1453" s="35" t="s">
        <v>3886</v>
      </c>
      <c r="E1453" s="17" t="s">
        <v>4358</v>
      </c>
      <c r="F1453" s="17" t="s">
        <v>4359</v>
      </c>
      <c r="G1453" s="17">
        <v>22.400779</v>
      </c>
      <c r="H1453" s="17">
        <v>87.395995999999997</v>
      </c>
      <c r="I1453" s="17"/>
      <c r="J1453" s="17"/>
      <c r="K1453" s="17"/>
      <c r="L1453" s="17"/>
      <c r="M1453" s="42" t="s">
        <v>3893</v>
      </c>
      <c r="N1453" s="17"/>
      <c r="O1453" s="17"/>
      <c r="P1453" s="17"/>
      <c r="Q1453" s="17"/>
      <c r="R1453" s="17"/>
      <c r="S1453" s="17"/>
      <c r="T1453" s="17"/>
      <c r="U1453" s="17"/>
      <c r="V1453" s="17"/>
      <c r="W1453" s="17"/>
      <c r="X1453" s="17"/>
      <c r="Y1453" s="17"/>
      <c r="Z1453" s="17"/>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row>
    <row r="1454">
      <c r="A1454" s="17">
        <v>1452</v>
      </c>
      <c r="B1454" s="17" t="s">
        <v>52</v>
      </c>
      <c r="C1454" s="42" t="s">
        <v>4360</v>
      </c>
      <c r="D1454" s="35" t="s">
        <v>3886</v>
      </c>
      <c r="E1454" s="17" t="s">
        <v>4361</v>
      </c>
      <c r="F1454" s="17" t="s">
        <v>4362</v>
      </c>
      <c r="G1454" s="17">
        <v>22.565776</v>
      </c>
      <c r="H1454" s="17">
        <v>87.181909000000005</v>
      </c>
      <c r="I1454" s="17"/>
      <c r="J1454" s="17"/>
      <c r="K1454" s="17"/>
      <c r="L1454" s="17"/>
      <c r="M1454" s="42" t="s">
        <v>4347</v>
      </c>
      <c r="N1454" s="17"/>
      <c r="O1454" s="17"/>
      <c r="P1454" s="17"/>
      <c r="Q1454" s="17"/>
      <c r="R1454" s="17"/>
      <c r="S1454" s="17"/>
      <c r="T1454" s="17"/>
      <c r="U1454" s="17"/>
      <c r="V1454" s="17"/>
      <c r="W1454" s="17"/>
      <c r="X1454" s="17"/>
      <c r="Y1454" s="17"/>
      <c r="Z1454" s="17"/>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row>
    <row r="1455">
      <c r="A1455" s="17">
        <v>1453</v>
      </c>
      <c r="B1455" s="17" t="s">
        <v>52</v>
      </c>
      <c r="C1455" s="42" t="s">
        <v>4363</v>
      </c>
      <c r="D1455" s="35" t="s">
        <v>3886</v>
      </c>
      <c r="E1455" s="17" t="s">
        <v>4364</v>
      </c>
      <c r="F1455" s="17" t="s">
        <v>4365</v>
      </c>
      <c r="G1455" s="17">
        <v>22.591818</v>
      </c>
      <c r="H1455" s="17">
        <v>87.213431</v>
      </c>
      <c r="I1455" s="17"/>
      <c r="J1455" s="17"/>
      <c r="K1455" s="17"/>
      <c r="L1455" s="17"/>
      <c r="M1455" s="42" t="s">
        <v>4366</v>
      </c>
      <c r="N1455" s="17"/>
      <c r="O1455" s="17"/>
      <c r="P1455" s="17"/>
      <c r="Q1455" s="17"/>
      <c r="R1455" s="17"/>
      <c r="S1455" s="17"/>
      <c r="T1455" s="17"/>
      <c r="U1455" s="17"/>
      <c r="V1455" s="17"/>
      <c r="W1455" s="17"/>
      <c r="X1455" s="17"/>
      <c r="Y1455" s="17"/>
      <c r="Z1455" s="17"/>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row>
    <row r="1456">
      <c r="A1456" s="17">
        <v>1454</v>
      </c>
      <c r="B1456" s="17" t="s">
        <v>52</v>
      </c>
      <c r="C1456" s="42" t="s">
        <v>4367</v>
      </c>
      <c r="D1456" s="35" t="s">
        <v>3886</v>
      </c>
      <c r="E1456" s="17" t="s">
        <v>4368</v>
      </c>
      <c r="F1456" s="17" t="s">
        <v>4369</v>
      </c>
      <c r="G1456" s="17">
        <v>22.534464</v>
      </c>
      <c r="H1456" s="17">
        <v>87.237554000000003</v>
      </c>
      <c r="I1456" s="17"/>
      <c r="J1456" s="17"/>
      <c r="K1456" s="17"/>
      <c r="L1456" s="17"/>
      <c r="M1456" s="42" t="s">
        <v>4366</v>
      </c>
      <c r="N1456" s="17"/>
      <c r="O1456" s="17"/>
      <c r="P1456" s="17"/>
      <c r="Q1456" s="17"/>
      <c r="R1456" s="17"/>
      <c r="S1456" s="17"/>
      <c r="T1456" s="17"/>
      <c r="U1456" s="17"/>
      <c r="V1456" s="17"/>
      <c r="W1456" s="17"/>
      <c r="X1456" s="17"/>
      <c r="Y1456" s="17"/>
      <c r="Z1456" s="17"/>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row>
    <row r="1457">
      <c r="A1457" s="17">
        <v>1455</v>
      </c>
      <c r="B1457" s="17" t="s">
        <v>52</v>
      </c>
      <c r="C1457" s="42" t="s">
        <v>4370</v>
      </c>
      <c r="D1457" s="35" t="s">
        <v>3886</v>
      </c>
      <c r="E1457" s="17" t="s">
        <v>4371</v>
      </c>
      <c r="F1457" s="17" t="s">
        <v>4372</v>
      </c>
      <c r="G1457" s="17">
        <v>22.603261</v>
      </c>
      <c r="H1457" s="17">
        <v>87.109168999999994</v>
      </c>
      <c r="I1457" s="17"/>
      <c r="J1457" s="17"/>
      <c r="K1457" s="17"/>
      <c r="L1457" s="17"/>
      <c r="M1457" s="42" t="s">
        <v>4366</v>
      </c>
      <c r="N1457" s="17"/>
      <c r="O1457" s="17"/>
      <c r="P1457" s="17"/>
      <c r="Q1457" s="17"/>
      <c r="R1457" s="17"/>
      <c r="S1457" s="17"/>
      <c r="T1457" s="17"/>
      <c r="U1457" s="17"/>
      <c r="V1457" s="17"/>
      <c r="W1457" s="17"/>
      <c r="X1457" s="17"/>
      <c r="Y1457" s="17"/>
      <c r="Z1457" s="17"/>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row>
    <row r="1458">
      <c r="A1458" s="17">
        <v>1456</v>
      </c>
      <c r="B1458" s="17" t="s">
        <v>52</v>
      </c>
      <c r="C1458" s="42" t="s">
        <v>4373</v>
      </c>
      <c r="D1458" s="35" t="s">
        <v>3886</v>
      </c>
      <c r="E1458" s="17" t="s">
        <v>4374</v>
      </c>
      <c r="F1458" s="17" t="s">
        <v>4375</v>
      </c>
      <c r="G1458" s="17">
        <v>22.657496999999999</v>
      </c>
      <c r="H1458" s="17">
        <v>87.265467999999998</v>
      </c>
      <c r="I1458" s="17"/>
      <c r="J1458" s="17"/>
      <c r="K1458" s="17"/>
      <c r="L1458" s="17"/>
      <c r="M1458" s="42" t="s">
        <v>4038</v>
      </c>
      <c r="N1458" s="17"/>
      <c r="O1458" s="17"/>
      <c r="P1458" s="17"/>
      <c r="Q1458" s="17"/>
      <c r="R1458" s="17"/>
      <c r="S1458" s="17"/>
      <c r="T1458" s="17"/>
      <c r="U1458" s="17"/>
      <c r="V1458" s="17"/>
      <c r="W1458" s="17"/>
      <c r="X1458" s="17"/>
      <c r="Y1458" s="17"/>
      <c r="Z1458" s="17"/>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row>
    <row r="1459">
      <c r="A1459" s="17">
        <v>1457</v>
      </c>
      <c r="B1459" s="17" t="s">
        <v>52</v>
      </c>
      <c r="C1459" s="42" t="s">
        <v>4376</v>
      </c>
      <c r="D1459" s="35" t="s">
        <v>3886</v>
      </c>
      <c r="E1459" s="17" t="s">
        <v>4377</v>
      </c>
      <c r="F1459" s="17" t="s">
        <v>4378</v>
      </c>
      <c r="G1459" s="17">
        <v>22.648163</v>
      </c>
      <c r="H1459" s="17">
        <v>87.186610999999999</v>
      </c>
      <c r="I1459" s="17"/>
      <c r="J1459" s="17"/>
      <c r="K1459" s="17"/>
      <c r="L1459" s="17"/>
      <c r="M1459" s="42" t="s">
        <v>4366</v>
      </c>
      <c r="N1459" s="17"/>
      <c r="O1459" s="17"/>
      <c r="P1459" s="17"/>
      <c r="Q1459" s="17"/>
      <c r="R1459" s="17"/>
      <c r="S1459" s="17"/>
      <c r="T1459" s="17"/>
      <c r="U1459" s="17"/>
      <c r="V1459" s="17"/>
      <c r="W1459" s="17"/>
      <c r="X1459" s="17"/>
      <c r="Y1459" s="17"/>
      <c r="Z1459" s="17"/>
      <c r="AA1459" s="17"/>
      <c r="AB1459" s="17"/>
      <c r="AC1459" s="17"/>
      <c r="AD1459" s="17"/>
      <c r="AE1459" s="17"/>
      <c r="AF1459" s="17"/>
      <c r="AG1459" s="17"/>
      <c r="AH1459" s="17"/>
      <c r="AI1459" s="17"/>
      <c r="AJ1459" s="17"/>
      <c r="AK1459" s="17"/>
      <c r="AL1459" s="17"/>
      <c r="AM1459" s="17"/>
      <c r="AN1459" s="17"/>
      <c r="AO1459" s="17"/>
      <c r="AP1459" s="17"/>
      <c r="AQ1459" s="17"/>
      <c r="AR1459" s="17"/>
      <c r="AS1459" s="17"/>
      <c r="AT1459" s="17"/>
      <c r="AU1459" s="17"/>
    </row>
    <row r="1460">
      <c r="A1460" s="17">
        <v>1458</v>
      </c>
      <c r="B1460" s="17" t="s">
        <v>52</v>
      </c>
      <c r="C1460" s="42" t="s">
        <v>4379</v>
      </c>
      <c r="D1460" s="35" t="s">
        <v>3886</v>
      </c>
      <c r="E1460" s="17" t="s">
        <v>4380</v>
      </c>
      <c r="F1460" s="17" t="s">
        <v>4381</v>
      </c>
      <c r="G1460" s="17">
        <v>22.511887000000002</v>
      </c>
      <c r="H1460" s="17">
        <v>87.266531000000001</v>
      </c>
      <c r="I1460" s="17"/>
      <c r="J1460" s="17"/>
      <c r="K1460" s="17"/>
      <c r="L1460" s="17"/>
      <c r="M1460" s="42" t="s">
        <v>4038</v>
      </c>
      <c r="N1460" s="17"/>
      <c r="O1460" s="17"/>
      <c r="P1460" s="17"/>
      <c r="Q1460" s="17"/>
      <c r="R1460" s="17"/>
      <c r="S1460" s="17"/>
      <c r="T1460" s="17"/>
      <c r="U1460" s="17"/>
      <c r="V1460" s="17"/>
      <c r="W1460" s="17"/>
      <c r="X1460" s="17"/>
      <c r="Y1460" s="17"/>
      <c r="Z1460" s="17"/>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row>
    <row r="1461">
      <c r="A1461" s="17">
        <v>1459</v>
      </c>
      <c r="B1461" s="17" t="s">
        <v>52</v>
      </c>
      <c r="C1461" s="42" t="s">
        <v>4382</v>
      </c>
      <c r="D1461" s="35" t="s">
        <v>3886</v>
      </c>
      <c r="E1461" s="17" t="s">
        <v>4342</v>
      </c>
      <c r="F1461" s="17" t="s">
        <v>4383</v>
      </c>
      <c r="G1461" s="17">
        <v>22.470654</v>
      </c>
      <c r="H1461" s="17">
        <v>87.279658999999995</v>
      </c>
      <c r="I1461" s="17"/>
      <c r="J1461" s="17"/>
      <c r="K1461" s="17"/>
      <c r="L1461" s="17"/>
      <c r="M1461" s="42" t="s">
        <v>4038</v>
      </c>
      <c r="N1461" s="17"/>
      <c r="O1461" s="17"/>
      <c r="P1461" s="17"/>
      <c r="Q1461" s="17"/>
      <c r="R1461" s="17"/>
      <c r="S1461" s="17"/>
      <c r="T1461" s="17"/>
      <c r="U1461" s="17"/>
      <c r="V1461" s="17"/>
      <c r="W1461" s="17"/>
      <c r="X1461" s="17"/>
      <c r="Y1461" s="17"/>
      <c r="Z1461" s="17"/>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row>
    <row r="1462">
      <c r="A1462" s="17">
        <v>1460</v>
      </c>
      <c r="B1462" s="17" t="s">
        <v>52</v>
      </c>
      <c r="C1462" s="42" t="s">
        <v>4384</v>
      </c>
      <c r="D1462" s="35" t="s">
        <v>3886</v>
      </c>
      <c r="E1462" s="17" t="s">
        <v>4385</v>
      </c>
      <c r="F1462" s="17" t="s">
        <v>4386</v>
      </c>
      <c r="G1462" s="17">
        <v>22.419204000000001</v>
      </c>
      <c r="H1462" s="17">
        <v>87.303185999999997</v>
      </c>
      <c r="I1462" s="17"/>
      <c r="J1462" s="17"/>
      <c r="K1462" s="17"/>
      <c r="L1462" s="17"/>
      <c r="M1462" s="42" t="s">
        <v>3889</v>
      </c>
      <c r="N1462" s="17"/>
      <c r="O1462" s="17"/>
      <c r="P1462" s="17"/>
      <c r="Q1462" s="17"/>
      <c r="R1462" s="17"/>
      <c r="S1462" s="17"/>
      <c r="T1462" s="17"/>
      <c r="U1462" s="17"/>
      <c r="V1462" s="17"/>
      <c r="W1462" s="17"/>
      <c r="X1462" s="17"/>
      <c r="Y1462" s="17"/>
      <c r="Z1462" s="17"/>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row>
    <row r="1463">
      <c r="A1463" s="17">
        <v>1461</v>
      </c>
      <c r="B1463" s="17" t="s">
        <v>52</v>
      </c>
      <c r="C1463" s="42" t="s">
        <v>4387</v>
      </c>
      <c r="D1463" s="35" t="s">
        <v>3886</v>
      </c>
      <c r="E1463" s="17" t="s">
        <v>4024</v>
      </c>
      <c r="F1463" s="17" t="s">
        <v>4388</v>
      </c>
      <c r="G1463" s="17">
        <v>22.826924999999999</v>
      </c>
      <c r="H1463" s="17">
        <v>87.607279000000005</v>
      </c>
      <c r="I1463" s="17"/>
      <c r="J1463" s="17"/>
      <c r="K1463" s="17"/>
      <c r="L1463" s="17"/>
      <c r="M1463" s="42" t="s">
        <v>4011</v>
      </c>
      <c r="N1463" s="17">
        <v>8240995350</v>
      </c>
      <c r="O1463" s="17"/>
      <c r="P1463" s="17"/>
      <c r="Q1463" s="17"/>
      <c r="R1463" s="17"/>
      <c r="S1463" s="17"/>
      <c r="T1463" s="17"/>
      <c r="U1463" s="17"/>
      <c r="V1463" s="17"/>
      <c r="W1463" s="17"/>
      <c r="X1463" s="17"/>
      <c r="Y1463" s="17"/>
      <c r="Z1463" s="17"/>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row>
    <row r="1464">
      <c r="A1464" s="17">
        <v>1462</v>
      </c>
      <c r="B1464" s="17" t="s">
        <v>52</v>
      </c>
      <c r="C1464" s="42" t="s">
        <v>4389</v>
      </c>
      <c r="D1464" s="35" t="s">
        <v>3886</v>
      </c>
      <c r="E1464" s="17" t="s">
        <v>4390</v>
      </c>
      <c r="F1464" s="17" t="s">
        <v>4391</v>
      </c>
      <c r="G1464" s="17">
        <v>22.730119999999999</v>
      </c>
      <c r="H1464" s="17">
        <v>87.521547999999996</v>
      </c>
      <c r="I1464" s="17"/>
      <c r="J1464" s="17"/>
      <c r="K1464" s="17"/>
      <c r="L1464" s="17"/>
      <c r="M1464" s="42" t="s">
        <v>3987</v>
      </c>
      <c r="N1464" s="17"/>
      <c r="O1464" s="17"/>
      <c r="P1464" s="17"/>
      <c r="Q1464" s="17"/>
      <c r="R1464" s="17"/>
      <c r="S1464" s="17"/>
      <c r="T1464" s="17"/>
      <c r="U1464" s="17"/>
      <c r="V1464" s="17"/>
      <c r="W1464" s="17"/>
      <c r="X1464" s="17"/>
      <c r="Y1464" s="17"/>
      <c r="Z1464" s="17"/>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row>
    <row r="1465">
      <c r="A1465" s="17">
        <v>1463</v>
      </c>
      <c r="B1465" s="17" t="s">
        <v>52</v>
      </c>
      <c r="C1465" s="42" t="s">
        <v>4392</v>
      </c>
      <c r="D1465" s="35" t="s">
        <v>3886</v>
      </c>
      <c r="E1465" s="17" t="s">
        <v>4393</v>
      </c>
      <c r="F1465" s="17" t="s">
        <v>4394</v>
      </c>
      <c r="G1465" s="17">
        <v>22.651298000000001</v>
      </c>
      <c r="H1465" s="17">
        <v>87.776455999999996</v>
      </c>
      <c r="I1465" s="17"/>
      <c r="J1465" s="17"/>
      <c r="K1465" s="17"/>
      <c r="L1465" s="17"/>
      <c r="M1465" s="42" t="s">
        <v>4099</v>
      </c>
      <c r="N1465" s="17">
        <v>7003921625</v>
      </c>
      <c r="O1465" s="17">
        <v>16</v>
      </c>
      <c r="P1465" s="17">
        <v>54</v>
      </c>
      <c r="Q1465" s="17" t="s">
        <v>187</v>
      </c>
      <c r="R1465" s="17" t="s">
        <v>339</v>
      </c>
      <c r="S1465" s="17" t="s">
        <v>75</v>
      </c>
      <c r="T1465" s="17"/>
      <c r="U1465" s="17" t="s">
        <v>160</v>
      </c>
      <c r="V1465" s="17" t="s">
        <v>77</v>
      </c>
      <c r="W1465" s="17" t="s">
        <v>4395</v>
      </c>
      <c r="X1465" s="17">
        <v>2</v>
      </c>
      <c r="Y1465" s="17">
        <v>0</v>
      </c>
      <c r="Z1465" s="17"/>
      <c r="AA1465" s="17" t="s">
        <v>187</v>
      </c>
      <c r="AB1465" s="17" t="s">
        <v>79</v>
      </c>
      <c r="AC1465" s="17">
        <v>6</v>
      </c>
      <c r="AD1465" s="17">
        <v>0</v>
      </c>
      <c r="AE1465" s="17">
        <v>0</v>
      </c>
      <c r="AF1465" s="17"/>
      <c r="AG1465" s="17" t="s">
        <v>124</v>
      </c>
      <c r="AH1465" s="17" t="s">
        <v>82</v>
      </c>
      <c r="AI1465" s="17" t="s">
        <v>83</v>
      </c>
      <c r="AJ1465" s="17">
        <v>2111</v>
      </c>
      <c r="AK1465" s="17" t="s">
        <v>75</v>
      </c>
      <c r="AL1465" s="17" t="s">
        <v>75</v>
      </c>
      <c r="AM1465" s="17" t="s">
        <v>75</v>
      </c>
      <c r="AN1465" s="17" t="s">
        <v>84</v>
      </c>
      <c r="AO1465" s="17" t="s">
        <v>75</v>
      </c>
      <c r="AP1465" s="17"/>
      <c r="AQ1465" s="17"/>
      <c r="AR1465" s="17"/>
      <c r="AS1465" s="17"/>
      <c r="AT1465" s="17"/>
      <c r="AU1465" s="17" t="s">
        <v>111</v>
      </c>
    </row>
    <row r="1466">
      <c r="A1466" s="17">
        <v>1464</v>
      </c>
      <c r="B1466" s="17" t="s">
        <v>52</v>
      </c>
      <c r="C1466" s="42" t="s">
        <v>4396</v>
      </c>
      <c r="D1466" s="35" t="s">
        <v>3886</v>
      </c>
      <c r="E1466" s="17" t="s">
        <v>4397</v>
      </c>
      <c r="F1466" s="17" t="s">
        <v>4398</v>
      </c>
      <c r="G1466" s="17">
        <v>22.735171000000001</v>
      </c>
      <c r="H1466" s="17">
        <v>87.349711999999997</v>
      </c>
      <c r="I1466" s="17"/>
      <c r="J1466" s="17"/>
      <c r="K1466" s="17"/>
      <c r="L1466" s="17"/>
      <c r="M1466" s="42" t="s">
        <v>4045</v>
      </c>
      <c r="N1466" s="17">
        <v>6290709471</v>
      </c>
      <c r="O1466" s="17"/>
      <c r="P1466" s="17"/>
      <c r="Q1466" s="17"/>
      <c r="R1466" s="17"/>
      <c r="S1466" s="17"/>
      <c r="T1466" s="17"/>
      <c r="U1466" s="17"/>
      <c r="V1466" s="17"/>
      <c r="W1466" s="17"/>
      <c r="X1466" s="17"/>
      <c r="Y1466" s="17"/>
      <c r="Z1466" s="17"/>
      <c r="AA1466" s="17"/>
      <c r="AB1466" s="17"/>
      <c r="AC1466" s="17"/>
      <c r="AD1466" s="17"/>
      <c r="AE1466" s="17"/>
      <c r="AF1466" s="17"/>
      <c r="AG1466" s="17"/>
      <c r="AH1466" s="17"/>
      <c r="AI1466" s="17"/>
      <c r="AJ1466" s="17"/>
      <c r="AK1466" s="17"/>
      <c r="AL1466" s="17"/>
      <c r="AM1466" s="17"/>
      <c r="AN1466" s="17"/>
      <c r="AO1466" s="17"/>
      <c r="AP1466" s="17"/>
      <c r="AQ1466" s="17"/>
      <c r="AR1466" s="17"/>
      <c r="AS1466" s="17"/>
      <c r="AT1466" s="17"/>
      <c r="AU1466" s="17"/>
    </row>
    <row r="1467">
      <c r="A1467" s="17">
        <v>1465</v>
      </c>
      <c r="B1467" s="17" t="s">
        <v>52</v>
      </c>
      <c r="C1467" s="42" t="s">
        <v>4399</v>
      </c>
      <c r="D1467" s="35" t="s">
        <v>3886</v>
      </c>
      <c r="E1467" s="17" t="s">
        <v>4400</v>
      </c>
      <c r="F1467" s="17" t="s">
        <v>4401</v>
      </c>
      <c r="G1467" s="17">
        <v>22.748632000000001</v>
      </c>
      <c r="H1467" s="17">
        <v>87.332263999999995</v>
      </c>
      <c r="I1467" s="17"/>
      <c r="J1467" s="17"/>
      <c r="K1467" s="17"/>
      <c r="L1467" s="17"/>
      <c r="M1467" s="42" t="s">
        <v>4045</v>
      </c>
      <c r="N1467" s="17">
        <v>6290709471</v>
      </c>
      <c r="O1467" s="17"/>
      <c r="P1467" s="17"/>
      <c r="Q1467" s="17"/>
      <c r="R1467" s="17"/>
      <c r="S1467" s="17"/>
      <c r="T1467" s="17"/>
      <c r="U1467" s="17"/>
      <c r="V1467" s="17"/>
      <c r="W1467" s="17"/>
      <c r="X1467" s="17"/>
      <c r="Y1467" s="17"/>
      <c r="Z1467" s="17"/>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row>
    <row r="1468">
      <c r="A1468" s="17">
        <v>1466</v>
      </c>
      <c r="B1468" s="17" t="s">
        <v>52</v>
      </c>
      <c r="C1468" s="42" t="s">
        <v>4402</v>
      </c>
      <c r="D1468" s="35" t="s">
        <v>3886</v>
      </c>
      <c r="E1468" s="17" t="s">
        <v>4403</v>
      </c>
      <c r="F1468" s="17" t="s">
        <v>4404</v>
      </c>
      <c r="G1468" s="17">
        <v>22.889706</v>
      </c>
      <c r="H1468" s="17">
        <v>87.469336999999996</v>
      </c>
      <c r="I1468" s="17"/>
      <c r="J1468" s="17"/>
      <c r="K1468" s="17"/>
      <c r="L1468" s="17"/>
      <c r="M1468" s="42" t="s">
        <v>4011</v>
      </c>
      <c r="N1468" s="17">
        <v>8240995350</v>
      </c>
      <c r="O1468" s="17">
        <v>15</v>
      </c>
      <c r="P1468" s="17">
        <v>156</v>
      </c>
      <c r="Q1468" s="17" t="s">
        <v>73</v>
      </c>
      <c r="R1468" s="17" t="s">
        <v>74</v>
      </c>
      <c r="S1468" s="17" t="s">
        <v>75</v>
      </c>
      <c r="T1468" s="17"/>
      <c r="U1468" s="17" t="s">
        <v>76</v>
      </c>
      <c r="V1468" s="17" t="s">
        <v>77</v>
      </c>
      <c r="W1468" s="17" t="s">
        <v>914</v>
      </c>
      <c r="X1468" s="17">
        <v>5</v>
      </c>
      <c r="Y1468" s="17">
        <v>3</v>
      </c>
      <c r="Z1468" s="17"/>
      <c r="AA1468" s="17" t="s">
        <v>73</v>
      </c>
      <c r="AB1468" s="17" t="s">
        <v>79</v>
      </c>
      <c r="AC1468" s="17">
        <v>3</v>
      </c>
      <c r="AD1468" s="17">
        <v>0</v>
      </c>
      <c r="AE1468" s="17">
        <v>0</v>
      </c>
      <c r="AF1468" s="17"/>
      <c r="AG1468" s="17" t="s">
        <v>124</v>
      </c>
      <c r="AH1468" s="17" t="s">
        <v>162</v>
      </c>
      <c r="AI1468" s="17" t="s">
        <v>83</v>
      </c>
      <c r="AJ1468" s="17">
        <v>2112</v>
      </c>
      <c r="AK1468" s="17" t="s">
        <v>75</v>
      </c>
      <c r="AL1468" s="17" t="s">
        <v>75</v>
      </c>
      <c r="AM1468" s="17" t="s">
        <v>75</v>
      </c>
      <c r="AN1468" s="17" t="s">
        <v>125</v>
      </c>
      <c r="AO1468" s="17" t="s">
        <v>75</v>
      </c>
      <c r="AP1468" s="17"/>
      <c r="AQ1468" s="17"/>
      <c r="AR1468" s="17"/>
      <c r="AS1468" s="17"/>
      <c r="AT1468" s="17" t="s">
        <v>4405</v>
      </c>
      <c r="AU1468" s="17" t="s">
        <v>127</v>
      </c>
    </row>
    <row r="1469">
      <c r="A1469" s="17">
        <v>1467</v>
      </c>
      <c r="B1469" s="17" t="s">
        <v>52</v>
      </c>
      <c r="C1469" s="42" t="s">
        <v>4406</v>
      </c>
      <c r="D1469" s="35" t="s">
        <v>3886</v>
      </c>
      <c r="E1469" s="17" t="s">
        <v>4407</v>
      </c>
      <c r="F1469" s="17" t="s">
        <v>4408</v>
      </c>
      <c r="G1469" s="17">
        <v>22.848973000000001</v>
      </c>
      <c r="H1469" s="17">
        <v>87.343402999999995</v>
      </c>
      <c r="I1469" s="17"/>
      <c r="J1469" s="17"/>
      <c r="K1469" s="17"/>
      <c r="L1469" s="17"/>
      <c r="M1469" s="42" t="s">
        <v>3967</v>
      </c>
      <c r="N1469" s="17"/>
      <c r="O1469" s="17"/>
      <c r="P1469" s="17"/>
      <c r="Q1469" s="17"/>
      <c r="R1469" s="17"/>
      <c r="S1469" s="17"/>
      <c r="T1469" s="17"/>
      <c r="U1469" s="17"/>
      <c r="V1469" s="17"/>
      <c r="W1469" s="17"/>
      <c r="X1469" s="17"/>
      <c r="Y1469" s="17"/>
      <c r="Z1469" s="17"/>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row>
    <row r="1470">
      <c r="A1470" s="17">
        <v>1468</v>
      </c>
      <c r="B1470" s="17" t="s">
        <v>52</v>
      </c>
      <c r="C1470" s="42" t="s">
        <v>4409</v>
      </c>
      <c r="D1470" s="35" t="s">
        <v>3886</v>
      </c>
      <c r="E1470" s="17" t="s">
        <v>4410</v>
      </c>
      <c r="F1470" s="17" t="s">
        <v>4411</v>
      </c>
      <c r="G1470" s="17">
        <v>22.629863</v>
      </c>
      <c r="H1470" s="17">
        <v>87.770771999999994</v>
      </c>
      <c r="I1470" s="17"/>
      <c r="J1470" s="17"/>
      <c r="K1470" s="17"/>
      <c r="L1470" s="17"/>
      <c r="M1470" s="42" t="s">
        <v>4099</v>
      </c>
      <c r="N1470" s="17">
        <v>7003921625</v>
      </c>
      <c r="O1470" s="17">
        <v>18</v>
      </c>
      <c r="P1470" s="17">
        <v>70</v>
      </c>
      <c r="Q1470" s="17" t="s">
        <v>413</v>
      </c>
      <c r="R1470" s="17" t="s">
        <v>74</v>
      </c>
      <c r="S1470" s="17" t="s">
        <v>75</v>
      </c>
      <c r="T1470" s="17"/>
      <c r="U1470" s="17" t="s">
        <v>160</v>
      </c>
      <c r="V1470" s="17" t="s">
        <v>77</v>
      </c>
      <c r="W1470" s="17" t="s">
        <v>252</v>
      </c>
      <c r="X1470" s="17">
        <v>4</v>
      </c>
      <c r="Y1470" s="17">
        <v>0</v>
      </c>
      <c r="Z1470" s="17"/>
      <c r="AA1470" s="17" t="s">
        <v>413</v>
      </c>
      <c r="AB1470" s="17" t="s">
        <v>79</v>
      </c>
      <c r="AC1470" s="17">
        <v>4</v>
      </c>
      <c r="AD1470" s="17">
        <v>0</v>
      </c>
      <c r="AE1470" s="17">
        <v>0</v>
      </c>
      <c r="AF1470" s="17"/>
      <c r="AG1470" s="17" t="s">
        <v>124</v>
      </c>
      <c r="AH1470" s="17" t="s">
        <v>82</v>
      </c>
      <c r="AI1470" s="17" t="s">
        <v>83</v>
      </c>
      <c r="AJ1470" s="17">
        <v>2111</v>
      </c>
      <c r="AK1470" s="17" t="s">
        <v>75</v>
      </c>
      <c r="AL1470" s="17" t="s">
        <v>75</v>
      </c>
      <c r="AM1470" s="17" t="s">
        <v>75</v>
      </c>
      <c r="AN1470" s="17" t="s">
        <v>84</v>
      </c>
      <c r="AO1470" s="17" t="s">
        <v>75</v>
      </c>
      <c r="AP1470" s="17"/>
      <c r="AQ1470" s="17"/>
      <c r="AR1470" s="17"/>
      <c r="AS1470" s="17"/>
      <c r="AT1470" s="17"/>
      <c r="AU1470" s="17" t="s">
        <v>111</v>
      </c>
    </row>
    <row r="1471">
      <c r="A1471" s="17">
        <v>1469</v>
      </c>
      <c r="B1471" s="17" t="s">
        <v>52</v>
      </c>
      <c r="C1471" s="42" t="s">
        <v>4412</v>
      </c>
      <c r="D1471" s="35" t="s">
        <v>3886</v>
      </c>
      <c r="E1471" s="17" t="s">
        <v>4413</v>
      </c>
      <c r="F1471" s="17" t="s">
        <v>4414</v>
      </c>
      <c r="G1471" s="17">
        <v>22.666813999999999</v>
      </c>
      <c r="H1471" s="17">
        <v>87.702881000000005</v>
      </c>
      <c r="I1471" s="17"/>
      <c r="J1471" s="17"/>
      <c r="K1471" s="17"/>
      <c r="L1471" s="17"/>
      <c r="M1471" s="42" t="s">
        <v>4122</v>
      </c>
      <c r="N1471" s="17">
        <v>7003921625</v>
      </c>
      <c r="O1471" s="17"/>
      <c r="P1471" s="17"/>
      <c r="Q1471" s="17"/>
      <c r="R1471" s="17"/>
      <c r="S1471" s="17"/>
      <c r="T1471" s="17"/>
      <c r="U1471" s="17"/>
      <c r="V1471" s="17"/>
      <c r="W1471" s="17"/>
      <c r="X1471" s="17"/>
      <c r="Y1471" s="17"/>
      <c r="Z1471" s="17"/>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row>
    <row r="1472">
      <c r="A1472" s="17">
        <v>1470</v>
      </c>
      <c r="B1472" s="17" t="s">
        <v>52</v>
      </c>
      <c r="C1472" s="42" t="s">
        <v>4415</v>
      </c>
      <c r="D1472" s="35" t="s">
        <v>3886</v>
      </c>
      <c r="E1472" s="17" t="s">
        <v>4416</v>
      </c>
      <c r="F1472" s="17" t="s">
        <v>4417</v>
      </c>
      <c r="G1472" s="17">
        <v>22.594398999999999</v>
      </c>
      <c r="H1472" s="17">
        <v>87.718635000000006</v>
      </c>
      <c r="I1472" s="17"/>
      <c r="J1472" s="17"/>
      <c r="K1472" s="17"/>
      <c r="L1472" s="17"/>
      <c r="M1472" s="42" t="s">
        <v>4099</v>
      </c>
      <c r="N1472" s="17">
        <v>7003921625</v>
      </c>
      <c r="O1472" s="17">
        <v>18</v>
      </c>
      <c r="P1472" s="17">
        <v>80</v>
      </c>
      <c r="Q1472" s="17" t="s">
        <v>413</v>
      </c>
      <c r="R1472" s="17" t="s">
        <v>74</v>
      </c>
      <c r="S1472" s="17" t="s">
        <v>75</v>
      </c>
      <c r="T1472" s="17"/>
      <c r="U1472" s="17" t="s">
        <v>105</v>
      </c>
      <c r="V1472" s="17" t="s">
        <v>77</v>
      </c>
      <c r="W1472" s="17" t="s">
        <v>443</v>
      </c>
      <c r="X1472" s="17">
        <v>5</v>
      </c>
      <c r="Y1472" s="17">
        <v>3</v>
      </c>
      <c r="Z1472" s="17"/>
      <c r="AA1472" s="17" t="s">
        <v>413</v>
      </c>
      <c r="AB1472" s="17" t="s">
        <v>79</v>
      </c>
      <c r="AC1472" s="17">
        <v>4</v>
      </c>
      <c r="AD1472" s="17">
        <v>0</v>
      </c>
      <c r="AE1472" s="17">
        <v>0</v>
      </c>
      <c r="AF1472" s="17"/>
      <c r="AG1472" s="17" t="s">
        <v>124</v>
      </c>
      <c r="AH1472" s="17" t="s">
        <v>82</v>
      </c>
      <c r="AI1472" s="17" t="s">
        <v>83</v>
      </c>
      <c r="AJ1472" s="17">
        <v>2111</v>
      </c>
      <c r="AK1472" s="17" t="s">
        <v>75</v>
      </c>
      <c r="AL1472" s="17" t="s">
        <v>75</v>
      </c>
      <c r="AM1472" s="17" t="s">
        <v>75</v>
      </c>
      <c r="AN1472" s="17" t="s">
        <v>84</v>
      </c>
      <c r="AO1472" s="17" t="s">
        <v>75</v>
      </c>
      <c r="AP1472" s="17"/>
      <c r="AQ1472" s="17"/>
      <c r="AR1472" s="17"/>
      <c r="AS1472" s="17"/>
      <c r="AT1472" s="17" t="s">
        <v>4418</v>
      </c>
      <c r="AU1472" s="17" t="s">
        <v>111</v>
      </c>
    </row>
    <row r="1473">
      <c r="A1473" s="17">
        <v>1471</v>
      </c>
      <c r="B1473" s="17" t="s">
        <v>52</v>
      </c>
      <c r="C1473" s="42" t="s">
        <v>4419</v>
      </c>
      <c r="D1473" s="35" t="s">
        <v>3886</v>
      </c>
      <c r="E1473" s="17" t="s">
        <v>4420</v>
      </c>
      <c r="F1473" s="17" t="s">
        <v>4421</v>
      </c>
      <c r="G1473" s="17">
        <v>22.440973</v>
      </c>
      <c r="H1473" s="17">
        <v>87.289912000000001</v>
      </c>
      <c r="I1473" s="17"/>
      <c r="J1473" s="17"/>
      <c r="K1473" s="17"/>
      <c r="L1473" s="17"/>
      <c r="M1473" s="42" t="s">
        <v>3889</v>
      </c>
      <c r="N1473" s="17"/>
      <c r="O1473" s="17"/>
      <c r="P1473" s="17"/>
      <c r="Q1473" s="17"/>
      <c r="R1473" s="17"/>
      <c r="S1473" s="17"/>
      <c r="T1473" s="17"/>
      <c r="U1473" s="17"/>
      <c r="V1473" s="17"/>
      <c r="W1473" s="17"/>
      <c r="X1473" s="17"/>
      <c r="Y1473" s="17"/>
      <c r="Z1473" s="17"/>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row>
    <row r="1474">
      <c r="A1474" s="17">
        <v>1472</v>
      </c>
      <c r="B1474" s="17" t="s">
        <v>52</v>
      </c>
      <c r="C1474" s="42" t="s">
        <v>4422</v>
      </c>
      <c r="D1474" s="35" t="s">
        <v>3886</v>
      </c>
      <c r="E1474" s="17" t="s">
        <v>4423</v>
      </c>
      <c r="F1474" s="17" t="s">
        <v>4424</v>
      </c>
      <c r="G1474" s="17">
        <v>22.622209999999999</v>
      </c>
      <c r="H1474" s="17">
        <v>87.728033999999994</v>
      </c>
      <c r="I1474" s="17"/>
      <c r="J1474" s="17"/>
      <c r="K1474" s="17"/>
      <c r="L1474" s="17"/>
      <c r="M1474" s="42" t="s">
        <v>4122</v>
      </c>
      <c r="N1474" s="17">
        <v>7003921625</v>
      </c>
      <c r="O1474" s="17"/>
      <c r="P1474" s="17"/>
      <c r="Q1474" s="17"/>
      <c r="R1474" s="17"/>
      <c r="S1474" s="17"/>
      <c r="T1474" s="17"/>
      <c r="U1474" s="17"/>
      <c r="V1474" s="17"/>
      <c r="W1474" s="17"/>
      <c r="X1474" s="17"/>
      <c r="Y1474" s="17"/>
      <c r="Z1474" s="17"/>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row>
    <row r="1475">
      <c r="A1475" s="17">
        <v>1473</v>
      </c>
      <c r="B1475" s="17" t="s">
        <v>52</v>
      </c>
      <c r="C1475" s="42" t="s">
        <v>4425</v>
      </c>
      <c r="D1475" s="35" t="s">
        <v>3886</v>
      </c>
      <c r="E1475" s="17" t="s">
        <v>4426</v>
      </c>
      <c r="F1475" s="17" t="s">
        <v>4427</v>
      </c>
      <c r="G1475" s="17">
        <v>22.510047</v>
      </c>
      <c r="H1475" s="17">
        <v>87.748200999999995</v>
      </c>
      <c r="I1475" s="17"/>
      <c r="J1475" s="17"/>
      <c r="K1475" s="17"/>
      <c r="L1475" s="17"/>
      <c r="M1475" s="42" t="s">
        <v>4004</v>
      </c>
      <c r="N1475" s="17">
        <v>9382071290</v>
      </c>
      <c r="O1475" s="17"/>
      <c r="P1475" s="17"/>
      <c r="Q1475" s="17"/>
      <c r="R1475" s="17"/>
      <c r="S1475" s="17"/>
      <c r="T1475" s="17"/>
      <c r="U1475" s="17"/>
      <c r="V1475" s="17"/>
      <c r="W1475" s="17"/>
      <c r="X1475" s="17"/>
      <c r="Y1475" s="17"/>
      <c r="Z1475" s="17"/>
      <c r="AA1475" s="17"/>
      <c r="AB1475" s="17"/>
      <c r="AC1475" s="17"/>
      <c r="AD1475" s="17"/>
      <c r="AE1475" s="17"/>
      <c r="AF1475" s="17"/>
      <c r="AG1475" s="17"/>
      <c r="AH1475" s="17"/>
      <c r="AI1475" s="17"/>
      <c r="AJ1475" s="17"/>
      <c r="AK1475" s="17"/>
      <c r="AL1475" s="17"/>
      <c r="AM1475" s="17"/>
      <c r="AN1475" s="17"/>
      <c r="AO1475" s="17"/>
      <c r="AP1475" s="17"/>
      <c r="AQ1475" s="17"/>
      <c r="AR1475" s="17"/>
      <c r="AS1475" s="17"/>
      <c r="AT1475" s="17"/>
      <c r="AU1475" s="17"/>
    </row>
    <row r="1476">
      <c r="A1476" s="17">
        <v>1474</v>
      </c>
      <c r="B1476" s="17" t="s">
        <v>52</v>
      </c>
      <c r="C1476" s="42" t="s">
        <v>4428</v>
      </c>
      <c r="D1476" s="35" t="s">
        <v>3886</v>
      </c>
      <c r="E1476" s="17" t="s">
        <v>4429</v>
      </c>
      <c r="F1476" s="17" t="s">
        <v>4430</v>
      </c>
      <c r="G1476" s="17">
        <v>22.664823999999999</v>
      </c>
      <c r="H1476" s="17">
        <v>87.729811999999995</v>
      </c>
      <c r="I1476" s="17"/>
      <c r="J1476" s="17"/>
      <c r="K1476" s="17"/>
      <c r="L1476" s="17"/>
      <c r="M1476" s="42" t="s">
        <v>4099</v>
      </c>
      <c r="N1476" s="17">
        <v>7003921625</v>
      </c>
      <c r="O1476" s="17">
        <v>20</v>
      </c>
      <c r="P1476" s="17">
        <v>80</v>
      </c>
      <c r="Q1476" s="17" t="s">
        <v>73</v>
      </c>
      <c r="R1476" s="17" t="s">
        <v>74</v>
      </c>
      <c r="S1476" s="17" t="s">
        <v>75</v>
      </c>
      <c r="T1476" s="17"/>
      <c r="U1476" s="17" t="s">
        <v>76</v>
      </c>
      <c r="V1476" s="17" t="s">
        <v>77</v>
      </c>
      <c r="W1476" s="17" t="s">
        <v>330</v>
      </c>
      <c r="X1476" s="17">
        <v>3</v>
      </c>
      <c r="Y1476" s="17">
        <v>0</v>
      </c>
      <c r="Z1476" s="17"/>
      <c r="AA1476" s="17" t="s">
        <v>73</v>
      </c>
      <c r="AB1476" s="17" t="s">
        <v>79</v>
      </c>
      <c r="AC1476" s="17">
        <v>3</v>
      </c>
      <c r="AD1476" s="17">
        <v>0</v>
      </c>
      <c r="AE1476" s="17">
        <v>0</v>
      </c>
      <c r="AF1476" s="17"/>
      <c r="AG1476" s="17" t="s">
        <v>124</v>
      </c>
      <c r="AH1476" s="17" t="s">
        <v>82</v>
      </c>
      <c r="AI1476" s="17" t="s">
        <v>83</v>
      </c>
      <c r="AJ1476" s="17">
        <v>2111</v>
      </c>
      <c r="AK1476" s="17" t="s">
        <v>75</v>
      </c>
      <c r="AL1476" s="17" t="s">
        <v>75</v>
      </c>
      <c r="AM1476" s="17" t="s">
        <v>75</v>
      </c>
      <c r="AN1476" s="17" t="s">
        <v>84</v>
      </c>
      <c r="AO1476" s="17" t="s">
        <v>75</v>
      </c>
      <c r="AP1476" s="17"/>
      <c r="AQ1476" s="17"/>
      <c r="AR1476" s="17"/>
      <c r="AS1476" s="17"/>
      <c r="AT1476" s="17" t="s">
        <v>4431</v>
      </c>
      <c r="AU1476" s="17" t="s">
        <v>127</v>
      </c>
    </row>
    <row r="1477">
      <c r="A1477" s="17">
        <v>1475</v>
      </c>
      <c r="B1477" s="17" t="s">
        <v>52</v>
      </c>
      <c r="C1477" s="42" t="s">
        <v>4432</v>
      </c>
      <c r="D1477" s="35" t="s">
        <v>3886</v>
      </c>
      <c r="E1477" s="17" t="s">
        <v>4433</v>
      </c>
      <c r="F1477" s="17" t="s">
        <v>4434</v>
      </c>
      <c r="G1477" s="17">
        <v>22.570394</v>
      </c>
      <c r="H1477" s="17">
        <v>87.723468999999994</v>
      </c>
      <c r="I1477" s="17"/>
      <c r="J1477" s="17"/>
      <c r="K1477" s="17"/>
      <c r="L1477" s="17"/>
      <c r="M1477" s="42" t="s">
        <v>4004</v>
      </c>
      <c r="N1477" s="17">
        <v>9382071290</v>
      </c>
      <c r="O1477" s="17"/>
      <c r="P1477" s="17"/>
      <c r="Q1477" s="17"/>
      <c r="R1477" s="17"/>
      <c r="S1477" s="17"/>
      <c r="T1477" s="17"/>
      <c r="U1477" s="17"/>
      <c r="V1477" s="17"/>
      <c r="W1477" s="17"/>
      <c r="X1477" s="17"/>
      <c r="Y1477" s="17"/>
      <c r="Z1477" s="17"/>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row>
    <row r="1478">
      <c r="A1478" s="17">
        <v>1476</v>
      </c>
      <c r="B1478" s="17" t="s">
        <v>52</v>
      </c>
      <c r="C1478" s="42" t="s">
        <v>4435</v>
      </c>
      <c r="D1478" s="35" t="s">
        <v>3886</v>
      </c>
      <c r="E1478" s="17" t="s">
        <v>4436</v>
      </c>
      <c r="F1478" s="17" t="s">
        <v>4437</v>
      </c>
      <c r="G1478" s="17">
        <v>22.720527000000001</v>
      </c>
      <c r="H1478" s="17">
        <v>87.341279999999998</v>
      </c>
      <c r="I1478" s="17"/>
      <c r="J1478" s="17"/>
      <c r="K1478" s="17"/>
      <c r="L1478" s="17"/>
      <c r="M1478" s="42" t="s">
        <v>4045</v>
      </c>
      <c r="N1478" s="17">
        <v>6290709471</v>
      </c>
      <c r="O1478" s="17"/>
      <c r="P1478" s="17"/>
      <c r="Q1478" s="17"/>
      <c r="R1478" s="17"/>
      <c r="S1478" s="17"/>
      <c r="T1478" s="17"/>
      <c r="U1478" s="17"/>
      <c r="V1478" s="17"/>
      <c r="W1478" s="17"/>
      <c r="X1478" s="17"/>
      <c r="Y1478" s="17"/>
      <c r="Z1478" s="17"/>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row>
    <row r="1479">
      <c r="A1479" s="17">
        <v>1477</v>
      </c>
      <c r="B1479" s="17" t="s">
        <v>52</v>
      </c>
      <c r="C1479" s="42" t="s">
        <v>1563</v>
      </c>
      <c r="D1479" s="35" t="s">
        <v>3886</v>
      </c>
      <c r="E1479" s="17" t="s">
        <v>1564</v>
      </c>
      <c r="F1479" s="17" t="s">
        <v>1565</v>
      </c>
      <c r="G1479" s="17">
        <v>22.559372</v>
      </c>
      <c r="H1479" s="17">
        <v>87.831424999999996</v>
      </c>
      <c r="I1479" s="17"/>
      <c r="J1479" s="17"/>
      <c r="K1479" s="17"/>
      <c r="L1479" s="17"/>
      <c r="M1479" s="42" t="s">
        <v>4004</v>
      </c>
      <c r="N1479" s="17">
        <v>9382071290</v>
      </c>
      <c r="O1479" s="17"/>
      <c r="P1479" s="17"/>
      <c r="Q1479" s="17"/>
      <c r="R1479" s="17"/>
      <c r="S1479" s="17"/>
      <c r="T1479" s="17"/>
      <c r="U1479" s="17"/>
      <c r="V1479" s="17"/>
      <c r="W1479" s="17"/>
      <c r="X1479" s="17"/>
      <c r="Y1479" s="17"/>
      <c r="Z1479" s="17"/>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row>
    <row r="1480">
      <c r="A1480" s="17">
        <v>1478</v>
      </c>
      <c r="B1480" s="17" t="s">
        <v>52</v>
      </c>
      <c r="C1480" s="42" t="s">
        <v>4438</v>
      </c>
      <c r="D1480" s="35" t="s">
        <v>3886</v>
      </c>
      <c r="E1480" s="17" t="s">
        <v>4439</v>
      </c>
      <c r="F1480" s="17" t="s">
        <v>4440</v>
      </c>
      <c r="G1480" s="17">
        <v>22.532585999999998</v>
      </c>
      <c r="H1480" s="17">
        <v>87.682102</v>
      </c>
      <c r="I1480" s="17"/>
      <c r="J1480" s="17"/>
      <c r="K1480" s="17"/>
      <c r="L1480" s="17"/>
      <c r="M1480" s="42" t="s">
        <v>4004</v>
      </c>
      <c r="N1480" s="17">
        <v>9382071290</v>
      </c>
      <c r="O1480" s="17"/>
      <c r="P1480" s="17"/>
      <c r="Q1480" s="17"/>
      <c r="R1480" s="17"/>
      <c r="S1480" s="17"/>
      <c r="T1480" s="17"/>
      <c r="U1480" s="17"/>
      <c r="V1480" s="17"/>
      <c r="W1480" s="17"/>
      <c r="X1480" s="17"/>
      <c r="Y1480" s="17"/>
      <c r="Z1480" s="17"/>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row>
    <row r="1481">
      <c r="A1481" s="17">
        <v>1479</v>
      </c>
      <c r="B1481" s="17" t="s">
        <v>52</v>
      </c>
      <c r="C1481" s="42" t="s">
        <v>4441</v>
      </c>
      <c r="D1481" s="35" t="s">
        <v>3886</v>
      </c>
      <c r="E1481" s="17" t="s">
        <v>4442</v>
      </c>
      <c r="F1481" s="17" t="s">
        <v>4443</v>
      </c>
      <c r="G1481" s="17">
        <v>22.809258</v>
      </c>
      <c r="H1481" s="17">
        <v>87.592217000000005</v>
      </c>
      <c r="I1481" s="17"/>
      <c r="J1481" s="17"/>
      <c r="K1481" s="17"/>
      <c r="L1481" s="17"/>
      <c r="M1481" s="42" t="s">
        <v>4011</v>
      </c>
      <c r="N1481" s="17">
        <v>8240995350</v>
      </c>
      <c r="O1481" s="17"/>
      <c r="P1481" s="17"/>
      <c r="Q1481" s="17"/>
      <c r="R1481" s="17"/>
      <c r="S1481" s="17"/>
      <c r="T1481" s="17"/>
      <c r="U1481" s="17"/>
      <c r="V1481" s="17"/>
      <c r="W1481" s="17"/>
      <c r="X1481" s="17"/>
      <c r="Y1481" s="17"/>
      <c r="Z1481" s="17"/>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row>
    <row r="1482">
      <c r="A1482" s="17">
        <v>1480</v>
      </c>
      <c r="B1482" s="17" t="s">
        <v>52</v>
      </c>
      <c r="C1482" s="42" t="s">
        <v>4444</v>
      </c>
      <c r="D1482" s="35" t="s">
        <v>3886</v>
      </c>
      <c r="E1482" s="17" t="s">
        <v>4416</v>
      </c>
      <c r="F1482" s="17" t="s">
        <v>4445</v>
      </c>
      <c r="G1482" s="17">
        <v>22.597943999999998</v>
      </c>
      <c r="H1482" s="17">
        <v>87.735429999999994</v>
      </c>
      <c r="I1482" s="17"/>
      <c r="J1482" s="17"/>
      <c r="K1482" s="17"/>
      <c r="L1482" s="17"/>
      <c r="M1482" s="42" t="s">
        <v>4122</v>
      </c>
      <c r="N1482" s="17">
        <v>7003921625</v>
      </c>
      <c r="O1482" s="17"/>
      <c r="P1482" s="17"/>
      <c r="Q1482" s="17"/>
      <c r="R1482" s="17"/>
      <c r="S1482" s="17"/>
      <c r="T1482" s="17"/>
      <c r="U1482" s="17"/>
      <c r="V1482" s="17"/>
      <c r="W1482" s="17"/>
      <c r="X1482" s="17"/>
      <c r="Y1482" s="17"/>
      <c r="Z1482" s="17"/>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row>
    <row r="1483">
      <c r="A1483" s="17">
        <v>1481</v>
      </c>
      <c r="B1483" s="17" t="s">
        <v>52</v>
      </c>
      <c r="C1483" s="42" t="s">
        <v>4446</v>
      </c>
      <c r="D1483" s="35" t="s">
        <v>3886</v>
      </c>
      <c r="E1483" s="17" t="s">
        <v>4447</v>
      </c>
      <c r="F1483" s="17" t="s">
        <v>4448</v>
      </c>
      <c r="G1483" s="17">
        <v>22.648904999999999</v>
      </c>
      <c r="H1483" s="17">
        <v>87.312961999999999</v>
      </c>
      <c r="I1483" s="17"/>
      <c r="J1483" s="17"/>
      <c r="K1483" s="17"/>
      <c r="L1483" s="17"/>
      <c r="M1483" s="42" t="s">
        <v>4038</v>
      </c>
      <c r="N1483" s="17"/>
      <c r="O1483" s="17"/>
      <c r="P1483" s="17"/>
      <c r="Q1483" s="17"/>
      <c r="R1483" s="17"/>
      <c r="S1483" s="17"/>
      <c r="T1483" s="17"/>
      <c r="U1483" s="17"/>
      <c r="V1483" s="17"/>
      <c r="W1483" s="17"/>
      <c r="X1483" s="17"/>
      <c r="Y1483" s="17"/>
      <c r="Z1483" s="17"/>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row>
    <row r="1484">
      <c r="A1484" s="17">
        <v>1482</v>
      </c>
      <c r="B1484" s="17" t="s">
        <v>52</v>
      </c>
      <c r="C1484" s="42" t="s">
        <v>4449</v>
      </c>
      <c r="D1484" s="35" t="s">
        <v>3886</v>
      </c>
      <c r="E1484" s="17" t="s">
        <v>4450</v>
      </c>
      <c r="F1484" s="17" t="s">
        <v>4451</v>
      </c>
      <c r="G1484" s="17">
        <v>22.541416999999999</v>
      </c>
      <c r="H1484" s="17">
        <v>87.853296999999998</v>
      </c>
      <c r="I1484" s="17"/>
      <c r="J1484" s="17"/>
      <c r="K1484" s="17"/>
      <c r="L1484" s="17"/>
      <c r="M1484" s="42" t="s">
        <v>4004</v>
      </c>
      <c r="N1484" s="17">
        <v>9382071290</v>
      </c>
      <c r="O1484" s="17"/>
      <c r="P1484" s="17"/>
      <c r="Q1484" s="17"/>
      <c r="R1484" s="17"/>
      <c r="S1484" s="17"/>
      <c r="T1484" s="17"/>
      <c r="U1484" s="17"/>
      <c r="V1484" s="17"/>
      <c r="W1484" s="17"/>
      <c r="X1484" s="17"/>
      <c r="Y1484" s="17"/>
      <c r="Z1484" s="17"/>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row>
    <row r="1485">
      <c r="A1485" s="17">
        <v>1483</v>
      </c>
      <c r="B1485" s="17" t="s">
        <v>52</v>
      </c>
      <c r="C1485" s="42" t="s">
        <v>4452</v>
      </c>
      <c r="D1485" s="35" t="s">
        <v>3886</v>
      </c>
      <c r="E1485" s="17" t="s">
        <v>4453</v>
      </c>
      <c r="F1485" s="17" t="s">
        <v>4454</v>
      </c>
      <c r="G1485" s="17">
        <v>22.618739999999999</v>
      </c>
      <c r="H1485" s="17">
        <v>87.313188999999994</v>
      </c>
      <c r="I1485" s="17"/>
      <c r="J1485" s="17"/>
      <c r="K1485" s="17"/>
      <c r="L1485" s="17"/>
      <c r="M1485" s="42" t="s">
        <v>4033</v>
      </c>
      <c r="N1485" s="17"/>
      <c r="O1485" s="17"/>
      <c r="P1485" s="17"/>
      <c r="Q1485" s="17"/>
      <c r="R1485" s="17"/>
      <c r="S1485" s="17"/>
      <c r="T1485" s="17"/>
      <c r="U1485" s="17"/>
      <c r="V1485" s="17"/>
      <c r="W1485" s="17"/>
      <c r="X1485" s="17"/>
      <c r="Y1485" s="17"/>
      <c r="Z1485" s="17"/>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row>
    <row r="1486">
      <c r="A1486" s="17">
        <v>1484</v>
      </c>
      <c r="B1486" s="17" t="s">
        <v>52</v>
      </c>
      <c r="C1486" s="42" t="s">
        <v>4455</v>
      </c>
      <c r="D1486" s="35" t="s">
        <v>3886</v>
      </c>
      <c r="E1486" s="17" t="s">
        <v>4456</v>
      </c>
      <c r="F1486" s="17" t="s">
        <v>4457</v>
      </c>
      <c r="G1486" s="17">
        <v>22.659542999999999</v>
      </c>
      <c r="H1486" s="17">
        <v>87.593968000000004</v>
      </c>
      <c r="I1486" s="17"/>
      <c r="J1486" s="17"/>
      <c r="K1486" s="17"/>
      <c r="L1486" s="17"/>
      <c r="M1486" s="42" t="s">
        <v>3987</v>
      </c>
      <c r="N1486" s="17"/>
      <c r="O1486" s="17"/>
      <c r="P1486" s="17"/>
      <c r="Q1486" s="17"/>
      <c r="R1486" s="17"/>
      <c r="S1486" s="17"/>
      <c r="T1486" s="17"/>
      <c r="U1486" s="17"/>
      <c r="V1486" s="17"/>
      <c r="W1486" s="17"/>
      <c r="X1486" s="17"/>
      <c r="Y1486" s="17"/>
      <c r="Z1486" s="17"/>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row>
    <row r="1487">
      <c r="A1487" s="17">
        <v>1485</v>
      </c>
      <c r="B1487" s="17" t="s">
        <v>52</v>
      </c>
      <c r="C1487" s="42" t="s">
        <v>4458</v>
      </c>
      <c r="D1487" s="35" t="s">
        <v>3886</v>
      </c>
      <c r="E1487" s="17" t="s">
        <v>4459</v>
      </c>
      <c r="F1487" s="17" t="s">
        <v>4460</v>
      </c>
      <c r="G1487" s="17">
        <v>22.788830000000001</v>
      </c>
      <c r="H1487" s="17">
        <v>87.671195999999995</v>
      </c>
      <c r="I1487" s="17"/>
      <c r="J1487" s="17"/>
      <c r="K1487" s="17"/>
      <c r="L1487" s="17"/>
      <c r="M1487" s="42" t="s">
        <v>3987</v>
      </c>
      <c r="N1487" s="17"/>
      <c r="O1487" s="17"/>
      <c r="P1487" s="17"/>
      <c r="Q1487" s="17"/>
      <c r="R1487" s="17"/>
      <c r="S1487" s="17"/>
      <c r="T1487" s="17"/>
      <c r="U1487" s="17"/>
      <c r="V1487" s="17"/>
      <c r="W1487" s="17"/>
      <c r="X1487" s="17"/>
      <c r="Y1487" s="17"/>
      <c r="Z1487" s="17"/>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row>
    <row r="1488">
      <c r="A1488" s="17">
        <v>1486</v>
      </c>
      <c r="B1488" s="17" t="s">
        <v>52</v>
      </c>
      <c r="C1488" s="42" t="s">
        <v>4461</v>
      </c>
      <c r="D1488" s="35" t="s">
        <v>3886</v>
      </c>
      <c r="E1488" s="17" t="s">
        <v>4462</v>
      </c>
      <c r="F1488" s="17" t="s">
        <v>4463</v>
      </c>
      <c r="G1488" s="17">
        <v>22.616448999999999</v>
      </c>
      <c r="H1488" s="17">
        <v>87.331519999999998</v>
      </c>
      <c r="I1488" s="17"/>
      <c r="J1488" s="17"/>
      <c r="K1488" s="17"/>
      <c r="L1488" s="17"/>
      <c r="M1488" s="42" t="s">
        <v>4038</v>
      </c>
      <c r="N1488" s="17"/>
      <c r="O1488" s="17"/>
      <c r="P1488" s="17"/>
      <c r="Q1488" s="17"/>
      <c r="R1488" s="17"/>
      <c r="S1488" s="17"/>
      <c r="T1488" s="17"/>
      <c r="U1488" s="17"/>
      <c r="V1488" s="17"/>
      <c r="W1488" s="17"/>
      <c r="X1488" s="17"/>
      <c r="Y1488" s="17"/>
      <c r="Z1488" s="17"/>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row>
    <row r="1489">
      <c r="A1489" s="17">
        <v>1487</v>
      </c>
      <c r="B1489" s="17" t="s">
        <v>52</v>
      </c>
      <c r="C1489" s="42" t="s">
        <v>4464</v>
      </c>
      <c r="D1489" s="35" t="s">
        <v>3886</v>
      </c>
      <c r="E1489" s="17" t="s">
        <v>4465</v>
      </c>
      <c r="F1489" s="17" t="s">
        <v>2687</v>
      </c>
      <c r="G1489" s="17">
        <v>22.737244</v>
      </c>
      <c r="H1489" s="17">
        <v>87.370110999999994</v>
      </c>
      <c r="I1489" s="17"/>
      <c r="J1489" s="17"/>
      <c r="K1489" s="17"/>
      <c r="L1489" s="17"/>
      <c r="M1489" s="42" t="s">
        <v>4045</v>
      </c>
      <c r="N1489" s="17">
        <v>6290709471</v>
      </c>
      <c r="O1489" s="17"/>
      <c r="P1489" s="17"/>
      <c r="Q1489" s="17"/>
      <c r="R1489" s="17"/>
      <c r="S1489" s="17"/>
      <c r="T1489" s="17"/>
      <c r="U1489" s="17"/>
      <c r="V1489" s="17"/>
      <c r="W1489" s="17"/>
      <c r="X1489" s="17"/>
      <c r="Y1489" s="17"/>
      <c r="Z1489" s="17"/>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row>
    <row r="1490">
      <c r="A1490" s="17">
        <v>1488</v>
      </c>
      <c r="B1490" s="17" t="s">
        <v>52</v>
      </c>
      <c r="C1490" s="42" t="s">
        <v>4466</v>
      </c>
      <c r="D1490" s="35" t="s">
        <v>3886</v>
      </c>
      <c r="E1490" s="17" t="s">
        <v>4467</v>
      </c>
      <c r="F1490" s="17" t="s">
        <v>4468</v>
      </c>
      <c r="G1490" s="17">
        <v>22.824631</v>
      </c>
      <c r="H1490" s="17">
        <v>87.114656999999994</v>
      </c>
      <c r="I1490" s="17"/>
      <c r="J1490" s="17"/>
      <c r="K1490" s="17"/>
      <c r="L1490" s="17"/>
      <c r="M1490" s="42" t="s">
        <v>4210</v>
      </c>
      <c r="N1490" s="17">
        <v>7980098242</v>
      </c>
      <c r="O1490" s="17">
        <v>9</v>
      </c>
      <c r="P1490" s="17">
        <v>70</v>
      </c>
      <c r="Q1490" s="17" t="s">
        <v>105</v>
      </c>
      <c r="R1490" s="17" t="s">
        <v>74</v>
      </c>
      <c r="S1490" s="17" t="s">
        <v>75</v>
      </c>
      <c r="T1490" s="17"/>
      <c r="U1490" s="17" t="s">
        <v>105</v>
      </c>
      <c r="V1490" s="17" t="s">
        <v>340</v>
      </c>
      <c r="W1490" s="17" t="s">
        <v>123</v>
      </c>
      <c r="X1490" s="17">
        <v>3</v>
      </c>
      <c r="Y1490" s="17">
        <v>1</v>
      </c>
      <c r="Z1490" s="17"/>
      <c r="AA1490" s="17" t="s">
        <v>105</v>
      </c>
      <c r="AB1490" s="17" t="s">
        <v>79</v>
      </c>
      <c r="AC1490" s="17">
        <v>5</v>
      </c>
      <c r="AD1490" s="17">
        <v>0</v>
      </c>
      <c r="AE1490" s="17">
        <v>0</v>
      </c>
      <c r="AF1490" s="17"/>
      <c r="AG1490" s="17" t="s">
        <v>81</v>
      </c>
      <c r="AH1490" s="17" t="s">
        <v>82</v>
      </c>
      <c r="AI1490" s="17" t="s">
        <v>83</v>
      </c>
      <c r="AJ1490" s="17">
        <v>2111</v>
      </c>
      <c r="AK1490" s="17" t="s">
        <v>75</v>
      </c>
      <c r="AL1490" s="17" t="s">
        <v>137</v>
      </c>
      <c r="AM1490" s="17" t="s">
        <v>75</v>
      </c>
      <c r="AN1490" s="17" t="s">
        <v>84</v>
      </c>
      <c r="AO1490" s="17" t="s">
        <v>75</v>
      </c>
      <c r="AP1490" s="17"/>
      <c r="AQ1490" s="17"/>
      <c r="AR1490" s="17"/>
      <c r="AS1490" s="17"/>
      <c r="AT1490" s="17" t="s">
        <v>4469</v>
      </c>
      <c r="AU1490" s="17" t="s">
        <v>111</v>
      </c>
    </row>
    <row r="1491">
      <c r="A1491" s="17">
        <v>1489</v>
      </c>
      <c r="B1491" s="17" t="s">
        <v>52</v>
      </c>
      <c r="C1491" s="42" t="s">
        <v>4470</v>
      </c>
      <c r="D1491" s="35" t="s">
        <v>3886</v>
      </c>
      <c r="E1491" s="17" t="s">
        <v>4471</v>
      </c>
      <c r="F1491" s="17" t="s">
        <v>4472</v>
      </c>
      <c r="G1491" s="17">
        <v>22.555268999999999</v>
      </c>
      <c r="H1491" s="17">
        <v>87.724630000000005</v>
      </c>
      <c r="I1491" s="17"/>
      <c r="J1491" s="17"/>
      <c r="K1491" s="17"/>
      <c r="L1491" s="17"/>
      <c r="M1491" s="42" t="s">
        <v>4004</v>
      </c>
      <c r="N1491" s="17">
        <v>9382071290</v>
      </c>
      <c r="O1491" s="17"/>
      <c r="P1491" s="17"/>
      <c r="Q1491" s="17"/>
      <c r="R1491" s="17"/>
      <c r="S1491" s="17"/>
      <c r="T1491" s="17"/>
      <c r="U1491" s="17"/>
      <c r="V1491" s="17"/>
      <c r="W1491" s="17"/>
      <c r="X1491" s="17"/>
      <c r="Y1491" s="17"/>
      <c r="Z1491" s="17"/>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row>
    <row r="1492">
      <c r="A1492" s="17">
        <v>1490</v>
      </c>
      <c r="B1492" s="17" t="s">
        <v>52</v>
      </c>
      <c r="C1492" s="42" t="s">
        <v>4473</v>
      </c>
      <c r="D1492" s="35" t="s">
        <v>3886</v>
      </c>
      <c r="E1492" s="17" t="s">
        <v>4474</v>
      </c>
      <c r="F1492" s="17" t="s">
        <v>4475</v>
      </c>
      <c r="G1492" s="17">
        <v>22.710812000000001</v>
      </c>
      <c r="H1492" s="17">
        <v>87.144022000000007</v>
      </c>
      <c r="I1492" s="17"/>
      <c r="J1492" s="17"/>
      <c r="K1492" s="17"/>
      <c r="L1492" s="17"/>
      <c r="M1492" s="42" t="s">
        <v>4210</v>
      </c>
      <c r="N1492" s="17">
        <v>7980098242</v>
      </c>
      <c r="O1492" s="17"/>
      <c r="P1492" s="17"/>
      <c r="Q1492" s="17"/>
      <c r="R1492" s="17"/>
      <c r="S1492" s="17"/>
      <c r="T1492" s="17"/>
      <c r="U1492" s="17"/>
      <c r="V1492" s="17"/>
      <c r="W1492" s="17"/>
      <c r="X1492" s="17"/>
      <c r="Y1492" s="17"/>
      <c r="Z1492" s="17"/>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row>
    <row r="1493">
      <c r="A1493" s="17">
        <v>1491</v>
      </c>
      <c r="B1493" s="17" t="s">
        <v>52</v>
      </c>
      <c r="C1493" s="42" t="s">
        <v>4476</v>
      </c>
      <c r="D1493" s="35" t="s">
        <v>3886</v>
      </c>
      <c r="E1493" s="17" t="s">
        <v>2477</v>
      </c>
      <c r="F1493" s="17" t="s">
        <v>4477</v>
      </c>
      <c r="G1493" s="17">
        <v>22.473049</v>
      </c>
      <c r="H1493" s="17">
        <v>87.432362999999995</v>
      </c>
      <c r="I1493" s="17"/>
      <c r="J1493" s="17"/>
      <c r="K1493" s="17"/>
      <c r="L1493" s="17"/>
      <c r="M1493" s="42" t="s">
        <v>3893</v>
      </c>
      <c r="N1493" s="17"/>
      <c r="O1493" s="17"/>
      <c r="P1493" s="17"/>
      <c r="Q1493" s="17"/>
      <c r="R1493" s="17"/>
      <c r="S1493" s="17"/>
      <c r="T1493" s="17"/>
      <c r="U1493" s="17"/>
      <c r="V1493" s="17"/>
      <c r="W1493" s="17"/>
      <c r="X1493" s="17"/>
      <c r="Y1493" s="17"/>
      <c r="Z1493" s="17"/>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row>
    <row r="1494">
      <c r="A1494" s="17">
        <v>1492</v>
      </c>
      <c r="B1494" s="17" t="s">
        <v>52</v>
      </c>
      <c r="C1494" s="42" t="s">
        <v>4478</v>
      </c>
      <c r="D1494" s="35" t="s">
        <v>3886</v>
      </c>
      <c r="E1494" s="17" t="s">
        <v>4479</v>
      </c>
      <c r="F1494" s="17" t="s">
        <v>4480</v>
      </c>
      <c r="G1494" s="17">
        <v>22.610758000000001</v>
      </c>
      <c r="H1494" s="17">
        <v>87.351687999999996</v>
      </c>
      <c r="I1494" s="17"/>
      <c r="J1494" s="17"/>
      <c r="K1494" s="17"/>
      <c r="L1494" s="17"/>
      <c r="M1494" s="42" t="s">
        <v>4038</v>
      </c>
      <c r="N1494" s="17"/>
      <c r="O1494" s="17"/>
      <c r="P1494" s="17"/>
      <c r="Q1494" s="17"/>
      <c r="R1494" s="17"/>
      <c r="S1494" s="17"/>
      <c r="T1494" s="17"/>
      <c r="U1494" s="17"/>
      <c r="V1494" s="17"/>
      <c r="W1494" s="17"/>
      <c r="X1494" s="17"/>
      <c r="Y1494" s="17"/>
      <c r="Z1494" s="17"/>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row>
    <row r="1495">
      <c r="A1495" s="17">
        <v>1493</v>
      </c>
      <c r="B1495" s="17" t="s">
        <v>52</v>
      </c>
      <c r="C1495" s="42" t="s">
        <v>4481</v>
      </c>
      <c r="D1495" s="35" t="s">
        <v>3886</v>
      </c>
      <c r="E1495" s="17" t="s">
        <v>4482</v>
      </c>
      <c r="F1495" s="17" t="s">
        <v>4483</v>
      </c>
      <c r="G1495" s="17">
        <v>22.612825000000001</v>
      </c>
      <c r="H1495" s="17">
        <v>87.298218000000006</v>
      </c>
      <c r="I1495" s="17"/>
      <c r="J1495" s="17"/>
      <c r="K1495" s="17"/>
      <c r="L1495" s="17"/>
      <c r="M1495" s="42" t="s">
        <v>4038</v>
      </c>
      <c r="N1495" s="17"/>
      <c r="O1495" s="17"/>
      <c r="P1495" s="17"/>
      <c r="Q1495" s="17"/>
      <c r="R1495" s="17"/>
      <c r="S1495" s="17"/>
      <c r="T1495" s="17"/>
      <c r="U1495" s="17"/>
      <c r="V1495" s="17"/>
      <c r="W1495" s="17"/>
      <c r="X1495" s="17"/>
      <c r="Y1495" s="17"/>
      <c r="Z1495" s="17"/>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row>
    <row r="1496">
      <c r="A1496" s="17">
        <v>1494</v>
      </c>
      <c r="B1496" s="17" t="s">
        <v>52</v>
      </c>
      <c r="C1496" s="42" t="s">
        <v>4484</v>
      </c>
      <c r="D1496" s="35" t="s">
        <v>3886</v>
      </c>
      <c r="E1496" s="17" t="s">
        <v>4485</v>
      </c>
      <c r="F1496" s="17" t="s">
        <v>4486</v>
      </c>
      <c r="G1496" s="17">
        <v>22.866852000000002</v>
      </c>
      <c r="H1496" s="17">
        <v>87.497255999999993</v>
      </c>
      <c r="I1496" s="17"/>
      <c r="J1496" s="17"/>
      <c r="K1496" s="17"/>
      <c r="L1496" s="17"/>
      <c r="M1496" s="42" t="s">
        <v>4011</v>
      </c>
      <c r="N1496" s="17">
        <v>8240995350</v>
      </c>
      <c r="O1496" s="17"/>
      <c r="P1496" s="17"/>
      <c r="Q1496" s="17"/>
      <c r="R1496" s="17"/>
      <c r="S1496" s="17"/>
      <c r="T1496" s="17"/>
      <c r="U1496" s="17"/>
      <c r="V1496" s="17"/>
      <c r="W1496" s="17"/>
      <c r="X1496" s="17"/>
      <c r="Y1496" s="17"/>
      <c r="Z1496" s="17"/>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row>
    <row r="1497">
      <c r="A1497" s="17">
        <v>1495</v>
      </c>
      <c r="B1497" s="17" t="s">
        <v>52</v>
      </c>
      <c r="C1497" s="42" t="s">
        <v>4487</v>
      </c>
      <c r="D1497" s="35" t="s">
        <v>3886</v>
      </c>
      <c r="E1497" s="17" t="s">
        <v>4488</v>
      </c>
      <c r="F1497" s="17" t="s">
        <v>4489</v>
      </c>
      <c r="G1497" s="17">
        <v>22.874987000000001</v>
      </c>
      <c r="H1497" s="17">
        <v>87.384052999999994</v>
      </c>
      <c r="I1497" s="17"/>
      <c r="J1497" s="17"/>
      <c r="K1497" s="17"/>
      <c r="L1497" s="17"/>
      <c r="M1497" s="42" t="s">
        <v>3967</v>
      </c>
      <c r="N1497" s="17"/>
      <c r="O1497" s="17"/>
      <c r="P1497" s="17"/>
      <c r="Q1497" s="17"/>
      <c r="R1497" s="17"/>
      <c r="S1497" s="17"/>
      <c r="T1497" s="17"/>
      <c r="U1497" s="17"/>
      <c r="V1497" s="17"/>
      <c r="W1497" s="17"/>
      <c r="X1497" s="17"/>
      <c r="Y1497" s="17"/>
      <c r="Z1497" s="17"/>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row>
    <row r="1498">
      <c r="A1498" s="17">
        <v>1496</v>
      </c>
      <c r="B1498" s="17" t="s">
        <v>52</v>
      </c>
      <c r="C1498" s="42" t="s">
        <v>4490</v>
      </c>
      <c r="D1498" s="35" t="s">
        <v>3886</v>
      </c>
      <c r="E1498" s="17" t="s">
        <v>4491</v>
      </c>
      <c r="F1498" s="17" t="s">
        <v>4492</v>
      </c>
      <c r="G1498" s="17">
        <v>22.670805000000001</v>
      </c>
      <c r="H1498" s="17">
        <v>87.235016999999999</v>
      </c>
      <c r="I1498" s="17"/>
      <c r="J1498" s="17"/>
      <c r="K1498" s="17"/>
      <c r="L1498" s="17"/>
      <c r="M1498" s="42" t="s">
        <v>4366</v>
      </c>
      <c r="N1498" s="17"/>
      <c r="O1498" s="17"/>
      <c r="P1498" s="17"/>
      <c r="Q1498" s="17"/>
      <c r="R1498" s="17"/>
      <c r="S1498" s="17"/>
      <c r="T1498" s="17"/>
      <c r="U1498" s="17"/>
      <c r="V1498" s="17"/>
      <c r="W1498" s="17"/>
      <c r="X1498" s="17"/>
      <c r="Y1498" s="17"/>
      <c r="Z1498" s="17"/>
      <c r="AA1498" s="17"/>
      <c r="AB1498" s="17"/>
      <c r="AC1498" s="17"/>
      <c r="AD1498" s="17"/>
      <c r="AE1498" s="17"/>
      <c r="AF1498" s="17"/>
      <c r="AG1498" s="17"/>
      <c r="AH1498" s="17"/>
      <c r="AI1498" s="17"/>
      <c r="AJ1498" s="17"/>
      <c r="AK1498" s="17"/>
      <c r="AL1498" s="17"/>
      <c r="AM1498" s="17"/>
      <c r="AN1498" s="17"/>
      <c r="AO1498" s="17"/>
      <c r="AP1498" s="17"/>
      <c r="AQ1498" s="17"/>
      <c r="AR1498" s="17"/>
      <c r="AS1498" s="17"/>
      <c r="AT1498" s="17"/>
      <c r="AU1498" s="17"/>
    </row>
    <row r="1499">
      <c r="A1499" s="17">
        <v>1497</v>
      </c>
      <c r="B1499" s="17" t="s">
        <v>52</v>
      </c>
      <c r="C1499" s="42" t="s">
        <v>2685</v>
      </c>
      <c r="D1499" s="35" t="s">
        <v>3886</v>
      </c>
      <c r="E1499" s="17" t="s">
        <v>2686</v>
      </c>
      <c r="F1499" s="17" t="s">
        <v>2687</v>
      </c>
      <c r="G1499" s="17">
        <v>22.446491000000002</v>
      </c>
      <c r="H1499" s="17">
        <v>87.533928000000003</v>
      </c>
      <c r="I1499" s="17"/>
      <c r="J1499" s="17"/>
      <c r="K1499" s="17"/>
      <c r="L1499" s="17"/>
      <c r="M1499" s="42" t="s">
        <v>2291</v>
      </c>
      <c r="N1499" s="17">
        <v>9933713149</v>
      </c>
      <c r="O1499" s="17"/>
      <c r="P1499" s="17"/>
      <c r="Q1499" s="17"/>
      <c r="R1499" s="17"/>
      <c r="S1499" s="17"/>
      <c r="T1499" s="17"/>
      <c r="U1499" s="17"/>
      <c r="V1499" s="17"/>
      <c r="W1499" s="17"/>
      <c r="X1499" s="17"/>
      <c r="Y1499" s="17"/>
      <c r="Z1499" s="17"/>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row>
    <row r="1500">
      <c r="A1500" s="17">
        <v>1498</v>
      </c>
      <c r="B1500" s="17" t="s">
        <v>52</v>
      </c>
      <c r="C1500" s="42" t="s">
        <v>4493</v>
      </c>
      <c r="D1500" s="35" t="s">
        <v>3886</v>
      </c>
      <c r="E1500" s="17" t="s">
        <v>4494</v>
      </c>
      <c r="F1500" s="17" t="s">
        <v>4495</v>
      </c>
      <c r="G1500" s="17">
        <v>22.740518999999999</v>
      </c>
      <c r="H1500" s="17">
        <v>87.638813999999996</v>
      </c>
      <c r="I1500" s="17"/>
      <c r="J1500" s="17"/>
      <c r="K1500" s="17"/>
      <c r="L1500" s="17"/>
      <c r="M1500" s="42" t="s">
        <v>3987</v>
      </c>
      <c r="N1500" s="17"/>
      <c r="O1500" s="17"/>
      <c r="P1500" s="17"/>
      <c r="Q1500" s="17"/>
      <c r="R1500" s="17"/>
      <c r="S1500" s="17"/>
      <c r="T1500" s="17"/>
      <c r="U1500" s="17"/>
      <c r="V1500" s="17"/>
      <c r="W1500" s="17"/>
      <c r="X1500" s="17"/>
      <c r="Y1500" s="17"/>
      <c r="Z1500" s="17"/>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row>
    <row r="1501">
      <c r="A1501" s="17">
        <v>1499</v>
      </c>
      <c r="B1501" s="17" t="s">
        <v>52</v>
      </c>
      <c r="C1501" s="42" t="s">
        <v>4496</v>
      </c>
      <c r="D1501" s="35" t="s">
        <v>3886</v>
      </c>
      <c r="E1501" s="17" t="s">
        <v>4497</v>
      </c>
      <c r="F1501" s="17" t="s">
        <v>4498</v>
      </c>
      <c r="G1501" s="17">
        <v>22.818683</v>
      </c>
      <c r="H1501" s="17">
        <v>87.392673000000002</v>
      </c>
      <c r="I1501" s="17"/>
      <c r="J1501" s="17"/>
      <c r="K1501" s="17"/>
      <c r="L1501" s="17"/>
      <c r="M1501" s="42" t="s">
        <v>3967</v>
      </c>
      <c r="N1501" s="17"/>
      <c r="O1501" s="17"/>
      <c r="P1501" s="17"/>
      <c r="Q1501" s="17"/>
      <c r="R1501" s="17"/>
      <c r="S1501" s="17"/>
      <c r="T1501" s="17"/>
      <c r="U1501" s="17"/>
      <c r="V1501" s="17"/>
      <c r="W1501" s="17"/>
      <c r="X1501" s="17"/>
      <c r="Y1501" s="17"/>
      <c r="Z1501" s="17"/>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row>
    <row r="1502">
      <c r="A1502" s="17">
        <v>1500</v>
      </c>
      <c r="B1502" s="17" t="s">
        <v>52</v>
      </c>
      <c r="C1502" s="42" t="s">
        <v>4499</v>
      </c>
      <c r="D1502" s="35" t="s">
        <v>3886</v>
      </c>
      <c r="E1502" s="17" t="s">
        <v>4500</v>
      </c>
      <c r="F1502" s="17" t="s">
        <v>4501</v>
      </c>
      <c r="G1502" s="17">
        <v>22.913008999999999</v>
      </c>
      <c r="H1502" s="17">
        <v>87.503183000000007</v>
      </c>
      <c r="I1502" s="17"/>
      <c r="J1502" s="17"/>
      <c r="K1502" s="17"/>
      <c r="L1502" s="17"/>
      <c r="M1502" s="42" t="s">
        <v>4011</v>
      </c>
      <c r="N1502" s="17">
        <v>8240995350</v>
      </c>
      <c r="O1502" s="17"/>
      <c r="P1502" s="17"/>
      <c r="Q1502" s="17"/>
      <c r="R1502" s="17"/>
      <c r="S1502" s="17"/>
      <c r="T1502" s="17"/>
      <c r="U1502" s="17"/>
      <c r="V1502" s="17"/>
      <c r="W1502" s="17"/>
      <c r="X1502" s="17"/>
      <c r="Y1502" s="17"/>
      <c r="Z1502" s="17"/>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row>
    <row r="1503">
      <c r="A1503" s="17">
        <v>1501</v>
      </c>
      <c r="B1503" s="17" t="s">
        <v>52</v>
      </c>
      <c r="C1503" s="42" t="s">
        <v>4502</v>
      </c>
      <c r="D1503" s="35" t="s">
        <v>3886</v>
      </c>
      <c r="E1503" s="17" t="s">
        <v>4503</v>
      </c>
      <c r="F1503" s="17" t="s">
        <v>4504</v>
      </c>
      <c r="G1503" s="17">
        <v>22.688925000000001</v>
      </c>
      <c r="H1503" s="17">
        <v>87.469680999999994</v>
      </c>
      <c r="I1503" s="17"/>
      <c r="J1503" s="17"/>
      <c r="K1503" s="17"/>
      <c r="L1503" s="17"/>
      <c r="M1503" s="42" t="s">
        <v>4298</v>
      </c>
      <c r="N1503" s="17"/>
      <c r="O1503" s="17"/>
      <c r="P1503" s="17"/>
      <c r="Q1503" s="17"/>
      <c r="R1503" s="17"/>
      <c r="S1503" s="17"/>
      <c r="T1503" s="17"/>
      <c r="U1503" s="17"/>
      <c r="V1503" s="17"/>
      <c r="W1503" s="17"/>
      <c r="X1503" s="17"/>
      <c r="Y1503" s="17"/>
      <c r="Z1503" s="17"/>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row>
    <row r="1504">
      <c r="A1504" s="17">
        <v>1502</v>
      </c>
      <c r="B1504" s="17" t="s">
        <v>52</v>
      </c>
      <c r="C1504" s="42" t="s">
        <v>4505</v>
      </c>
      <c r="D1504" s="35" t="s">
        <v>3886</v>
      </c>
      <c r="E1504" s="17" t="s">
        <v>4506</v>
      </c>
      <c r="F1504" s="17" t="s">
        <v>4507</v>
      </c>
      <c r="G1504" s="17">
        <v>22.755289999999999</v>
      </c>
      <c r="H1504" s="17">
        <v>87.182935999999998</v>
      </c>
      <c r="I1504" s="17"/>
      <c r="J1504" s="17"/>
      <c r="K1504" s="17"/>
      <c r="L1504" s="17"/>
      <c r="M1504" s="42" t="s">
        <v>4210</v>
      </c>
      <c r="N1504" s="17">
        <v>7980098242</v>
      </c>
      <c r="O1504" s="17"/>
      <c r="P1504" s="17"/>
      <c r="Q1504" s="17"/>
      <c r="R1504" s="17"/>
      <c r="S1504" s="17"/>
      <c r="T1504" s="17"/>
      <c r="U1504" s="17"/>
      <c r="V1504" s="17"/>
      <c r="W1504" s="17"/>
      <c r="X1504" s="17"/>
      <c r="Y1504" s="17"/>
      <c r="Z1504" s="17"/>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row>
    <row r="1505">
      <c r="A1505" s="17">
        <v>1503</v>
      </c>
      <c r="B1505" s="17" t="s">
        <v>52</v>
      </c>
      <c r="C1505" s="42" t="s">
        <v>4508</v>
      </c>
      <c r="D1505" s="35" t="s">
        <v>3886</v>
      </c>
      <c r="E1505" s="17" t="s">
        <v>4509</v>
      </c>
      <c r="F1505" s="17" t="s">
        <v>4510</v>
      </c>
      <c r="G1505" s="17">
        <v>22.433709</v>
      </c>
      <c r="H1505" s="17">
        <v>87.324610000000007</v>
      </c>
      <c r="I1505" s="17"/>
      <c r="J1505" s="17"/>
      <c r="K1505" s="17"/>
      <c r="L1505" s="17"/>
      <c r="M1505" s="42" t="s">
        <v>3893</v>
      </c>
      <c r="N1505" s="17"/>
      <c r="O1505" s="17"/>
      <c r="P1505" s="17"/>
      <c r="Q1505" s="17"/>
      <c r="R1505" s="17"/>
      <c r="S1505" s="17"/>
      <c r="T1505" s="17"/>
      <c r="U1505" s="17"/>
      <c r="V1505" s="17"/>
      <c r="W1505" s="17"/>
      <c r="X1505" s="17"/>
      <c r="Y1505" s="17"/>
      <c r="Z1505" s="17"/>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row>
    <row r="1506">
      <c r="A1506" s="17">
        <v>1504</v>
      </c>
      <c r="B1506" s="17" t="s">
        <v>52</v>
      </c>
      <c r="C1506" s="42" t="s">
        <v>4511</v>
      </c>
      <c r="D1506" s="35" t="s">
        <v>3886</v>
      </c>
      <c r="E1506" s="17" t="s">
        <v>4512</v>
      </c>
      <c r="F1506" s="17" t="s">
        <v>4513</v>
      </c>
      <c r="G1506" s="17">
        <v>22.413035000000001</v>
      </c>
      <c r="H1506" s="17">
        <v>87.311481999999998</v>
      </c>
      <c r="I1506" s="17"/>
      <c r="J1506" s="17"/>
      <c r="K1506" s="17"/>
      <c r="L1506" s="17"/>
      <c r="M1506" s="42" t="s">
        <v>3889</v>
      </c>
      <c r="N1506" s="17"/>
      <c r="O1506" s="17"/>
      <c r="P1506" s="17"/>
      <c r="Q1506" s="17"/>
      <c r="R1506" s="17"/>
      <c r="S1506" s="17"/>
      <c r="T1506" s="17"/>
      <c r="U1506" s="17"/>
      <c r="V1506" s="17"/>
      <c r="W1506" s="17"/>
      <c r="X1506" s="17"/>
      <c r="Y1506" s="17"/>
      <c r="Z1506" s="17"/>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row>
    <row r="1507">
      <c r="A1507" s="17">
        <v>1505</v>
      </c>
      <c r="B1507" s="17" t="s">
        <v>52</v>
      </c>
      <c r="C1507" s="42" t="s">
        <v>4514</v>
      </c>
      <c r="D1507" s="35" t="s">
        <v>3886</v>
      </c>
      <c r="E1507" s="17" t="s">
        <v>4515</v>
      </c>
      <c r="F1507" s="17" t="s">
        <v>4516</v>
      </c>
      <c r="G1507" s="17">
        <v>22.447116000000001</v>
      </c>
      <c r="H1507" s="17">
        <v>87.323953000000003</v>
      </c>
      <c r="I1507" s="17"/>
      <c r="J1507" s="17"/>
      <c r="K1507" s="17"/>
      <c r="L1507" s="17"/>
      <c r="M1507" s="42" t="s">
        <v>3893</v>
      </c>
      <c r="N1507" s="17"/>
      <c r="O1507" s="17"/>
      <c r="P1507" s="17"/>
      <c r="Q1507" s="17"/>
      <c r="R1507" s="17"/>
      <c r="S1507" s="17"/>
      <c r="T1507" s="17"/>
      <c r="U1507" s="17"/>
      <c r="V1507" s="17"/>
      <c r="W1507" s="17"/>
      <c r="X1507" s="17"/>
      <c r="Y1507" s="17"/>
      <c r="Z1507" s="17"/>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row>
    <row r="1508">
      <c r="A1508" s="17">
        <v>1506</v>
      </c>
      <c r="B1508" s="17" t="s">
        <v>52</v>
      </c>
      <c r="C1508" s="42" t="s">
        <v>4517</v>
      </c>
      <c r="D1508" s="35" t="s">
        <v>3886</v>
      </c>
      <c r="E1508" s="17" t="s">
        <v>4518</v>
      </c>
      <c r="F1508" s="17" t="s">
        <v>4519</v>
      </c>
      <c r="G1508" s="17">
        <v>22.524290000000001</v>
      </c>
      <c r="H1508" s="17">
        <v>87.302502000000004</v>
      </c>
      <c r="I1508" s="17"/>
      <c r="J1508" s="17"/>
      <c r="K1508" s="17"/>
      <c r="L1508" s="17"/>
      <c r="M1508" s="42" t="s">
        <v>4038</v>
      </c>
      <c r="N1508" s="17"/>
      <c r="O1508" s="17"/>
      <c r="P1508" s="17"/>
      <c r="Q1508" s="17"/>
      <c r="R1508" s="17"/>
      <c r="S1508" s="17"/>
      <c r="T1508" s="17"/>
      <c r="U1508" s="17"/>
      <c r="V1508" s="17"/>
      <c r="W1508" s="17"/>
      <c r="X1508" s="17"/>
      <c r="Y1508" s="17"/>
      <c r="Z1508" s="17"/>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row>
    <row r="1509">
      <c r="A1509" s="17">
        <v>1507</v>
      </c>
      <c r="B1509" s="17" t="s">
        <v>52</v>
      </c>
      <c r="C1509" s="42" t="s">
        <v>4520</v>
      </c>
      <c r="D1509" s="35" t="s">
        <v>3886</v>
      </c>
      <c r="E1509" s="17" t="s">
        <v>4521</v>
      </c>
      <c r="F1509" s="17" t="s">
        <v>4522</v>
      </c>
      <c r="G1509" s="17">
        <v>22.580973</v>
      </c>
      <c r="H1509" s="17">
        <v>87.660415</v>
      </c>
      <c r="I1509" s="17"/>
      <c r="J1509" s="17"/>
      <c r="K1509" s="17"/>
      <c r="L1509" s="17"/>
      <c r="M1509" s="42" t="s">
        <v>4122</v>
      </c>
      <c r="N1509" s="17">
        <v>7003921625</v>
      </c>
      <c r="O1509" s="17"/>
      <c r="P1509" s="17"/>
      <c r="Q1509" s="17"/>
      <c r="R1509" s="17"/>
      <c r="S1509" s="17"/>
      <c r="T1509" s="17"/>
      <c r="U1509" s="17"/>
      <c r="V1509" s="17"/>
      <c r="W1509" s="17"/>
      <c r="X1509" s="17"/>
      <c r="Y1509" s="17"/>
      <c r="Z1509" s="17"/>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row>
    <row r="1510">
      <c r="A1510" s="17">
        <v>1508</v>
      </c>
      <c r="B1510" s="17" t="s">
        <v>52</v>
      </c>
      <c r="C1510" s="42" t="s">
        <v>4523</v>
      </c>
      <c r="D1510" s="35" t="s">
        <v>3886</v>
      </c>
      <c r="E1510" s="17" t="s">
        <v>4524</v>
      </c>
      <c r="F1510" s="17" t="s">
        <v>4525</v>
      </c>
      <c r="G1510" s="17">
        <v>22.775382</v>
      </c>
      <c r="H1510" s="17">
        <v>87.448603000000006</v>
      </c>
      <c r="I1510" s="17"/>
      <c r="J1510" s="17"/>
      <c r="K1510" s="17"/>
      <c r="L1510" s="17"/>
      <c r="M1510" s="42" t="s">
        <v>4011</v>
      </c>
      <c r="N1510" s="17">
        <v>8240995350</v>
      </c>
      <c r="O1510" s="17"/>
      <c r="P1510" s="17"/>
      <c r="Q1510" s="17"/>
      <c r="R1510" s="17"/>
      <c r="S1510" s="17"/>
      <c r="T1510" s="17"/>
      <c r="U1510" s="17"/>
      <c r="V1510" s="17"/>
      <c r="W1510" s="17"/>
      <c r="X1510" s="17"/>
      <c r="Y1510" s="17"/>
      <c r="Z1510" s="17"/>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row>
    <row r="1511">
      <c r="A1511" s="17">
        <v>1509</v>
      </c>
      <c r="B1511" s="17" t="s">
        <v>52</v>
      </c>
      <c r="C1511" s="42" t="s">
        <v>4526</v>
      </c>
      <c r="D1511" s="35" t="s">
        <v>3886</v>
      </c>
      <c r="E1511" s="17" t="s">
        <v>4527</v>
      </c>
      <c r="F1511" s="17" t="s">
        <v>4528</v>
      </c>
      <c r="G1511" s="17">
        <v>22.593216999999999</v>
      </c>
      <c r="H1511" s="17">
        <v>87.687939</v>
      </c>
      <c r="I1511" s="17"/>
      <c r="J1511" s="17"/>
      <c r="K1511" s="17"/>
      <c r="L1511" s="17"/>
      <c r="M1511" s="42" t="s">
        <v>4122</v>
      </c>
      <c r="N1511" s="17">
        <v>7003921625</v>
      </c>
      <c r="O1511" s="17"/>
      <c r="P1511" s="17"/>
      <c r="Q1511" s="17"/>
      <c r="R1511" s="17"/>
      <c r="S1511" s="17"/>
      <c r="T1511" s="17"/>
      <c r="U1511" s="17"/>
      <c r="V1511" s="17"/>
      <c r="W1511" s="17"/>
      <c r="X1511" s="17"/>
      <c r="Y1511" s="17"/>
      <c r="Z1511" s="17"/>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row>
    <row r="1512">
      <c r="A1512" s="17">
        <v>1510</v>
      </c>
      <c r="B1512" s="17" t="s">
        <v>52</v>
      </c>
      <c r="C1512" s="42" t="s">
        <v>4529</v>
      </c>
      <c r="D1512" s="35" t="s">
        <v>3886</v>
      </c>
      <c r="E1512" s="17" t="s">
        <v>4530</v>
      </c>
      <c r="F1512" s="17" t="s">
        <v>4531</v>
      </c>
      <c r="G1512" s="17">
        <v>22.665915999999999</v>
      </c>
      <c r="H1512" s="17">
        <v>87.662895000000006</v>
      </c>
      <c r="I1512" s="17"/>
      <c r="J1512" s="17"/>
      <c r="K1512" s="17"/>
      <c r="L1512" s="17"/>
      <c r="M1512" s="42" t="s">
        <v>4099</v>
      </c>
      <c r="N1512" s="17">
        <v>7003921625</v>
      </c>
      <c r="O1512" s="17">
        <v>18</v>
      </c>
      <c r="P1512" s="17">
        <v>45</v>
      </c>
      <c r="Q1512" s="17" t="s">
        <v>105</v>
      </c>
      <c r="R1512" s="17" t="s">
        <v>154</v>
      </c>
      <c r="S1512" s="17" t="s">
        <v>75</v>
      </c>
      <c r="T1512" s="17"/>
      <c r="U1512" s="17" t="s">
        <v>76</v>
      </c>
      <c r="V1512" s="17" t="s">
        <v>77</v>
      </c>
      <c r="W1512" s="17" t="s">
        <v>123</v>
      </c>
      <c r="X1512" s="17">
        <v>2</v>
      </c>
      <c r="Y1512" s="17">
        <v>0</v>
      </c>
      <c r="Z1512" s="17"/>
      <c r="AA1512" s="17" t="s">
        <v>105</v>
      </c>
      <c r="AB1512" s="17" t="s">
        <v>239</v>
      </c>
      <c r="AC1512" s="17">
        <v>2</v>
      </c>
      <c r="AD1512" s="17">
        <v>0</v>
      </c>
      <c r="AE1512" s="17">
        <v>0</v>
      </c>
      <c r="AF1512" s="17"/>
      <c r="AG1512" s="17" t="s">
        <v>81</v>
      </c>
      <c r="AH1512" s="17" t="s">
        <v>82</v>
      </c>
      <c r="AI1512" s="17" t="s">
        <v>83</v>
      </c>
      <c r="AJ1512" s="17">
        <v>2111</v>
      </c>
      <c r="AK1512" s="17" t="s">
        <v>75</v>
      </c>
      <c r="AL1512" s="17" t="s">
        <v>75</v>
      </c>
      <c r="AM1512" s="17" t="s">
        <v>75</v>
      </c>
      <c r="AN1512" s="17" t="s">
        <v>125</v>
      </c>
      <c r="AO1512" s="17" t="s">
        <v>75</v>
      </c>
      <c r="AP1512" s="17"/>
      <c r="AQ1512" s="17"/>
      <c r="AR1512" s="17"/>
      <c r="AS1512" s="17"/>
      <c r="AT1512" s="17" t="s">
        <v>4532</v>
      </c>
      <c r="AU1512" s="17" t="s">
        <v>111</v>
      </c>
    </row>
    <row r="1513">
      <c r="A1513" s="17">
        <v>1511</v>
      </c>
      <c r="B1513" s="17" t="s">
        <v>52</v>
      </c>
      <c r="C1513" s="42" t="s">
        <v>4533</v>
      </c>
      <c r="D1513" s="35" t="s">
        <v>3886</v>
      </c>
      <c r="E1513" s="17" t="s">
        <v>4534</v>
      </c>
      <c r="F1513" s="17" t="s">
        <v>4535</v>
      </c>
      <c r="G1513" s="17">
        <v>22.665465000000001</v>
      </c>
      <c r="H1513" s="17">
        <v>87.143966000000006</v>
      </c>
      <c r="I1513" s="17"/>
      <c r="J1513" s="17"/>
      <c r="K1513" s="17"/>
      <c r="L1513" s="17"/>
      <c r="M1513" s="42" t="s">
        <v>4366</v>
      </c>
      <c r="N1513" s="17"/>
      <c r="O1513" s="17"/>
      <c r="P1513" s="17"/>
      <c r="Q1513" s="17"/>
      <c r="R1513" s="17"/>
      <c r="S1513" s="17"/>
      <c r="T1513" s="17"/>
      <c r="U1513" s="17"/>
      <c r="V1513" s="17"/>
      <c r="W1513" s="17"/>
      <c r="X1513" s="17"/>
      <c r="Y1513" s="17"/>
      <c r="Z1513" s="17"/>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row>
    <row r="1514">
      <c r="A1514" s="17">
        <v>1512</v>
      </c>
      <c r="B1514" s="17" t="s">
        <v>52</v>
      </c>
      <c r="C1514" s="42" t="s">
        <v>4536</v>
      </c>
      <c r="D1514" s="35" t="s">
        <v>3886</v>
      </c>
      <c r="E1514" s="17" t="s">
        <v>4537</v>
      </c>
      <c r="F1514" s="17" t="s">
        <v>4538</v>
      </c>
      <c r="G1514" s="17">
        <v>22.433723000000001</v>
      </c>
      <c r="H1514" s="17">
        <v>87.363181999999995</v>
      </c>
      <c r="I1514" s="17"/>
      <c r="J1514" s="17"/>
      <c r="K1514" s="17"/>
      <c r="L1514" s="17"/>
      <c r="M1514" s="42" t="s">
        <v>3893</v>
      </c>
      <c r="N1514" s="17"/>
      <c r="O1514" s="17"/>
      <c r="P1514" s="17"/>
      <c r="Q1514" s="17"/>
      <c r="R1514" s="17"/>
      <c r="S1514" s="17"/>
      <c r="T1514" s="17"/>
      <c r="U1514" s="17"/>
      <c r="V1514" s="17"/>
      <c r="W1514" s="17"/>
      <c r="X1514" s="17"/>
      <c r="Y1514" s="17"/>
      <c r="Z1514" s="17"/>
      <c r="AA1514" s="17"/>
      <c r="AB1514" s="17"/>
      <c r="AC1514" s="17"/>
      <c r="AD1514" s="17"/>
      <c r="AE1514" s="17"/>
      <c r="AF1514" s="17"/>
      <c r="AG1514" s="17"/>
      <c r="AH1514" s="17"/>
      <c r="AI1514" s="17"/>
      <c r="AJ1514" s="17"/>
      <c r="AK1514" s="17"/>
      <c r="AL1514" s="17"/>
      <c r="AM1514" s="17"/>
      <c r="AN1514" s="17"/>
      <c r="AO1514" s="17"/>
      <c r="AP1514" s="17"/>
      <c r="AQ1514" s="17"/>
      <c r="AR1514" s="17"/>
      <c r="AS1514" s="17"/>
      <c r="AT1514" s="17"/>
      <c r="AU1514" s="17"/>
    </row>
    <row r="1515">
      <c r="A1515" s="17">
        <v>1513</v>
      </c>
      <c r="B1515" s="17" t="s">
        <v>52</v>
      </c>
      <c r="C1515" s="42" t="s">
        <v>4539</v>
      </c>
      <c r="D1515" s="35" t="s">
        <v>3886</v>
      </c>
      <c r="E1515" s="17" t="s">
        <v>4540</v>
      </c>
      <c r="F1515" s="17" t="s">
        <v>4541</v>
      </c>
      <c r="G1515" s="17">
        <v>22.520733</v>
      </c>
      <c r="H1515" s="17">
        <v>87.800659999999993</v>
      </c>
      <c r="I1515" s="17"/>
      <c r="J1515" s="17"/>
      <c r="K1515" s="17"/>
      <c r="L1515" s="17"/>
      <c r="M1515" s="42" t="s">
        <v>4004</v>
      </c>
      <c r="N1515" s="17">
        <v>9382071290</v>
      </c>
      <c r="O1515" s="17"/>
      <c r="P1515" s="17"/>
      <c r="Q1515" s="17"/>
      <c r="R1515" s="17"/>
      <c r="S1515" s="17"/>
      <c r="T1515" s="17"/>
      <c r="U1515" s="17"/>
      <c r="V1515" s="17"/>
      <c r="W1515" s="17"/>
      <c r="X1515" s="17"/>
      <c r="Y1515" s="17"/>
      <c r="Z1515" s="17"/>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row>
    <row r="1516">
      <c r="A1516" s="17">
        <v>1514</v>
      </c>
      <c r="B1516" s="17" t="s">
        <v>52</v>
      </c>
      <c r="C1516" s="42" t="s">
        <v>4542</v>
      </c>
      <c r="D1516" s="35" t="s">
        <v>3886</v>
      </c>
      <c r="E1516" s="17" t="s">
        <v>4543</v>
      </c>
      <c r="F1516" s="17" t="s">
        <v>4544</v>
      </c>
      <c r="G1516" s="17">
        <v>22.841570000000001</v>
      </c>
      <c r="H1516" s="17">
        <v>87.512512999999998</v>
      </c>
      <c r="I1516" s="17"/>
      <c r="J1516" s="17"/>
      <c r="K1516" s="17"/>
      <c r="L1516" s="17"/>
      <c r="M1516" s="42" t="s">
        <v>4011</v>
      </c>
      <c r="N1516" s="17">
        <v>8240995350</v>
      </c>
      <c r="O1516" s="17"/>
      <c r="P1516" s="17"/>
      <c r="Q1516" s="17"/>
      <c r="R1516" s="17"/>
      <c r="S1516" s="17"/>
      <c r="T1516" s="17"/>
      <c r="U1516" s="17"/>
      <c r="V1516" s="17"/>
      <c r="W1516" s="17"/>
      <c r="X1516" s="17"/>
      <c r="Y1516" s="17"/>
      <c r="Z1516" s="17"/>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row>
    <row r="1517">
      <c r="A1517" s="17">
        <v>1515</v>
      </c>
      <c r="B1517" s="17" t="s">
        <v>52</v>
      </c>
      <c r="C1517" s="42" t="s">
        <v>4545</v>
      </c>
      <c r="D1517" s="35" t="s">
        <v>3886</v>
      </c>
      <c r="E1517" s="17" t="s">
        <v>4546</v>
      </c>
      <c r="F1517" s="17" t="s">
        <v>4547</v>
      </c>
      <c r="G1517" s="17">
        <v>22.644192</v>
      </c>
      <c r="H1517" s="17">
        <v>87.635670000000005</v>
      </c>
      <c r="I1517" s="17"/>
      <c r="J1517" s="17"/>
      <c r="K1517" s="17"/>
      <c r="L1517" s="17"/>
      <c r="M1517" s="42" t="s">
        <v>4122</v>
      </c>
      <c r="N1517" s="17">
        <v>7003921625</v>
      </c>
      <c r="O1517" s="17"/>
      <c r="P1517" s="17"/>
      <c r="Q1517" s="17"/>
      <c r="R1517" s="17"/>
      <c r="S1517" s="17"/>
      <c r="T1517" s="17"/>
      <c r="U1517" s="17"/>
      <c r="V1517" s="17"/>
      <c r="W1517" s="17"/>
      <c r="X1517" s="17"/>
      <c r="Y1517" s="17"/>
      <c r="Z1517" s="17"/>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row>
    <row r="1518">
      <c r="A1518" s="17">
        <v>1516</v>
      </c>
      <c r="B1518" s="17" t="s">
        <v>52</v>
      </c>
      <c r="C1518" s="42" t="s">
        <v>4548</v>
      </c>
      <c r="D1518" s="35" t="s">
        <v>3886</v>
      </c>
      <c r="E1518" s="17" t="s">
        <v>4549</v>
      </c>
      <c r="F1518" s="17" t="s">
        <v>4550</v>
      </c>
      <c r="G1518" s="17">
        <v>22.645820000000001</v>
      </c>
      <c r="H1518" s="17">
        <v>87.676799000000003</v>
      </c>
      <c r="I1518" s="17"/>
      <c r="J1518" s="17"/>
      <c r="K1518" s="17"/>
      <c r="L1518" s="17"/>
      <c r="M1518" s="42" t="s">
        <v>4122</v>
      </c>
      <c r="N1518" s="17">
        <v>7003921625</v>
      </c>
      <c r="O1518" s="17"/>
      <c r="P1518" s="17"/>
      <c r="Q1518" s="17"/>
      <c r="R1518" s="17"/>
      <c r="S1518" s="17"/>
      <c r="T1518" s="17"/>
      <c r="U1518" s="17"/>
      <c r="V1518" s="17"/>
      <c r="W1518" s="17"/>
      <c r="X1518" s="17"/>
      <c r="Y1518" s="17"/>
      <c r="Z1518" s="17"/>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row>
    <row r="1519">
      <c r="A1519" s="17">
        <v>1517</v>
      </c>
      <c r="B1519" s="17" t="s">
        <v>52</v>
      </c>
      <c r="C1519" s="42" t="s">
        <v>4551</v>
      </c>
      <c r="D1519" s="35" t="s">
        <v>3886</v>
      </c>
      <c r="E1519" s="17" t="s">
        <v>4552</v>
      </c>
      <c r="F1519" s="17" t="s">
        <v>4553</v>
      </c>
      <c r="G1519" s="17">
        <v>22.763952</v>
      </c>
      <c r="H1519" s="17">
        <v>87.425398000000001</v>
      </c>
      <c r="I1519" s="17"/>
      <c r="J1519" s="17"/>
      <c r="K1519" s="17"/>
      <c r="L1519" s="17"/>
      <c r="M1519" s="42" t="s">
        <v>4011</v>
      </c>
      <c r="N1519" s="17">
        <v>8240995350</v>
      </c>
      <c r="O1519" s="17">
        <v>18</v>
      </c>
      <c r="P1519" s="17">
        <v>52</v>
      </c>
      <c r="Q1519" s="17" t="s">
        <v>73</v>
      </c>
      <c r="R1519" s="17" t="s">
        <v>104</v>
      </c>
      <c r="S1519" s="17" t="s">
        <v>75</v>
      </c>
      <c r="T1519" s="17"/>
      <c r="U1519" s="17" t="s">
        <v>105</v>
      </c>
      <c r="V1519" s="17" t="s">
        <v>77</v>
      </c>
      <c r="W1519" s="17" t="s">
        <v>454</v>
      </c>
      <c r="X1519" s="17">
        <v>4</v>
      </c>
      <c r="Y1519" s="17">
        <v>0</v>
      </c>
      <c r="Z1519" s="17" t="s">
        <v>109</v>
      </c>
      <c r="AA1519" s="17" t="s">
        <v>73</v>
      </c>
      <c r="AB1519" s="17" t="s">
        <v>79</v>
      </c>
      <c r="AC1519" s="17">
        <v>3</v>
      </c>
      <c r="AD1519" s="17">
        <v>0</v>
      </c>
      <c r="AE1519" s="17">
        <v>0</v>
      </c>
      <c r="AF1519" s="17" t="s">
        <v>4554</v>
      </c>
      <c r="AG1519" s="17" t="s">
        <v>124</v>
      </c>
      <c r="AH1519" s="17" t="s">
        <v>82</v>
      </c>
      <c r="AI1519" s="17" t="s">
        <v>83</v>
      </c>
      <c r="AJ1519" s="17">
        <v>2111</v>
      </c>
      <c r="AK1519" s="17" t="s">
        <v>75</v>
      </c>
      <c r="AL1519" s="17" t="s">
        <v>75</v>
      </c>
      <c r="AM1519" s="17" t="s">
        <v>75</v>
      </c>
      <c r="AN1519" s="17" t="s">
        <v>84</v>
      </c>
      <c r="AO1519" s="17" t="s">
        <v>75</v>
      </c>
      <c r="AP1519" s="17" t="s">
        <v>73</v>
      </c>
      <c r="AQ1519" s="17" t="s">
        <v>558</v>
      </c>
      <c r="AR1519" s="17">
        <v>2</v>
      </c>
      <c r="AS1519" s="17">
        <v>2</v>
      </c>
      <c r="AT1519" s="17" t="s">
        <v>4555</v>
      </c>
      <c r="AU1519" s="17" t="s">
        <v>127</v>
      </c>
    </row>
    <row r="1520">
      <c r="A1520" s="17">
        <v>1518</v>
      </c>
      <c r="B1520" s="17" t="s">
        <v>52</v>
      </c>
      <c r="C1520" s="42" t="s">
        <v>4556</v>
      </c>
      <c r="D1520" s="35" t="s">
        <v>3886</v>
      </c>
      <c r="E1520" s="17" t="s">
        <v>4557</v>
      </c>
      <c r="F1520" s="17" t="s">
        <v>4558</v>
      </c>
      <c r="G1520" s="17">
        <v>22.585985999999998</v>
      </c>
      <c r="H1520" s="17">
        <v>87.405000000000001</v>
      </c>
      <c r="I1520" s="17"/>
      <c r="J1520" s="17"/>
      <c r="K1520" s="17"/>
      <c r="L1520" s="17"/>
      <c r="M1520" s="42" t="s">
        <v>4016</v>
      </c>
      <c r="N1520" s="17"/>
      <c r="O1520" s="17"/>
      <c r="P1520" s="17"/>
      <c r="Q1520" s="17"/>
      <c r="R1520" s="17"/>
      <c r="S1520" s="17"/>
      <c r="T1520" s="17"/>
      <c r="U1520" s="17"/>
      <c r="V1520" s="17"/>
      <c r="W1520" s="17"/>
      <c r="X1520" s="17"/>
      <c r="Y1520" s="17"/>
      <c r="Z1520" s="17"/>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row>
    <row r="1521">
      <c r="A1521" s="17">
        <v>1519</v>
      </c>
      <c r="B1521" s="17" t="s">
        <v>52</v>
      </c>
      <c r="C1521" s="42" t="s">
        <v>4559</v>
      </c>
      <c r="D1521" s="35" t="s">
        <v>3886</v>
      </c>
      <c r="E1521" s="17" t="s">
        <v>4560</v>
      </c>
      <c r="F1521" s="17" t="s">
        <v>4561</v>
      </c>
      <c r="G1521" s="17">
        <v>22.530170999999999</v>
      </c>
      <c r="H1521" s="17">
        <v>87.424971999999997</v>
      </c>
      <c r="I1521" s="17"/>
      <c r="J1521" s="17"/>
      <c r="K1521" s="17"/>
      <c r="L1521" s="17"/>
      <c r="M1521" s="42" t="s">
        <v>4016</v>
      </c>
      <c r="N1521" s="17"/>
      <c r="O1521" s="17"/>
      <c r="P1521" s="17"/>
      <c r="Q1521" s="17"/>
      <c r="R1521" s="17"/>
      <c r="S1521" s="17"/>
      <c r="T1521" s="17"/>
      <c r="U1521" s="17"/>
      <c r="V1521" s="17"/>
      <c r="W1521" s="17"/>
      <c r="X1521" s="17"/>
      <c r="Y1521" s="17"/>
      <c r="Z1521" s="17"/>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row>
    <row r="1522">
      <c r="A1522" s="17">
        <v>1520</v>
      </c>
      <c r="B1522" s="17" t="s">
        <v>52</v>
      </c>
      <c r="C1522" s="42" t="s">
        <v>4562</v>
      </c>
      <c r="D1522" s="35" t="s">
        <v>3886</v>
      </c>
      <c r="E1522" s="17" t="s">
        <v>4563</v>
      </c>
      <c r="F1522" s="17" t="s">
        <v>4564</v>
      </c>
      <c r="G1522" s="17">
        <v>22.576798</v>
      </c>
      <c r="H1522" s="17">
        <v>87.478635999999995</v>
      </c>
      <c r="I1522" s="17"/>
      <c r="J1522" s="17"/>
      <c r="K1522" s="17"/>
      <c r="L1522" s="17"/>
      <c r="M1522" s="42" t="s">
        <v>4298</v>
      </c>
      <c r="N1522" s="17"/>
      <c r="O1522" s="17"/>
      <c r="P1522" s="17"/>
      <c r="Q1522" s="17"/>
      <c r="R1522" s="17"/>
      <c r="S1522" s="17"/>
      <c r="T1522" s="17"/>
      <c r="U1522" s="17"/>
      <c r="V1522" s="17"/>
      <c r="W1522" s="17"/>
      <c r="X1522" s="17"/>
      <c r="Y1522" s="17"/>
      <c r="Z1522" s="17"/>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row>
    <row r="1523">
      <c r="A1523" s="17">
        <v>1521</v>
      </c>
      <c r="B1523" s="17" t="s">
        <v>52</v>
      </c>
      <c r="C1523" s="42" t="s">
        <v>4565</v>
      </c>
      <c r="D1523" s="35" t="s">
        <v>3886</v>
      </c>
      <c r="E1523" s="17" t="s">
        <v>4566</v>
      </c>
      <c r="F1523" s="17" t="s">
        <v>4567</v>
      </c>
      <c r="G1523" s="17">
        <v>22.740289000000001</v>
      </c>
      <c r="H1523" s="17">
        <v>87.428424000000007</v>
      </c>
      <c r="I1523" s="17"/>
      <c r="J1523" s="17"/>
      <c r="K1523" s="17"/>
      <c r="L1523" s="17"/>
      <c r="M1523" s="42" t="s">
        <v>4045</v>
      </c>
      <c r="N1523" s="17">
        <v>6290709471</v>
      </c>
      <c r="O1523" s="17"/>
      <c r="P1523" s="17"/>
      <c r="Q1523" s="17"/>
      <c r="R1523" s="17"/>
      <c r="S1523" s="17"/>
      <c r="T1523" s="17"/>
      <c r="U1523" s="17"/>
      <c r="V1523" s="17"/>
      <c r="W1523" s="17"/>
      <c r="X1523" s="17"/>
      <c r="Y1523" s="17"/>
      <c r="Z1523" s="17"/>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row>
    <row r="1524">
      <c r="A1524" s="17">
        <v>1522</v>
      </c>
      <c r="B1524" s="17" t="s">
        <v>52</v>
      </c>
      <c r="C1524" s="42" t="s">
        <v>4568</v>
      </c>
      <c r="D1524" s="35" t="s">
        <v>3886</v>
      </c>
      <c r="E1524" s="17" t="s">
        <v>4569</v>
      </c>
      <c r="F1524" s="17" t="s">
        <v>4570</v>
      </c>
      <c r="G1524" s="17">
        <v>22.554088</v>
      </c>
      <c r="H1524" s="17">
        <v>87.206121999999993</v>
      </c>
      <c r="I1524" s="17"/>
      <c r="J1524" s="17"/>
      <c r="K1524" s="17"/>
      <c r="L1524" s="17"/>
      <c r="M1524" s="42" t="s">
        <v>4366</v>
      </c>
      <c r="N1524" s="17"/>
      <c r="O1524" s="17"/>
      <c r="P1524" s="17"/>
      <c r="Q1524" s="17"/>
      <c r="R1524" s="17"/>
      <c r="S1524" s="17"/>
      <c r="T1524" s="17"/>
      <c r="U1524" s="17"/>
      <c r="V1524" s="17"/>
      <c r="W1524" s="17"/>
      <c r="X1524" s="17"/>
      <c r="Y1524" s="17"/>
      <c r="Z1524" s="17"/>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row>
    <row r="1525">
      <c r="A1525" s="17">
        <v>1523</v>
      </c>
      <c r="B1525" s="17" t="s">
        <v>52</v>
      </c>
      <c r="C1525" s="42" t="s">
        <v>4571</v>
      </c>
      <c r="D1525" s="35" t="s">
        <v>3886</v>
      </c>
      <c r="E1525" s="17" t="s">
        <v>4572</v>
      </c>
      <c r="F1525" s="17" t="s">
        <v>4573</v>
      </c>
      <c r="G1525" s="17">
        <v>22.797661000000002</v>
      </c>
      <c r="H1525" s="17">
        <v>87.626821000000007</v>
      </c>
      <c r="I1525" s="17"/>
      <c r="J1525" s="17"/>
      <c r="K1525" s="17"/>
      <c r="L1525" s="17"/>
      <c r="M1525" s="42" t="s">
        <v>3987</v>
      </c>
      <c r="N1525" s="17"/>
      <c r="O1525" s="17"/>
      <c r="P1525" s="17"/>
      <c r="Q1525" s="17"/>
      <c r="R1525" s="17"/>
      <c r="S1525" s="17"/>
      <c r="T1525" s="17"/>
      <c r="U1525" s="17"/>
      <c r="V1525" s="17"/>
      <c r="W1525" s="17"/>
      <c r="X1525" s="17"/>
      <c r="Y1525" s="17"/>
      <c r="Z1525" s="17"/>
      <c r="AA1525" s="17"/>
      <c r="AB1525" s="17"/>
      <c r="AC1525" s="17"/>
      <c r="AD1525" s="17"/>
      <c r="AE1525" s="17"/>
      <c r="AF1525" s="17"/>
      <c r="AG1525" s="17"/>
      <c r="AH1525" s="17"/>
      <c r="AI1525" s="17"/>
      <c r="AJ1525" s="17"/>
      <c r="AK1525" s="17"/>
      <c r="AL1525" s="17"/>
      <c r="AM1525" s="17"/>
      <c r="AN1525" s="17"/>
      <c r="AO1525" s="17"/>
      <c r="AP1525" s="17"/>
      <c r="AQ1525" s="17"/>
      <c r="AR1525" s="17"/>
      <c r="AS1525" s="17"/>
      <c r="AT1525" s="17"/>
      <c r="AU1525" s="17"/>
    </row>
    <row r="1526">
      <c r="A1526" s="17">
        <v>1524</v>
      </c>
      <c r="B1526" s="17" t="s">
        <v>52</v>
      </c>
      <c r="C1526" s="42" t="s">
        <v>4574</v>
      </c>
      <c r="D1526" s="35" t="s">
        <v>3886</v>
      </c>
      <c r="E1526" s="17" t="s">
        <v>4575</v>
      </c>
      <c r="F1526" s="17" t="s">
        <v>4576</v>
      </c>
      <c r="G1526" s="17">
        <v>22.726226</v>
      </c>
      <c r="H1526" s="17">
        <v>87.594545999999994</v>
      </c>
      <c r="I1526" s="17"/>
      <c r="J1526" s="17"/>
      <c r="K1526" s="17"/>
      <c r="L1526" s="17"/>
      <c r="M1526" s="42" t="s">
        <v>3987</v>
      </c>
      <c r="N1526" s="17"/>
      <c r="O1526" s="17"/>
      <c r="P1526" s="17"/>
      <c r="Q1526" s="17"/>
      <c r="R1526" s="17"/>
      <c r="S1526" s="17"/>
      <c r="T1526" s="17"/>
      <c r="U1526" s="17"/>
      <c r="V1526" s="17"/>
      <c r="W1526" s="17"/>
      <c r="X1526" s="17"/>
      <c r="Y1526" s="17"/>
      <c r="Z1526" s="17"/>
      <c r="AA1526" s="17"/>
      <c r="AB1526" s="17"/>
      <c r="AC1526" s="17"/>
      <c r="AD1526" s="17"/>
      <c r="AE1526" s="17"/>
      <c r="AF1526" s="17"/>
      <c r="AG1526" s="17"/>
      <c r="AH1526" s="17"/>
      <c r="AI1526" s="17"/>
      <c r="AJ1526" s="17"/>
      <c r="AK1526" s="17"/>
      <c r="AL1526" s="17"/>
      <c r="AM1526" s="17"/>
      <c r="AN1526" s="17"/>
      <c r="AO1526" s="17"/>
      <c r="AP1526" s="17"/>
      <c r="AQ1526" s="17"/>
      <c r="AR1526" s="17"/>
      <c r="AS1526" s="17"/>
      <c r="AT1526" s="17"/>
      <c r="AU1526" s="17"/>
    </row>
    <row r="1527">
      <c r="A1527" s="17">
        <v>1525</v>
      </c>
      <c r="B1527" s="17" t="s">
        <v>52</v>
      </c>
      <c r="C1527" s="42" t="s">
        <v>4577</v>
      </c>
      <c r="D1527" s="35" t="s">
        <v>3886</v>
      </c>
      <c r="E1527" s="17" t="s">
        <v>4578</v>
      </c>
      <c r="F1527" s="17" t="s">
        <v>4579</v>
      </c>
      <c r="G1527" s="17">
        <v>22.530574999999999</v>
      </c>
      <c r="H1527" s="17">
        <v>87.728168999999994</v>
      </c>
      <c r="I1527" s="17"/>
      <c r="J1527" s="17"/>
      <c r="K1527" s="17"/>
      <c r="L1527" s="17"/>
      <c r="M1527" s="42" t="s">
        <v>4004</v>
      </c>
      <c r="N1527" s="17">
        <v>9382071290</v>
      </c>
      <c r="O1527" s="17"/>
      <c r="P1527" s="17"/>
      <c r="Q1527" s="17"/>
      <c r="R1527" s="17"/>
      <c r="S1527" s="17"/>
      <c r="T1527" s="17"/>
      <c r="U1527" s="17"/>
      <c r="V1527" s="17"/>
      <c r="W1527" s="17"/>
      <c r="X1527" s="17"/>
      <c r="Y1527" s="17"/>
      <c r="Z1527" s="17"/>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row>
    <row r="1528">
      <c r="A1528" s="17">
        <v>1526</v>
      </c>
      <c r="B1528" s="17" t="s">
        <v>52</v>
      </c>
      <c r="C1528" s="42" t="s">
        <v>4580</v>
      </c>
      <c r="D1528" s="35" t="s">
        <v>3886</v>
      </c>
      <c r="E1528" s="17" t="s">
        <v>4581</v>
      </c>
      <c r="F1528" s="17" t="s">
        <v>4582</v>
      </c>
      <c r="G1528" s="17">
        <v>22.846741000000002</v>
      </c>
      <c r="H1528" s="17">
        <v>87.297398999999999</v>
      </c>
      <c r="I1528" s="17"/>
      <c r="J1528" s="17"/>
      <c r="K1528" s="17"/>
      <c r="L1528" s="17"/>
      <c r="M1528" s="42" t="s">
        <v>3967</v>
      </c>
      <c r="N1528" s="17"/>
      <c r="O1528" s="17"/>
      <c r="P1528" s="17"/>
      <c r="Q1528" s="17"/>
      <c r="R1528" s="17"/>
      <c r="S1528" s="17"/>
      <c r="T1528" s="17"/>
      <c r="U1528" s="17"/>
      <c r="V1528" s="17"/>
      <c r="W1528" s="17"/>
      <c r="X1528" s="17"/>
      <c r="Y1528" s="17"/>
      <c r="Z1528" s="17"/>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row>
    <row r="1529">
      <c r="A1529" s="17">
        <v>1527</v>
      </c>
      <c r="B1529" s="17" t="s">
        <v>52</v>
      </c>
      <c r="C1529" s="42" t="s">
        <v>4583</v>
      </c>
      <c r="D1529" s="35" t="s">
        <v>3886</v>
      </c>
      <c r="E1529" s="17" t="s">
        <v>4584</v>
      </c>
      <c r="F1529" s="17" t="s">
        <v>4585</v>
      </c>
      <c r="G1529" s="17">
        <v>22.719156999999999</v>
      </c>
      <c r="H1529" s="17">
        <v>87.657178000000002</v>
      </c>
      <c r="I1529" s="17"/>
      <c r="J1529" s="17"/>
      <c r="K1529" s="17"/>
      <c r="L1529" s="17"/>
      <c r="M1529" s="42" t="s">
        <v>4122</v>
      </c>
      <c r="N1529" s="17">
        <v>7003921625</v>
      </c>
      <c r="O1529" s="17"/>
      <c r="P1529" s="17"/>
      <c r="Q1529" s="17"/>
      <c r="R1529" s="17"/>
      <c r="S1529" s="17"/>
      <c r="T1529" s="17"/>
      <c r="U1529" s="17"/>
      <c r="V1529" s="17"/>
      <c r="W1529" s="17"/>
      <c r="X1529" s="17"/>
      <c r="Y1529" s="17"/>
      <c r="Z1529" s="17"/>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row>
    <row r="1530">
      <c r="A1530" s="17">
        <v>1528</v>
      </c>
      <c r="B1530" s="17" t="s">
        <v>52</v>
      </c>
      <c r="C1530" s="42" t="s">
        <v>4586</v>
      </c>
      <c r="D1530" s="35" t="s">
        <v>3886</v>
      </c>
      <c r="E1530" s="17" t="s">
        <v>4587</v>
      </c>
      <c r="F1530" s="17" t="s">
        <v>4588</v>
      </c>
      <c r="G1530" s="17">
        <v>22.727027</v>
      </c>
      <c r="H1530" s="17">
        <v>87.566131999999996</v>
      </c>
      <c r="I1530" s="17"/>
      <c r="J1530" s="17"/>
      <c r="K1530" s="17"/>
      <c r="L1530" s="17"/>
      <c r="M1530" s="42" t="s">
        <v>3987</v>
      </c>
      <c r="N1530" s="17"/>
      <c r="O1530" s="17"/>
      <c r="P1530" s="17"/>
      <c r="Q1530" s="17"/>
      <c r="R1530" s="17"/>
      <c r="S1530" s="17"/>
      <c r="T1530" s="17"/>
      <c r="U1530" s="17"/>
      <c r="V1530" s="17"/>
      <c r="W1530" s="17"/>
      <c r="X1530" s="17"/>
      <c r="Y1530" s="17"/>
      <c r="Z1530" s="17"/>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row>
    <row r="1531">
      <c r="A1531" s="17">
        <v>1529</v>
      </c>
      <c r="B1531" s="17" t="s">
        <v>52</v>
      </c>
      <c r="C1531" s="42" t="s">
        <v>4589</v>
      </c>
      <c r="D1531" s="35" t="s">
        <v>3886</v>
      </c>
      <c r="E1531" s="17" t="s">
        <v>4590</v>
      </c>
      <c r="F1531" s="17" t="s">
        <v>4591</v>
      </c>
      <c r="G1531" s="17">
        <v>22.554593000000001</v>
      </c>
      <c r="H1531" s="17">
        <v>87.672218000000001</v>
      </c>
      <c r="I1531" s="17"/>
      <c r="J1531" s="17"/>
      <c r="K1531" s="17"/>
      <c r="L1531" s="17"/>
      <c r="M1531" s="42" t="s">
        <v>4004</v>
      </c>
      <c r="N1531" s="17">
        <v>9382071290</v>
      </c>
      <c r="O1531" s="17"/>
      <c r="P1531" s="17"/>
      <c r="Q1531" s="17"/>
      <c r="R1531" s="17"/>
      <c r="S1531" s="17"/>
      <c r="T1531" s="17"/>
      <c r="U1531" s="17"/>
      <c r="V1531" s="17"/>
      <c r="W1531" s="17"/>
      <c r="X1531" s="17"/>
      <c r="Y1531" s="17"/>
      <c r="Z1531" s="17"/>
      <c r="AA1531" s="17"/>
      <c r="AB1531" s="17"/>
      <c r="AC1531" s="17"/>
      <c r="AD1531" s="17"/>
      <c r="AE1531" s="17"/>
      <c r="AF1531" s="17"/>
      <c r="AG1531" s="17"/>
      <c r="AH1531" s="17"/>
      <c r="AI1531" s="17"/>
      <c r="AJ1531" s="17"/>
      <c r="AK1531" s="17"/>
      <c r="AL1531" s="17"/>
      <c r="AM1531" s="17"/>
      <c r="AN1531" s="17"/>
      <c r="AO1531" s="17"/>
      <c r="AP1531" s="17"/>
      <c r="AQ1531" s="17"/>
      <c r="AR1531" s="17"/>
      <c r="AS1531" s="17"/>
      <c r="AT1531" s="17"/>
      <c r="AU1531" s="17"/>
    </row>
    <row r="1532">
      <c r="A1532" s="17">
        <v>1530</v>
      </c>
      <c r="B1532" s="17" t="s">
        <v>52</v>
      </c>
      <c r="C1532" s="42" t="s">
        <v>4592</v>
      </c>
      <c r="D1532" s="35" t="s">
        <v>3886</v>
      </c>
      <c r="E1532" s="17" t="s">
        <v>4593</v>
      </c>
      <c r="F1532" s="17" t="s">
        <v>4594</v>
      </c>
      <c r="G1532" s="17">
        <v>22.767996</v>
      </c>
      <c r="H1532" s="17">
        <v>87.321573000000001</v>
      </c>
      <c r="I1532" s="17"/>
      <c r="J1532" s="17"/>
      <c r="K1532" s="17"/>
      <c r="L1532" s="17"/>
      <c r="M1532" s="42" t="s">
        <v>4045</v>
      </c>
      <c r="N1532" s="17">
        <v>6290709471</v>
      </c>
      <c r="O1532" s="17"/>
      <c r="P1532" s="17"/>
      <c r="Q1532" s="17"/>
      <c r="R1532" s="17"/>
      <c r="S1532" s="17"/>
      <c r="T1532" s="17"/>
      <c r="U1532" s="17"/>
      <c r="V1532" s="17"/>
      <c r="W1532" s="17"/>
      <c r="X1532" s="17"/>
      <c r="Y1532" s="17"/>
      <c r="Z1532" s="17"/>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row>
    <row r="1533">
      <c r="A1533" s="17">
        <v>1531</v>
      </c>
      <c r="B1533" s="17" t="s">
        <v>52</v>
      </c>
      <c r="C1533" s="42" t="s">
        <v>4595</v>
      </c>
      <c r="D1533" s="35" t="s">
        <v>3886</v>
      </c>
      <c r="E1533" s="17" t="s">
        <v>4596</v>
      </c>
      <c r="F1533" s="17" t="s">
        <v>4597</v>
      </c>
      <c r="G1533" s="17">
        <v>22.866014</v>
      </c>
      <c r="H1533" s="17">
        <v>87.421882999999994</v>
      </c>
      <c r="I1533" s="17"/>
      <c r="J1533" s="17"/>
      <c r="K1533" s="17"/>
      <c r="L1533" s="17"/>
      <c r="M1533" s="42" t="s">
        <v>4011</v>
      </c>
      <c r="N1533" s="17">
        <v>8240995350</v>
      </c>
      <c r="O1533" s="17"/>
      <c r="P1533" s="17"/>
      <c r="Q1533" s="17"/>
      <c r="R1533" s="17"/>
      <c r="S1533" s="17"/>
      <c r="T1533" s="17"/>
      <c r="U1533" s="17"/>
      <c r="V1533" s="17"/>
      <c r="W1533" s="17"/>
      <c r="X1533" s="17"/>
      <c r="Y1533" s="17"/>
      <c r="Z1533" s="17"/>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row>
    <row r="1534">
      <c r="A1534" s="17">
        <v>1532</v>
      </c>
      <c r="B1534" s="17" t="s">
        <v>52</v>
      </c>
      <c r="C1534" s="42" t="s">
        <v>4598</v>
      </c>
      <c r="D1534" s="35" t="s">
        <v>3886</v>
      </c>
      <c r="E1534" s="17" t="s">
        <v>4599</v>
      </c>
      <c r="F1534" s="17" t="s">
        <v>4600</v>
      </c>
      <c r="G1534" s="17">
        <v>22.676691999999999</v>
      </c>
      <c r="H1534" s="17">
        <v>87.446353999999999</v>
      </c>
      <c r="I1534" s="17"/>
      <c r="J1534" s="17"/>
      <c r="K1534" s="17"/>
      <c r="L1534" s="17"/>
      <c r="M1534" s="42" t="s">
        <v>4298</v>
      </c>
      <c r="N1534" s="17"/>
      <c r="O1534" s="17"/>
      <c r="P1534" s="17"/>
      <c r="Q1534" s="17"/>
      <c r="R1534" s="17"/>
      <c r="S1534" s="17"/>
      <c r="T1534" s="17"/>
      <c r="U1534" s="17"/>
      <c r="V1534" s="17"/>
      <c r="W1534" s="17"/>
      <c r="X1534" s="17"/>
      <c r="Y1534" s="17"/>
      <c r="Z1534" s="17"/>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row>
    <row r="1535">
      <c r="A1535" s="17">
        <v>1533</v>
      </c>
      <c r="B1535" s="17" t="s">
        <v>52</v>
      </c>
      <c r="C1535" s="42" t="s">
        <v>4601</v>
      </c>
      <c r="D1535" s="35" t="s">
        <v>3886</v>
      </c>
      <c r="E1535" s="17" t="s">
        <v>4602</v>
      </c>
      <c r="F1535" s="17" t="s">
        <v>4603</v>
      </c>
      <c r="G1535" s="17">
        <v>22.695492999999999</v>
      </c>
      <c r="H1535" s="17">
        <v>87.761291999999997</v>
      </c>
      <c r="I1535" s="17"/>
      <c r="J1535" s="17"/>
      <c r="K1535" s="17"/>
      <c r="L1535" s="17"/>
      <c r="M1535" s="42" t="s">
        <v>4122</v>
      </c>
      <c r="N1535" s="17">
        <v>7003921625</v>
      </c>
      <c r="O1535" s="17"/>
      <c r="P1535" s="17"/>
      <c r="Q1535" s="17"/>
      <c r="R1535" s="17"/>
      <c r="S1535" s="17"/>
      <c r="T1535" s="17"/>
      <c r="U1535" s="17"/>
      <c r="V1535" s="17"/>
      <c r="W1535" s="17"/>
      <c r="X1535" s="17"/>
      <c r="Y1535" s="17"/>
      <c r="Z1535" s="17"/>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row>
    <row r="1536">
      <c r="A1536" s="17">
        <v>1534</v>
      </c>
      <c r="B1536" s="17" t="s">
        <v>52</v>
      </c>
      <c r="C1536" s="42" t="s">
        <v>4604</v>
      </c>
      <c r="D1536" s="35" t="s">
        <v>3886</v>
      </c>
      <c r="E1536" s="17" t="s">
        <v>4605</v>
      </c>
      <c r="F1536" s="17" t="s">
        <v>4606</v>
      </c>
      <c r="G1536" s="17">
        <v>22.485279999999999</v>
      </c>
      <c r="H1536" s="17">
        <v>87.414085999999998</v>
      </c>
      <c r="I1536" s="17"/>
      <c r="J1536" s="17"/>
      <c r="K1536" s="17"/>
      <c r="L1536" s="17"/>
      <c r="M1536" s="42" t="s">
        <v>4298</v>
      </c>
      <c r="N1536" s="17"/>
      <c r="O1536" s="17"/>
      <c r="P1536" s="17"/>
      <c r="Q1536" s="17"/>
      <c r="R1536" s="17"/>
      <c r="S1536" s="17"/>
      <c r="T1536" s="17"/>
      <c r="U1536" s="17"/>
      <c r="V1536" s="17"/>
      <c r="W1536" s="17"/>
      <c r="X1536" s="17"/>
      <c r="Y1536" s="17"/>
      <c r="Z1536" s="17"/>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row>
    <row r="1537">
      <c r="A1537" s="17">
        <v>1535</v>
      </c>
      <c r="B1537" s="17" t="s">
        <v>52</v>
      </c>
      <c r="C1537" s="42" t="s">
        <v>4607</v>
      </c>
      <c r="D1537" s="35" t="s">
        <v>3886</v>
      </c>
      <c r="E1537" s="17" t="s">
        <v>4608</v>
      </c>
      <c r="F1537" s="17" t="s">
        <v>4609</v>
      </c>
      <c r="G1537" s="17">
        <v>22.546531999999999</v>
      </c>
      <c r="H1537" s="17">
        <v>87.378969999999995</v>
      </c>
      <c r="I1537" s="17"/>
      <c r="J1537" s="17"/>
      <c r="K1537" s="17"/>
      <c r="L1537" s="17"/>
      <c r="M1537" s="42" t="s">
        <v>4033</v>
      </c>
      <c r="N1537" s="17"/>
      <c r="O1537" s="17"/>
      <c r="P1537" s="17"/>
      <c r="Q1537" s="17"/>
      <c r="R1537" s="17"/>
      <c r="S1537" s="17"/>
      <c r="T1537" s="17"/>
      <c r="U1537" s="17"/>
      <c r="V1537" s="17"/>
      <c r="W1537" s="17"/>
      <c r="X1537" s="17"/>
      <c r="Y1537" s="17"/>
      <c r="Z1537" s="17"/>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row>
    <row r="1538">
      <c r="A1538" s="17">
        <v>1536</v>
      </c>
      <c r="B1538" s="17" t="s">
        <v>52</v>
      </c>
      <c r="C1538" s="42" t="s">
        <v>4610</v>
      </c>
      <c r="D1538" s="35" t="s">
        <v>3886</v>
      </c>
      <c r="E1538" s="17" t="s">
        <v>4611</v>
      </c>
      <c r="F1538" s="17" t="s">
        <v>4612</v>
      </c>
      <c r="G1538" s="17">
        <v>22.653213999999998</v>
      </c>
      <c r="H1538" s="17">
        <v>87.456417000000002</v>
      </c>
      <c r="I1538" s="17"/>
      <c r="J1538" s="17"/>
      <c r="K1538" s="17"/>
      <c r="L1538" s="17"/>
      <c r="M1538" s="42" t="s">
        <v>2291</v>
      </c>
      <c r="N1538" s="17">
        <v>9933713149</v>
      </c>
      <c r="O1538" s="17"/>
      <c r="P1538" s="17"/>
      <c r="Q1538" s="17"/>
      <c r="R1538" s="17"/>
      <c r="S1538" s="17"/>
      <c r="T1538" s="17"/>
      <c r="U1538" s="17"/>
      <c r="V1538" s="17"/>
      <c r="W1538" s="17"/>
      <c r="X1538" s="17"/>
      <c r="Y1538" s="17"/>
      <c r="Z1538" s="17"/>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row>
    <row r="1539">
      <c r="A1539" s="17">
        <v>1537</v>
      </c>
      <c r="B1539" s="17" t="s">
        <v>52</v>
      </c>
      <c r="C1539" s="42" t="s">
        <v>4613</v>
      </c>
      <c r="D1539" s="35" t="s">
        <v>3886</v>
      </c>
      <c r="E1539" s="17" t="s">
        <v>4614</v>
      </c>
      <c r="F1539" s="17" t="s">
        <v>4615</v>
      </c>
      <c r="G1539" s="17">
        <v>22.582740999999999</v>
      </c>
      <c r="H1539" s="17">
        <v>87.443006999999994</v>
      </c>
      <c r="I1539" s="17"/>
      <c r="J1539" s="17"/>
      <c r="K1539" s="17"/>
      <c r="L1539" s="17"/>
      <c r="M1539" s="42" t="s">
        <v>4298</v>
      </c>
      <c r="N1539" s="17"/>
      <c r="O1539" s="17"/>
      <c r="P1539" s="17"/>
      <c r="Q1539" s="17"/>
      <c r="R1539" s="17"/>
      <c r="S1539" s="17"/>
      <c r="T1539" s="17"/>
      <c r="U1539" s="17"/>
      <c r="V1539" s="17"/>
      <c r="W1539" s="17"/>
      <c r="X1539" s="17"/>
      <c r="Y1539" s="17"/>
      <c r="Z1539" s="17"/>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row>
    <row r="1540">
      <c r="A1540" s="17">
        <v>1538</v>
      </c>
      <c r="B1540" s="17" t="s">
        <v>52</v>
      </c>
      <c r="C1540" s="42" t="s">
        <v>4616</v>
      </c>
      <c r="D1540" s="35" t="s">
        <v>3886</v>
      </c>
      <c r="E1540" s="17" t="s">
        <v>368</v>
      </c>
      <c r="F1540" s="17" t="s">
        <v>4617</v>
      </c>
      <c r="G1540" s="17">
        <v>22.583943999999999</v>
      </c>
      <c r="H1540" s="17">
        <v>87.331952999999999</v>
      </c>
      <c r="I1540" s="17"/>
      <c r="J1540" s="17"/>
      <c r="K1540" s="17"/>
      <c r="L1540" s="17"/>
      <c r="M1540" s="42" t="s">
        <v>4038</v>
      </c>
      <c r="N1540" s="17"/>
      <c r="O1540" s="17"/>
      <c r="P1540" s="17"/>
      <c r="Q1540" s="17"/>
      <c r="R1540" s="17"/>
      <c r="S1540" s="17"/>
      <c r="T1540" s="17"/>
      <c r="U1540" s="17"/>
      <c r="V1540" s="17"/>
      <c r="W1540" s="17"/>
      <c r="X1540" s="17"/>
      <c r="Y1540" s="17"/>
      <c r="Z1540" s="17"/>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row>
    <row r="1541">
      <c r="A1541" s="17">
        <v>1539</v>
      </c>
      <c r="B1541" s="17" t="s">
        <v>52</v>
      </c>
      <c r="C1541" s="42" t="s">
        <v>4618</v>
      </c>
      <c r="D1541" s="35" t="s">
        <v>3886</v>
      </c>
      <c r="E1541" s="17" t="s">
        <v>4619</v>
      </c>
      <c r="F1541" s="17" t="s">
        <v>4620</v>
      </c>
      <c r="G1541" s="17">
        <v>22.49701</v>
      </c>
      <c r="H1541" s="17">
        <v>87.480532999999994</v>
      </c>
      <c r="I1541" s="17"/>
      <c r="J1541" s="17"/>
      <c r="K1541" s="17"/>
      <c r="L1541" s="17"/>
      <c r="M1541" s="42" t="s">
        <v>4298</v>
      </c>
      <c r="N1541" s="17"/>
      <c r="O1541" s="17"/>
      <c r="P1541" s="17"/>
      <c r="Q1541" s="17"/>
      <c r="R1541" s="17"/>
      <c r="S1541" s="17"/>
      <c r="T1541" s="17"/>
      <c r="U1541" s="17"/>
      <c r="V1541" s="17"/>
      <c r="W1541" s="17"/>
      <c r="X1541" s="17"/>
      <c r="Y1541" s="17"/>
      <c r="Z1541" s="17"/>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row>
    <row r="1542">
      <c r="A1542" s="17">
        <v>1540</v>
      </c>
      <c r="B1542" s="17" t="s">
        <v>52</v>
      </c>
      <c r="C1542" s="42" t="s">
        <v>4621</v>
      </c>
      <c r="D1542" s="35" t="s">
        <v>3886</v>
      </c>
      <c r="E1542" s="17" t="s">
        <v>4622</v>
      </c>
      <c r="F1542" s="17" t="s">
        <v>4623</v>
      </c>
      <c r="G1542" s="17">
        <v>22.465035</v>
      </c>
      <c r="H1542" s="17">
        <v>87.480975999999998</v>
      </c>
      <c r="I1542" s="17"/>
      <c r="J1542" s="17"/>
      <c r="K1542" s="17"/>
      <c r="L1542" s="17"/>
      <c r="M1542" s="42" t="s">
        <v>4298</v>
      </c>
      <c r="N1542" s="17"/>
      <c r="O1542" s="17"/>
      <c r="P1542" s="17"/>
      <c r="Q1542" s="17"/>
      <c r="R1542" s="17"/>
      <c r="S1542" s="17"/>
      <c r="T1542" s="17"/>
      <c r="U1542" s="17"/>
      <c r="V1542" s="17"/>
      <c r="W1542" s="17"/>
      <c r="X1542" s="17"/>
      <c r="Y1542" s="17"/>
      <c r="Z1542" s="17"/>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row>
    <row r="1543">
      <c r="A1543" s="17">
        <v>1541</v>
      </c>
      <c r="B1543" s="17" t="s">
        <v>52</v>
      </c>
      <c r="C1543" s="42" t="s">
        <v>4624</v>
      </c>
      <c r="D1543" s="35" t="s">
        <v>3886</v>
      </c>
      <c r="E1543" s="17" t="s">
        <v>4625</v>
      </c>
      <c r="F1543" s="17" t="s">
        <v>4626</v>
      </c>
      <c r="G1543" s="17">
        <v>22.496962</v>
      </c>
      <c r="H1543" s="17">
        <v>87.139790000000005</v>
      </c>
      <c r="I1543" s="17"/>
      <c r="J1543" s="17"/>
      <c r="K1543" s="17"/>
      <c r="L1543" s="17"/>
      <c r="M1543" s="42" t="s">
        <v>4347</v>
      </c>
      <c r="N1543" s="17"/>
      <c r="O1543" s="17"/>
      <c r="P1543" s="17"/>
      <c r="Q1543" s="17"/>
      <c r="R1543" s="17"/>
      <c r="S1543" s="17"/>
      <c r="T1543" s="17"/>
      <c r="U1543" s="17"/>
      <c r="V1543" s="17"/>
      <c r="W1543" s="17"/>
      <c r="X1543" s="17"/>
      <c r="Y1543" s="17"/>
      <c r="Z1543" s="17"/>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row>
    <row r="1544">
      <c r="A1544" s="17">
        <v>1542</v>
      </c>
      <c r="B1544" s="17" t="s">
        <v>52</v>
      </c>
      <c r="C1544" s="42" t="s">
        <v>4627</v>
      </c>
      <c r="D1544" s="35" t="s">
        <v>3886</v>
      </c>
      <c r="E1544" s="17" t="s">
        <v>4628</v>
      </c>
      <c r="F1544" s="17" t="s">
        <v>4629</v>
      </c>
      <c r="G1544" s="17">
        <v>22.641529999999999</v>
      </c>
      <c r="H1544" s="17">
        <v>87.322591000000003</v>
      </c>
      <c r="I1544" s="17"/>
      <c r="J1544" s="17"/>
      <c r="K1544" s="17"/>
      <c r="L1544" s="17"/>
      <c r="M1544" s="42" t="s">
        <v>4033</v>
      </c>
      <c r="N1544" s="17"/>
      <c r="O1544" s="17"/>
      <c r="P1544" s="17"/>
      <c r="Q1544" s="17"/>
      <c r="R1544" s="17"/>
      <c r="S1544" s="17"/>
      <c r="T1544" s="17"/>
      <c r="U1544" s="17"/>
      <c r="V1544" s="17"/>
      <c r="W1544" s="17"/>
      <c r="X1544" s="17"/>
      <c r="Y1544" s="17"/>
      <c r="Z1544" s="17"/>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row>
    <row r="1545">
      <c r="A1545" s="17">
        <v>1543</v>
      </c>
      <c r="B1545" s="17" t="s">
        <v>52</v>
      </c>
      <c r="C1545" s="42" t="s">
        <v>4630</v>
      </c>
      <c r="D1545" s="35" t="s">
        <v>3886</v>
      </c>
      <c r="E1545" s="17" t="s">
        <v>4631</v>
      </c>
      <c r="F1545" s="17" t="s">
        <v>4632</v>
      </c>
      <c r="G1545" s="17">
        <v>22.646677</v>
      </c>
      <c r="H1545" s="17">
        <v>87.151764</v>
      </c>
      <c r="I1545" s="17"/>
      <c r="J1545" s="17"/>
      <c r="K1545" s="17"/>
      <c r="L1545" s="17"/>
      <c r="M1545" s="42" t="s">
        <v>4347</v>
      </c>
      <c r="N1545" s="17"/>
      <c r="O1545" s="17"/>
      <c r="P1545" s="17"/>
      <c r="Q1545" s="17"/>
      <c r="R1545" s="17"/>
      <c r="S1545" s="17"/>
      <c r="T1545" s="17"/>
      <c r="U1545" s="17"/>
      <c r="V1545" s="17"/>
      <c r="W1545" s="17"/>
      <c r="X1545" s="17"/>
      <c r="Y1545" s="17"/>
      <c r="Z1545" s="17"/>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row>
    <row r="1546">
      <c r="A1546" s="17">
        <v>1544</v>
      </c>
      <c r="B1546" s="17" t="s">
        <v>52</v>
      </c>
      <c r="C1546" s="42" t="s">
        <v>4633</v>
      </c>
      <c r="D1546" s="35" t="s">
        <v>3886</v>
      </c>
      <c r="E1546" s="17" t="s">
        <v>4634</v>
      </c>
      <c r="F1546" s="17" t="s">
        <v>4635</v>
      </c>
      <c r="G1546" s="17">
        <v>22.565103000000001</v>
      </c>
      <c r="H1546" s="17">
        <v>87.136167</v>
      </c>
      <c r="I1546" s="17"/>
      <c r="J1546" s="17"/>
      <c r="K1546" s="17"/>
      <c r="L1546" s="17"/>
      <c r="M1546" s="42" t="s">
        <v>4347</v>
      </c>
      <c r="N1546" s="17"/>
      <c r="O1546" s="17"/>
      <c r="P1546" s="17"/>
      <c r="Q1546" s="17"/>
      <c r="R1546" s="17"/>
      <c r="S1546" s="17"/>
      <c r="T1546" s="17"/>
      <c r="U1546" s="17"/>
      <c r="V1546" s="17"/>
      <c r="W1546" s="17"/>
      <c r="X1546" s="17"/>
      <c r="Y1546" s="17"/>
      <c r="Z1546" s="17"/>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row>
    <row r="1547">
      <c r="A1547" s="17">
        <v>1545</v>
      </c>
      <c r="B1547" s="17" t="s">
        <v>52</v>
      </c>
      <c r="C1547" s="42" t="s">
        <v>4636</v>
      </c>
      <c r="D1547" s="35" t="s">
        <v>3886</v>
      </c>
      <c r="E1547" s="17" t="s">
        <v>4637</v>
      </c>
      <c r="F1547" s="17" t="s">
        <v>4638</v>
      </c>
      <c r="G1547" s="17">
        <v>22.587437999999999</v>
      </c>
      <c r="H1547" s="17">
        <v>87.185456000000002</v>
      </c>
      <c r="I1547" s="17"/>
      <c r="J1547" s="17"/>
      <c r="K1547" s="17"/>
      <c r="L1547" s="17"/>
      <c r="M1547" s="42" t="s">
        <v>4347</v>
      </c>
      <c r="N1547" s="17"/>
      <c r="O1547" s="17"/>
      <c r="P1547" s="17"/>
      <c r="Q1547" s="17"/>
      <c r="R1547" s="17"/>
      <c r="S1547" s="17"/>
      <c r="T1547" s="17"/>
      <c r="U1547" s="17"/>
      <c r="V1547" s="17"/>
      <c r="W1547" s="17"/>
      <c r="X1547" s="17"/>
      <c r="Y1547" s="17"/>
      <c r="Z1547" s="17"/>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row>
    <row r="1548">
      <c r="A1548" s="17">
        <v>1546</v>
      </c>
      <c r="B1548" s="17" t="s">
        <v>52</v>
      </c>
      <c r="C1548" s="42" t="s">
        <v>4639</v>
      </c>
      <c r="D1548" s="35" t="s">
        <v>3886</v>
      </c>
      <c r="E1548" s="17" t="s">
        <v>4640</v>
      </c>
      <c r="F1548" s="17" t="s">
        <v>4641</v>
      </c>
      <c r="G1548" s="17">
        <v>22.590944</v>
      </c>
      <c r="H1548" s="17">
        <v>87.276690000000002</v>
      </c>
      <c r="I1548" s="17"/>
      <c r="J1548" s="17"/>
      <c r="K1548" s="17"/>
      <c r="L1548" s="17"/>
      <c r="M1548" s="42" t="s">
        <v>4038</v>
      </c>
      <c r="N1548" s="17"/>
      <c r="O1548" s="17"/>
      <c r="P1548" s="17"/>
      <c r="Q1548" s="17"/>
      <c r="R1548" s="17"/>
      <c r="S1548" s="17"/>
      <c r="T1548" s="17"/>
      <c r="U1548" s="17"/>
      <c r="V1548" s="17"/>
      <c r="W1548" s="17"/>
      <c r="X1548" s="17"/>
      <c r="Y1548" s="17"/>
      <c r="Z1548" s="17"/>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row>
    <row r="1549">
      <c r="A1549" s="17">
        <v>1547</v>
      </c>
      <c r="B1549" s="17" t="s">
        <v>52</v>
      </c>
      <c r="C1549" s="42" t="s">
        <v>4642</v>
      </c>
      <c r="D1549" s="35" t="s">
        <v>3886</v>
      </c>
      <c r="E1549" s="17" t="s">
        <v>4643</v>
      </c>
      <c r="F1549" s="17" t="s">
        <v>4644</v>
      </c>
      <c r="G1549" s="17">
        <v>22.671489000000001</v>
      </c>
      <c r="H1549" s="17">
        <v>87.302717000000001</v>
      </c>
      <c r="I1549" s="17"/>
      <c r="J1549" s="17"/>
      <c r="K1549" s="17"/>
      <c r="L1549" s="17"/>
      <c r="M1549" s="42" t="s">
        <v>4045</v>
      </c>
      <c r="N1549" s="17">
        <v>6290709471</v>
      </c>
      <c r="O1549" s="17"/>
      <c r="P1549" s="17"/>
      <c r="Q1549" s="17"/>
      <c r="R1549" s="17"/>
      <c r="S1549" s="17"/>
      <c r="T1549" s="17"/>
      <c r="U1549" s="17"/>
      <c r="V1549" s="17"/>
      <c r="W1549" s="17"/>
      <c r="X1549" s="17"/>
      <c r="Y1549" s="17"/>
      <c r="Z1549" s="17"/>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row>
    <row r="1550">
      <c r="A1550" s="17">
        <v>1548</v>
      </c>
      <c r="B1550" s="17" t="s">
        <v>52</v>
      </c>
      <c r="C1550" s="42" t="s">
        <v>4645</v>
      </c>
      <c r="D1550" s="35" t="s">
        <v>3886</v>
      </c>
      <c r="E1550" s="17" t="s">
        <v>4646</v>
      </c>
      <c r="F1550" s="17" t="s">
        <v>4647</v>
      </c>
      <c r="G1550" s="17">
        <v>22.511316999999998</v>
      </c>
      <c r="H1550" s="17">
        <v>87.355665000000002</v>
      </c>
      <c r="I1550" s="17"/>
      <c r="J1550" s="17"/>
      <c r="K1550" s="17"/>
      <c r="L1550" s="17"/>
      <c r="M1550" s="42" t="s">
        <v>4033</v>
      </c>
      <c r="N1550" s="17"/>
      <c r="O1550" s="17"/>
      <c r="P1550" s="17"/>
      <c r="Q1550" s="17"/>
      <c r="R1550" s="17"/>
      <c r="S1550" s="17"/>
      <c r="T1550" s="17"/>
      <c r="U1550" s="17"/>
      <c r="V1550" s="17"/>
      <c r="W1550" s="17"/>
      <c r="X1550" s="17"/>
      <c r="Y1550" s="17"/>
      <c r="Z1550" s="17"/>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row>
    <row r="1551">
      <c r="A1551" s="17">
        <v>1549</v>
      </c>
      <c r="B1551" s="17" t="s">
        <v>52</v>
      </c>
      <c r="C1551" s="42" t="s">
        <v>4648</v>
      </c>
      <c r="D1551" s="35" t="s">
        <v>3886</v>
      </c>
      <c r="E1551" s="17" t="s">
        <v>4649</v>
      </c>
      <c r="F1551" s="17" t="s">
        <v>4650</v>
      </c>
      <c r="G1551" s="17">
        <v>22.73366</v>
      </c>
      <c r="H1551" s="17">
        <v>87.185091</v>
      </c>
      <c r="I1551" s="17"/>
      <c r="J1551" s="17"/>
      <c r="K1551" s="17"/>
      <c r="L1551" s="17"/>
      <c r="M1551" s="42" t="s">
        <v>4210</v>
      </c>
      <c r="N1551" s="17">
        <v>7980098242</v>
      </c>
      <c r="O1551" s="17"/>
      <c r="P1551" s="17"/>
      <c r="Q1551" s="17"/>
      <c r="R1551" s="17"/>
      <c r="S1551" s="17"/>
      <c r="T1551" s="17"/>
      <c r="U1551" s="17"/>
      <c r="V1551" s="17"/>
      <c r="W1551" s="17"/>
      <c r="X1551" s="17"/>
      <c r="Y1551" s="17"/>
      <c r="Z1551" s="17"/>
      <c r="AA1551" s="17"/>
      <c r="AB1551" s="17"/>
      <c r="AC1551" s="17"/>
      <c r="AD1551" s="17"/>
      <c r="AE1551" s="17"/>
      <c r="AF1551" s="17"/>
      <c r="AG1551" s="17"/>
      <c r="AH1551" s="17"/>
      <c r="AI1551" s="17"/>
      <c r="AJ1551" s="17"/>
      <c r="AK1551" s="17"/>
      <c r="AL1551" s="17"/>
      <c r="AM1551" s="17"/>
      <c r="AN1551" s="17"/>
      <c r="AO1551" s="17"/>
      <c r="AP1551" s="17"/>
      <c r="AQ1551" s="17"/>
      <c r="AR1551" s="17"/>
      <c r="AS1551" s="17"/>
      <c r="AT1551" s="17"/>
      <c r="AU1551" s="17"/>
    </row>
    <row r="1552">
      <c r="A1552" s="17">
        <v>1550</v>
      </c>
      <c r="B1552" s="17" t="s">
        <v>52</v>
      </c>
      <c r="C1552" s="42" t="s">
        <v>4651</v>
      </c>
      <c r="D1552" s="35" t="s">
        <v>3886</v>
      </c>
      <c r="E1552" s="17" t="s">
        <v>4652</v>
      </c>
      <c r="F1552" s="17" t="s">
        <v>4653</v>
      </c>
      <c r="G1552" s="17">
        <v>22.541723000000001</v>
      </c>
      <c r="H1552" s="17">
        <v>87.528677999999999</v>
      </c>
      <c r="I1552" s="17"/>
      <c r="J1552" s="17"/>
      <c r="K1552" s="17"/>
      <c r="L1552" s="17"/>
      <c r="M1552" s="42" t="s">
        <v>4298</v>
      </c>
      <c r="N1552" s="17"/>
      <c r="O1552" s="17"/>
      <c r="P1552" s="17"/>
      <c r="Q1552" s="17"/>
      <c r="R1552" s="17"/>
      <c r="S1552" s="17"/>
      <c r="T1552" s="17"/>
      <c r="U1552" s="17"/>
      <c r="V1552" s="17"/>
      <c r="W1552" s="17"/>
      <c r="X1552" s="17"/>
      <c r="Y1552" s="17"/>
      <c r="Z1552" s="17"/>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row>
    <row r="1553">
      <c r="A1553" s="17">
        <v>1551</v>
      </c>
      <c r="B1553" s="17" t="s">
        <v>52</v>
      </c>
      <c r="C1553" s="42" t="s">
        <v>4654</v>
      </c>
      <c r="D1553" s="35" t="s">
        <v>3886</v>
      </c>
      <c r="E1553" s="17" t="s">
        <v>4655</v>
      </c>
      <c r="F1553" s="17" t="s">
        <v>4656</v>
      </c>
      <c r="G1553" s="17">
        <v>22.496357</v>
      </c>
      <c r="H1553" s="17">
        <v>87.538363000000004</v>
      </c>
      <c r="I1553" s="17"/>
      <c r="J1553" s="17"/>
      <c r="K1553" s="17"/>
      <c r="L1553" s="17"/>
      <c r="M1553" s="42" t="s">
        <v>4298</v>
      </c>
      <c r="N1553" s="17"/>
      <c r="O1553" s="17"/>
      <c r="P1553" s="17"/>
      <c r="Q1553" s="17"/>
      <c r="R1553" s="17"/>
      <c r="S1553" s="17"/>
      <c r="T1553" s="17"/>
      <c r="U1553" s="17"/>
      <c r="V1553" s="17"/>
      <c r="W1553" s="17"/>
      <c r="X1553" s="17"/>
      <c r="Y1553" s="17"/>
      <c r="Z1553" s="17"/>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row>
    <row r="1554">
      <c r="A1554" s="17">
        <v>1552</v>
      </c>
      <c r="B1554" s="17" t="s">
        <v>52</v>
      </c>
      <c r="C1554" s="42" t="s">
        <v>4657</v>
      </c>
      <c r="D1554" s="35" t="s">
        <v>3886</v>
      </c>
      <c r="E1554" s="17" t="s">
        <v>4658</v>
      </c>
      <c r="F1554" s="17" t="s">
        <v>4659</v>
      </c>
      <c r="G1554" s="17">
        <v>22.590785</v>
      </c>
      <c r="H1554" s="17">
        <v>87.376051000000004</v>
      </c>
      <c r="I1554" s="17"/>
      <c r="J1554" s="17"/>
      <c r="K1554" s="17"/>
      <c r="L1554" s="17"/>
      <c r="M1554" s="42" t="s">
        <v>4038</v>
      </c>
      <c r="N1554" s="17"/>
      <c r="O1554" s="17"/>
      <c r="P1554" s="17"/>
      <c r="Q1554" s="17"/>
      <c r="R1554" s="17"/>
      <c r="S1554" s="17"/>
      <c r="T1554" s="17"/>
      <c r="U1554" s="17"/>
      <c r="V1554" s="17"/>
      <c r="W1554" s="17"/>
      <c r="X1554" s="17"/>
      <c r="Y1554" s="17"/>
      <c r="Z1554" s="17"/>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row>
    <row r="1555">
      <c r="A1555" s="17">
        <v>1553</v>
      </c>
      <c r="B1555" s="17" t="s">
        <v>52</v>
      </c>
      <c r="C1555" s="42" t="s">
        <v>4660</v>
      </c>
      <c r="D1555" s="35" t="s">
        <v>3886</v>
      </c>
      <c r="E1555" s="17" t="s">
        <v>4661</v>
      </c>
      <c r="F1555" s="17" t="s">
        <v>4662</v>
      </c>
      <c r="G1555" s="17">
        <v>22.518433000000002</v>
      </c>
      <c r="H1555" s="17">
        <v>87.170563999999999</v>
      </c>
      <c r="I1555" s="17"/>
      <c r="J1555" s="17"/>
      <c r="K1555" s="17"/>
      <c r="L1555" s="17"/>
      <c r="M1555" s="42" t="s">
        <v>4366</v>
      </c>
      <c r="N1555" s="17"/>
      <c r="O1555" s="17"/>
      <c r="P1555" s="17"/>
      <c r="Q1555" s="17"/>
      <c r="R1555" s="17"/>
      <c r="S1555" s="17"/>
      <c r="T1555" s="17"/>
      <c r="U1555" s="17"/>
      <c r="V1555" s="17"/>
      <c r="W1555" s="17"/>
      <c r="X1555" s="17"/>
      <c r="Y1555" s="17"/>
      <c r="Z1555" s="17"/>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row>
    <row r="1556">
      <c r="A1556" s="17">
        <v>1554</v>
      </c>
      <c r="B1556" s="17" t="s">
        <v>52</v>
      </c>
      <c r="C1556" s="42" t="s">
        <v>4663</v>
      </c>
      <c r="D1556" s="35" t="s">
        <v>3886</v>
      </c>
      <c r="E1556" s="17" t="s">
        <v>4664</v>
      </c>
      <c r="F1556" s="17" t="s">
        <v>4665</v>
      </c>
      <c r="G1556" s="17">
        <v>22.752915000000002</v>
      </c>
      <c r="H1556" s="17">
        <v>87.569937999999993</v>
      </c>
      <c r="I1556" s="17"/>
      <c r="J1556" s="17"/>
      <c r="K1556" s="17"/>
      <c r="L1556" s="17"/>
      <c r="M1556" s="42" t="s">
        <v>3987</v>
      </c>
      <c r="N1556" s="17"/>
      <c r="O1556" s="17"/>
      <c r="P1556" s="17"/>
      <c r="Q1556" s="17"/>
      <c r="R1556" s="17"/>
      <c r="S1556" s="17"/>
      <c r="T1556" s="17"/>
      <c r="U1556" s="17"/>
      <c r="V1556" s="17"/>
      <c r="W1556" s="17"/>
      <c r="X1556" s="17"/>
      <c r="Y1556" s="17"/>
      <c r="Z1556" s="17"/>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row>
    <row r="1557">
      <c r="A1557" s="17">
        <v>1555</v>
      </c>
      <c r="B1557" s="17" t="s">
        <v>52</v>
      </c>
      <c r="C1557" s="42" t="s">
        <v>4666</v>
      </c>
      <c r="D1557" s="35" t="s">
        <v>3886</v>
      </c>
      <c r="E1557" s="17" t="s">
        <v>4667</v>
      </c>
      <c r="F1557" s="17" t="s">
        <v>4668</v>
      </c>
      <c r="G1557" s="17">
        <v>22.689170000000001</v>
      </c>
      <c r="H1557" s="17">
        <v>87.512810000000002</v>
      </c>
      <c r="I1557" s="17"/>
      <c r="J1557" s="17"/>
      <c r="K1557" s="17"/>
      <c r="L1557" s="17"/>
      <c r="M1557" s="42" t="s">
        <v>3987</v>
      </c>
      <c r="N1557" s="17"/>
      <c r="O1557" s="17"/>
      <c r="P1557" s="17"/>
      <c r="Q1557" s="17"/>
      <c r="R1557" s="17"/>
      <c r="S1557" s="17"/>
      <c r="T1557" s="17"/>
      <c r="U1557" s="17"/>
      <c r="V1557" s="17"/>
      <c r="W1557" s="17"/>
      <c r="X1557" s="17"/>
      <c r="Y1557" s="17"/>
      <c r="Z1557" s="17"/>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row>
    <row r="1558">
      <c r="A1558" s="17">
        <v>1556</v>
      </c>
      <c r="B1558" s="17" t="s">
        <v>52</v>
      </c>
      <c r="C1558" s="42" t="s">
        <v>4669</v>
      </c>
      <c r="D1558" s="35" t="s">
        <v>3886</v>
      </c>
      <c r="E1558" s="17" t="s">
        <v>4670</v>
      </c>
      <c r="F1558" s="17" t="s">
        <v>4671</v>
      </c>
      <c r="G1558" s="17">
        <v>22.763705000000002</v>
      </c>
      <c r="H1558" s="17">
        <v>87.409192000000004</v>
      </c>
      <c r="I1558" s="17"/>
      <c r="J1558" s="17"/>
      <c r="K1558" s="17"/>
      <c r="L1558" s="17"/>
      <c r="M1558" s="42" t="s">
        <v>4011</v>
      </c>
      <c r="N1558" s="17">
        <v>8240995350</v>
      </c>
      <c r="O1558" s="17">
        <v>18</v>
      </c>
      <c r="P1558" s="17">
        <v>52</v>
      </c>
      <c r="Q1558" s="17" t="s">
        <v>105</v>
      </c>
      <c r="R1558" s="17" t="s">
        <v>238</v>
      </c>
      <c r="S1558" s="17" t="s">
        <v>75</v>
      </c>
      <c r="T1558" s="17"/>
      <c r="U1558" s="17" t="s">
        <v>755</v>
      </c>
      <c r="V1558" s="17" t="s">
        <v>504</v>
      </c>
      <c r="W1558" s="17" t="s">
        <v>593</v>
      </c>
      <c r="X1558" s="17">
        <v>2</v>
      </c>
      <c r="Y1558" s="17">
        <v>0</v>
      </c>
      <c r="Z1558" s="17"/>
      <c r="AA1558" s="17" t="s">
        <v>105</v>
      </c>
      <c r="AB1558" s="17" t="s">
        <v>239</v>
      </c>
      <c r="AC1558" s="17">
        <v>5</v>
      </c>
      <c r="AD1558" s="17">
        <v>0</v>
      </c>
      <c r="AE1558" s="17">
        <v>0</v>
      </c>
      <c r="AF1558" s="17"/>
      <c r="AG1558" s="17" t="s">
        <v>81</v>
      </c>
      <c r="AH1558" s="17" t="s">
        <v>82</v>
      </c>
      <c r="AI1558" s="17" t="s">
        <v>83</v>
      </c>
      <c r="AJ1558" s="17">
        <v>2111</v>
      </c>
      <c r="AK1558" s="17" t="s">
        <v>75</v>
      </c>
      <c r="AL1558" s="17" t="s">
        <v>75</v>
      </c>
      <c r="AM1558" s="17" t="s">
        <v>75</v>
      </c>
      <c r="AN1558" s="17" t="s">
        <v>84</v>
      </c>
      <c r="AO1558" s="17" t="s">
        <v>75</v>
      </c>
      <c r="AP1558" s="17"/>
      <c r="AQ1558" s="17"/>
      <c r="AR1558" s="17"/>
      <c r="AS1558" s="17"/>
      <c r="AT1558" s="17"/>
      <c r="AU1558" s="17" t="s">
        <v>127</v>
      </c>
    </row>
    <row r="1559">
      <c r="A1559" s="17">
        <v>1557</v>
      </c>
      <c r="B1559" s="17" t="s">
        <v>52</v>
      </c>
      <c r="C1559" s="42" t="s">
        <v>4672</v>
      </c>
      <c r="D1559" s="35" t="s">
        <v>3886</v>
      </c>
      <c r="E1559" s="17" t="s">
        <v>4673</v>
      </c>
      <c r="F1559" s="17" t="s">
        <v>4674</v>
      </c>
      <c r="G1559" s="17">
        <v>22.704647000000001</v>
      </c>
      <c r="H1559" s="17">
        <v>87.532684000000003</v>
      </c>
      <c r="I1559" s="17"/>
      <c r="J1559" s="17"/>
      <c r="K1559" s="17"/>
      <c r="L1559" s="17"/>
      <c r="M1559" s="42" t="s">
        <v>3987</v>
      </c>
      <c r="N1559" s="17"/>
      <c r="O1559" s="17"/>
      <c r="P1559" s="17"/>
      <c r="Q1559" s="17"/>
      <c r="R1559" s="17"/>
      <c r="S1559" s="17"/>
      <c r="T1559" s="17"/>
      <c r="U1559" s="17"/>
      <c r="V1559" s="17"/>
      <c r="W1559" s="17"/>
      <c r="X1559" s="17"/>
      <c r="Y1559" s="17"/>
      <c r="Z1559" s="17"/>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row>
    <row r="1560">
      <c r="A1560" s="17">
        <v>1558</v>
      </c>
      <c r="B1560" s="17" t="s">
        <v>52</v>
      </c>
      <c r="C1560" s="42" t="s">
        <v>4675</v>
      </c>
      <c r="D1560" s="35" t="s">
        <v>3886</v>
      </c>
      <c r="E1560" s="17" t="s">
        <v>4676</v>
      </c>
      <c r="F1560" s="17" t="s">
        <v>4677</v>
      </c>
      <c r="G1560" s="17">
        <v>22.688955</v>
      </c>
      <c r="H1560" s="17">
        <v>87.409192000000004</v>
      </c>
      <c r="I1560" s="17"/>
      <c r="J1560" s="17"/>
      <c r="K1560" s="17"/>
      <c r="L1560" s="17"/>
      <c r="M1560" s="42" t="s">
        <v>4045</v>
      </c>
      <c r="N1560" s="17">
        <v>6290709471</v>
      </c>
      <c r="O1560" s="17"/>
      <c r="P1560" s="17"/>
      <c r="Q1560" s="17"/>
      <c r="R1560" s="17"/>
      <c r="S1560" s="17"/>
      <c r="T1560" s="17"/>
      <c r="U1560" s="17"/>
      <c r="V1560" s="17"/>
      <c r="W1560" s="17"/>
      <c r="X1560" s="17"/>
      <c r="Y1560" s="17"/>
      <c r="Z1560" s="17"/>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row>
    <row r="1561">
      <c r="A1561" s="17">
        <v>1559</v>
      </c>
      <c r="B1561" s="17" t="s">
        <v>52</v>
      </c>
      <c r="C1561" s="42" t="s">
        <v>4678</v>
      </c>
      <c r="D1561" s="35" t="s">
        <v>3886</v>
      </c>
      <c r="E1561" s="17" t="s">
        <v>4679</v>
      </c>
      <c r="F1561" s="17" t="s">
        <v>4680</v>
      </c>
      <c r="G1561" s="17">
        <v>22.684294000000001</v>
      </c>
      <c r="H1561" s="17">
        <v>87.590001000000001</v>
      </c>
      <c r="I1561" s="17"/>
      <c r="J1561" s="17"/>
      <c r="K1561" s="17"/>
      <c r="L1561" s="17"/>
      <c r="M1561" s="42" t="s">
        <v>3987</v>
      </c>
      <c r="N1561" s="17"/>
      <c r="O1561" s="17"/>
      <c r="P1561" s="17"/>
      <c r="Q1561" s="17"/>
      <c r="R1561" s="17"/>
      <c r="S1561" s="17"/>
      <c r="T1561" s="17"/>
      <c r="U1561" s="17"/>
      <c r="V1561" s="17"/>
      <c r="W1561" s="17"/>
      <c r="X1561" s="17"/>
      <c r="Y1561" s="17"/>
      <c r="Z1561" s="17"/>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row>
    <row r="1562">
      <c r="A1562" s="17">
        <v>1560</v>
      </c>
      <c r="B1562" s="17" t="s">
        <v>52</v>
      </c>
      <c r="C1562" s="42" t="s">
        <v>4681</v>
      </c>
      <c r="D1562" s="35" t="s">
        <v>3886</v>
      </c>
      <c r="E1562" s="17" t="s">
        <v>4188</v>
      </c>
      <c r="F1562" s="17" t="s">
        <v>4682</v>
      </c>
      <c r="G1562" s="17">
        <v>22.629458</v>
      </c>
      <c r="H1562" s="17">
        <v>87.695706999999999</v>
      </c>
      <c r="I1562" s="17"/>
      <c r="J1562" s="17"/>
      <c r="K1562" s="17"/>
      <c r="L1562" s="17"/>
      <c r="M1562" s="42" t="s">
        <v>4122</v>
      </c>
      <c r="N1562" s="17">
        <v>7003921625</v>
      </c>
      <c r="O1562" s="17"/>
      <c r="P1562" s="17"/>
      <c r="Q1562" s="17"/>
      <c r="R1562" s="17"/>
      <c r="S1562" s="17"/>
      <c r="T1562" s="17"/>
      <c r="U1562" s="17"/>
      <c r="V1562" s="17"/>
      <c r="W1562" s="17"/>
      <c r="X1562" s="17"/>
      <c r="Y1562" s="17"/>
      <c r="Z1562" s="17"/>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row>
    <row r="1563">
      <c r="A1563" s="17">
        <v>1561</v>
      </c>
      <c r="B1563" s="17" t="s">
        <v>52</v>
      </c>
      <c r="C1563" s="42" t="s">
        <v>4683</v>
      </c>
      <c r="D1563" s="35" t="s">
        <v>3886</v>
      </c>
      <c r="E1563" s="17" t="s">
        <v>4684</v>
      </c>
      <c r="F1563" s="17" t="s">
        <v>4685</v>
      </c>
      <c r="G1563" s="17">
        <v>22.610305</v>
      </c>
      <c r="H1563" s="17">
        <v>87.620841999999996</v>
      </c>
      <c r="I1563" s="17"/>
      <c r="J1563" s="17"/>
      <c r="K1563" s="17"/>
      <c r="L1563" s="17"/>
      <c r="M1563" s="42" t="s">
        <v>4099</v>
      </c>
      <c r="N1563" s="17">
        <v>7003921625</v>
      </c>
      <c r="O1563" s="17">
        <v>18</v>
      </c>
      <c r="P1563" s="17">
        <v>55</v>
      </c>
      <c r="Q1563" s="17" t="s">
        <v>105</v>
      </c>
      <c r="R1563" s="17" t="s">
        <v>142</v>
      </c>
      <c r="S1563" s="17" t="s">
        <v>75</v>
      </c>
      <c r="T1563" s="17"/>
      <c r="U1563" s="17" t="s">
        <v>441</v>
      </c>
      <c r="V1563" s="17" t="s">
        <v>442</v>
      </c>
      <c r="W1563" s="17" t="s">
        <v>136</v>
      </c>
      <c r="X1563" s="17">
        <v>4</v>
      </c>
      <c r="Y1563" s="17">
        <v>0</v>
      </c>
      <c r="Z1563" s="17"/>
      <c r="AA1563" s="17" t="s">
        <v>105</v>
      </c>
      <c r="AB1563" s="17" t="s">
        <v>79</v>
      </c>
      <c r="AC1563" s="17">
        <v>6</v>
      </c>
      <c r="AD1563" s="17">
        <v>0</v>
      </c>
      <c r="AE1563" s="17">
        <v>0</v>
      </c>
      <c r="AF1563" s="17"/>
      <c r="AG1563" s="17" t="s">
        <v>124</v>
      </c>
      <c r="AH1563" s="17" t="s">
        <v>162</v>
      </c>
      <c r="AI1563" s="17" t="s">
        <v>83</v>
      </c>
      <c r="AJ1563" s="17">
        <v>2112</v>
      </c>
      <c r="AK1563" s="17" t="s">
        <v>75</v>
      </c>
      <c r="AL1563" s="17" t="s">
        <v>75</v>
      </c>
      <c r="AM1563" s="17" t="s">
        <v>75</v>
      </c>
      <c r="AN1563" s="17" t="s">
        <v>125</v>
      </c>
      <c r="AO1563" s="17" t="s">
        <v>75</v>
      </c>
      <c r="AP1563" s="17"/>
      <c r="AQ1563" s="17"/>
      <c r="AR1563" s="17"/>
      <c r="AS1563" s="17"/>
      <c r="AT1563" s="17" t="s">
        <v>4686</v>
      </c>
      <c r="AU1563" s="17" t="s">
        <v>111</v>
      </c>
    </row>
    <row r="1564">
      <c r="A1564" s="17">
        <v>1562</v>
      </c>
      <c r="B1564" s="17" t="s">
        <v>52</v>
      </c>
      <c r="C1564" s="42" t="s">
        <v>4687</v>
      </c>
      <c r="D1564" s="35" t="s">
        <v>3886</v>
      </c>
      <c r="E1564" s="17" t="s">
        <v>4688</v>
      </c>
      <c r="F1564" s="17" t="s">
        <v>4689</v>
      </c>
      <c r="G1564" s="17">
        <v>22.746148999999999</v>
      </c>
      <c r="H1564" s="17">
        <v>87.728967999999995</v>
      </c>
      <c r="I1564" s="17"/>
      <c r="J1564" s="17"/>
      <c r="K1564" s="17"/>
      <c r="L1564" s="17"/>
      <c r="M1564" s="42" t="s">
        <v>4122</v>
      </c>
      <c r="N1564" s="17">
        <v>7003921625</v>
      </c>
      <c r="O1564" s="17"/>
      <c r="P1564" s="17"/>
      <c r="Q1564" s="17"/>
      <c r="R1564" s="17"/>
      <c r="S1564" s="17"/>
      <c r="T1564" s="17"/>
      <c r="U1564" s="17"/>
      <c r="V1564" s="17"/>
      <c r="W1564" s="17"/>
      <c r="X1564" s="17"/>
      <c r="Y1564" s="17"/>
      <c r="Z1564" s="17"/>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row>
    <row r="1565">
      <c r="A1565" s="17">
        <v>1563</v>
      </c>
      <c r="B1565" s="17" t="s">
        <v>52</v>
      </c>
      <c r="C1565" s="42" t="s">
        <v>4690</v>
      </c>
      <c r="D1565" s="35" t="s">
        <v>3886</v>
      </c>
      <c r="E1565" s="17" t="s">
        <v>4691</v>
      </c>
      <c r="F1565" s="17" t="s">
        <v>4692</v>
      </c>
      <c r="G1565" s="17">
        <v>22.817708</v>
      </c>
      <c r="H1565" s="17">
        <v>87.556426000000002</v>
      </c>
      <c r="I1565" s="17"/>
      <c r="J1565" s="17"/>
      <c r="K1565" s="17"/>
      <c r="L1565" s="17"/>
      <c r="M1565" s="42" t="s">
        <v>4011</v>
      </c>
      <c r="N1565" s="17">
        <v>8240995350</v>
      </c>
      <c r="O1565" s="17"/>
      <c r="P1565" s="17"/>
      <c r="Q1565" s="17"/>
      <c r="R1565" s="17"/>
      <c r="S1565" s="17"/>
      <c r="T1565" s="17"/>
      <c r="U1565" s="17"/>
      <c r="V1565" s="17"/>
      <c r="W1565" s="17"/>
      <c r="X1565" s="17"/>
      <c r="Y1565" s="17"/>
      <c r="Z1565" s="17"/>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row>
    <row r="1566">
      <c r="A1566" s="17">
        <v>1564</v>
      </c>
      <c r="B1566" s="17" t="s">
        <v>52</v>
      </c>
      <c r="C1566" s="42" t="s">
        <v>4693</v>
      </c>
      <c r="D1566" s="35" t="s">
        <v>3886</v>
      </c>
      <c r="E1566" s="17" t="s">
        <v>4694</v>
      </c>
      <c r="F1566" s="17" t="s">
        <v>4695</v>
      </c>
      <c r="G1566" s="17">
        <v>22.461908999999999</v>
      </c>
      <c r="H1566" s="17">
        <v>87.325941999999998</v>
      </c>
      <c r="I1566" s="17"/>
      <c r="J1566" s="17"/>
      <c r="K1566" s="17"/>
      <c r="L1566" s="17"/>
      <c r="M1566" s="42" t="s">
        <v>3893</v>
      </c>
      <c r="N1566" s="17"/>
      <c r="O1566" s="17"/>
      <c r="P1566" s="17"/>
      <c r="Q1566" s="17"/>
      <c r="R1566" s="17"/>
      <c r="S1566" s="17"/>
      <c r="T1566" s="17"/>
      <c r="U1566" s="17"/>
      <c r="V1566" s="17"/>
      <c r="W1566" s="17"/>
      <c r="X1566" s="17"/>
      <c r="Y1566" s="17"/>
      <c r="Z1566" s="17"/>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row>
    <row r="1567">
      <c r="A1567" s="17">
        <v>1565</v>
      </c>
      <c r="B1567" s="17" t="s">
        <v>52</v>
      </c>
      <c r="C1567" s="42" t="s">
        <v>4696</v>
      </c>
      <c r="D1567" s="35" t="s">
        <v>3886</v>
      </c>
      <c r="E1567" s="17" t="s">
        <v>4697</v>
      </c>
      <c r="F1567" s="17" t="s">
        <v>4698</v>
      </c>
      <c r="G1567" s="17">
        <v>22.846461000000001</v>
      </c>
      <c r="H1567" s="17">
        <v>87.335971000000001</v>
      </c>
      <c r="I1567" s="17"/>
      <c r="J1567" s="17"/>
      <c r="K1567" s="17"/>
      <c r="L1567" s="17"/>
      <c r="M1567" s="42" t="s">
        <v>3967</v>
      </c>
      <c r="N1567" s="17"/>
      <c r="O1567" s="17"/>
      <c r="P1567" s="17"/>
      <c r="Q1567" s="17"/>
      <c r="R1567" s="17"/>
      <c r="S1567" s="17"/>
      <c r="T1567" s="17"/>
      <c r="U1567" s="17"/>
      <c r="V1567" s="17"/>
      <c r="W1567" s="17"/>
      <c r="X1567" s="17"/>
      <c r="Y1567" s="17"/>
      <c r="Z1567" s="17"/>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row>
    <row r="1568">
      <c r="A1568" s="17">
        <v>1566</v>
      </c>
      <c r="B1568" s="17" t="s">
        <v>52</v>
      </c>
      <c r="C1568" s="42" t="s">
        <v>4699</v>
      </c>
      <c r="D1568" s="35" t="s">
        <v>3886</v>
      </c>
      <c r="E1568" s="17" t="s">
        <v>4700</v>
      </c>
      <c r="F1568" s="17" t="s">
        <v>4701</v>
      </c>
      <c r="G1568" s="17">
        <v>22.938745000000001</v>
      </c>
      <c r="H1568" s="17">
        <v>87.323251999999997</v>
      </c>
      <c r="I1568" s="17"/>
      <c r="J1568" s="17"/>
      <c r="K1568" s="17"/>
      <c r="L1568" s="17"/>
      <c r="M1568" s="42" t="s">
        <v>3967</v>
      </c>
      <c r="N1568" s="17"/>
      <c r="O1568" s="17"/>
      <c r="P1568" s="17"/>
      <c r="Q1568" s="17"/>
      <c r="R1568" s="17"/>
      <c r="S1568" s="17"/>
      <c r="T1568" s="17"/>
      <c r="U1568" s="17"/>
      <c r="V1568" s="17"/>
      <c r="W1568" s="17"/>
      <c r="X1568" s="17"/>
      <c r="Y1568" s="17"/>
      <c r="Z1568" s="17"/>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row>
    <row r="1569">
      <c r="A1569" s="17">
        <v>1567</v>
      </c>
      <c r="B1569" s="17" t="s">
        <v>52</v>
      </c>
      <c r="C1569" s="42" t="s">
        <v>4702</v>
      </c>
      <c r="D1569" s="35" t="s">
        <v>3886</v>
      </c>
      <c r="E1569" s="17" t="s">
        <v>4703</v>
      </c>
      <c r="F1569" s="17" t="s">
        <v>4704</v>
      </c>
      <c r="G1569" s="17">
        <v>22.879534</v>
      </c>
      <c r="H1569" s="17">
        <v>87.305469000000002</v>
      </c>
      <c r="I1569" s="17"/>
      <c r="J1569" s="17"/>
      <c r="K1569" s="17"/>
      <c r="L1569" s="17"/>
      <c r="M1569" s="42" t="s">
        <v>3967</v>
      </c>
      <c r="N1569" s="17"/>
      <c r="O1569" s="17"/>
      <c r="P1569" s="17"/>
      <c r="Q1569" s="17"/>
      <c r="R1569" s="17"/>
      <c r="S1569" s="17"/>
      <c r="T1569" s="17"/>
      <c r="U1569" s="17"/>
      <c r="V1569" s="17"/>
      <c r="W1569" s="17"/>
      <c r="X1569" s="17"/>
      <c r="Y1569" s="17"/>
      <c r="Z1569" s="17"/>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row>
    <row r="1570">
      <c r="A1570" s="17">
        <v>1568</v>
      </c>
      <c r="B1570" s="17" t="s">
        <v>52</v>
      </c>
      <c r="C1570" s="42" t="s">
        <v>4705</v>
      </c>
      <c r="D1570" s="35" t="s">
        <v>3886</v>
      </c>
      <c r="E1570" s="17" t="s">
        <v>4706</v>
      </c>
      <c r="F1570" s="17" t="s">
        <v>4707</v>
      </c>
      <c r="G1570" s="17">
        <v>22.580394999999999</v>
      </c>
      <c r="H1570" s="17">
        <v>87.302419999999998</v>
      </c>
      <c r="I1570" s="17"/>
      <c r="J1570" s="17"/>
      <c r="K1570" s="17"/>
      <c r="L1570" s="17"/>
      <c r="M1570" s="42" t="s">
        <v>4033</v>
      </c>
      <c r="N1570" s="17"/>
      <c r="O1570" s="17"/>
      <c r="P1570" s="17"/>
      <c r="Q1570" s="17"/>
      <c r="R1570" s="17"/>
      <c r="S1570" s="17"/>
      <c r="T1570" s="17"/>
      <c r="U1570" s="17"/>
      <c r="V1570" s="17"/>
      <c r="W1570" s="17"/>
      <c r="X1570" s="17"/>
      <c r="Y1570" s="17"/>
      <c r="Z1570" s="17"/>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row>
    <row r="1571">
      <c r="A1571" s="17">
        <v>1569</v>
      </c>
      <c r="B1571" s="17" t="s">
        <v>52</v>
      </c>
      <c r="C1571" s="42" t="s">
        <v>4708</v>
      </c>
      <c r="D1571" s="35" t="s">
        <v>3886</v>
      </c>
      <c r="E1571" s="17" t="s">
        <v>4628</v>
      </c>
      <c r="F1571" s="17" t="s">
        <v>4709</v>
      </c>
      <c r="G1571" s="17">
        <v>22.612697000000001</v>
      </c>
      <c r="H1571" s="17">
        <v>87.305957000000006</v>
      </c>
      <c r="I1571" s="17"/>
      <c r="J1571" s="17"/>
      <c r="K1571" s="17"/>
      <c r="L1571" s="17"/>
      <c r="M1571" s="42" t="s">
        <v>4033</v>
      </c>
      <c r="N1571" s="17"/>
      <c r="O1571" s="17"/>
      <c r="P1571" s="17"/>
      <c r="Q1571" s="17"/>
      <c r="R1571" s="17"/>
      <c r="S1571" s="17"/>
      <c r="T1571" s="17"/>
      <c r="U1571" s="17"/>
      <c r="V1571" s="17"/>
      <c r="W1571" s="17"/>
      <c r="X1571" s="17"/>
      <c r="Y1571" s="17"/>
      <c r="Z1571" s="17"/>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row>
    <row r="1572">
      <c r="A1572" s="17">
        <v>1570</v>
      </c>
      <c r="B1572" s="17" t="s">
        <v>52</v>
      </c>
      <c r="C1572" s="42" t="s">
        <v>4710</v>
      </c>
      <c r="D1572" s="35" t="s">
        <v>3886</v>
      </c>
      <c r="E1572" s="17" t="s">
        <v>4711</v>
      </c>
      <c r="F1572" s="17" t="s">
        <v>4712</v>
      </c>
      <c r="G1572" s="17">
        <v>22.689420999999999</v>
      </c>
      <c r="H1572" s="17">
        <v>87.745767999999998</v>
      </c>
      <c r="I1572" s="17"/>
      <c r="J1572" s="17"/>
      <c r="K1572" s="17"/>
      <c r="L1572" s="17"/>
      <c r="M1572" s="42" t="s">
        <v>4122</v>
      </c>
      <c r="N1572" s="17">
        <v>7003921625</v>
      </c>
      <c r="O1572" s="17"/>
      <c r="P1572" s="17"/>
      <c r="Q1572" s="17"/>
      <c r="R1572" s="17"/>
      <c r="S1572" s="17"/>
      <c r="T1572" s="17"/>
      <c r="U1572" s="17"/>
      <c r="V1572" s="17"/>
      <c r="W1572" s="17"/>
      <c r="X1572" s="17"/>
      <c r="Y1572" s="17"/>
      <c r="Z1572" s="17"/>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row>
    <row r="1573">
      <c r="A1573" s="17">
        <v>1571</v>
      </c>
      <c r="B1573" s="17" t="s">
        <v>52</v>
      </c>
      <c r="C1573" s="42" t="s">
        <v>4713</v>
      </c>
      <c r="D1573" s="35" t="s">
        <v>3886</v>
      </c>
      <c r="E1573" s="17" t="s">
        <v>4714</v>
      </c>
      <c r="F1573" s="17" t="s">
        <v>4715</v>
      </c>
      <c r="G1573" s="17">
        <v>22.544260999999999</v>
      </c>
      <c r="H1573" s="17">
        <v>87.754672999999997</v>
      </c>
      <c r="I1573" s="17"/>
      <c r="J1573" s="17"/>
      <c r="K1573" s="17"/>
      <c r="L1573" s="17"/>
      <c r="M1573" s="42" t="s">
        <v>4004</v>
      </c>
      <c r="N1573" s="17">
        <v>9382071290</v>
      </c>
      <c r="O1573" s="17"/>
      <c r="P1573" s="17"/>
      <c r="Q1573" s="17"/>
      <c r="R1573" s="17"/>
      <c r="S1573" s="17"/>
      <c r="T1573" s="17"/>
      <c r="U1573" s="17"/>
      <c r="V1573" s="17"/>
      <c r="W1573" s="17"/>
      <c r="X1573" s="17"/>
      <c r="Y1573" s="17"/>
      <c r="Z1573" s="17"/>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row>
    <row r="1574">
      <c r="A1574" s="17">
        <v>1572</v>
      </c>
      <c r="B1574" s="17" t="s">
        <v>52</v>
      </c>
      <c r="C1574" s="42" t="s">
        <v>4716</v>
      </c>
      <c r="D1574" s="35" t="s">
        <v>3886</v>
      </c>
      <c r="E1574" s="17" t="s">
        <v>4717</v>
      </c>
      <c r="F1574" s="17" t="s">
        <v>4718</v>
      </c>
      <c r="G1574" s="17">
        <v>22.569116999999999</v>
      </c>
      <c r="H1574" s="17">
        <v>87.807288999999997</v>
      </c>
      <c r="I1574" s="17"/>
      <c r="J1574" s="17"/>
      <c r="K1574" s="17"/>
      <c r="L1574" s="17"/>
      <c r="M1574" s="42" t="s">
        <v>4004</v>
      </c>
      <c r="N1574" s="17">
        <v>9382071290</v>
      </c>
      <c r="O1574" s="17"/>
      <c r="P1574" s="17"/>
      <c r="Q1574" s="17"/>
      <c r="R1574" s="17"/>
      <c r="S1574" s="17"/>
      <c r="T1574" s="17"/>
      <c r="U1574" s="17"/>
      <c r="V1574" s="17"/>
      <c r="W1574" s="17"/>
      <c r="X1574" s="17"/>
      <c r="Y1574" s="17"/>
      <c r="Z1574" s="17"/>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row>
    <row r="1575">
      <c r="A1575" s="17">
        <v>1573</v>
      </c>
      <c r="B1575" s="17" t="s">
        <v>52</v>
      </c>
      <c r="C1575" s="42" t="s">
        <v>4719</v>
      </c>
      <c r="D1575" s="35" t="s">
        <v>3886</v>
      </c>
      <c r="E1575" s="17" t="s">
        <v>4720</v>
      </c>
      <c r="F1575" s="17" t="s">
        <v>4721</v>
      </c>
      <c r="G1575" s="17">
        <v>22.698891</v>
      </c>
      <c r="H1575" s="17">
        <v>87.187567999999999</v>
      </c>
      <c r="I1575" s="17"/>
      <c r="J1575" s="17"/>
      <c r="K1575" s="17"/>
      <c r="L1575" s="17"/>
      <c r="M1575" s="42" t="s">
        <v>4210</v>
      </c>
      <c r="N1575" s="17">
        <v>7980098242</v>
      </c>
      <c r="O1575" s="17">
        <v>13</v>
      </c>
      <c r="P1575" s="17">
        <v>65</v>
      </c>
      <c r="Q1575" s="17" t="s">
        <v>105</v>
      </c>
      <c r="R1575" s="17" t="s">
        <v>154</v>
      </c>
      <c r="S1575" s="17" t="s">
        <v>75</v>
      </c>
      <c r="T1575" s="17" t="s">
        <v>584</v>
      </c>
      <c r="U1575" s="17" t="s">
        <v>441</v>
      </c>
      <c r="V1575" s="17" t="s">
        <v>442</v>
      </c>
      <c r="W1575" s="17" t="s">
        <v>136</v>
      </c>
      <c r="X1575" s="17">
        <v>3</v>
      </c>
      <c r="Y1575" s="17">
        <v>1</v>
      </c>
      <c r="Z1575" s="17"/>
      <c r="AA1575" s="17" t="s">
        <v>105</v>
      </c>
      <c r="AB1575" s="17" t="s">
        <v>239</v>
      </c>
      <c r="AC1575" s="17">
        <v>2</v>
      </c>
      <c r="AD1575" s="17">
        <v>0</v>
      </c>
      <c r="AE1575" s="17">
        <v>1</v>
      </c>
      <c r="AF1575" s="17"/>
      <c r="AG1575" s="17" t="s">
        <v>81</v>
      </c>
      <c r="AH1575" s="17" t="s">
        <v>82</v>
      </c>
      <c r="AI1575" s="17" t="s">
        <v>83</v>
      </c>
      <c r="AJ1575" s="17">
        <v>2111</v>
      </c>
      <c r="AK1575" s="17" t="s">
        <v>137</v>
      </c>
      <c r="AL1575" s="17" t="s">
        <v>75</v>
      </c>
      <c r="AM1575" s="17" t="s">
        <v>137</v>
      </c>
      <c r="AN1575" s="17" t="s">
        <v>84</v>
      </c>
      <c r="AO1575" s="17" t="s">
        <v>75</v>
      </c>
      <c r="AP1575" s="17"/>
      <c r="AQ1575" s="17"/>
      <c r="AR1575" s="17"/>
      <c r="AS1575" s="17"/>
      <c r="AT1575" s="17" t="s">
        <v>4722</v>
      </c>
      <c r="AU1575" s="17" t="s">
        <v>111</v>
      </c>
    </row>
    <row r="1576">
      <c r="A1576" s="17">
        <v>1574</v>
      </c>
      <c r="B1576" s="17" t="s">
        <v>52</v>
      </c>
      <c r="C1576" s="42" t="s">
        <v>4723</v>
      </c>
      <c r="D1576" s="35" t="s">
        <v>3886</v>
      </c>
      <c r="E1576" s="17" t="s">
        <v>4724</v>
      </c>
      <c r="F1576" s="17" t="s">
        <v>4725</v>
      </c>
      <c r="G1576" s="17">
        <v>22.723448999999999</v>
      </c>
      <c r="H1576" s="17">
        <v>87.349373</v>
      </c>
      <c r="I1576" s="17"/>
      <c r="J1576" s="17"/>
      <c r="K1576" s="17"/>
      <c r="L1576" s="17"/>
      <c r="M1576" s="42" t="s">
        <v>4045</v>
      </c>
      <c r="N1576" s="17">
        <v>6290709471</v>
      </c>
      <c r="O1576" s="17"/>
      <c r="P1576" s="17"/>
      <c r="Q1576" s="17"/>
      <c r="R1576" s="17"/>
      <c r="S1576" s="17"/>
      <c r="T1576" s="17"/>
      <c r="U1576" s="17"/>
      <c r="V1576" s="17"/>
      <c r="W1576" s="17"/>
      <c r="X1576" s="17"/>
      <c r="Y1576" s="17"/>
      <c r="Z1576" s="17"/>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row>
    <row r="1577">
      <c r="A1577" s="17">
        <v>1575</v>
      </c>
      <c r="B1577" s="17" t="s">
        <v>52</v>
      </c>
      <c r="C1577" s="42" t="s">
        <v>4726</v>
      </c>
      <c r="D1577" s="35" t="s">
        <v>3886</v>
      </c>
      <c r="E1577" s="17" t="s">
        <v>4727</v>
      </c>
      <c r="F1577" s="17" t="s">
        <v>4728</v>
      </c>
      <c r="G1577" s="17">
        <v>22.730184000000001</v>
      </c>
      <c r="H1577" s="17">
        <v>87.339104000000006</v>
      </c>
      <c r="I1577" s="17"/>
      <c r="J1577" s="17"/>
      <c r="K1577" s="17"/>
      <c r="L1577" s="17"/>
      <c r="M1577" s="42" t="s">
        <v>4045</v>
      </c>
      <c r="N1577" s="17">
        <v>6290709471</v>
      </c>
      <c r="O1577" s="17"/>
      <c r="P1577" s="17"/>
      <c r="Q1577" s="17"/>
      <c r="R1577" s="17"/>
      <c r="S1577" s="17"/>
      <c r="T1577" s="17"/>
      <c r="U1577" s="17"/>
      <c r="V1577" s="17"/>
      <c r="W1577" s="17"/>
      <c r="X1577" s="17"/>
      <c r="Y1577" s="17"/>
      <c r="Z1577" s="17"/>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row>
    <row r="1578">
      <c r="A1578" s="17">
        <v>1576</v>
      </c>
      <c r="B1578" s="17" t="s">
        <v>52</v>
      </c>
      <c r="C1578" s="42" t="s">
        <v>4729</v>
      </c>
      <c r="D1578" s="35" t="s">
        <v>3886</v>
      </c>
      <c r="E1578" s="17" t="s">
        <v>4730</v>
      </c>
      <c r="F1578" s="17" t="s">
        <v>4731</v>
      </c>
      <c r="G1578" s="17">
        <v>22.799486999999999</v>
      </c>
      <c r="H1578" s="17">
        <v>87.417457999999996</v>
      </c>
      <c r="I1578" s="17"/>
      <c r="J1578" s="17"/>
      <c r="K1578" s="17"/>
      <c r="L1578" s="17"/>
      <c r="M1578" s="42" t="s">
        <v>4011</v>
      </c>
      <c r="N1578" s="17">
        <v>8240995350</v>
      </c>
      <c r="O1578" s="17">
        <v>19</v>
      </c>
      <c r="P1578" s="17">
        <v>54</v>
      </c>
      <c r="Q1578" s="17" t="s">
        <v>105</v>
      </c>
      <c r="R1578" s="17" t="s">
        <v>238</v>
      </c>
      <c r="S1578" s="17" t="s">
        <v>75</v>
      </c>
      <c r="T1578" s="17" t="s">
        <v>584</v>
      </c>
      <c r="U1578" s="17" t="s">
        <v>76</v>
      </c>
      <c r="V1578" s="17" t="s">
        <v>77</v>
      </c>
      <c r="W1578" s="17" t="s">
        <v>1182</v>
      </c>
      <c r="X1578" s="17">
        <v>2</v>
      </c>
      <c r="Y1578" s="17">
        <v>1</v>
      </c>
      <c r="Z1578" s="17"/>
      <c r="AA1578" s="17" t="s">
        <v>105</v>
      </c>
      <c r="AB1578" s="17" t="s">
        <v>239</v>
      </c>
      <c r="AC1578" s="17">
        <v>2</v>
      </c>
      <c r="AD1578" s="17">
        <v>0</v>
      </c>
      <c r="AE1578" s="17">
        <v>0</v>
      </c>
      <c r="AF1578" s="17"/>
      <c r="AG1578" s="17" t="s">
        <v>81</v>
      </c>
      <c r="AH1578" s="17" t="s">
        <v>82</v>
      </c>
      <c r="AI1578" s="17" t="s">
        <v>83</v>
      </c>
      <c r="AJ1578" s="17">
        <v>2111</v>
      </c>
      <c r="AK1578" s="17" t="s">
        <v>75</v>
      </c>
      <c r="AL1578" s="17" t="s">
        <v>75</v>
      </c>
      <c r="AM1578" s="17" t="s">
        <v>75</v>
      </c>
      <c r="AN1578" s="17" t="s">
        <v>125</v>
      </c>
      <c r="AO1578" s="17" t="s">
        <v>75</v>
      </c>
      <c r="AP1578" s="17"/>
      <c r="AQ1578" s="17"/>
      <c r="AR1578" s="17"/>
      <c r="AS1578" s="17"/>
      <c r="AT1578" s="17" t="s">
        <v>4732</v>
      </c>
      <c r="AU1578" s="17" t="s">
        <v>127</v>
      </c>
    </row>
    <row r="1579">
      <c r="A1579" s="17">
        <v>1577</v>
      </c>
      <c r="B1579" s="17" t="s">
        <v>52</v>
      </c>
      <c r="C1579" s="42" t="s">
        <v>4733</v>
      </c>
      <c r="D1579" s="35" t="s">
        <v>3886</v>
      </c>
      <c r="E1579" s="17" t="s">
        <v>3956</v>
      </c>
      <c r="F1579" s="17" t="s">
        <v>4734</v>
      </c>
      <c r="G1579" s="17">
        <v>22.792795999999999</v>
      </c>
      <c r="H1579" s="17">
        <v>87.429610999999994</v>
      </c>
      <c r="I1579" s="17"/>
      <c r="J1579" s="17"/>
      <c r="K1579" s="17"/>
      <c r="L1579" s="17"/>
      <c r="M1579" s="42" t="s">
        <v>4011</v>
      </c>
      <c r="N1579" s="17">
        <v>8240995350</v>
      </c>
      <c r="O1579" s="17"/>
      <c r="P1579" s="17"/>
      <c r="Q1579" s="17"/>
      <c r="R1579" s="17"/>
      <c r="S1579" s="17"/>
      <c r="T1579" s="17"/>
      <c r="U1579" s="17"/>
      <c r="V1579" s="17"/>
      <c r="W1579" s="17"/>
      <c r="X1579" s="17"/>
      <c r="Y1579" s="17"/>
      <c r="Z1579" s="17"/>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row>
    <row r="1580">
      <c r="A1580" s="17">
        <v>1578</v>
      </c>
      <c r="B1580" s="17" t="s">
        <v>52</v>
      </c>
      <c r="C1580" s="42" t="s">
        <v>4735</v>
      </c>
      <c r="D1580" s="35" t="s">
        <v>3886</v>
      </c>
      <c r="E1580" s="17" t="s">
        <v>4736</v>
      </c>
      <c r="F1580" s="17" t="s">
        <v>4737</v>
      </c>
      <c r="G1580" s="17">
        <v>22.710083999999998</v>
      </c>
      <c r="H1580" s="17">
        <v>87.624780999999999</v>
      </c>
      <c r="I1580" s="17"/>
      <c r="J1580" s="17"/>
      <c r="K1580" s="17"/>
      <c r="L1580" s="17"/>
      <c r="M1580" s="42" t="s">
        <v>3987</v>
      </c>
      <c r="N1580" s="17"/>
      <c r="O1580" s="17"/>
      <c r="P1580" s="17"/>
      <c r="Q1580" s="17"/>
      <c r="R1580" s="17"/>
      <c r="S1580" s="17"/>
      <c r="T1580" s="17"/>
      <c r="U1580" s="17"/>
      <c r="V1580" s="17"/>
      <c r="W1580" s="17"/>
      <c r="X1580" s="17"/>
      <c r="Y1580" s="17"/>
      <c r="Z1580" s="17"/>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row>
    <row r="1581">
      <c r="A1581" s="17">
        <v>1579</v>
      </c>
      <c r="B1581" s="17" t="s">
        <v>52</v>
      </c>
      <c r="C1581" s="42" t="s">
        <v>4738</v>
      </c>
      <c r="D1581" s="35" t="s">
        <v>3886</v>
      </c>
      <c r="E1581" s="17" t="s">
        <v>4739</v>
      </c>
      <c r="F1581" s="17" t="s">
        <v>4740</v>
      </c>
      <c r="G1581" s="17">
        <v>22.464860999999999</v>
      </c>
      <c r="H1581" s="17">
        <v>87.123593999999997</v>
      </c>
      <c r="I1581" s="17"/>
      <c r="J1581" s="17"/>
      <c r="K1581" s="17"/>
      <c r="L1581" s="17"/>
      <c r="M1581" s="42" t="s">
        <v>4347</v>
      </c>
      <c r="N1581" s="17"/>
      <c r="O1581" s="17"/>
      <c r="P1581" s="17"/>
      <c r="Q1581" s="17"/>
      <c r="R1581" s="17"/>
      <c r="S1581" s="17"/>
      <c r="T1581" s="17"/>
      <c r="U1581" s="17"/>
      <c r="V1581" s="17"/>
      <c r="W1581" s="17"/>
      <c r="X1581" s="17"/>
      <c r="Y1581" s="17"/>
      <c r="Z1581" s="17"/>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row>
    <row r="1582">
      <c r="A1582" s="17">
        <v>1580</v>
      </c>
      <c r="B1582" s="17" t="s">
        <v>52</v>
      </c>
      <c r="C1582" s="42" t="s">
        <v>4741</v>
      </c>
      <c r="D1582" s="35" t="s">
        <v>3886</v>
      </c>
      <c r="E1582" s="17" t="s">
        <v>4742</v>
      </c>
      <c r="F1582" s="17" t="s">
        <v>4743</v>
      </c>
      <c r="G1582" s="17">
        <v>22.692021</v>
      </c>
      <c r="H1582" s="17">
        <v>87.300668999999999</v>
      </c>
      <c r="I1582" s="17"/>
      <c r="J1582" s="17"/>
      <c r="K1582" s="17"/>
      <c r="L1582" s="17"/>
      <c r="M1582" s="42" t="s">
        <v>4045</v>
      </c>
      <c r="N1582" s="17">
        <v>6290709471</v>
      </c>
      <c r="O1582" s="17"/>
      <c r="P1582" s="17"/>
      <c r="Q1582" s="17"/>
      <c r="R1582" s="17"/>
      <c r="S1582" s="17"/>
      <c r="T1582" s="17"/>
      <c r="U1582" s="17"/>
      <c r="V1582" s="17"/>
      <c r="W1582" s="17"/>
      <c r="X1582" s="17"/>
      <c r="Y1582" s="17"/>
      <c r="Z1582" s="17"/>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row>
    <row r="1583">
      <c r="A1583" s="17">
        <v>1581</v>
      </c>
      <c r="B1583" s="17" t="s">
        <v>52</v>
      </c>
      <c r="C1583" s="42" t="s">
        <v>4744</v>
      </c>
      <c r="D1583" s="35" t="s">
        <v>3886</v>
      </c>
      <c r="E1583" s="17" t="s">
        <v>3956</v>
      </c>
      <c r="F1583" s="17" t="s">
        <v>4745</v>
      </c>
      <c r="G1583" s="17">
        <v>22.701031</v>
      </c>
      <c r="H1583" s="17">
        <v>87.262541999999996</v>
      </c>
      <c r="I1583" s="17"/>
      <c r="J1583" s="17"/>
      <c r="K1583" s="17"/>
      <c r="L1583" s="17"/>
      <c r="M1583" s="42" t="s">
        <v>4045</v>
      </c>
      <c r="N1583" s="17">
        <v>6290709471</v>
      </c>
      <c r="O1583" s="17"/>
      <c r="P1583" s="17"/>
      <c r="Q1583" s="17"/>
      <c r="R1583" s="17"/>
      <c r="S1583" s="17"/>
      <c r="T1583" s="17"/>
      <c r="U1583" s="17"/>
      <c r="V1583" s="17"/>
      <c r="W1583" s="17"/>
      <c r="X1583" s="17"/>
      <c r="Y1583" s="17"/>
      <c r="Z1583" s="17"/>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row>
    <row r="1584">
      <c r="A1584" s="17">
        <v>1582</v>
      </c>
      <c r="B1584" s="17" t="s">
        <v>52</v>
      </c>
      <c r="C1584" s="42" t="s">
        <v>4746</v>
      </c>
      <c r="D1584" s="35" t="s">
        <v>3886</v>
      </c>
      <c r="E1584" s="17" t="s">
        <v>4747</v>
      </c>
      <c r="F1584" s="17" t="s">
        <v>4748</v>
      </c>
      <c r="G1584" s="17">
        <v>22.425999000000001</v>
      </c>
      <c r="H1584" s="17">
        <v>87.267493000000002</v>
      </c>
      <c r="I1584" s="17"/>
      <c r="J1584" s="17"/>
      <c r="K1584" s="17"/>
      <c r="L1584" s="17"/>
      <c r="M1584" s="42" t="s">
        <v>3889</v>
      </c>
      <c r="N1584" s="17"/>
      <c r="O1584" s="17"/>
      <c r="P1584" s="17"/>
      <c r="Q1584" s="17"/>
      <c r="R1584" s="17"/>
      <c r="S1584" s="17"/>
      <c r="T1584" s="17"/>
      <c r="U1584" s="17"/>
      <c r="V1584" s="17"/>
      <c r="W1584" s="17"/>
      <c r="X1584" s="17"/>
      <c r="Y1584" s="17"/>
      <c r="Z1584" s="17"/>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row>
    <row r="1585">
      <c r="A1585" s="17">
        <v>1583</v>
      </c>
      <c r="B1585" s="17" t="s">
        <v>52</v>
      </c>
      <c r="C1585" s="42" t="s">
        <v>4749</v>
      </c>
      <c r="D1585" s="35" t="s">
        <v>3886</v>
      </c>
      <c r="E1585" s="17" t="s">
        <v>4750</v>
      </c>
      <c r="F1585" s="17" t="s">
        <v>4751</v>
      </c>
      <c r="G1585" s="17">
        <v>22.442136999999999</v>
      </c>
      <c r="H1585" s="17">
        <v>87.274152999999998</v>
      </c>
      <c r="I1585" s="17"/>
      <c r="J1585" s="17"/>
      <c r="K1585" s="17"/>
      <c r="L1585" s="17"/>
      <c r="M1585" s="42" t="s">
        <v>3889</v>
      </c>
      <c r="N1585" s="17"/>
      <c r="O1585" s="17"/>
      <c r="P1585" s="17"/>
      <c r="Q1585" s="17"/>
      <c r="R1585" s="17"/>
      <c r="S1585" s="17"/>
      <c r="T1585" s="17"/>
      <c r="U1585" s="17"/>
      <c r="V1585" s="17"/>
      <c r="W1585" s="17"/>
      <c r="X1585" s="17"/>
      <c r="Y1585" s="17"/>
      <c r="Z1585" s="17"/>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row>
    <row r="1586">
      <c r="A1586" s="17">
        <v>1584</v>
      </c>
      <c r="B1586" s="17" t="s">
        <v>52</v>
      </c>
      <c r="C1586" s="42" t="s">
        <v>4752</v>
      </c>
      <c r="D1586" s="35" t="s">
        <v>3886</v>
      </c>
      <c r="E1586" s="17" t="s">
        <v>4753</v>
      </c>
      <c r="F1586" s="17" t="s">
        <v>4754</v>
      </c>
      <c r="G1586" s="17">
        <v>22.674396000000002</v>
      </c>
      <c r="H1586" s="17">
        <v>87.179154999999994</v>
      </c>
      <c r="I1586" s="17"/>
      <c r="J1586" s="17"/>
      <c r="K1586" s="17"/>
      <c r="L1586" s="17"/>
      <c r="M1586" s="42" t="s">
        <v>4347</v>
      </c>
      <c r="N1586" s="17"/>
      <c r="O1586" s="17"/>
      <c r="P1586" s="17"/>
      <c r="Q1586" s="17"/>
      <c r="R1586" s="17"/>
      <c r="S1586" s="17"/>
      <c r="T1586" s="17"/>
      <c r="U1586" s="17"/>
      <c r="V1586" s="17"/>
      <c r="W1586" s="17"/>
      <c r="X1586" s="17"/>
      <c r="Y1586" s="17"/>
      <c r="Z1586" s="17"/>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row>
    <row r="1587">
      <c r="A1587" s="17">
        <v>1585</v>
      </c>
      <c r="B1587" s="17" t="s">
        <v>52</v>
      </c>
      <c r="C1587" s="42" t="s">
        <v>4755</v>
      </c>
      <c r="D1587" s="35" t="s">
        <v>3886</v>
      </c>
      <c r="E1587" s="17" t="s">
        <v>4756</v>
      </c>
      <c r="F1587" s="17" t="s">
        <v>4757</v>
      </c>
      <c r="G1587" s="17">
        <v>22.682821000000001</v>
      </c>
      <c r="H1587" s="17">
        <v>87.197479000000001</v>
      </c>
      <c r="I1587" s="17"/>
      <c r="J1587" s="17"/>
      <c r="K1587" s="17"/>
      <c r="L1587" s="17"/>
      <c r="M1587" s="42" t="s">
        <v>4045</v>
      </c>
      <c r="N1587" s="17">
        <v>6290709471</v>
      </c>
      <c r="O1587" s="17"/>
      <c r="P1587" s="17"/>
      <c r="Q1587" s="17"/>
      <c r="R1587" s="17"/>
      <c r="S1587" s="17"/>
      <c r="T1587" s="17"/>
      <c r="U1587" s="17"/>
      <c r="V1587" s="17"/>
      <c r="W1587" s="17"/>
      <c r="X1587" s="17"/>
      <c r="Y1587" s="17"/>
      <c r="Z1587" s="17"/>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row>
    <row r="1588">
      <c r="A1588" s="17">
        <v>1586</v>
      </c>
      <c r="B1588" s="17" t="s">
        <v>52</v>
      </c>
      <c r="C1588" s="42" t="s">
        <v>4758</v>
      </c>
      <c r="D1588" s="35" t="s">
        <v>3886</v>
      </c>
      <c r="E1588" s="17" t="s">
        <v>4759</v>
      </c>
      <c r="F1588" s="17" t="s">
        <v>4760</v>
      </c>
      <c r="G1588" s="17">
        <v>22.746267</v>
      </c>
      <c r="H1588" s="17">
        <v>87.598586999999995</v>
      </c>
      <c r="I1588" s="17"/>
      <c r="J1588" s="17"/>
      <c r="K1588" s="17"/>
      <c r="L1588" s="17"/>
      <c r="M1588" s="42" t="s">
        <v>3987</v>
      </c>
      <c r="N1588" s="17"/>
      <c r="O1588" s="17"/>
      <c r="P1588" s="17"/>
      <c r="Q1588" s="17"/>
      <c r="R1588" s="17"/>
      <c r="S1588" s="17"/>
      <c r="T1588" s="17"/>
      <c r="U1588" s="17"/>
      <c r="V1588" s="17"/>
      <c r="W1588" s="17"/>
      <c r="X1588" s="17"/>
      <c r="Y1588" s="17"/>
      <c r="Z1588" s="17"/>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row>
    <row r="1589">
      <c r="A1589" s="17">
        <v>1587</v>
      </c>
      <c r="B1589" s="17" t="s">
        <v>52</v>
      </c>
      <c r="C1589" s="42" t="s">
        <v>4761</v>
      </c>
      <c r="D1589" s="35" t="s">
        <v>3886</v>
      </c>
      <c r="E1589" s="17" t="s">
        <v>4762</v>
      </c>
      <c r="F1589" s="17" t="s">
        <v>4763</v>
      </c>
      <c r="G1589" s="17">
        <v>22.730236000000001</v>
      </c>
      <c r="H1589" s="17">
        <v>87.607945999999998</v>
      </c>
      <c r="I1589" s="17"/>
      <c r="J1589" s="17"/>
      <c r="K1589" s="17"/>
      <c r="L1589" s="17"/>
      <c r="M1589" s="42" t="s">
        <v>3987</v>
      </c>
      <c r="N1589" s="17"/>
      <c r="O1589" s="17"/>
      <c r="P1589" s="17"/>
      <c r="Q1589" s="17"/>
      <c r="R1589" s="17"/>
      <c r="S1589" s="17"/>
      <c r="T1589" s="17"/>
      <c r="U1589" s="17"/>
      <c r="V1589" s="17"/>
      <c r="W1589" s="17"/>
      <c r="X1589" s="17"/>
      <c r="Y1589" s="17"/>
      <c r="Z1589" s="17"/>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row>
    <row r="1590">
      <c r="A1590" s="17">
        <v>1588</v>
      </c>
      <c r="B1590" s="17" t="s">
        <v>52</v>
      </c>
      <c r="C1590" s="42" t="s">
        <v>4764</v>
      </c>
      <c r="D1590" s="35" t="s">
        <v>3886</v>
      </c>
      <c r="E1590" s="17" t="s">
        <v>4765</v>
      </c>
      <c r="F1590" s="17" t="s">
        <v>4766</v>
      </c>
      <c r="G1590" s="17">
        <v>22.578133999999999</v>
      </c>
      <c r="H1590" s="17">
        <v>87.152060000000006</v>
      </c>
      <c r="I1590" s="17"/>
      <c r="J1590" s="17"/>
      <c r="K1590" s="17"/>
      <c r="L1590" s="17"/>
      <c r="M1590" s="42" t="s">
        <v>4347</v>
      </c>
      <c r="N1590" s="17"/>
      <c r="O1590" s="17"/>
      <c r="P1590" s="17"/>
      <c r="Q1590" s="17"/>
      <c r="R1590" s="17"/>
      <c r="S1590" s="17"/>
      <c r="T1590" s="17"/>
      <c r="U1590" s="17"/>
      <c r="V1590" s="17"/>
      <c r="W1590" s="17"/>
      <c r="X1590" s="17"/>
      <c r="Y1590" s="17"/>
      <c r="Z1590" s="17"/>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row>
    <row r="1591">
      <c r="A1591" s="17">
        <v>1589</v>
      </c>
      <c r="B1591" s="17" t="s">
        <v>52</v>
      </c>
      <c r="C1591" s="42" t="s">
        <v>4767</v>
      </c>
      <c r="D1591" s="35" t="s">
        <v>3886</v>
      </c>
      <c r="E1591" s="17" t="s">
        <v>4768</v>
      </c>
      <c r="F1591" s="17" t="s">
        <v>4769</v>
      </c>
      <c r="G1591" s="17">
        <v>22.589362999999999</v>
      </c>
      <c r="H1591" s="17">
        <v>87.133208999999994</v>
      </c>
      <c r="I1591" s="17"/>
      <c r="J1591" s="17"/>
      <c r="K1591" s="17"/>
      <c r="L1591" s="17"/>
      <c r="M1591" s="42" t="s">
        <v>4347</v>
      </c>
      <c r="N1591" s="17"/>
      <c r="O1591" s="17"/>
      <c r="P1591" s="17"/>
      <c r="Q1591" s="17"/>
      <c r="R1591" s="17"/>
      <c r="S1591" s="17"/>
      <c r="T1591" s="17"/>
      <c r="U1591" s="17"/>
      <c r="V1591" s="17"/>
      <c r="W1591" s="17"/>
      <c r="X1591" s="17"/>
      <c r="Y1591" s="17"/>
      <c r="Z1591" s="17"/>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row>
    <row r="1592">
      <c r="A1592" s="17">
        <v>1590</v>
      </c>
      <c r="B1592" s="17" t="s">
        <v>52</v>
      </c>
      <c r="C1592" s="42" t="s">
        <v>4770</v>
      </c>
      <c r="D1592" s="35" t="s">
        <v>3886</v>
      </c>
      <c r="E1592" s="17" t="s">
        <v>4771</v>
      </c>
      <c r="F1592" s="17" t="s">
        <v>4772</v>
      </c>
      <c r="G1592" s="17">
        <v>22.817383</v>
      </c>
      <c r="H1592" s="17">
        <v>87.288864000000004</v>
      </c>
      <c r="I1592" s="17"/>
      <c r="J1592" s="17"/>
      <c r="K1592" s="17"/>
      <c r="L1592" s="17"/>
      <c r="M1592" s="42" t="s">
        <v>3967</v>
      </c>
      <c r="N1592" s="17"/>
      <c r="O1592" s="17"/>
      <c r="P1592" s="17"/>
      <c r="Q1592" s="17"/>
      <c r="R1592" s="17"/>
      <c r="S1592" s="17"/>
      <c r="T1592" s="17"/>
      <c r="U1592" s="17"/>
      <c r="V1592" s="17"/>
      <c r="W1592" s="17"/>
      <c r="X1592" s="17"/>
      <c r="Y1592" s="17"/>
      <c r="Z1592" s="17"/>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row>
    <row r="1593">
      <c r="A1593" s="17">
        <v>1591</v>
      </c>
      <c r="B1593" s="17" t="s">
        <v>52</v>
      </c>
      <c r="C1593" s="42" t="s">
        <v>4773</v>
      </c>
      <c r="D1593" s="35" t="s">
        <v>3886</v>
      </c>
      <c r="E1593" s="17" t="s">
        <v>3956</v>
      </c>
      <c r="F1593" s="17" t="s">
        <v>4774</v>
      </c>
      <c r="G1593" s="17">
        <v>22.723721000000001</v>
      </c>
      <c r="H1593" s="17">
        <v>87.318856999999994</v>
      </c>
      <c r="I1593" s="17"/>
      <c r="J1593" s="17"/>
      <c r="K1593" s="17"/>
      <c r="L1593" s="17"/>
      <c r="M1593" s="42" t="s">
        <v>4045</v>
      </c>
      <c r="N1593" s="17">
        <v>6290709471</v>
      </c>
      <c r="O1593" s="17"/>
      <c r="P1593" s="17"/>
      <c r="Q1593" s="17"/>
      <c r="R1593" s="17"/>
      <c r="S1593" s="17"/>
      <c r="T1593" s="17"/>
      <c r="U1593" s="17"/>
      <c r="V1593" s="17"/>
      <c r="W1593" s="17"/>
      <c r="X1593" s="17"/>
      <c r="Y1593" s="17"/>
      <c r="Z1593" s="17"/>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row>
    <row r="1594">
      <c r="A1594" s="17">
        <v>1592</v>
      </c>
      <c r="B1594" s="17" t="s">
        <v>52</v>
      </c>
      <c r="C1594" s="42" t="s">
        <v>4775</v>
      </c>
      <c r="D1594" s="35" t="s">
        <v>3886</v>
      </c>
      <c r="E1594" s="17" t="s">
        <v>3956</v>
      </c>
      <c r="F1594" s="17" t="s">
        <v>4776</v>
      </c>
      <c r="G1594" s="17">
        <v>22.689285000000002</v>
      </c>
      <c r="H1594" s="17">
        <v>87.333179000000001</v>
      </c>
      <c r="I1594" s="17"/>
      <c r="J1594" s="17"/>
      <c r="K1594" s="17"/>
      <c r="L1594" s="17"/>
      <c r="M1594" s="42" t="s">
        <v>4045</v>
      </c>
      <c r="N1594" s="17">
        <v>6290709471</v>
      </c>
      <c r="O1594" s="17"/>
      <c r="P1594" s="17"/>
      <c r="Q1594" s="17"/>
      <c r="R1594" s="17"/>
      <c r="S1594" s="17"/>
      <c r="T1594" s="17"/>
      <c r="U1594" s="17"/>
      <c r="V1594" s="17"/>
      <c r="W1594" s="17"/>
      <c r="X1594" s="17"/>
      <c r="Y1594" s="17"/>
      <c r="Z1594" s="17"/>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row>
    <row r="1595">
      <c r="A1595" s="17">
        <v>1593</v>
      </c>
      <c r="B1595" s="17" t="s">
        <v>52</v>
      </c>
      <c r="C1595" s="42" t="s">
        <v>4777</v>
      </c>
      <c r="D1595" s="35" t="s">
        <v>3886</v>
      </c>
      <c r="E1595" s="17" t="s">
        <v>4778</v>
      </c>
      <c r="F1595" s="17" t="s">
        <v>4779</v>
      </c>
      <c r="G1595" s="17">
        <v>22.454886999999999</v>
      </c>
      <c r="H1595" s="17">
        <v>87.169563999999994</v>
      </c>
      <c r="I1595" s="17"/>
      <c r="J1595" s="17"/>
      <c r="K1595" s="17"/>
      <c r="L1595" s="17"/>
      <c r="M1595" s="42" t="s">
        <v>4347</v>
      </c>
      <c r="N1595" s="17"/>
      <c r="O1595" s="17"/>
      <c r="P1595" s="17"/>
      <c r="Q1595" s="17"/>
      <c r="R1595" s="17"/>
      <c r="S1595" s="17"/>
      <c r="T1595" s="17"/>
      <c r="U1595" s="17"/>
      <c r="V1595" s="17"/>
      <c r="W1595" s="17"/>
      <c r="X1595" s="17"/>
      <c r="Y1595" s="17"/>
      <c r="Z1595" s="17"/>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row>
    <row r="1596">
      <c r="A1596" s="17">
        <v>1594</v>
      </c>
      <c r="B1596" s="17" t="s">
        <v>52</v>
      </c>
      <c r="C1596" s="42" t="s">
        <v>4780</v>
      </c>
      <c r="D1596" s="35" t="s">
        <v>3886</v>
      </c>
      <c r="E1596" s="17" t="s">
        <v>4781</v>
      </c>
      <c r="F1596" s="17" t="s">
        <v>4782</v>
      </c>
      <c r="G1596" s="17">
        <v>22.430195999999999</v>
      </c>
      <c r="H1596" s="17">
        <v>87.168132999999997</v>
      </c>
      <c r="I1596" s="17"/>
      <c r="J1596" s="17"/>
      <c r="K1596" s="17"/>
      <c r="L1596" s="17"/>
      <c r="M1596" s="42" t="s">
        <v>4347</v>
      </c>
      <c r="N1596" s="17"/>
      <c r="O1596" s="17"/>
      <c r="P1596" s="17"/>
      <c r="Q1596" s="17"/>
      <c r="R1596" s="17"/>
      <c r="S1596" s="17"/>
      <c r="T1596" s="17"/>
      <c r="U1596" s="17"/>
      <c r="V1596" s="17"/>
      <c r="W1596" s="17"/>
      <c r="X1596" s="17"/>
      <c r="Y1596" s="17"/>
      <c r="Z1596" s="17"/>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row>
    <row r="1597">
      <c r="A1597" s="17">
        <v>1595</v>
      </c>
      <c r="B1597" s="17" t="s">
        <v>52</v>
      </c>
      <c r="C1597" s="42" t="s">
        <v>4783</v>
      </c>
      <c r="D1597" s="35" t="s">
        <v>3886</v>
      </c>
      <c r="E1597" s="17" t="s">
        <v>4784</v>
      </c>
      <c r="F1597" s="17" t="s">
        <v>4785</v>
      </c>
      <c r="G1597" s="17">
        <v>22.849581000000001</v>
      </c>
      <c r="H1597" s="17">
        <v>87.381106000000003</v>
      </c>
      <c r="I1597" s="17"/>
      <c r="J1597" s="17"/>
      <c r="K1597" s="17"/>
      <c r="L1597" s="17"/>
      <c r="M1597" s="42" t="s">
        <v>3967</v>
      </c>
      <c r="N1597" s="17"/>
      <c r="O1597" s="17"/>
      <c r="P1597" s="17"/>
      <c r="Q1597" s="17"/>
      <c r="R1597" s="17"/>
      <c r="S1597" s="17"/>
      <c r="T1597" s="17"/>
      <c r="U1597" s="17"/>
      <c r="V1597" s="17"/>
      <c r="W1597" s="17"/>
      <c r="X1597" s="17"/>
      <c r="Y1597" s="17"/>
      <c r="Z1597" s="17"/>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row>
    <row r="1598">
      <c r="A1598" s="17">
        <v>1596</v>
      </c>
      <c r="B1598" s="17" t="s">
        <v>52</v>
      </c>
      <c r="C1598" s="42" t="s">
        <v>4786</v>
      </c>
      <c r="D1598" s="35" t="s">
        <v>3886</v>
      </c>
      <c r="E1598" s="17" t="s">
        <v>4787</v>
      </c>
      <c r="F1598" s="17" t="s">
        <v>4788</v>
      </c>
      <c r="G1598" s="17">
        <v>22.604191</v>
      </c>
      <c r="H1598" s="17">
        <v>87.139722000000006</v>
      </c>
      <c r="I1598" s="17"/>
      <c r="J1598" s="17"/>
      <c r="K1598" s="17"/>
      <c r="L1598" s="17"/>
      <c r="M1598" s="42" t="s">
        <v>4347</v>
      </c>
      <c r="N1598" s="17"/>
      <c r="O1598" s="17"/>
      <c r="P1598" s="17"/>
      <c r="Q1598" s="17"/>
      <c r="R1598" s="17"/>
      <c r="S1598" s="17"/>
      <c r="T1598" s="17"/>
      <c r="U1598" s="17"/>
      <c r="V1598" s="17"/>
      <c r="W1598" s="17"/>
      <c r="X1598" s="17"/>
      <c r="Y1598" s="17"/>
      <c r="Z1598" s="17"/>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row>
    <row r="1599">
      <c r="A1599" s="17">
        <v>1597</v>
      </c>
      <c r="B1599" s="17" t="s">
        <v>52</v>
      </c>
      <c r="C1599" s="42" t="s">
        <v>4789</v>
      </c>
      <c r="D1599" s="35" t="s">
        <v>3886</v>
      </c>
      <c r="E1599" s="17" t="s">
        <v>4790</v>
      </c>
      <c r="F1599" s="17" t="s">
        <v>4791</v>
      </c>
      <c r="G1599" s="17">
        <v>22.763171</v>
      </c>
      <c r="H1599" s="17">
        <v>87.357406999999995</v>
      </c>
      <c r="I1599" s="17"/>
      <c r="J1599" s="17"/>
      <c r="K1599" s="17"/>
      <c r="L1599" s="17"/>
      <c r="M1599" s="42" t="s">
        <v>4045</v>
      </c>
      <c r="N1599" s="17">
        <v>6290709471</v>
      </c>
      <c r="O1599" s="17"/>
      <c r="P1599" s="17"/>
      <c r="Q1599" s="17"/>
      <c r="R1599" s="17"/>
      <c r="S1599" s="17"/>
      <c r="T1599" s="17"/>
      <c r="U1599" s="17"/>
      <c r="V1599" s="17"/>
      <c r="W1599" s="17"/>
      <c r="X1599" s="17"/>
      <c r="Y1599" s="17"/>
      <c r="Z1599" s="17"/>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row>
    <row r="1600">
      <c r="A1600" s="17">
        <v>1598</v>
      </c>
      <c r="B1600" s="17" t="s">
        <v>52</v>
      </c>
      <c r="C1600" s="42" t="s">
        <v>4792</v>
      </c>
      <c r="D1600" s="35" t="s">
        <v>3886</v>
      </c>
      <c r="E1600" s="17" t="s">
        <v>3956</v>
      </c>
      <c r="F1600" s="17" t="s">
        <v>4793</v>
      </c>
      <c r="G1600" s="17">
        <v>22.752302</v>
      </c>
      <c r="H1600" s="17">
        <v>87.379906000000005</v>
      </c>
      <c r="I1600" s="17"/>
      <c r="J1600" s="17"/>
      <c r="K1600" s="17"/>
      <c r="L1600" s="17"/>
      <c r="M1600" s="42" t="s">
        <v>4045</v>
      </c>
      <c r="N1600" s="17">
        <v>6290709471</v>
      </c>
      <c r="O1600" s="17"/>
      <c r="P1600" s="17"/>
      <c r="Q1600" s="17"/>
      <c r="R1600" s="17"/>
      <c r="S1600" s="17"/>
      <c r="T1600" s="17"/>
      <c r="U1600" s="17"/>
      <c r="V1600" s="17"/>
      <c r="W1600" s="17"/>
      <c r="X1600" s="17"/>
      <c r="Y1600" s="17"/>
      <c r="Z1600" s="17"/>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row>
    <row r="1601">
      <c r="A1601" s="17">
        <v>1599</v>
      </c>
      <c r="B1601" s="17" t="s">
        <v>52</v>
      </c>
      <c r="C1601" s="42" t="s">
        <v>4794</v>
      </c>
      <c r="D1601" s="35" t="s">
        <v>3886</v>
      </c>
      <c r="E1601" s="17" t="s">
        <v>4795</v>
      </c>
      <c r="F1601" s="17" t="s">
        <v>4796</v>
      </c>
      <c r="G1601" s="17">
        <v>22.703208</v>
      </c>
      <c r="H1601" s="17">
        <v>87.122004000000004</v>
      </c>
      <c r="I1601" s="17"/>
      <c r="J1601" s="17"/>
      <c r="K1601" s="17"/>
      <c r="L1601" s="17"/>
      <c r="M1601" s="42" t="s">
        <v>4210</v>
      </c>
      <c r="N1601" s="17">
        <v>7980098242</v>
      </c>
      <c r="O1601" s="17">
        <v>14</v>
      </c>
      <c r="P1601" s="17">
        <v>70</v>
      </c>
      <c r="Q1601" s="17" t="s">
        <v>73</v>
      </c>
      <c r="R1601" s="17" t="s">
        <v>74</v>
      </c>
      <c r="S1601" s="17" t="s">
        <v>75</v>
      </c>
      <c r="T1601" s="17"/>
      <c r="U1601" s="17" t="s">
        <v>105</v>
      </c>
      <c r="V1601" s="17" t="s">
        <v>77</v>
      </c>
      <c r="W1601" s="17" t="s">
        <v>454</v>
      </c>
      <c r="X1601" s="17">
        <v>3</v>
      </c>
      <c r="Y1601" s="17">
        <v>0</v>
      </c>
      <c r="Z1601" s="17" t="s">
        <v>109</v>
      </c>
      <c r="AA1601" s="17" t="s">
        <v>73</v>
      </c>
      <c r="AB1601" s="17" t="s">
        <v>79</v>
      </c>
      <c r="AC1601" s="17">
        <v>2</v>
      </c>
      <c r="AD1601" s="17">
        <v>0</v>
      </c>
      <c r="AE1601" s="17">
        <v>0</v>
      </c>
      <c r="AF1601" s="17"/>
      <c r="AG1601" s="17" t="s">
        <v>81</v>
      </c>
      <c r="AH1601" s="17" t="s">
        <v>82</v>
      </c>
      <c r="AI1601" s="17" t="s">
        <v>83</v>
      </c>
      <c r="AJ1601" s="17">
        <v>2111</v>
      </c>
      <c r="AK1601" s="17" t="s">
        <v>75</v>
      </c>
      <c r="AL1601" s="17" t="s">
        <v>137</v>
      </c>
      <c r="AM1601" s="17" t="s">
        <v>75</v>
      </c>
      <c r="AN1601" s="17" t="s">
        <v>84</v>
      </c>
      <c r="AO1601" s="17" t="s">
        <v>75</v>
      </c>
      <c r="AP1601" s="17"/>
      <c r="AQ1601" s="17"/>
      <c r="AR1601" s="17"/>
      <c r="AS1601" s="17"/>
      <c r="AT1601" s="17"/>
      <c r="AU1601" s="17" t="s">
        <v>111</v>
      </c>
    </row>
    <row r="1602">
      <c r="A1602" s="17">
        <v>1600</v>
      </c>
      <c r="B1602" s="17" t="s">
        <v>52</v>
      </c>
      <c r="C1602" s="42" t="s">
        <v>4797</v>
      </c>
      <c r="D1602" s="35" t="s">
        <v>3886</v>
      </c>
      <c r="E1602" s="17" t="s">
        <v>4798</v>
      </c>
      <c r="F1602" s="17" t="s">
        <v>4799</v>
      </c>
      <c r="G1602" s="17">
        <v>22.41197</v>
      </c>
      <c r="H1602" s="17">
        <v>87.179626999999996</v>
      </c>
      <c r="I1602" s="17"/>
      <c r="J1602" s="17"/>
      <c r="K1602" s="17"/>
      <c r="L1602" s="17"/>
      <c r="M1602" s="42" t="s">
        <v>4347</v>
      </c>
      <c r="N1602" s="17"/>
      <c r="O1602" s="17"/>
      <c r="P1602" s="17"/>
      <c r="Q1602" s="17"/>
      <c r="R1602" s="17"/>
      <c r="S1602" s="17"/>
      <c r="T1602" s="17"/>
      <c r="U1602" s="17"/>
      <c r="V1602" s="17"/>
      <c r="W1602" s="17"/>
      <c r="X1602" s="17"/>
      <c r="Y1602" s="17"/>
      <c r="Z1602" s="17"/>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row>
    <row r="1603">
      <c r="A1603" s="17">
        <v>1601</v>
      </c>
      <c r="B1603" s="17" t="s">
        <v>52</v>
      </c>
      <c r="C1603" s="42" t="s">
        <v>4800</v>
      </c>
      <c r="D1603" s="35" t="s">
        <v>3886</v>
      </c>
      <c r="E1603" s="17" t="s">
        <v>3956</v>
      </c>
      <c r="F1603" s="17" t="s">
        <v>4801</v>
      </c>
      <c r="G1603" s="17">
        <v>22.5185</v>
      </c>
      <c r="H1603" s="17">
        <v>87.826267999999999</v>
      </c>
      <c r="I1603" s="17"/>
      <c r="J1603" s="17"/>
      <c r="K1603" s="17"/>
      <c r="L1603" s="17"/>
      <c r="M1603" s="42" t="s">
        <v>4004</v>
      </c>
      <c r="N1603" s="17">
        <v>9382071290</v>
      </c>
      <c r="O1603" s="17"/>
      <c r="P1603" s="17"/>
      <c r="Q1603" s="17"/>
      <c r="R1603" s="17"/>
      <c r="S1603" s="17"/>
      <c r="T1603" s="17"/>
      <c r="U1603" s="17"/>
      <c r="V1603" s="17"/>
      <c r="W1603" s="17"/>
      <c r="X1603" s="17"/>
      <c r="Y1603" s="17"/>
      <c r="Z1603" s="17"/>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row>
    <row r="1604">
      <c r="A1604" s="17">
        <v>1602</v>
      </c>
      <c r="B1604" s="17" t="s">
        <v>52</v>
      </c>
      <c r="C1604" s="42" t="s">
        <v>4802</v>
      </c>
      <c r="D1604" s="35" t="s">
        <v>3886</v>
      </c>
      <c r="E1604" s="17" t="s">
        <v>4803</v>
      </c>
      <c r="F1604" s="17" t="s">
        <v>4804</v>
      </c>
      <c r="G1604" s="17">
        <v>22.870797</v>
      </c>
      <c r="H1604" s="17">
        <v>87.335004999999995</v>
      </c>
      <c r="I1604" s="17"/>
      <c r="J1604" s="17"/>
      <c r="K1604" s="17"/>
      <c r="L1604" s="17"/>
      <c r="M1604" s="42" t="s">
        <v>3967</v>
      </c>
      <c r="N1604" s="17"/>
      <c r="O1604" s="17"/>
      <c r="P1604" s="17"/>
      <c r="Q1604" s="17"/>
      <c r="R1604" s="17"/>
      <c r="S1604" s="17"/>
      <c r="T1604" s="17"/>
      <c r="U1604" s="17"/>
      <c r="V1604" s="17"/>
      <c r="W1604" s="17"/>
      <c r="X1604" s="17"/>
      <c r="Y1604" s="17"/>
      <c r="Z1604" s="17"/>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row>
    <row r="1605">
      <c r="A1605" s="17">
        <v>1603</v>
      </c>
      <c r="B1605" s="17" t="s">
        <v>52</v>
      </c>
      <c r="C1605" s="42" t="s">
        <v>4805</v>
      </c>
      <c r="D1605" s="35" t="s">
        <v>3886</v>
      </c>
      <c r="E1605" s="17" t="s">
        <v>4806</v>
      </c>
      <c r="F1605" s="17" t="s">
        <v>4807</v>
      </c>
      <c r="G1605" s="17">
        <v>22.696141999999998</v>
      </c>
      <c r="H1605" s="17">
        <v>87.437066000000002</v>
      </c>
      <c r="I1605" s="17"/>
      <c r="J1605" s="17"/>
      <c r="K1605" s="17"/>
      <c r="L1605" s="17"/>
      <c r="M1605" s="42" t="s">
        <v>4045</v>
      </c>
      <c r="N1605" s="17">
        <v>6290709471</v>
      </c>
      <c r="O1605" s="17"/>
      <c r="P1605" s="17"/>
      <c r="Q1605" s="17"/>
      <c r="R1605" s="17"/>
      <c r="S1605" s="17"/>
      <c r="T1605" s="17"/>
      <c r="U1605" s="17"/>
      <c r="V1605" s="17"/>
      <c r="W1605" s="17"/>
      <c r="X1605" s="17"/>
      <c r="Y1605" s="17"/>
      <c r="Z1605" s="17"/>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row>
    <row r="1606">
      <c r="A1606" s="17">
        <v>1604</v>
      </c>
      <c r="B1606" s="17" t="s">
        <v>52</v>
      </c>
      <c r="C1606" s="42" t="s">
        <v>4808</v>
      </c>
      <c r="D1606" s="35" t="s">
        <v>3886</v>
      </c>
      <c r="E1606" s="17" t="s">
        <v>4809</v>
      </c>
      <c r="F1606" s="17" t="s">
        <v>4810</v>
      </c>
      <c r="G1606" s="17">
        <v>22.70271</v>
      </c>
      <c r="H1606" s="17">
        <v>87.489254000000003</v>
      </c>
      <c r="I1606" s="17"/>
      <c r="J1606" s="17"/>
      <c r="K1606" s="17"/>
      <c r="L1606" s="17"/>
      <c r="M1606" s="42" t="s">
        <v>3987</v>
      </c>
      <c r="N1606" s="17"/>
      <c r="O1606" s="17"/>
      <c r="P1606" s="17"/>
      <c r="Q1606" s="17"/>
      <c r="R1606" s="17"/>
      <c r="S1606" s="17"/>
      <c r="T1606" s="17"/>
      <c r="U1606" s="17"/>
      <c r="V1606" s="17"/>
      <c r="W1606" s="17"/>
      <c r="X1606" s="17"/>
      <c r="Y1606" s="17"/>
      <c r="Z1606" s="17"/>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row>
    <row r="1607">
      <c r="A1607" s="17">
        <v>1605</v>
      </c>
      <c r="B1607" s="17" t="s">
        <v>52</v>
      </c>
      <c r="C1607" s="42" t="s">
        <v>4811</v>
      </c>
      <c r="D1607" s="35" t="s">
        <v>3886</v>
      </c>
      <c r="E1607" s="17" t="s">
        <v>4812</v>
      </c>
      <c r="F1607" s="17" t="s">
        <v>4813</v>
      </c>
      <c r="G1607" s="17">
        <v>22.725863</v>
      </c>
      <c r="H1607" s="17">
        <v>87.381421000000003</v>
      </c>
      <c r="I1607" s="17"/>
      <c r="J1607" s="17"/>
      <c r="K1607" s="17"/>
      <c r="L1607" s="17"/>
      <c r="M1607" s="42" t="s">
        <v>4045</v>
      </c>
      <c r="N1607" s="17">
        <v>6290709471</v>
      </c>
      <c r="O1607" s="17"/>
      <c r="P1607" s="17"/>
      <c r="Q1607" s="17"/>
      <c r="R1607" s="17"/>
      <c r="S1607" s="17"/>
      <c r="T1607" s="17"/>
      <c r="U1607" s="17"/>
      <c r="V1607" s="17"/>
      <c r="W1607" s="17"/>
      <c r="X1607" s="17"/>
      <c r="Y1607" s="17"/>
      <c r="Z1607" s="17"/>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row>
    <row r="1608">
      <c r="A1608" s="17">
        <v>1606</v>
      </c>
      <c r="B1608" s="17" t="s">
        <v>52</v>
      </c>
      <c r="C1608" s="42" t="s">
        <v>4814</v>
      </c>
      <c r="D1608" s="35" t="s">
        <v>3886</v>
      </c>
      <c r="E1608" s="17" t="s">
        <v>4815</v>
      </c>
      <c r="F1608" s="17" t="s">
        <v>4816</v>
      </c>
      <c r="G1608" s="17">
        <v>22.888127000000001</v>
      </c>
      <c r="H1608" s="17">
        <v>87.210256999999999</v>
      </c>
      <c r="I1608" s="17"/>
      <c r="J1608" s="17"/>
      <c r="K1608" s="17"/>
      <c r="L1608" s="17"/>
      <c r="M1608" s="42" t="s">
        <v>4210</v>
      </c>
      <c r="N1608" s="17">
        <v>7980098242</v>
      </c>
      <c r="O1608" s="17">
        <v>9</v>
      </c>
      <c r="P1608" s="17">
        <v>70</v>
      </c>
      <c r="Q1608" s="17" t="s">
        <v>105</v>
      </c>
      <c r="R1608" s="17" t="s">
        <v>74</v>
      </c>
      <c r="S1608" s="17" t="s">
        <v>75</v>
      </c>
      <c r="T1608" s="17" t="s">
        <v>2254</v>
      </c>
      <c r="U1608" s="17" t="s">
        <v>441</v>
      </c>
      <c r="V1608" s="17" t="s">
        <v>442</v>
      </c>
      <c r="W1608" s="17" t="s">
        <v>914</v>
      </c>
      <c r="X1608" s="17">
        <v>2</v>
      </c>
      <c r="Y1608" s="17">
        <v>0</v>
      </c>
      <c r="Z1608" s="17"/>
      <c r="AA1608" s="17" t="s">
        <v>105</v>
      </c>
      <c r="AB1608" s="17" t="s">
        <v>79</v>
      </c>
      <c r="AC1608" s="17">
        <v>5</v>
      </c>
      <c r="AD1608" s="17">
        <v>0</v>
      </c>
      <c r="AE1608" s="17">
        <v>0</v>
      </c>
      <c r="AF1608" s="17"/>
      <c r="AG1608" s="17" t="s">
        <v>81</v>
      </c>
      <c r="AH1608" s="17" t="s">
        <v>82</v>
      </c>
      <c r="AI1608" s="17" t="s">
        <v>83</v>
      </c>
      <c r="AJ1608" s="17">
        <v>2111</v>
      </c>
      <c r="AK1608" s="17" t="s">
        <v>137</v>
      </c>
      <c r="AL1608" s="17" t="s">
        <v>137</v>
      </c>
      <c r="AM1608" s="17" t="s">
        <v>163</v>
      </c>
      <c r="AN1608" s="17" t="s">
        <v>84</v>
      </c>
      <c r="AO1608" s="17" t="s">
        <v>137</v>
      </c>
      <c r="AP1608" s="17"/>
      <c r="AQ1608" s="17"/>
      <c r="AR1608" s="17"/>
      <c r="AS1608" s="17"/>
      <c r="AT1608" s="17" t="s">
        <v>4817</v>
      </c>
      <c r="AU1608" s="17" t="s">
        <v>111</v>
      </c>
    </row>
    <row r="1609">
      <c r="A1609" s="17">
        <v>1607</v>
      </c>
      <c r="B1609" s="17" t="s">
        <v>52</v>
      </c>
      <c r="C1609" s="42" t="s">
        <v>4818</v>
      </c>
      <c r="D1609" s="35" t="s">
        <v>3886</v>
      </c>
      <c r="E1609" s="17" t="s">
        <v>4819</v>
      </c>
      <c r="F1609" s="17" t="s">
        <v>4820</v>
      </c>
      <c r="G1609" s="17">
        <v>22.537110999999999</v>
      </c>
      <c r="H1609" s="17">
        <v>87.265511000000004</v>
      </c>
      <c r="I1609" s="17"/>
      <c r="J1609" s="17"/>
      <c r="K1609" s="17"/>
      <c r="L1609" s="17"/>
      <c r="M1609" s="42" t="s">
        <v>4033</v>
      </c>
      <c r="N1609" s="17"/>
      <c r="O1609" s="17"/>
      <c r="P1609" s="17"/>
      <c r="Q1609" s="17"/>
      <c r="R1609" s="17"/>
      <c r="S1609" s="17"/>
      <c r="T1609" s="17"/>
      <c r="U1609" s="17"/>
      <c r="V1609" s="17"/>
      <c r="W1609" s="17"/>
      <c r="X1609" s="17"/>
      <c r="Y1609" s="17"/>
      <c r="Z1609" s="17"/>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row>
    <row r="1610">
      <c r="A1610" s="17">
        <v>1608</v>
      </c>
      <c r="B1610" s="17" t="s">
        <v>52</v>
      </c>
      <c r="C1610" s="42" t="s">
        <v>4821</v>
      </c>
      <c r="D1610" s="35" t="s">
        <v>3886</v>
      </c>
      <c r="E1610" s="17" t="s">
        <v>4822</v>
      </c>
      <c r="F1610" s="17" t="s">
        <v>4823</v>
      </c>
      <c r="G1610" s="17">
        <v>22.555387</v>
      </c>
      <c r="H1610" s="17">
        <v>87.236469999999997</v>
      </c>
      <c r="I1610" s="17"/>
      <c r="J1610" s="17"/>
      <c r="K1610" s="17"/>
      <c r="L1610" s="17"/>
      <c r="M1610" s="42" t="s">
        <v>4033</v>
      </c>
      <c r="N1610" s="17"/>
      <c r="O1610" s="17"/>
      <c r="P1610" s="17"/>
      <c r="Q1610" s="17"/>
      <c r="R1610" s="17"/>
      <c r="S1610" s="17"/>
      <c r="T1610" s="17"/>
      <c r="U1610" s="17"/>
      <c r="V1610" s="17"/>
      <c r="W1610" s="17"/>
      <c r="X1610" s="17"/>
      <c r="Y1610" s="17"/>
      <c r="Z1610" s="17"/>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row>
    <row r="1611">
      <c r="A1611" s="17">
        <v>1609</v>
      </c>
      <c r="B1611" s="17" t="s">
        <v>52</v>
      </c>
      <c r="C1611" s="42" t="s">
        <v>4824</v>
      </c>
      <c r="D1611" s="35" t="s">
        <v>3886</v>
      </c>
      <c r="E1611" s="17" t="s">
        <v>1274</v>
      </c>
      <c r="F1611" s="17" t="s">
        <v>4825</v>
      </c>
      <c r="G1611" s="17">
        <v>22.581572999999999</v>
      </c>
      <c r="H1611" s="17">
        <v>87.423783</v>
      </c>
      <c r="I1611" s="17"/>
      <c r="J1611" s="17"/>
      <c r="K1611" s="17"/>
      <c r="L1611" s="17"/>
      <c r="M1611" s="42" t="s">
        <v>4016</v>
      </c>
      <c r="N1611" s="17"/>
      <c r="O1611" s="17"/>
      <c r="P1611" s="17"/>
      <c r="Q1611" s="17"/>
      <c r="R1611" s="17"/>
      <c r="S1611" s="17"/>
      <c r="T1611" s="17"/>
      <c r="U1611" s="17"/>
      <c r="V1611" s="17"/>
      <c r="W1611" s="17"/>
      <c r="X1611" s="17"/>
      <c r="Y1611" s="17"/>
      <c r="Z1611" s="17"/>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row>
    <row r="1612">
      <c r="A1612" s="17">
        <v>1610</v>
      </c>
      <c r="B1612" s="17" t="s">
        <v>52</v>
      </c>
      <c r="C1612" s="42" t="s">
        <v>4826</v>
      </c>
      <c r="D1612" s="35" t="s">
        <v>3886</v>
      </c>
      <c r="E1612" s="17" t="s">
        <v>4827</v>
      </c>
      <c r="F1612" s="17" t="s">
        <v>4828</v>
      </c>
      <c r="G1612" s="17">
        <v>22.849769999999999</v>
      </c>
      <c r="H1612" s="17">
        <v>87.560770000000005</v>
      </c>
      <c r="I1612" s="17"/>
      <c r="J1612" s="17"/>
      <c r="K1612" s="17"/>
      <c r="L1612" s="17"/>
      <c r="M1612" s="42" t="s">
        <v>4011</v>
      </c>
      <c r="N1612" s="17">
        <v>8240995350</v>
      </c>
      <c r="O1612" s="17">
        <v>16</v>
      </c>
      <c r="P1612" s="17">
        <v>60</v>
      </c>
      <c r="Q1612" s="17" t="s">
        <v>105</v>
      </c>
      <c r="R1612" s="17" t="s">
        <v>154</v>
      </c>
      <c r="S1612" s="17" t="s">
        <v>75</v>
      </c>
      <c r="T1612" s="17"/>
      <c r="U1612" s="17" t="s">
        <v>105</v>
      </c>
      <c r="V1612" s="17" t="s">
        <v>77</v>
      </c>
      <c r="W1612" s="17" t="s">
        <v>123</v>
      </c>
      <c r="X1612" s="17">
        <v>4</v>
      </c>
      <c r="Y1612" s="17">
        <v>2</v>
      </c>
      <c r="Z1612" s="17" t="s">
        <v>4829</v>
      </c>
      <c r="AA1612" s="17" t="s">
        <v>105</v>
      </c>
      <c r="AB1612" s="17" t="s">
        <v>239</v>
      </c>
      <c r="AC1612" s="17">
        <v>3</v>
      </c>
      <c r="AD1612" s="17">
        <v>0</v>
      </c>
      <c r="AE1612" s="17">
        <v>0</v>
      </c>
      <c r="AF1612" s="17"/>
      <c r="AG1612" s="17" t="s">
        <v>124</v>
      </c>
      <c r="AH1612" s="17" t="s">
        <v>82</v>
      </c>
      <c r="AI1612" s="17" t="s">
        <v>83</v>
      </c>
      <c r="AJ1612" s="17">
        <v>2111</v>
      </c>
      <c r="AK1612" s="17" t="s">
        <v>137</v>
      </c>
      <c r="AL1612" s="17" t="s">
        <v>75</v>
      </c>
      <c r="AM1612" s="17" t="s">
        <v>163</v>
      </c>
      <c r="AN1612" s="17" t="s">
        <v>84</v>
      </c>
      <c r="AO1612" s="17" t="s">
        <v>137</v>
      </c>
      <c r="AP1612" s="17" t="s">
        <v>105</v>
      </c>
      <c r="AQ1612" s="17" t="s">
        <v>558</v>
      </c>
      <c r="AR1612" s="17">
        <v>2</v>
      </c>
      <c r="AS1612" s="17">
        <v>2</v>
      </c>
      <c r="AT1612" s="17" t="s">
        <v>4555</v>
      </c>
      <c r="AU1612" s="17" t="s">
        <v>127</v>
      </c>
    </row>
    <row r="1613">
      <c r="A1613" s="17">
        <v>1611</v>
      </c>
      <c r="B1613" s="17" t="s">
        <v>52</v>
      </c>
      <c r="C1613" s="42" t="s">
        <v>4830</v>
      </c>
      <c r="D1613" s="35" t="s">
        <v>3886</v>
      </c>
      <c r="E1613" s="17" t="s">
        <v>4831</v>
      </c>
      <c r="F1613" s="17" t="s">
        <v>4832</v>
      </c>
      <c r="G1613" s="17">
        <v>22.900535000000001</v>
      </c>
      <c r="H1613" s="17">
        <v>87.379670000000004</v>
      </c>
      <c r="I1613" s="17"/>
      <c r="J1613" s="17"/>
      <c r="K1613" s="17"/>
      <c r="L1613" s="17"/>
      <c r="M1613" s="42" t="s">
        <v>3967</v>
      </c>
      <c r="N1613" s="17"/>
      <c r="O1613" s="17"/>
      <c r="P1613" s="17"/>
      <c r="Q1613" s="17"/>
      <c r="R1613" s="17"/>
      <c r="S1613" s="17"/>
      <c r="T1613" s="17"/>
      <c r="U1613" s="17"/>
      <c r="V1613" s="17"/>
      <c r="W1613" s="17"/>
      <c r="X1613" s="17"/>
      <c r="Y1613" s="17"/>
      <c r="Z1613" s="17"/>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row>
    <row r="1614">
      <c r="A1614" s="17">
        <v>1612</v>
      </c>
      <c r="B1614" s="17" t="s">
        <v>52</v>
      </c>
      <c r="C1614" s="42" t="s">
        <v>4833</v>
      </c>
      <c r="D1614" s="35" t="s">
        <v>3886</v>
      </c>
      <c r="E1614" s="17" t="s">
        <v>4834</v>
      </c>
      <c r="F1614" s="17" t="s">
        <v>4766</v>
      </c>
      <c r="G1614" s="17">
        <v>22.436653</v>
      </c>
      <c r="H1614" s="17">
        <v>87.131471000000005</v>
      </c>
      <c r="I1614" s="17"/>
      <c r="J1614" s="17"/>
      <c r="K1614" s="17"/>
      <c r="L1614" s="17"/>
      <c r="M1614" s="42" t="s">
        <v>4347</v>
      </c>
      <c r="N1614" s="17"/>
      <c r="O1614" s="17"/>
      <c r="P1614" s="17"/>
      <c r="Q1614" s="17"/>
      <c r="R1614" s="17"/>
      <c r="S1614" s="17"/>
      <c r="T1614" s="17"/>
      <c r="U1614" s="17"/>
      <c r="V1614" s="17"/>
      <c r="W1614" s="17"/>
      <c r="X1614" s="17"/>
      <c r="Y1614" s="17"/>
      <c r="Z1614" s="17"/>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row>
    <row r="1615">
      <c r="A1615" s="17">
        <v>1613</v>
      </c>
      <c r="B1615" s="17" t="s">
        <v>52</v>
      </c>
      <c r="C1615" s="42" t="s">
        <v>4835</v>
      </c>
      <c r="D1615" s="35" t="s">
        <v>3886</v>
      </c>
      <c r="E1615" s="17" t="s">
        <v>4836</v>
      </c>
      <c r="F1615" s="17" t="s">
        <v>4837</v>
      </c>
      <c r="G1615" s="17">
        <v>22.835574999999999</v>
      </c>
      <c r="H1615" s="17">
        <v>87.422811999999993</v>
      </c>
      <c r="I1615" s="17"/>
      <c r="J1615" s="17"/>
      <c r="K1615" s="17"/>
      <c r="L1615" s="17"/>
      <c r="M1615" s="42" t="s">
        <v>4011</v>
      </c>
      <c r="N1615" s="17">
        <v>8240995350</v>
      </c>
      <c r="O1615" s="17">
        <v>18</v>
      </c>
      <c r="P1615" s="17">
        <v>105</v>
      </c>
      <c r="Q1615" s="17" t="s">
        <v>105</v>
      </c>
      <c r="R1615" s="17" t="s">
        <v>238</v>
      </c>
      <c r="S1615" s="17" t="s">
        <v>75</v>
      </c>
      <c r="T1615" s="17"/>
      <c r="U1615" s="17" t="s">
        <v>160</v>
      </c>
      <c r="V1615" s="17" t="s">
        <v>77</v>
      </c>
      <c r="W1615" s="17" t="s">
        <v>78</v>
      </c>
      <c r="X1615" s="17">
        <v>8</v>
      </c>
      <c r="Y1615" s="17">
        <v>3</v>
      </c>
      <c r="Z1615" s="17" t="s">
        <v>424</v>
      </c>
      <c r="AA1615" s="17" t="s">
        <v>105</v>
      </c>
      <c r="AB1615" s="17" t="s">
        <v>239</v>
      </c>
      <c r="AC1615" s="17">
        <v>6</v>
      </c>
      <c r="AD1615" s="17">
        <v>0</v>
      </c>
      <c r="AE1615" s="17">
        <v>0</v>
      </c>
      <c r="AF1615" s="17"/>
      <c r="AG1615" s="17" t="s">
        <v>81</v>
      </c>
      <c r="AH1615" s="17" t="s">
        <v>82</v>
      </c>
      <c r="AI1615" s="17" t="s">
        <v>83</v>
      </c>
      <c r="AJ1615" s="17">
        <v>2111</v>
      </c>
      <c r="AK1615" s="17" t="s">
        <v>75</v>
      </c>
      <c r="AL1615" s="17" t="s">
        <v>75</v>
      </c>
      <c r="AM1615" s="17" t="s">
        <v>75</v>
      </c>
      <c r="AN1615" s="17" t="s">
        <v>125</v>
      </c>
      <c r="AO1615" s="17" t="s">
        <v>75</v>
      </c>
      <c r="AP1615" s="17" t="s">
        <v>105</v>
      </c>
      <c r="AQ1615" s="17" t="s">
        <v>154</v>
      </c>
      <c r="AR1615" s="17">
        <v>3</v>
      </c>
      <c r="AS1615" s="17">
        <v>1</v>
      </c>
      <c r="AT1615" s="17" t="s">
        <v>4838</v>
      </c>
      <c r="AU1615" s="17" t="s">
        <v>127</v>
      </c>
    </row>
    <row r="1616">
      <c r="A1616" s="17">
        <v>1614</v>
      </c>
      <c r="B1616" s="17" t="s">
        <v>52</v>
      </c>
      <c r="C1616" s="42" t="s">
        <v>4839</v>
      </c>
      <c r="D1616" s="35" t="s">
        <v>3886</v>
      </c>
      <c r="E1616" s="17" t="s">
        <v>4840</v>
      </c>
      <c r="F1616" s="17" t="s">
        <v>4841</v>
      </c>
      <c r="G1616" s="17">
        <v>22.524341</v>
      </c>
      <c r="H1616" s="17">
        <v>87.252741</v>
      </c>
      <c r="I1616" s="17"/>
      <c r="J1616" s="17"/>
      <c r="K1616" s="17"/>
      <c r="L1616" s="17"/>
      <c r="M1616" s="42" t="s">
        <v>4033</v>
      </c>
      <c r="N1616" s="17"/>
      <c r="O1616" s="17"/>
      <c r="P1616" s="17"/>
      <c r="Q1616" s="17"/>
      <c r="R1616" s="17"/>
      <c r="S1616" s="17"/>
      <c r="T1616" s="17"/>
      <c r="U1616" s="17"/>
      <c r="V1616" s="17"/>
      <c r="W1616" s="17"/>
      <c r="X1616" s="17"/>
      <c r="Y1616" s="17"/>
      <c r="Z1616" s="17"/>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row>
    <row r="1617">
      <c r="A1617" s="17">
        <v>1615</v>
      </c>
      <c r="B1617" s="17" t="s">
        <v>52</v>
      </c>
      <c r="C1617" s="42" t="s">
        <v>4842</v>
      </c>
      <c r="D1617" s="35" t="s">
        <v>3886</v>
      </c>
      <c r="E1617" s="17" t="s">
        <v>4843</v>
      </c>
      <c r="F1617" s="17" t="s">
        <v>4844</v>
      </c>
      <c r="G1617" s="17">
        <v>22.781295</v>
      </c>
      <c r="H1617" s="17">
        <v>87.117448999999993</v>
      </c>
      <c r="I1617" s="17"/>
      <c r="J1617" s="17"/>
      <c r="K1617" s="17"/>
      <c r="L1617" s="17"/>
      <c r="M1617" s="42" t="s">
        <v>4210</v>
      </c>
      <c r="N1617" s="17">
        <v>7980098242</v>
      </c>
      <c r="O1617" s="17">
        <v>10</v>
      </c>
      <c r="P1617" s="17">
        <v>50</v>
      </c>
      <c r="Q1617" s="17" t="s">
        <v>105</v>
      </c>
      <c r="R1617" s="17" t="s">
        <v>154</v>
      </c>
      <c r="S1617" s="17" t="s">
        <v>75</v>
      </c>
      <c r="T1617" s="17"/>
      <c r="U1617" s="17" t="s">
        <v>441</v>
      </c>
      <c r="V1617" s="17" t="s">
        <v>442</v>
      </c>
      <c r="W1617" s="17" t="s">
        <v>914</v>
      </c>
      <c r="X1617" s="17">
        <v>4</v>
      </c>
      <c r="Y1617" s="17">
        <v>2</v>
      </c>
      <c r="Z1617" s="17"/>
      <c r="AA1617" s="17" t="s">
        <v>105</v>
      </c>
      <c r="AB1617" s="17" t="s">
        <v>239</v>
      </c>
      <c r="AC1617" s="17">
        <v>2</v>
      </c>
      <c r="AD1617" s="17">
        <v>0</v>
      </c>
      <c r="AE1617" s="17">
        <v>1</v>
      </c>
      <c r="AF1617" s="17"/>
      <c r="AG1617" s="17" t="s">
        <v>81</v>
      </c>
      <c r="AH1617" s="17" t="s">
        <v>82</v>
      </c>
      <c r="AI1617" s="17" t="s">
        <v>83</v>
      </c>
      <c r="AJ1617" s="17">
        <v>2111</v>
      </c>
      <c r="AK1617" s="17" t="s">
        <v>75</v>
      </c>
      <c r="AL1617" s="17" t="s">
        <v>75</v>
      </c>
      <c r="AM1617" s="17" t="s">
        <v>75</v>
      </c>
      <c r="AN1617" s="17" t="s">
        <v>84</v>
      </c>
      <c r="AO1617" s="17" t="s">
        <v>75</v>
      </c>
      <c r="AP1617" s="17"/>
      <c r="AQ1617" s="17"/>
      <c r="AR1617" s="17"/>
      <c r="AS1617" s="17"/>
      <c r="AT1617" s="17"/>
      <c r="AU1617" s="17" t="s">
        <v>111</v>
      </c>
    </row>
    <row r="1618">
      <c r="A1618" s="17">
        <v>1616</v>
      </c>
      <c r="B1618" s="17" t="s">
        <v>52</v>
      </c>
      <c r="C1618" s="42" t="s">
        <v>4845</v>
      </c>
      <c r="D1618" s="35" t="s">
        <v>3886</v>
      </c>
      <c r="E1618" s="17" t="s">
        <v>4846</v>
      </c>
      <c r="F1618" s="17" t="s">
        <v>4847</v>
      </c>
      <c r="G1618" s="17">
        <v>22.725338000000001</v>
      </c>
      <c r="H1618" s="17">
        <v>87.154210000000006</v>
      </c>
      <c r="I1618" s="17"/>
      <c r="J1618" s="17"/>
      <c r="K1618" s="17"/>
      <c r="L1618" s="17"/>
      <c r="M1618" s="42" t="s">
        <v>4210</v>
      </c>
      <c r="N1618" s="17">
        <v>7980098242</v>
      </c>
      <c r="O1618" s="17">
        <v>12</v>
      </c>
      <c r="P1618" s="17">
        <v>60</v>
      </c>
      <c r="Q1618" s="17" t="s">
        <v>105</v>
      </c>
      <c r="R1618" s="17" t="s">
        <v>154</v>
      </c>
      <c r="S1618" s="17" t="s">
        <v>75</v>
      </c>
      <c r="T1618" s="17" t="s">
        <v>584</v>
      </c>
      <c r="U1618" s="17" t="s">
        <v>441</v>
      </c>
      <c r="V1618" s="17" t="s">
        <v>442</v>
      </c>
      <c r="W1618" s="17" t="s">
        <v>914</v>
      </c>
      <c r="X1618" s="17">
        <v>2</v>
      </c>
      <c r="Y1618" s="17">
        <v>0</v>
      </c>
      <c r="Z1618" s="17"/>
      <c r="AA1618" s="17" t="s">
        <v>105</v>
      </c>
      <c r="AB1618" s="17" t="s">
        <v>239</v>
      </c>
      <c r="AC1618" s="17">
        <v>2</v>
      </c>
      <c r="AD1618" s="17">
        <v>0</v>
      </c>
      <c r="AE1618" s="17">
        <v>1</v>
      </c>
      <c r="AF1618" s="17"/>
      <c r="AG1618" s="17" t="s">
        <v>81</v>
      </c>
      <c r="AH1618" s="17" t="s">
        <v>82</v>
      </c>
      <c r="AI1618" s="17" t="s">
        <v>83</v>
      </c>
      <c r="AJ1618" s="17">
        <v>2111</v>
      </c>
      <c r="AK1618" s="17" t="s">
        <v>75</v>
      </c>
      <c r="AL1618" s="17" t="s">
        <v>75</v>
      </c>
      <c r="AM1618" s="17" t="s">
        <v>75</v>
      </c>
      <c r="AN1618" s="17" t="s">
        <v>84</v>
      </c>
      <c r="AO1618" s="17" t="s">
        <v>109</v>
      </c>
      <c r="AP1618" s="17"/>
      <c r="AQ1618" s="17"/>
      <c r="AR1618" s="17"/>
      <c r="AS1618" s="17"/>
      <c r="AT1618" s="17" t="s">
        <v>2629</v>
      </c>
      <c r="AU1618" s="17" t="s">
        <v>111</v>
      </c>
    </row>
    <row r="1619">
      <c r="A1619" s="17">
        <v>1617</v>
      </c>
      <c r="B1619" s="17" t="s">
        <v>52</v>
      </c>
      <c r="C1619" s="42" t="s">
        <v>4848</v>
      </c>
      <c r="D1619" s="35" t="s">
        <v>3886</v>
      </c>
      <c r="E1619" s="17" t="s">
        <v>4849</v>
      </c>
      <c r="F1619" s="17" t="s">
        <v>4850</v>
      </c>
      <c r="G1619" s="17">
        <v>22.640184000000001</v>
      </c>
      <c r="H1619" s="17">
        <v>87.217449000000002</v>
      </c>
      <c r="I1619" s="17"/>
      <c r="J1619" s="17"/>
      <c r="K1619" s="17"/>
      <c r="L1619" s="17"/>
      <c r="M1619" s="42" t="s">
        <v>4347</v>
      </c>
      <c r="N1619" s="17"/>
      <c r="O1619" s="17"/>
      <c r="P1619" s="17"/>
      <c r="Q1619" s="17"/>
      <c r="R1619" s="17"/>
      <c r="S1619" s="17"/>
      <c r="T1619" s="17"/>
      <c r="U1619" s="17"/>
      <c r="V1619" s="17"/>
      <c r="W1619" s="17"/>
      <c r="X1619" s="17"/>
      <c r="Y1619" s="17"/>
      <c r="Z1619" s="17"/>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row>
    <row r="1620">
      <c r="A1620" s="17">
        <v>1618</v>
      </c>
      <c r="B1620" s="17" t="s">
        <v>52</v>
      </c>
      <c r="C1620" s="42" t="s">
        <v>4851</v>
      </c>
      <c r="D1620" s="35" t="s">
        <v>3886</v>
      </c>
      <c r="E1620" s="17" t="s">
        <v>4852</v>
      </c>
      <c r="F1620" s="17" t="s">
        <v>4853</v>
      </c>
      <c r="G1620" s="17">
        <v>22.608944000000001</v>
      </c>
      <c r="H1620" s="17">
        <v>87.245424</v>
      </c>
      <c r="I1620" s="17"/>
      <c r="J1620" s="17"/>
      <c r="K1620" s="17"/>
      <c r="L1620" s="17"/>
      <c r="M1620" s="42" t="s">
        <v>4347</v>
      </c>
      <c r="N1620" s="17"/>
      <c r="O1620" s="17"/>
      <c r="P1620" s="17"/>
      <c r="Q1620" s="17"/>
      <c r="R1620" s="17"/>
      <c r="S1620" s="17"/>
      <c r="T1620" s="17"/>
      <c r="U1620" s="17"/>
      <c r="V1620" s="17"/>
      <c r="W1620" s="17"/>
      <c r="X1620" s="17"/>
      <c r="Y1620" s="17"/>
      <c r="Z1620" s="17"/>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row>
    <row r="1621">
      <c r="A1621" s="17">
        <v>1619</v>
      </c>
      <c r="B1621" s="17" t="s">
        <v>52</v>
      </c>
      <c r="C1621" s="42" t="s">
        <v>4854</v>
      </c>
      <c r="D1621" s="35" t="s">
        <v>3886</v>
      </c>
      <c r="E1621" s="17" t="s">
        <v>4855</v>
      </c>
      <c r="F1621" s="17" t="s">
        <v>4856</v>
      </c>
      <c r="G1621" s="17">
        <v>22.56758</v>
      </c>
      <c r="H1621" s="17">
        <v>87.391886</v>
      </c>
      <c r="I1621" s="17"/>
      <c r="J1621" s="17"/>
      <c r="K1621" s="17"/>
      <c r="L1621" s="17"/>
      <c r="M1621" s="42" t="s">
        <v>4033</v>
      </c>
      <c r="N1621" s="17"/>
      <c r="O1621" s="17"/>
      <c r="P1621" s="17"/>
      <c r="Q1621" s="17"/>
      <c r="R1621" s="17"/>
      <c r="S1621" s="17"/>
      <c r="T1621" s="17"/>
      <c r="U1621" s="17"/>
      <c r="V1621" s="17"/>
      <c r="W1621" s="17"/>
      <c r="X1621" s="17"/>
      <c r="Y1621" s="17"/>
      <c r="Z1621" s="17"/>
      <c r="AA1621" s="17"/>
      <c r="AB1621" s="17"/>
      <c r="AC1621" s="17"/>
      <c r="AD1621" s="17"/>
      <c r="AE1621" s="17"/>
      <c r="AF1621" s="17"/>
      <c r="AG1621" s="17"/>
      <c r="AH1621" s="17"/>
      <c r="AI1621" s="17"/>
      <c r="AJ1621" s="17"/>
      <c r="AK1621" s="17"/>
      <c r="AL1621" s="17"/>
      <c r="AM1621" s="17"/>
      <c r="AN1621" s="17"/>
      <c r="AO1621" s="17"/>
      <c r="AP1621" s="17"/>
      <c r="AQ1621" s="17"/>
      <c r="AR1621" s="17"/>
      <c r="AS1621" s="17"/>
      <c r="AT1621" s="17"/>
      <c r="AU1621" s="17"/>
    </row>
    <row r="1622">
      <c r="A1622" s="17">
        <v>1620</v>
      </c>
      <c r="B1622" s="17" t="s">
        <v>52</v>
      </c>
      <c r="C1622" s="42" t="s">
        <v>4857</v>
      </c>
      <c r="D1622" s="35" t="s">
        <v>3886</v>
      </c>
      <c r="E1622" s="17" t="s">
        <v>4858</v>
      </c>
      <c r="F1622" s="17" t="s">
        <v>4859</v>
      </c>
      <c r="G1622" s="17">
        <v>22.427638999999999</v>
      </c>
      <c r="H1622" s="17">
        <v>87.224722999999997</v>
      </c>
      <c r="I1622" s="17"/>
      <c r="J1622" s="17"/>
      <c r="K1622" s="17"/>
      <c r="L1622" s="17"/>
      <c r="M1622" s="42" t="s">
        <v>3889</v>
      </c>
      <c r="N1622" s="17"/>
      <c r="O1622" s="17"/>
      <c r="P1622" s="17"/>
      <c r="Q1622" s="17"/>
      <c r="R1622" s="17"/>
      <c r="S1622" s="17"/>
      <c r="T1622" s="17"/>
      <c r="U1622" s="17"/>
      <c r="V1622" s="17"/>
      <c r="W1622" s="17"/>
      <c r="X1622" s="17"/>
      <c r="Y1622" s="17"/>
      <c r="Z1622" s="17"/>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row>
    <row r="1623">
      <c r="A1623" s="17">
        <v>1621</v>
      </c>
      <c r="B1623" s="17" t="s">
        <v>52</v>
      </c>
      <c r="C1623" s="42" t="s">
        <v>4860</v>
      </c>
      <c r="D1623" s="35" t="s">
        <v>3886</v>
      </c>
      <c r="E1623" s="17" t="s">
        <v>3956</v>
      </c>
      <c r="F1623" s="17" t="s">
        <v>4861</v>
      </c>
      <c r="G1623" s="17">
        <v>22.858505999999998</v>
      </c>
      <c r="H1623" s="17">
        <v>87.222370999999995</v>
      </c>
      <c r="I1623" s="17"/>
      <c r="J1623" s="17"/>
      <c r="K1623" s="17"/>
      <c r="L1623" s="17"/>
      <c r="M1623" s="42" t="s">
        <v>4210</v>
      </c>
      <c r="N1623" s="17">
        <v>7980098242</v>
      </c>
      <c r="O1623" s="17"/>
      <c r="P1623" s="17"/>
      <c r="Q1623" s="17"/>
      <c r="R1623" s="17"/>
      <c r="S1623" s="17"/>
      <c r="T1623" s="17"/>
      <c r="U1623" s="17"/>
      <c r="V1623" s="17"/>
      <c r="W1623" s="17"/>
      <c r="X1623" s="17"/>
      <c r="Y1623" s="17"/>
      <c r="Z1623" s="17"/>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row>
    <row r="1624">
      <c r="A1624" s="17">
        <v>1622</v>
      </c>
      <c r="B1624" s="17" t="s">
        <v>52</v>
      </c>
      <c r="C1624" s="42" t="s">
        <v>4862</v>
      </c>
      <c r="D1624" s="35" t="s">
        <v>3886</v>
      </c>
      <c r="E1624" s="17" t="s">
        <v>4863</v>
      </c>
      <c r="F1624" s="17" t="s">
        <v>4864</v>
      </c>
      <c r="G1624" s="17">
        <v>22.526413999999999</v>
      </c>
      <c r="H1624" s="17">
        <v>87.501148000000001</v>
      </c>
      <c r="I1624" s="17"/>
      <c r="J1624" s="17"/>
      <c r="K1624" s="17"/>
      <c r="L1624" s="17"/>
      <c r="M1624" s="42" t="s">
        <v>4016</v>
      </c>
      <c r="N1624" s="17"/>
      <c r="O1624" s="17"/>
      <c r="P1624" s="17"/>
      <c r="Q1624" s="17"/>
      <c r="R1624" s="17"/>
      <c r="S1624" s="17"/>
      <c r="T1624" s="17"/>
      <c r="U1624" s="17"/>
      <c r="V1624" s="17"/>
      <c r="W1624" s="17"/>
      <c r="X1624" s="17"/>
      <c r="Y1624" s="17"/>
      <c r="Z1624" s="17"/>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row>
    <row r="1625">
      <c r="A1625" s="17">
        <v>1623</v>
      </c>
      <c r="B1625" s="17" t="s">
        <v>52</v>
      </c>
      <c r="C1625" s="42" t="s">
        <v>4865</v>
      </c>
      <c r="D1625" s="35" t="s">
        <v>3886</v>
      </c>
      <c r="E1625" s="17" t="s">
        <v>4866</v>
      </c>
      <c r="F1625" s="17" t="s">
        <v>4867</v>
      </c>
      <c r="G1625" s="17">
        <v>22.560352999999999</v>
      </c>
      <c r="H1625" s="17">
        <v>87.514534999999995</v>
      </c>
      <c r="I1625" s="17"/>
      <c r="J1625" s="17"/>
      <c r="K1625" s="17"/>
      <c r="L1625" s="17"/>
      <c r="M1625" s="42" t="s">
        <v>4016</v>
      </c>
      <c r="N1625" s="17"/>
      <c r="O1625" s="17"/>
      <c r="P1625" s="17"/>
      <c r="Q1625" s="17"/>
      <c r="R1625" s="17"/>
      <c r="S1625" s="17"/>
      <c r="T1625" s="17"/>
      <c r="U1625" s="17"/>
      <c r="V1625" s="17"/>
      <c r="W1625" s="17"/>
      <c r="X1625" s="17"/>
      <c r="Y1625" s="17"/>
      <c r="Z1625" s="17"/>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row>
    <row r="1626">
      <c r="A1626" s="17">
        <v>1624</v>
      </c>
      <c r="B1626" s="17" t="s">
        <v>52</v>
      </c>
      <c r="C1626" s="42" t="s">
        <v>4868</v>
      </c>
      <c r="D1626" s="35" t="s">
        <v>3886</v>
      </c>
      <c r="E1626" s="17" t="s">
        <v>4869</v>
      </c>
      <c r="F1626" s="17" t="s">
        <v>4870</v>
      </c>
      <c r="G1626" s="17">
        <v>22.506765000000001</v>
      </c>
      <c r="H1626" s="17">
        <v>87.297910000000002</v>
      </c>
      <c r="I1626" s="17"/>
      <c r="J1626" s="17"/>
      <c r="K1626" s="17"/>
      <c r="L1626" s="17"/>
      <c r="M1626" s="42" t="s">
        <v>4033</v>
      </c>
      <c r="N1626" s="17"/>
      <c r="O1626" s="17"/>
      <c r="P1626" s="17"/>
      <c r="Q1626" s="17"/>
      <c r="R1626" s="17"/>
      <c r="S1626" s="17"/>
      <c r="T1626" s="17"/>
      <c r="U1626" s="17"/>
      <c r="V1626" s="17"/>
      <c r="W1626" s="17"/>
      <c r="X1626" s="17"/>
      <c r="Y1626" s="17"/>
      <c r="Z1626" s="17"/>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row>
    <row r="1627">
      <c r="A1627" s="17">
        <v>1625</v>
      </c>
      <c r="B1627" s="17" t="s">
        <v>52</v>
      </c>
      <c r="C1627" s="42" t="s">
        <v>4871</v>
      </c>
      <c r="D1627" s="35" t="s">
        <v>3886</v>
      </c>
      <c r="E1627" s="17" t="s">
        <v>4485</v>
      </c>
      <c r="F1627" s="17" t="s">
        <v>4872</v>
      </c>
      <c r="G1627" s="17">
        <v>22.552581</v>
      </c>
      <c r="H1627" s="17">
        <v>87.182573000000005</v>
      </c>
      <c r="I1627" s="17"/>
      <c r="J1627" s="17"/>
      <c r="K1627" s="17"/>
      <c r="L1627" s="17"/>
      <c r="M1627" s="42" t="s">
        <v>4347</v>
      </c>
      <c r="N1627" s="17"/>
      <c r="O1627" s="17"/>
      <c r="P1627" s="17"/>
      <c r="Q1627" s="17"/>
      <c r="R1627" s="17"/>
      <c r="S1627" s="17"/>
      <c r="T1627" s="17"/>
      <c r="U1627" s="17"/>
      <c r="V1627" s="17"/>
      <c r="W1627" s="17"/>
      <c r="X1627" s="17"/>
      <c r="Y1627" s="17"/>
      <c r="Z1627" s="17"/>
      <c r="AA1627" s="17"/>
      <c r="AB1627" s="17"/>
      <c r="AC1627" s="17"/>
      <c r="AD1627" s="17"/>
      <c r="AE1627" s="17"/>
      <c r="AF1627" s="17"/>
      <c r="AG1627" s="17"/>
      <c r="AH1627" s="17"/>
      <c r="AI1627" s="17"/>
      <c r="AJ1627" s="17"/>
      <c r="AK1627" s="17"/>
      <c r="AL1627" s="17"/>
      <c r="AM1627" s="17"/>
      <c r="AN1627" s="17"/>
      <c r="AO1627" s="17"/>
      <c r="AP1627" s="17"/>
      <c r="AQ1627" s="17"/>
      <c r="AR1627" s="17"/>
      <c r="AS1627" s="17"/>
      <c r="AT1627" s="17"/>
      <c r="AU1627" s="17"/>
    </row>
    <row r="1628">
      <c r="A1628" s="17">
        <v>1626</v>
      </c>
      <c r="B1628" s="17" t="s">
        <v>52</v>
      </c>
      <c r="C1628" s="42" t="s">
        <v>4873</v>
      </c>
      <c r="D1628" s="35" t="s">
        <v>3886</v>
      </c>
      <c r="E1628" s="17" t="s">
        <v>4874</v>
      </c>
      <c r="F1628" s="17" t="s">
        <v>4875</v>
      </c>
      <c r="G1628" s="17">
        <v>22.619935999999999</v>
      </c>
      <c r="H1628" s="17">
        <v>87.437308999999999</v>
      </c>
      <c r="I1628" s="17"/>
      <c r="J1628" s="17"/>
      <c r="K1628" s="17"/>
      <c r="L1628" s="17"/>
      <c r="M1628" s="42" t="s">
        <v>4016</v>
      </c>
      <c r="N1628" s="17"/>
      <c r="O1628" s="17"/>
      <c r="P1628" s="17"/>
      <c r="Q1628" s="17"/>
      <c r="R1628" s="17"/>
      <c r="S1628" s="17"/>
      <c r="T1628" s="17"/>
      <c r="U1628" s="17"/>
      <c r="V1628" s="17"/>
      <c r="W1628" s="17"/>
      <c r="X1628" s="17"/>
      <c r="Y1628" s="17"/>
      <c r="Z1628" s="17"/>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row>
    <row r="1629">
      <c r="A1629" s="17">
        <v>1627</v>
      </c>
      <c r="B1629" s="17" t="s">
        <v>52</v>
      </c>
      <c r="C1629" s="42" t="s">
        <v>4876</v>
      </c>
      <c r="D1629" s="35" t="s">
        <v>3886</v>
      </c>
      <c r="E1629" s="17" t="s">
        <v>4877</v>
      </c>
      <c r="F1629" s="17" t="s">
        <v>4878</v>
      </c>
      <c r="G1629" s="17">
        <v>22.495189</v>
      </c>
      <c r="H1629" s="17">
        <v>87.203954999999993</v>
      </c>
      <c r="I1629" s="17"/>
      <c r="J1629" s="17"/>
      <c r="K1629" s="17"/>
      <c r="L1629" s="17"/>
      <c r="M1629" s="42" t="s">
        <v>4033</v>
      </c>
      <c r="N1629" s="17"/>
      <c r="O1629" s="17"/>
      <c r="P1629" s="17"/>
      <c r="Q1629" s="17"/>
      <c r="R1629" s="17"/>
      <c r="S1629" s="17"/>
      <c r="T1629" s="17"/>
      <c r="U1629" s="17"/>
      <c r="V1629" s="17"/>
      <c r="W1629" s="17"/>
      <c r="X1629" s="17"/>
      <c r="Y1629" s="17"/>
      <c r="Z1629" s="17"/>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row>
    <row r="1630">
      <c r="A1630" s="17">
        <v>1628</v>
      </c>
      <c r="B1630" s="17" t="s">
        <v>52</v>
      </c>
      <c r="C1630" s="42" t="s">
        <v>4879</v>
      </c>
      <c r="D1630" s="35" t="s">
        <v>3886</v>
      </c>
      <c r="E1630" s="17" t="s">
        <v>4880</v>
      </c>
      <c r="F1630" s="17" t="s">
        <v>4881</v>
      </c>
      <c r="G1630" s="17">
        <v>22.743722999999999</v>
      </c>
      <c r="H1630" s="17">
        <v>87.274518999999998</v>
      </c>
      <c r="I1630" s="17"/>
      <c r="J1630" s="17"/>
      <c r="K1630" s="17"/>
      <c r="L1630" s="17"/>
      <c r="M1630" s="42" t="s">
        <v>4045</v>
      </c>
      <c r="N1630" s="17">
        <v>6290709471</v>
      </c>
      <c r="O1630" s="17"/>
      <c r="P1630" s="17"/>
      <c r="Q1630" s="17"/>
      <c r="R1630" s="17"/>
      <c r="S1630" s="17"/>
      <c r="T1630" s="17"/>
      <c r="U1630" s="17"/>
      <c r="V1630" s="17"/>
      <c r="W1630" s="17"/>
      <c r="X1630" s="17"/>
      <c r="Y1630" s="17"/>
      <c r="Z1630" s="17"/>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row>
    <row r="1631">
      <c r="A1631" s="17">
        <v>1629</v>
      </c>
      <c r="B1631" s="17" t="s">
        <v>52</v>
      </c>
      <c r="C1631" s="42" t="s">
        <v>4882</v>
      </c>
      <c r="D1631" s="35" t="s">
        <v>3886</v>
      </c>
      <c r="E1631" s="17" t="s">
        <v>4883</v>
      </c>
      <c r="F1631" s="17" t="s">
        <v>4884</v>
      </c>
      <c r="G1631" s="17">
        <v>22.509381000000001</v>
      </c>
      <c r="H1631" s="17">
        <v>87.435147999999998</v>
      </c>
      <c r="I1631" s="17"/>
      <c r="J1631" s="17"/>
      <c r="K1631" s="17"/>
      <c r="L1631" s="17"/>
      <c r="M1631" s="42" t="s">
        <v>4016</v>
      </c>
      <c r="N1631" s="17"/>
      <c r="O1631" s="17"/>
      <c r="P1631" s="17"/>
      <c r="Q1631" s="17"/>
      <c r="R1631" s="17"/>
      <c r="S1631" s="17"/>
      <c r="T1631" s="17"/>
      <c r="U1631" s="17"/>
      <c r="V1631" s="17"/>
      <c r="W1631" s="17"/>
      <c r="X1631" s="17"/>
      <c r="Y1631" s="17"/>
      <c r="Z1631" s="17"/>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row>
    <row r="1632">
      <c r="A1632" s="17">
        <v>1630</v>
      </c>
      <c r="B1632" s="17" t="s">
        <v>52</v>
      </c>
      <c r="C1632" s="42" t="s">
        <v>4885</v>
      </c>
      <c r="D1632" s="35" t="s">
        <v>3886</v>
      </c>
      <c r="E1632" s="17" t="s">
        <v>4886</v>
      </c>
      <c r="F1632" s="17" t="s">
        <v>4887</v>
      </c>
      <c r="G1632" s="17">
        <v>22.812487999999998</v>
      </c>
      <c r="H1632" s="17">
        <v>87.100431999999998</v>
      </c>
      <c r="I1632" s="17"/>
      <c r="J1632" s="17"/>
      <c r="K1632" s="17"/>
      <c r="L1632" s="17"/>
      <c r="M1632" s="42" t="s">
        <v>4210</v>
      </c>
      <c r="N1632" s="17">
        <v>7980098242</v>
      </c>
      <c r="O1632" s="17">
        <v>9</v>
      </c>
      <c r="P1632" s="17">
        <v>65</v>
      </c>
      <c r="Q1632" s="17" t="s">
        <v>73</v>
      </c>
      <c r="R1632" s="17" t="s">
        <v>74</v>
      </c>
      <c r="S1632" s="17" t="s">
        <v>75</v>
      </c>
      <c r="T1632" s="17"/>
      <c r="U1632" s="17" t="s">
        <v>105</v>
      </c>
      <c r="V1632" s="17" t="s">
        <v>77</v>
      </c>
      <c r="W1632" s="17" t="s">
        <v>123</v>
      </c>
      <c r="X1632" s="17">
        <v>3</v>
      </c>
      <c r="Y1632" s="17">
        <v>0</v>
      </c>
      <c r="Z1632" s="17" t="s">
        <v>424</v>
      </c>
      <c r="AA1632" s="17" t="s">
        <v>73</v>
      </c>
      <c r="AB1632" s="17" t="s">
        <v>79</v>
      </c>
      <c r="AC1632" s="17">
        <v>2</v>
      </c>
      <c r="AD1632" s="17">
        <v>0</v>
      </c>
      <c r="AE1632" s="17">
        <v>1</v>
      </c>
      <c r="AF1632" s="17"/>
      <c r="AG1632" s="17" t="s">
        <v>124</v>
      </c>
      <c r="AH1632" s="17" t="s">
        <v>82</v>
      </c>
      <c r="AI1632" s="17" t="s">
        <v>83</v>
      </c>
      <c r="AJ1632" s="17">
        <v>2111</v>
      </c>
      <c r="AK1632" s="17" t="s">
        <v>75</v>
      </c>
      <c r="AL1632" s="17" t="s">
        <v>75</v>
      </c>
      <c r="AM1632" s="17" t="s">
        <v>75</v>
      </c>
      <c r="AN1632" s="17" t="s">
        <v>125</v>
      </c>
      <c r="AO1632" s="17" t="s">
        <v>75</v>
      </c>
      <c r="AP1632" s="17"/>
      <c r="AQ1632" s="17"/>
      <c r="AR1632" s="17"/>
      <c r="AS1632" s="17"/>
      <c r="AT1632" s="17" t="s">
        <v>4888</v>
      </c>
      <c r="AU1632" s="17" t="s">
        <v>127</v>
      </c>
    </row>
    <row r="1633">
      <c r="A1633" s="17">
        <v>1631</v>
      </c>
      <c r="B1633" s="17" t="s">
        <v>52</v>
      </c>
      <c r="C1633" s="42" t="s">
        <v>4889</v>
      </c>
      <c r="D1633" s="35" t="s">
        <v>3886</v>
      </c>
      <c r="E1633" s="17" t="s">
        <v>4890</v>
      </c>
      <c r="F1633" s="17" t="s">
        <v>4891</v>
      </c>
      <c r="G1633" s="17">
        <v>22.870940999999998</v>
      </c>
      <c r="H1633" s="17">
        <v>87.278381999999993</v>
      </c>
      <c r="I1633" s="17"/>
      <c r="J1633" s="17"/>
      <c r="K1633" s="17"/>
      <c r="L1633" s="17"/>
      <c r="M1633" s="42" t="s">
        <v>3967</v>
      </c>
      <c r="N1633" s="17"/>
      <c r="O1633" s="17"/>
      <c r="P1633" s="17"/>
      <c r="Q1633" s="17"/>
      <c r="R1633" s="17"/>
      <c r="S1633" s="17"/>
      <c r="T1633" s="17"/>
      <c r="U1633" s="17"/>
      <c r="V1633" s="17"/>
      <c r="W1633" s="17"/>
      <c r="X1633" s="17"/>
      <c r="Y1633" s="17"/>
      <c r="Z1633" s="17"/>
      <c r="AA1633" s="17"/>
      <c r="AB1633" s="17"/>
      <c r="AC1633" s="17"/>
      <c r="AD1633" s="17"/>
      <c r="AE1633" s="17"/>
      <c r="AF1633" s="17"/>
      <c r="AG1633" s="17"/>
      <c r="AH1633" s="17"/>
      <c r="AI1633" s="17"/>
      <c r="AJ1633" s="17"/>
      <c r="AK1633" s="17"/>
      <c r="AL1633" s="17"/>
      <c r="AM1633" s="17"/>
      <c r="AN1633" s="17"/>
      <c r="AO1633" s="17"/>
      <c r="AP1633" s="17"/>
      <c r="AQ1633" s="17"/>
      <c r="AR1633" s="17"/>
      <c r="AS1633" s="17"/>
      <c r="AT1633" s="17"/>
      <c r="AU1633" s="17"/>
    </row>
    <row r="1634">
      <c r="A1634" s="17">
        <v>1632</v>
      </c>
      <c r="B1634" s="17" t="s">
        <v>52</v>
      </c>
      <c r="C1634" s="42" t="s">
        <v>4892</v>
      </c>
      <c r="D1634" s="35" t="s">
        <v>3886</v>
      </c>
      <c r="E1634" s="17" t="s">
        <v>3560</v>
      </c>
      <c r="F1634" s="17" t="s">
        <v>4893</v>
      </c>
      <c r="G1634" s="17">
        <v>22.820028000000001</v>
      </c>
      <c r="H1634" s="17">
        <v>87.489305999999999</v>
      </c>
      <c r="I1634" s="17"/>
      <c r="J1634" s="17"/>
      <c r="K1634" s="17"/>
      <c r="L1634" s="17"/>
      <c r="M1634" s="42" t="s">
        <v>4011</v>
      </c>
      <c r="N1634" s="17">
        <v>8240995350</v>
      </c>
      <c r="O1634" s="17">
        <v>17</v>
      </c>
      <c r="P1634" s="17">
        <v>120</v>
      </c>
      <c r="Q1634" s="17" t="s">
        <v>73</v>
      </c>
      <c r="R1634" s="17" t="s">
        <v>74</v>
      </c>
      <c r="S1634" s="17" t="s">
        <v>75</v>
      </c>
      <c r="T1634" s="17"/>
      <c r="U1634" s="17" t="s">
        <v>76</v>
      </c>
      <c r="V1634" s="17" t="s">
        <v>77</v>
      </c>
      <c r="W1634" s="17" t="s">
        <v>78</v>
      </c>
      <c r="X1634" s="17">
        <v>5</v>
      </c>
      <c r="Y1634" s="17">
        <v>0</v>
      </c>
      <c r="Z1634" s="17"/>
      <c r="AA1634" s="17" t="s">
        <v>73</v>
      </c>
      <c r="AB1634" s="17" t="s">
        <v>79</v>
      </c>
      <c r="AC1634" s="17">
        <v>3</v>
      </c>
      <c r="AD1634" s="17">
        <v>0</v>
      </c>
      <c r="AE1634" s="17">
        <v>0</v>
      </c>
      <c r="AF1634" s="17"/>
      <c r="AG1634" s="17" t="s">
        <v>81</v>
      </c>
      <c r="AH1634" s="17" t="s">
        <v>82</v>
      </c>
      <c r="AI1634" s="17" t="s">
        <v>107</v>
      </c>
      <c r="AJ1634" s="17"/>
      <c r="AK1634" s="17" t="s">
        <v>75</v>
      </c>
      <c r="AL1634" s="17" t="s">
        <v>75</v>
      </c>
      <c r="AM1634" s="17" t="s">
        <v>75</v>
      </c>
      <c r="AN1634" s="17" t="s">
        <v>125</v>
      </c>
      <c r="AO1634" s="17" t="s">
        <v>75</v>
      </c>
      <c r="AP1634" s="17"/>
      <c r="AQ1634" s="17"/>
      <c r="AR1634" s="17"/>
      <c r="AS1634" s="17"/>
      <c r="AT1634" s="17"/>
      <c r="AU1634" s="17" t="s">
        <v>111</v>
      </c>
    </row>
    <row r="1635">
      <c r="A1635" s="17">
        <v>1633</v>
      </c>
      <c r="B1635" s="17" t="s">
        <v>52</v>
      </c>
      <c r="C1635" s="42" t="s">
        <v>4894</v>
      </c>
      <c r="D1635" s="35" t="s">
        <v>3886</v>
      </c>
      <c r="E1635" s="17" t="s">
        <v>3956</v>
      </c>
      <c r="F1635" s="17" t="s">
        <v>4895</v>
      </c>
      <c r="G1635" s="17">
        <v>22.592911999999998</v>
      </c>
      <c r="H1635" s="17">
        <v>87.751552000000004</v>
      </c>
      <c r="I1635" s="17"/>
      <c r="J1635" s="17"/>
      <c r="K1635" s="17"/>
      <c r="L1635" s="17"/>
      <c r="M1635" s="42" t="s">
        <v>4122</v>
      </c>
      <c r="N1635" s="17">
        <v>7003921625</v>
      </c>
      <c r="O1635" s="17"/>
      <c r="P1635" s="17"/>
      <c r="Q1635" s="17"/>
      <c r="R1635" s="17"/>
      <c r="S1635" s="17"/>
      <c r="T1635" s="17"/>
      <c r="U1635" s="17"/>
      <c r="V1635" s="17"/>
      <c r="W1635" s="17"/>
      <c r="X1635" s="17"/>
      <c r="Y1635" s="17"/>
      <c r="Z1635" s="17"/>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row>
    <row r="1636">
      <c r="A1636" s="17">
        <v>1634</v>
      </c>
      <c r="B1636" s="17" t="s">
        <v>52</v>
      </c>
      <c r="C1636" s="42" t="s">
        <v>4896</v>
      </c>
      <c r="D1636" s="35" t="s">
        <v>3886</v>
      </c>
      <c r="E1636" s="17" t="s">
        <v>4897</v>
      </c>
      <c r="F1636" s="17" t="s">
        <v>4898</v>
      </c>
      <c r="G1636" s="17">
        <v>22.892399000000001</v>
      </c>
      <c r="H1636" s="17">
        <v>87.513891999999998</v>
      </c>
      <c r="I1636" s="17"/>
      <c r="J1636" s="17"/>
      <c r="K1636" s="17"/>
      <c r="L1636" s="17"/>
      <c r="M1636" s="42" t="s">
        <v>4011</v>
      </c>
      <c r="N1636" s="17">
        <v>8240995350</v>
      </c>
      <c r="O1636" s="17">
        <v>19</v>
      </c>
      <c r="P1636" s="17">
        <v>110</v>
      </c>
      <c r="Q1636" s="17" t="s">
        <v>105</v>
      </c>
      <c r="R1636" s="17" t="s">
        <v>238</v>
      </c>
      <c r="S1636" s="17" t="s">
        <v>75</v>
      </c>
      <c r="T1636" s="17"/>
      <c r="U1636" s="17" t="s">
        <v>755</v>
      </c>
      <c r="V1636" s="17" t="s">
        <v>504</v>
      </c>
      <c r="W1636" s="17" t="s">
        <v>252</v>
      </c>
      <c r="X1636" s="17">
        <v>2</v>
      </c>
      <c r="Y1636" s="17">
        <v>0</v>
      </c>
      <c r="Z1636" s="17"/>
      <c r="AA1636" s="17" t="s">
        <v>105</v>
      </c>
      <c r="AB1636" s="17" t="s">
        <v>239</v>
      </c>
      <c r="AC1636" s="17">
        <v>2</v>
      </c>
      <c r="AD1636" s="17">
        <v>0</v>
      </c>
      <c r="AE1636" s="17">
        <v>0</v>
      </c>
      <c r="AF1636" s="17"/>
      <c r="AG1636" s="17" t="s">
        <v>124</v>
      </c>
      <c r="AH1636" s="17" t="s">
        <v>82</v>
      </c>
      <c r="AI1636" s="17" t="s">
        <v>83</v>
      </c>
      <c r="AJ1636" s="17">
        <v>2111</v>
      </c>
      <c r="AK1636" s="17" t="s">
        <v>75</v>
      </c>
      <c r="AL1636" s="17" t="s">
        <v>75</v>
      </c>
      <c r="AM1636" s="17" t="s">
        <v>75</v>
      </c>
      <c r="AN1636" s="17" t="s">
        <v>125</v>
      </c>
      <c r="AO1636" s="17" t="s">
        <v>75</v>
      </c>
      <c r="AP1636" s="17"/>
      <c r="AQ1636" s="17"/>
      <c r="AR1636" s="17"/>
      <c r="AS1636" s="17"/>
      <c r="AT1636" s="17" t="s">
        <v>546</v>
      </c>
      <c r="AU1636" s="17" t="s">
        <v>111</v>
      </c>
    </row>
    <row r="1637">
      <c r="A1637" s="17">
        <v>1635</v>
      </c>
      <c r="B1637" s="17" t="s">
        <v>52</v>
      </c>
      <c r="C1637" s="42" t="s">
        <v>4899</v>
      </c>
      <c r="D1637" s="35" t="s">
        <v>3886</v>
      </c>
      <c r="E1637" s="17" t="s">
        <v>3956</v>
      </c>
      <c r="F1637" s="17" t="s">
        <v>4900</v>
      </c>
      <c r="G1637" s="17">
        <v>22.423203000000001</v>
      </c>
      <c r="H1637" s="17">
        <v>87.318759</v>
      </c>
      <c r="I1637" s="17"/>
      <c r="J1637" s="17"/>
      <c r="K1637" s="17"/>
      <c r="L1637" s="17"/>
      <c r="M1637" s="42" t="s">
        <v>3893</v>
      </c>
      <c r="N1637" s="17"/>
      <c r="O1637" s="17"/>
      <c r="P1637" s="17"/>
      <c r="Q1637" s="17"/>
      <c r="R1637" s="17"/>
      <c r="S1637" s="17"/>
      <c r="T1637" s="17"/>
      <c r="U1637" s="17"/>
      <c r="V1637" s="17"/>
      <c r="W1637" s="17"/>
      <c r="X1637" s="17"/>
      <c r="Y1637" s="17"/>
      <c r="Z1637" s="17"/>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row>
    <row r="1638">
      <c r="A1638" s="17">
        <v>1636</v>
      </c>
      <c r="B1638" s="17" t="s">
        <v>52</v>
      </c>
      <c r="C1638" s="42" t="s">
        <v>4901</v>
      </c>
      <c r="D1638" s="35" t="s">
        <v>3886</v>
      </c>
      <c r="E1638" s="17" t="s">
        <v>3956</v>
      </c>
      <c r="F1638" s="17" t="s">
        <v>4902</v>
      </c>
      <c r="G1638" s="17">
        <v>22.431566</v>
      </c>
      <c r="H1638" s="17">
        <v>87.303871000000001</v>
      </c>
      <c r="I1638" s="17"/>
      <c r="J1638" s="17"/>
      <c r="K1638" s="17"/>
      <c r="L1638" s="17"/>
      <c r="M1638" s="42" t="s">
        <v>3889</v>
      </c>
      <c r="N1638" s="17"/>
      <c r="O1638" s="17"/>
      <c r="P1638" s="17"/>
      <c r="Q1638" s="17"/>
      <c r="R1638" s="17"/>
      <c r="S1638" s="17"/>
      <c r="T1638" s="17"/>
      <c r="U1638" s="17"/>
      <c r="V1638" s="17"/>
      <c r="W1638" s="17"/>
      <c r="X1638" s="17"/>
      <c r="Y1638" s="17"/>
      <c r="Z1638" s="17"/>
      <c r="AA1638" s="17"/>
      <c r="AB1638" s="17"/>
      <c r="AC1638" s="17"/>
      <c r="AD1638" s="17"/>
      <c r="AE1638" s="17"/>
      <c r="AF1638" s="17"/>
      <c r="AG1638" s="17"/>
      <c r="AH1638" s="17"/>
      <c r="AI1638" s="17"/>
      <c r="AJ1638" s="17"/>
      <c r="AK1638" s="17"/>
      <c r="AL1638" s="17"/>
      <c r="AM1638" s="17"/>
      <c r="AN1638" s="17"/>
      <c r="AO1638" s="17"/>
      <c r="AP1638" s="17"/>
      <c r="AQ1638" s="17"/>
      <c r="AR1638" s="17"/>
      <c r="AS1638" s="17"/>
      <c r="AT1638" s="17"/>
      <c r="AU1638" s="17"/>
    </row>
    <row r="1639">
      <c r="A1639" s="17">
        <v>1637</v>
      </c>
      <c r="B1639" s="17" t="s">
        <v>52</v>
      </c>
      <c r="C1639" s="42" t="s">
        <v>4903</v>
      </c>
      <c r="D1639" s="35" t="s">
        <v>3886</v>
      </c>
      <c r="E1639" s="17" t="s">
        <v>4904</v>
      </c>
      <c r="F1639" s="17" t="s">
        <v>4905</v>
      </c>
      <c r="G1639" s="17">
        <v>22.431961000000001</v>
      </c>
      <c r="H1639" s="17">
        <v>87.316277999999997</v>
      </c>
      <c r="I1639" s="17"/>
      <c r="J1639" s="17"/>
      <c r="K1639" s="17"/>
      <c r="L1639" s="17"/>
      <c r="M1639" s="42" t="s">
        <v>3889</v>
      </c>
      <c r="N1639" s="17"/>
      <c r="O1639" s="17"/>
      <c r="P1639" s="17"/>
      <c r="Q1639" s="17"/>
      <c r="R1639" s="17"/>
      <c r="S1639" s="17"/>
      <c r="T1639" s="17"/>
      <c r="U1639" s="17"/>
      <c r="V1639" s="17"/>
      <c r="W1639" s="17"/>
      <c r="X1639" s="17"/>
      <c r="Y1639" s="17"/>
      <c r="Z1639" s="17"/>
      <c r="AA1639" s="17"/>
      <c r="AB1639" s="17"/>
      <c r="AC1639" s="17"/>
      <c r="AD1639" s="17"/>
      <c r="AE1639" s="17"/>
      <c r="AF1639" s="17"/>
      <c r="AG1639" s="17"/>
      <c r="AH1639" s="17"/>
      <c r="AI1639" s="17"/>
      <c r="AJ1639" s="17"/>
      <c r="AK1639" s="17"/>
      <c r="AL1639" s="17"/>
      <c r="AM1639" s="17"/>
      <c r="AN1639" s="17"/>
      <c r="AO1639" s="17"/>
      <c r="AP1639" s="17"/>
      <c r="AQ1639" s="17"/>
      <c r="AR1639" s="17"/>
      <c r="AS1639" s="17"/>
      <c r="AT1639" s="17"/>
      <c r="AU1639" s="17"/>
    </row>
    <row r="1640">
      <c r="A1640" s="17">
        <v>1638</v>
      </c>
      <c r="B1640" s="17" t="s">
        <v>52</v>
      </c>
      <c r="C1640" s="42" t="s">
        <v>4906</v>
      </c>
      <c r="D1640" s="35" t="s">
        <v>3886</v>
      </c>
      <c r="E1640" s="17" t="s">
        <v>4907</v>
      </c>
      <c r="F1640" s="17" t="s">
        <v>4908</v>
      </c>
      <c r="G1640" s="17">
        <v>22.407720000000001</v>
      </c>
      <c r="H1640" s="17">
        <v>87.314466999999993</v>
      </c>
      <c r="I1640" s="17"/>
      <c r="J1640" s="17"/>
      <c r="K1640" s="17"/>
      <c r="L1640" s="17"/>
      <c r="M1640" s="42" t="s">
        <v>3889</v>
      </c>
      <c r="N1640" s="17"/>
      <c r="O1640" s="17"/>
      <c r="P1640" s="17"/>
      <c r="Q1640" s="17"/>
      <c r="R1640" s="17"/>
      <c r="S1640" s="17"/>
      <c r="T1640" s="17"/>
      <c r="U1640" s="17"/>
      <c r="V1640" s="17"/>
      <c r="W1640" s="17"/>
      <c r="X1640" s="17"/>
      <c r="Y1640" s="17"/>
      <c r="Z1640" s="17"/>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row>
    <row r="1641">
      <c r="A1641" s="17">
        <v>1639</v>
      </c>
      <c r="B1641" s="17" t="s">
        <v>52</v>
      </c>
      <c r="C1641" s="42" t="s">
        <v>4909</v>
      </c>
      <c r="D1641" s="35" t="s">
        <v>3886</v>
      </c>
      <c r="E1641" s="17" t="s">
        <v>3956</v>
      </c>
      <c r="F1641" s="17" t="s">
        <v>4910</v>
      </c>
      <c r="G1641" s="17">
        <v>22.662174</v>
      </c>
      <c r="H1641" s="17">
        <v>87.732534000000001</v>
      </c>
      <c r="I1641" s="17"/>
      <c r="J1641" s="17"/>
      <c r="K1641" s="17"/>
      <c r="L1641" s="17"/>
      <c r="M1641" s="42" t="s">
        <v>4122</v>
      </c>
      <c r="N1641" s="17">
        <v>7003921625</v>
      </c>
      <c r="O1641" s="17"/>
      <c r="P1641" s="17"/>
      <c r="Q1641" s="17"/>
      <c r="R1641" s="17"/>
      <c r="S1641" s="17"/>
      <c r="T1641" s="17"/>
      <c r="U1641" s="17"/>
      <c r="V1641" s="17"/>
      <c r="W1641" s="17"/>
      <c r="X1641" s="17"/>
      <c r="Y1641" s="17"/>
      <c r="Z1641" s="17"/>
      <c r="AA1641" s="17"/>
      <c r="AB1641" s="17"/>
      <c r="AC1641" s="17"/>
      <c r="AD1641" s="17"/>
      <c r="AE1641" s="17"/>
      <c r="AF1641" s="17"/>
      <c r="AG1641" s="17"/>
      <c r="AH1641" s="17"/>
      <c r="AI1641" s="17"/>
      <c r="AJ1641" s="17"/>
      <c r="AK1641" s="17"/>
      <c r="AL1641" s="17"/>
      <c r="AM1641" s="17"/>
      <c r="AN1641" s="17"/>
      <c r="AO1641" s="17"/>
      <c r="AP1641" s="17"/>
      <c r="AQ1641" s="17"/>
      <c r="AR1641" s="17"/>
      <c r="AS1641" s="17"/>
      <c r="AT1641" s="17"/>
      <c r="AU1641" s="17"/>
    </row>
    <row r="1642">
      <c r="A1642" s="17">
        <v>1640</v>
      </c>
      <c r="B1642" s="17" t="s">
        <v>52</v>
      </c>
      <c r="C1642" s="42" t="s">
        <v>4911</v>
      </c>
      <c r="D1642" s="35" t="s">
        <v>3886</v>
      </c>
      <c r="E1642" s="17" t="s">
        <v>380</v>
      </c>
      <c r="F1642" s="17" t="s">
        <v>4912</v>
      </c>
      <c r="G1642" s="17">
        <v>22.498086000000001</v>
      </c>
      <c r="H1642" s="17">
        <v>87.731522999999996</v>
      </c>
      <c r="I1642" s="17"/>
      <c r="J1642" s="17"/>
      <c r="K1642" s="17"/>
      <c r="L1642" s="17"/>
      <c r="M1642" s="42" t="s">
        <v>4004</v>
      </c>
      <c r="N1642" s="17">
        <v>9382071290</v>
      </c>
      <c r="O1642" s="17">
        <v>24</v>
      </c>
      <c r="P1642" s="17">
        <v>80</v>
      </c>
      <c r="Q1642" s="17" t="s">
        <v>105</v>
      </c>
      <c r="R1642" s="17" t="s">
        <v>74</v>
      </c>
      <c r="S1642" s="17" t="s">
        <v>137</v>
      </c>
      <c r="T1642" s="17" t="s">
        <v>4913</v>
      </c>
      <c r="U1642" s="17" t="s">
        <v>105</v>
      </c>
      <c r="V1642" s="17" t="s">
        <v>77</v>
      </c>
      <c r="W1642" s="17" t="s">
        <v>252</v>
      </c>
      <c r="X1642" s="17">
        <v>8</v>
      </c>
      <c r="Y1642" s="17">
        <v>0</v>
      </c>
      <c r="Z1642" s="17"/>
      <c r="AA1642" s="17" t="s">
        <v>105</v>
      </c>
      <c r="AB1642" s="17" t="s">
        <v>79</v>
      </c>
      <c r="AC1642" s="17">
        <v>3</v>
      </c>
      <c r="AD1642" s="17">
        <v>0</v>
      </c>
      <c r="AE1642" s="17">
        <v>1</v>
      </c>
      <c r="AF1642" s="17"/>
      <c r="AG1642" s="17" t="s">
        <v>81</v>
      </c>
      <c r="AH1642" s="17" t="s">
        <v>82</v>
      </c>
      <c r="AI1642" s="17" t="s">
        <v>107</v>
      </c>
      <c r="AJ1642" s="17"/>
      <c r="AK1642" s="17" t="s">
        <v>137</v>
      </c>
      <c r="AL1642" s="17" t="s">
        <v>75</v>
      </c>
      <c r="AM1642" s="17" t="s">
        <v>137</v>
      </c>
      <c r="AN1642" s="17" t="s">
        <v>125</v>
      </c>
      <c r="AO1642" s="17" t="s">
        <v>75</v>
      </c>
      <c r="AP1642" s="17" t="s">
        <v>105</v>
      </c>
      <c r="AQ1642" s="17" t="s">
        <v>741</v>
      </c>
      <c r="AR1642" s="17">
        <v>2</v>
      </c>
      <c r="AS1642" s="17">
        <v>0</v>
      </c>
      <c r="AT1642" s="17" t="s">
        <v>1737</v>
      </c>
      <c r="AU1642" s="17" t="s">
        <v>127</v>
      </c>
    </row>
    <row r="1643">
      <c r="A1643" s="17">
        <v>1641</v>
      </c>
      <c r="B1643" s="17" t="s">
        <v>52</v>
      </c>
      <c r="C1643" s="42" t="s">
        <v>4914</v>
      </c>
      <c r="D1643" s="35" t="s">
        <v>3886</v>
      </c>
      <c r="E1643" s="17" t="s">
        <v>4915</v>
      </c>
      <c r="F1643" s="17" t="s">
        <v>4916</v>
      </c>
      <c r="G1643" s="17">
        <v>22.481148999999998</v>
      </c>
      <c r="H1643" s="17">
        <v>87.466010999999995</v>
      </c>
      <c r="I1643" s="17"/>
      <c r="J1643" s="17"/>
      <c r="K1643" s="17"/>
      <c r="L1643" s="17"/>
      <c r="M1643" s="42" t="s">
        <v>4016</v>
      </c>
      <c r="N1643" s="17"/>
      <c r="O1643" s="17"/>
      <c r="P1643" s="17"/>
      <c r="Q1643" s="17"/>
      <c r="R1643" s="17"/>
      <c r="S1643" s="17"/>
      <c r="T1643" s="17"/>
      <c r="U1643" s="17"/>
      <c r="V1643" s="17"/>
      <c r="W1643" s="17"/>
      <c r="X1643" s="17"/>
      <c r="Y1643" s="17"/>
      <c r="Z1643" s="17"/>
      <c r="AA1643" s="17"/>
      <c r="AB1643" s="17"/>
      <c r="AC1643" s="17"/>
      <c r="AD1643" s="17"/>
      <c r="AE1643" s="17"/>
      <c r="AF1643" s="17"/>
      <c r="AG1643" s="17"/>
      <c r="AH1643" s="17"/>
      <c r="AI1643" s="17"/>
      <c r="AJ1643" s="17"/>
      <c r="AK1643" s="17"/>
      <c r="AL1643" s="17"/>
      <c r="AM1643" s="17"/>
      <c r="AN1643" s="17"/>
      <c r="AO1643" s="17"/>
      <c r="AP1643" s="17"/>
      <c r="AQ1643" s="17"/>
      <c r="AR1643" s="17"/>
      <c r="AS1643" s="17"/>
      <c r="AT1643" s="17"/>
      <c r="AU1643" s="17"/>
    </row>
    <row r="1644">
      <c r="A1644" s="17">
        <v>1642</v>
      </c>
      <c r="B1644" s="17" t="s">
        <v>52</v>
      </c>
      <c r="C1644" s="42" t="s">
        <v>4917</v>
      </c>
      <c r="D1644" s="35" t="s">
        <v>3886</v>
      </c>
      <c r="E1644" s="17" t="s">
        <v>4918</v>
      </c>
      <c r="F1644" s="17" t="s">
        <v>4919</v>
      </c>
      <c r="G1644" s="17">
        <v>22.693905000000001</v>
      </c>
      <c r="H1644" s="17">
        <v>87.599851000000001</v>
      </c>
      <c r="I1644" s="17"/>
      <c r="J1644" s="17"/>
      <c r="K1644" s="17"/>
      <c r="L1644" s="17"/>
      <c r="M1644" s="42" t="s">
        <v>3987</v>
      </c>
      <c r="N1644" s="17"/>
      <c r="O1644" s="17"/>
      <c r="P1644" s="17"/>
      <c r="Q1644" s="17"/>
      <c r="R1644" s="17"/>
      <c r="S1644" s="17"/>
      <c r="T1644" s="17"/>
      <c r="U1644" s="17"/>
      <c r="V1644" s="17"/>
      <c r="W1644" s="17"/>
      <c r="X1644" s="17"/>
      <c r="Y1644" s="17"/>
      <c r="Z1644" s="17"/>
      <c r="AA1644" s="17"/>
      <c r="AB1644" s="17"/>
      <c r="AC1644" s="17"/>
      <c r="AD1644" s="17"/>
      <c r="AE1644" s="17"/>
      <c r="AF1644" s="17"/>
      <c r="AG1644" s="17"/>
      <c r="AH1644" s="17"/>
      <c r="AI1644" s="17"/>
      <c r="AJ1644" s="17"/>
      <c r="AK1644" s="17"/>
      <c r="AL1644" s="17"/>
      <c r="AM1644" s="17"/>
      <c r="AN1644" s="17"/>
      <c r="AO1644" s="17"/>
      <c r="AP1644" s="17"/>
      <c r="AQ1644" s="17"/>
      <c r="AR1644" s="17"/>
      <c r="AS1644" s="17"/>
      <c r="AT1644" s="17"/>
      <c r="AU1644" s="17"/>
    </row>
    <row r="1645">
      <c r="A1645" s="17">
        <v>1643</v>
      </c>
      <c r="B1645" s="17" t="s">
        <v>52</v>
      </c>
      <c r="C1645" s="42" t="s">
        <v>4920</v>
      </c>
      <c r="D1645" s="35" t="s">
        <v>3886</v>
      </c>
      <c r="E1645" s="17" t="s">
        <v>4921</v>
      </c>
      <c r="F1645" s="17" t="s">
        <v>4922</v>
      </c>
      <c r="G1645" s="17">
        <v>22.688853999999999</v>
      </c>
      <c r="H1645" s="17">
        <v>87.163831000000002</v>
      </c>
      <c r="I1645" s="17"/>
      <c r="J1645" s="17"/>
      <c r="K1645" s="17"/>
      <c r="L1645" s="17"/>
      <c r="M1645" s="42" t="s">
        <v>4210</v>
      </c>
      <c r="N1645" s="17">
        <v>7980098242</v>
      </c>
      <c r="O1645" s="17">
        <v>10</v>
      </c>
      <c r="P1645" s="17">
        <v>60</v>
      </c>
      <c r="Q1645" s="17" t="s">
        <v>105</v>
      </c>
      <c r="R1645" s="17" t="s">
        <v>154</v>
      </c>
      <c r="S1645" s="17" t="s">
        <v>75</v>
      </c>
      <c r="T1645" s="17"/>
      <c r="U1645" s="17" t="s">
        <v>105</v>
      </c>
      <c r="V1645" s="17" t="s">
        <v>77</v>
      </c>
      <c r="W1645" s="17" t="s">
        <v>914</v>
      </c>
      <c r="X1645" s="17">
        <v>3</v>
      </c>
      <c r="Y1645" s="17">
        <v>2</v>
      </c>
      <c r="Z1645" s="17"/>
      <c r="AA1645" s="17" t="s">
        <v>105</v>
      </c>
      <c r="AB1645" s="17" t="s">
        <v>239</v>
      </c>
      <c r="AC1645" s="17">
        <v>2</v>
      </c>
      <c r="AD1645" s="17">
        <v>0</v>
      </c>
      <c r="AE1645" s="17">
        <v>0</v>
      </c>
      <c r="AF1645" s="17"/>
      <c r="AG1645" s="17" t="s">
        <v>124</v>
      </c>
      <c r="AH1645" s="17" t="s">
        <v>82</v>
      </c>
      <c r="AI1645" s="17" t="s">
        <v>83</v>
      </c>
      <c r="AJ1645" s="17">
        <v>2111</v>
      </c>
      <c r="AK1645" s="17" t="s">
        <v>75</v>
      </c>
      <c r="AL1645" s="17" t="s">
        <v>75</v>
      </c>
      <c r="AM1645" s="17" t="s">
        <v>75</v>
      </c>
      <c r="AN1645" s="17" t="s">
        <v>84</v>
      </c>
      <c r="AO1645" s="17" t="s">
        <v>75</v>
      </c>
      <c r="AP1645" s="17"/>
      <c r="AQ1645" s="17"/>
      <c r="AR1645" s="17"/>
      <c r="AS1645" s="17"/>
      <c r="AT1645" s="17"/>
      <c r="AU1645" s="17" t="s">
        <v>111</v>
      </c>
    </row>
    <row r="1646">
      <c r="A1646" s="17">
        <v>1644</v>
      </c>
      <c r="B1646" s="17" t="s">
        <v>52</v>
      </c>
      <c r="C1646" s="42" t="s">
        <v>4923</v>
      </c>
      <c r="D1646" s="35" t="s">
        <v>3886</v>
      </c>
      <c r="E1646" s="17" t="s">
        <v>4924</v>
      </c>
      <c r="F1646" s="17" t="s">
        <v>4925</v>
      </c>
      <c r="G1646" s="17">
        <v>22.841270000000002</v>
      </c>
      <c r="H1646" s="17">
        <v>87.163921000000002</v>
      </c>
      <c r="I1646" s="17"/>
      <c r="J1646" s="17"/>
      <c r="K1646" s="17"/>
      <c r="L1646" s="17"/>
      <c r="M1646" s="42" t="s">
        <v>4210</v>
      </c>
      <c r="N1646" s="17">
        <v>7980098242</v>
      </c>
      <c r="O1646" s="17">
        <v>10</v>
      </c>
      <c r="P1646" s="17">
        <v>70</v>
      </c>
      <c r="Q1646" s="17" t="s">
        <v>73</v>
      </c>
      <c r="R1646" s="17" t="s">
        <v>74</v>
      </c>
      <c r="S1646" s="17" t="s">
        <v>75</v>
      </c>
      <c r="T1646" s="17"/>
      <c r="U1646" s="17" t="s">
        <v>105</v>
      </c>
      <c r="V1646" s="17" t="s">
        <v>77</v>
      </c>
      <c r="W1646" s="17" t="s">
        <v>78</v>
      </c>
      <c r="X1646" s="17">
        <v>3</v>
      </c>
      <c r="Y1646" s="17">
        <v>0</v>
      </c>
      <c r="Z1646" s="17"/>
      <c r="AA1646" s="17" t="s">
        <v>73</v>
      </c>
      <c r="AB1646" s="17" t="s">
        <v>79</v>
      </c>
      <c r="AC1646" s="17">
        <v>2</v>
      </c>
      <c r="AD1646" s="17">
        <v>0</v>
      </c>
      <c r="AE1646" s="17">
        <v>0</v>
      </c>
      <c r="AF1646" s="17"/>
      <c r="AG1646" s="17" t="s">
        <v>81</v>
      </c>
      <c r="AH1646" s="17" t="s">
        <v>82</v>
      </c>
      <c r="AI1646" s="17" t="s">
        <v>107</v>
      </c>
      <c r="AJ1646" s="17"/>
      <c r="AK1646" s="17" t="s">
        <v>75</v>
      </c>
      <c r="AL1646" s="17" t="s">
        <v>75</v>
      </c>
      <c r="AM1646" s="17" t="s">
        <v>75</v>
      </c>
      <c r="AN1646" s="17" t="s">
        <v>84</v>
      </c>
      <c r="AO1646" s="17" t="s">
        <v>75</v>
      </c>
      <c r="AP1646" s="17"/>
      <c r="AQ1646" s="17"/>
      <c r="AR1646" s="17"/>
      <c r="AS1646" s="17"/>
      <c r="AT1646" s="17" t="s">
        <v>4888</v>
      </c>
      <c r="AU1646" s="17" t="s">
        <v>127</v>
      </c>
    </row>
    <row r="1647">
      <c r="A1647" s="17">
        <v>1645</v>
      </c>
      <c r="B1647" s="17" t="s">
        <v>52</v>
      </c>
      <c r="C1647" s="42" t="s">
        <v>4926</v>
      </c>
      <c r="D1647" s="35" t="s">
        <v>3886</v>
      </c>
      <c r="E1647" s="17" t="s">
        <v>4927</v>
      </c>
      <c r="F1647" s="17" t="s">
        <v>4928</v>
      </c>
      <c r="G1647" s="17">
        <v>22.534628999999999</v>
      </c>
      <c r="H1647" s="17">
        <v>87.377725999999996</v>
      </c>
      <c r="I1647" s="17"/>
      <c r="J1647" s="17"/>
      <c r="K1647" s="17"/>
      <c r="L1647" s="17"/>
      <c r="M1647" s="42" t="s">
        <v>4033</v>
      </c>
      <c r="N1647" s="17"/>
      <c r="O1647" s="17"/>
      <c r="P1647" s="17"/>
      <c r="Q1647" s="17"/>
      <c r="R1647" s="17"/>
      <c r="S1647" s="17"/>
      <c r="T1647" s="17"/>
      <c r="U1647" s="17"/>
      <c r="V1647" s="17"/>
      <c r="W1647" s="17"/>
      <c r="X1647" s="17"/>
      <c r="Y1647" s="17"/>
      <c r="Z1647" s="17"/>
      <c r="AA1647" s="17"/>
      <c r="AB1647" s="17"/>
      <c r="AC1647" s="17"/>
      <c r="AD1647" s="17"/>
      <c r="AE1647" s="17"/>
      <c r="AF1647" s="17"/>
      <c r="AG1647" s="17"/>
      <c r="AH1647" s="17"/>
      <c r="AI1647" s="17"/>
      <c r="AJ1647" s="17"/>
      <c r="AK1647" s="17"/>
      <c r="AL1647" s="17"/>
      <c r="AM1647" s="17"/>
      <c r="AN1647" s="17"/>
      <c r="AO1647" s="17"/>
      <c r="AP1647" s="17"/>
      <c r="AQ1647" s="17"/>
      <c r="AR1647" s="17"/>
      <c r="AS1647" s="17"/>
      <c r="AT1647" s="17"/>
      <c r="AU1647" s="17"/>
    </row>
    <row r="1648">
      <c r="A1648" s="17">
        <v>1646</v>
      </c>
      <c r="B1648" s="17" t="s">
        <v>52</v>
      </c>
      <c r="C1648" s="42" t="s">
        <v>4929</v>
      </c>
      <c r="D1648" s="35" t="s">
        <v>3886</v>
      </c>
      <c r="E1648" s="17" t="s">
        <v>4930</v>
      </c>
      <c r="F1648" s="17" t="s">
        <v>4931</v>
      </c>
      <c r="G1648" s="17">
        <v>22.831947</v>
      </c>
      <c r="H1648" s="17">
        <v>87.522729999999996</v>
      </c>
      <c r="I1648" s="17"/>
      <c r="J1648" s="17"/>
      <c r="K1648" s="17"/>
      <c r="L1648" s="17"/>
      <c r="M1648" s="42" t="s">
        <v>4011</v>
      </c>
      <c r="N1648" s="17">
        <v>8240995350</v>
      </c>
      <c r="O1648" s="17">
        <v>19</v>
      </c>
      <c r="P1648" s="17">
        <v>52</v>
      </c>
      <c r="Q1648" s="17" t="s">
        <v>105</v>
      </c>
      <c r="R1648" s="17" t="s">
        <v>154</v>
      </c>
      <c r="S1648" s="17" t="s">
        <v>75</v>
      </c>
      <c r="T1648" s="17"/>
      <c r="U1648" s="17" t="s">
        <v>105</v>
      </c>
      <c r="V1648" s="17" t="s">
        <v>77</v>
      </c>
      <c r="W1648" s="17" t="s">
        <v>78</v>
      </c>
      <c r="X1648" s="17">
        <v>3</v>
      </c>
      <c r="Y1648" s="17">
        <v>1</v>
      </c>
      <c r="Z1648" s="17"/>
      <c r="AA1648" s="17" t="s">
        <v>105</v>
      </c>
      <c r="AB1648" s="17" t="s">
        <v>239</v>
      </c>
      <c r="AC1648" s="17">
        <v>3</v>
      </c>
      <c r="AD1648" s="17">
        <v>0</v>
      </c>
      <c r="AE1648" s="17">
        <v>0</v>
      </c>
      <c r="AF1648" s="17"/>
      <c r="AG1648" s="17" t="s">
        <v>81</v>
      </c>
      <c r="AH1648" s="17" t="s">
        <v>82</v>
      </c>
      <c r="AI1648" s="17" t="s">
        <v>107</v>
      </c>
      <c r="AJ1648" s="17"/>
      <c r="AK1648" s="17" t="s">
        <v>75</v>
      </c>
      <c r="AL1648" s="17" t="s">
        <v>75</v>
      </c>
      <c r="AM1648" s="17" t="s">
        <v>75</v>
      </c>
      <c r="AN1648" s="17" t="s">
        <v>125</v>
      </c>
      <c r="AO1648" s="17" t="s">
        <v>75</v>
      </c>
      <c r="AP1648" s="17"/>
      <c r="AQ1648" s="17"/>
      <c r="AR1648" s="17"/>
      <c r="AS1648" s="17"/>
      <c r="AT1648" s="17" t="s">
        <v>4932</v>
      </c>
      <c r="AU1648" s="17" t="s">
        <v>111</v>
      </c>
    </row>
    <row r="1649">
      <c r="A1649" s="17">
        <v>1647</v>
      </c>
      <c r="B1649" s="17" t="s">
        <v>52</v>
      </c>
      <c r="C1649" s="42" t="s">
        <v>4933</v>
      </c>
      <c r="D1649" s="35" t="s">
        <v>3886</v>
      </c>
      <c r="E1649" s="17" t="s">
        <v>4934</v>
      </c>
      <c r="F1649" s="17" t="s">
        <v>4935</v>
      </c>
      <c r="G1649" s="17">
        <v>22.818209</v>
      </c>
      <c r="H1649" s="17">
        <v>87.544032999999999</v>
      </c>
      <c r="I1649" s="17"/>
      <c r="J1649" s="17"/>
      <c r="K1649" s="17"/>
      <c r="L1649" s="17"/>
      <c r="M1649" s="42" t="s">
        <v>4011</v>
      </c>
      <c r="N1649" s="17">
        <v>8240995350</v>
      </c>
      <c r="O1649" s="17">
        <v>16</v>
      </c>
      <c r="P1649" s="17">
        <v>110</v>
      </c>
      <c r="Q1649" s="17" t="s">
        <v>105</v>
      </c>
      <c r="R1649" s="17" t="s">
        <v>238</v>
      </c>
      <c r="S1649" s="17" t="s">
        <v>75</v>
      </c>
      <c r="T1649" s="17"/>
      <c r="U1649" s="17" t="s">
        <v>503</v>
      </c>
      <c r="V1649" s="17" t="s">
        <v>504</v>
      </c>
      <c r="W1649" s="17" t="s">
        <v>78</v>
      </c>
      <c r="X1649" s="17">
        <v>2</v>
      </c>
      <c r="Y1649" s="17">
        <v>0</v>
      </c>
      <c r="Z1649" s="17"/>
      <c r="AA1649" s="17" t="s">
        <v>105</v>
      </c>
      <c r="AB1649" s="17" t="s">
        <v>239</v>
      </c>
      <c r="AC1649" s="17">
        <v>5</v>
      </c>
      <c r="AD1649" s="17">
        <v>0</v>
      </c>
      <c r="AE1649" s="17">
        <v>0</v>
      </c>
      <c r="AF1649" s="17"/>
      <c r="AG1649" s="17" t="s">
        <v>81</v>
      </c>
      <c r="AH1649" s="17" t="s">
        <v>82</v>
      </c>
      <c r="AI1649" s="17" t="s">
        <v>107</v>
      </c>
      <c r="AJ1649" s="17"/>
      <c r="AK1649" s="17" t="s">
        <v>4936</v>
      </c>
      <c r="AL1649" s="17" t="s">
        <v>75</v>
      </c>
      <c r="AM1649" s="17" t="s">
        <v>75</v>
      </c>
      <c r="AN1649" s="17" t="s">
        <v>84</v>
      </c>
      <c r="AO1649" s="17" t="s">
        <v>109</v>
      </c>
      <c r="AP1649" s="17"/>
      <c r="AQ1649" s="17"/>
      <c r="AR1649" s="17"/>
      <c r="AS1649" s="17"/>
      <c r="AT1649" s="17"/>
      <c r="AU1649" s="17" t="s">
        <v>127</v>
      </c>
    </row>
    <row r="1650">
      <c r="A1650" s="17">
        <v>1648</v>
      </c>
      <c r="B1650" s="17" t="s">
        <v>52</v>
      </c>
      <c r="C1650" s="42" t="s">
        <v>4937</v>
      </c>
      <c r="D1650" s="35" t="s">
        <v>3886</v>
      </c>
      <c r="E1650" s="17" t="s">
        <v>4938</v>
      </c>
      <c r="F1650" s="17" t="s">
        <v>4939</v>
      </c>
      <c r="G1650" s="17">
        <v>22.859556000000001</v>
      </c>
      <c r="H1650" s="17">
        <v>87.400308999999993</v>
      </c>
      <c r="I1650" s="17"/>
      <c r="J1650" s="17"/>
      <c r="K1650" s="17"/>
      <c r="L1650" s="17"/>
      <c r="M1650" s="42" t="s">
        <v>3967</v>
      </c>
      <c r="N1650" s="17"/>
      <c r="O1650" s="17"/>
      <c r="P1650" s="17"/>
      <c r="Q1650" s="17"/>
      <c r="R1650" s="17"/>
      <c r="S1650" s="17"/>
      <c r="T1650" s="17"/>
      <c r="U1650" s="17"/>
      <c r="V1650" s="17"/>
      <c r="W1650" s="17"/>
      <c r="X1650" s="17"/>
      <c r="Y1650" s="17"/>
      <c r="Z1650" s="17"/>
      <c r="AA1650" s="17"/>
      <c r="AB1650" s="17"/>
      <c r="AC1650" s="17"/>
      <c r="AD1650" s="17"/>
      <c r="AE1650" s="17"/>
      <c r="AF1650" s="17"/>
      <c r="AG1650" s="17"/>
      <c r="AH1650" s="17"/>
      <c r="AI1650" s="17"/>
      <c r="AJ1650" s="17"/>
      <c r="AK1650" s="17"/>
      <c r="AL1650" s="17"/>
      <c r="AM1650" s="17"/>
      <c r="AN1650" s="17"/>
      <c r="AO1650" s="17"/>
      <c r="AP1650" s="17"/>
      <c r="AQ1650" s="17"/>
      <c r="AR1650" s="17"/>
      <c r="AS1650" s="17"/>
      <c r="AT1650" s="17"/>
      <c r="AU1650" s="17"/>
    </row>
    <row r="1651">
      <c r="A1651" s="17">
        <v>1649</v>
      </c>
      <c r="B1651" s="17" t="s">
        <v>52</v>
      </c>
      <c r="C1651" s="42" t="s">
        <v>4940</v>
      </c>
      <c r="D1651" s="35" t="s">
        <v>3886</v>
      </c>
      <c r="E1651" s="17" t="s">
        <v>4941</v>
      </c>
      <c r="F1651" s="17" t="s">
        <v>4942</v>
      </c>
      <c r="G1651" s="17">
        <v>22.667337</v>
      </c>
      <c r="H1651" s="17">
        <v>87.563917000000004</v>
      </c>
      <c r="I1651" s="17"/>
      <c r="J1651" s="17"/>
      <c r="K1651" s="17"/>
      <c r="L1651" s="17"/>
      <c r="M1651" s="42" t="s">
        <v>3987</v>
      </c>
      <c r="N1651" s="17"/>
      <c r="O1651" s="17"/>
      <c r="P1651" s="17"/>
      <c r="Q1651" s="17"/>
      <c r="R1651" s="17"/>
      <c r="S1651" s="17"/>
      <c r="T1651" s="17"/>
      <c r="U1651" s="17"/>
      <c r="V1651" s="17"/>
      <c r="W1651" s="17"/>
      <c r="X1651" s="17"/>
      <c r="Y1651" s="17"/>
      <c r="Z1651" s="17"/>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row>
    <row r="1652">
      <c r="A1652" s="17">
        <v>1650</v>
      </c>
      <c r="B1652" s="17" t="s">
        <v>52</v>
      </c>
      <c r="C1652" s="42" t="s">
        <v>4943</v>
      </c>
      <c r="D1652" s="35" t="s">
        <v>3886</v>
      </c>
      <c r="E1652" s="17" t="s">
        <v>4944</v>
      </c>
      <c r="F1652" s="17" t="s">
        <v>4945</v>
      </c>
      <c r="G1652" s="17">
        <v>22.834485999999998</v>
      </c>
      <c r="H1652" s="17">
        <v>87.288019000000006</v>
      </c>
      <c r="I1652" s="17"/>
      <c r="J1652" s="17"/>
      <c r="K1652" s="17"/>
      <c r="L1652" s="17"/>
      <c r="M1652" s="42" t="s">
        <v>3967</v>
      </c>
      <c r="N1652" s="17"/>
      <c r="O1652" s="17"/>
      <c r="P1652" s="17"/>
      <c r="Q1652" s="17"/>
      <c r="R1652" s="17"/>
      <c r="S1652" s="17"/>
      <c r="T1652" s="17"/>
      <c r="U1652" s="17"/>
      <c r="V1652" s="17"/>
      <c r="W1652" s="17"/>
      <c r="X1652" s="17"/>
      <c r="Y1652" s="17"/>
      <c r="Z1652" s="17"/>
      <c r="AA1652" s="17"/>
      <c r="AB1652" s="17"/>
      <c r="AC1652" s="17"/>
      <c r="AD1652" s="17"/>
      <c r="AE1652" s="17"/>
      <c r="AF1652" s="17"/>
      <c r="AG1652" s="17"/>
      <c r="AH1652" s="17"/>
      <c r="AI1652" s="17"/>
      <c r="AJ1652" s="17"/>
      <c r="AK1652" s="17"/>
      <c r="AL1652" s="17"/>
      <c r="AM1652" s="17"/>
      <c r="AN1652" s="17"/>
      <c r="AO1652" s="17"/>
      <c r="AP1652" s="17"/>
      <c r="AQ1652" s="17"/>
      <c r="AR1652" s="17"/>
      <c r="AS1652" s="17"/>
      <c r="AT1652" s="17"/>
      <c r="AU1652" s="17"/>
    </row>
    <row r="1653">
      <c r="A1653" s="17">
        <v>1651</v>
      </c>
      <c r="B1653" s="17" t="s">
        <v>52</v>
      </c>
      <c r="C1653" s="42" t="s">
        <v>4946</v>
      </c>
      <c r="D1653" s="35" t="s">
        <v>3886</v>
      </c>
      <c r="E1653" s="17" t="s">
        <v>4947</v>
      </c>
      <c r="F1653" s="17" t="s">
        <v>4948</v>
      </c>
      <c r="G1653" s="17">
        <v>22.806885999999999</v>
      </c>
      <c r="H1653" s="17">
        <v>87.581352999999993</v>
      </c>
      <c r="I1653" s="17"/>
      <c r="J1653" s="17"/>
      <c r="K1653" s="17"/>
      <c r="L1653" s="17"/>
      <c r="M1653" s="42" t="s">
        <v>4011</v>
      </c>
      <c r="N1653" s="17">
        <v>8240995350</v>
      </c>
      <c r="O1653" s="17">
        <v>17</v>
      </c>
      <c r="P1653" s="17">
        <v>115</v>
      </c>
      <c r="Q1653" s="17" t="s">
        <v>105</v>
      </c>
      <c r="R1653" s="17" t="s">
        <v>238</v>
      </c>
      <c r="S1653" s="17" t="s">
        <v>75</v>
      </c>
      <c r="T1653" s="17"/>
      <c r="U1653" s="17" t="s">
        <v>503</v>
      </c>
      <c r="V1653" s="17" t="s">
        <v>504</v>
      </c>
      <c r="W1653" s="17" t="s">
        <v>330</v>
      </c>
      <c r="X1653" s="17">
        <v>2</v>
      </c>
      <c r="Y1653" s="17">
        <v>0</v>
      </c>
      <c r="Z1653" s="17"/>
      <c r="AA1653" s="17" t="s">
        <v>105</v>
      </c>
      <c r="AB1653" s="17" t="s">
        <v>239</v>
      </c>
      <c r="AC1653" s="17">
        <v>5</v>
      </c>
      <c r="AD1653" s="17">
        <v>0</v>
      </c>
      <c r="AE1653" s="17">
        <v>0</v>
      </c>
      <c r="AF1653" s="17"/>
      <c r="AG1653" s="17" t="s">
        <v>81</v>
      </c>
      <c r="AH1653" s="17" t="s">
        <v>82</v>
      </c>
      <c r="AI1653" s="17" t="s">
        <v>107</v>
      </c>
      <c r="AJ1653" s="17"/>
      <c r="AK1653" s="17" t="s">
        <v>75</v>
      </c>
      <c r="AL1653" s="17" t="s">
        <v>75</v>
      </c>
      <c r="AM1653" s="17" t="s">
        <v>75</v>
      </c>
      <c r="AN1653" s="17" t="s">
        <v>125</v>
      </c>
      <c r="AO1653" s="17" t="s">
        <v>75</v>
      </c>
      <c r="AP1653" s="17"/>
      <c r="AQ1653" s="17"/>
      <c r="AR1653" s="17"/>
      <c r="AS1653" s="17"/>
      <c r="AT1653" s="17"/>
      <c r="AU1653" s="17" t="s">
        <v>127</v>
      </c>
    </row>
    <row r="1654">
      <c r="A1654" s="17">
        <v>1652</v>
      </c>
      <c r="B1654" s="17" t="s">
        <v>52</v>
      </c>
      <c r="C1654" s="42" t="s">
        <v>4949</v>
      </c>
      <c r="D1654" s="35" t="s">
        <v>3886</v>
      </c>
      <c r="E1654" s="17" t="s">
        <v>4950</v>
      </c>
      <c r="F1654" s="17" t="s">
        <v>4951</v>
      </c>
      <c r="G1654" s="17">
        <v>22.594422000000002</v>
      </c>
      <c r="H1654" s="17">
        <v>87.301455000000004</v>
      </c>
      <c r="I1654" s="17"/>
      <c r="J1654" s="17"/>
      <c r="K1654" s="17"/>
      <c r="L1654" s="17"/>
      <c r="M1654" s="42" t="s">
        <v>4033</v>
      </c>
      <c r="N1654" s="17"/>
      <c r="O1654" s="17"/>
      <c r="P1654" s="17"/>
      <c r="Q1654" s="17"/>
      <c r="R1654" s="17"/>
      <c r="S1654" s="17"/>
      <c r="T1654" s="17"/>
      <c r="U1654" s="17"/>
      <c r="V1654" s="17"/>
      <c r="W1654" s="17"/>
      <c r="X1654" s="17"/>
      <c r="Y1654" s="17"/>
      <c r="Z1654" s="17"/>
      <c r="AA1654" s="17"/>
      <c r="AB1654" s="17"/>
      <c r="AC1654" s="17"/>
      <c r="AD1654" s="17"/>
      <c r="AE1654" s="17"/>
      <c r="AF1654" s="17"/>
      <c r="AG1654" s="17"/>
      <c r="AH1654" s="17"/>
      <c r="AI1654" s="17"/>
      <c r="AJ1654" s="17"/>
      <c r="AK1654" s="17"/>
      <c r="AL1654" s="17"/>
      <c r="AM1654" s="17"/>
      <c r="AN1654" s="17"/>
      <c r="AO1654" s="17"/>
      <c r="AP1654" s="17"/>
      <c r="AQ1654" s="17"/>
      <c r="AR1654" s="17"/>
      <c r="AS1654" s="17"/>
      <c r="AT1654" s="17"/>
      <c r="AU1654" s="17"/>
    </row>
    <row r="1655">
      <c r="A1655" s="17">
        <v>1653</v>
      </c>
      <c r="B1655" s="17" t="s">
        <v>52</v>
      </c>
      <c r="C1655" s="42" t="s">
        <v>4952</v>
      </c>
      <c r="D1655" s="35" t="s">
        <v>3886</v>
      </c>
      <c r="E1655" s="17" t="s">
        <v>4953</v>
      </c>
      <c r="F1655" s="17" t="s">
        <v>4954</v>
      </c>
      <c r="G1655" s="17">
        <v>22.497736</v>
      </c>
      <c r="H1655" s="17">
        <v>87.556124999999994</v>
      </c>
      <c r="I1655" s="17"/>
      <c r="J1655" s="17"/>
      <c r="K1655" s="17"/>
      <c r="L1655" s="17"/>
      <c r="M1655" s="42" t="s">
        <v>4016</v>
      </c>
      <c r="N1655" s="17"/>
      <c r="O1655" s="17"/>
      <c r="P1655" s="17"/>
      <c r="Q1655" s="17"/>
      <c r="R1655" s="17"/>
      <c r="S1655" s="17"/>
      <c r="T1655" s="17"/>
      <c r="U1655" s="17"/>
      <c r="V1655" s="17"/>
      <c r="W1655" s="17"/>
      <c r="X1655" s="17"/>
      <c r="Y1655" s="17"/>
      <c r="Z1655" s="17"/>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row>
    <row r="1656">
      <c r="A1656" s="17">
        <v>1654</v>
      </c>
      <c r="B1656" s="17" t="s">
        <v>52</v>
      </c>
      <c r="C1656" s="42" t="s">
        <v>4955</v>
      </c>
      <c r="D1656" s="35" t="s">
        <v>3886</v>
      </c>
      <c r="E1656" s="17" t="s">
        <v>4956</v>
      </c>
      <c r="F1656" s="17" t="s">
        <v>4957</v>
      </c>
      <c r="G1656" s="17">
        <v>22.468263</v>
      </c>
      <c r="H1656" s="17">
        <v>87.390180999999998</v>
      </c>
      <c r="I1656" s="17"/>
      <c r="J1656" s="17"/>
      <c r="K1656" s="17"/>
      <c r="L1656" s="17"/>
      <c r="M1656" s="42" t="s">
        <v>3893</v>
      </c>
      <c r="N1656" s="17"/>
      <c r="O1656" s="17"/>
      <c r="P1656" s="17"/>
      <c r="Q1656" s="17"/>
      <c r="R1656" s="17"/>
      <c r="S1656" s="17"/>
      <c r="T1656" s="17"/>
      <c r="U1656" s="17"/>
      <c r="V1656" s="17"/>
      <c r="W1656" s="17"/>
      <c r="X1656" s="17"/>
      <c r="Y1656" s="17"/>
      <c r="Z1656" s="17"/>
      <c r="AA1656" s="17"/>
      <c r="AB1656" s="17"/>
      <c r="AC1656" s="17"/>
      <c r="AD1656" s="17"/>
      <c r="AE1656" s="17"/>
      <c r="AF1656" s="17"/>
      <c r="AG1656" s="17"/>
      <c r="AH1656" s="17"/>
      <c r="AI1656" s="17"/>
      <c r="AJ1656" s="17"/>
      <c r="AK1656" s="17"/>
      <c r="AL1656" s="17"/>
      <c r="AM1656" s="17"/>
      <c r="AN1656" s="17"/>
      <c r="AO1656" s="17"/>
      <c r="AP1656" s="17"/>
      <c r="AQ1656" s="17"/>
      <c r="AR1656" s="17"/>
      <c r="AS1656" s="17"/>
      <c r="AT1656" s="17"/>
      <c r="AU1656" s="17"/>
    </row>
    <row r="1657">
      <c r="A1657" s="17">
        <v>1655</v>
      </c>
      <c r="B1657" s="17" t="s">
        <v>52</v>
      </c>
      <c r="C1657" s="42" t="s">
        <v>4958</v>
      </c>
      <c r="D1657" s="35" t="s">
        <v>3886</v>
      </c>
      <c r="E1657" s="17" t="s">
        <v>4959</v>
      </c>
      <c r="F1657" s="17" t="s">
        <v>4960</v>
      </c>
      <c r="G1657" s="17">
        <v>22.462062</v>
      </c>
      <c r="H1657" s="17">
        <v>87.455883</v>
      </c>
      <c r="I1657" s="17"/>
      <c r="J1657" s="17"/>
      <c r="K1657" s="17"/>
      <c r="L1657" s="17"/>
      <c r="M1657" s="42" t="s">
        <v>4016</v>
      </c>
      <c r="N1657" s="17"/>
      <c r="O1657" s="17"/>
      <c r="P1657" s="17"/>
      <c r="Q1657" s="17"/>
      <c r="R1657" s="17"/>
      <c r="S1657" s="17"/>
      <c r="T1657" s="17"/>
      <c r="U1657" s="17"/>
      <c r="V1657" s="17"/>
      <c r="W1657" s="17"/>
      <c r="X1657" s="17"/>
      <c r="Y1657" s="17"/>
      <c r="Z1657" s="17"/>
      <c r="AA1657" s="17"/>
      <c r="AB1657" s="17"/>
      <c r="AC1657" s="17"/>
      <c r="AD1657" s="17"/>
      <c r="AE1657" s="17"/>
      <c r="AF1657" s="17"/>
      <c r="AG1657" s="17"/>
      <c r="AH1657" s="17"/>
      <c r="AI1657" s="17"/>
      <c r="AJ1657" s="17"/>
      <c r="AK1657" s="17"/>
      <c r="AL1657" s="17"/>
      <c r="AM1657" s="17"/>
      <c r="AN1657" s="17"/>
      <c r="AO1657" s="17"/>
      <c r="AP1657" s="17"/>
      <c r="AQ1657" s="17"/>
      <c r="AR1657" s="17"/>
      <c r="AS1657" s="17"/>
      <c r="AT1657" s="17"/>
      <c r="AU1657" s="17"/>
    </row>
    <row r="1658">
      <c r="A1658" s="17">
        <v>1656</v>
      </c>
      <c r="B1658" s="17" t="s">
        <v>52</v>
      </c>
      <c r="C1658" s="42" t="s">
        <v>4961</v>
      </c>
      <c r="D1658" s="35" t="s">
        <v>3886</v>
      </c>
      <c r="E1658" s="17" t="s">
        <v>4962</v>
      </c>
      <c r="F1658" s="17" t="s">
        <v>4963</v>
      </c>
      <c r="G1658" s="17">
        <v>22.711444</v>
      </c>
      <c r="H1658" s="17">
        <v>87.392944</v>
      </c>
      <c r="I1658" s="17"/>
      <c r="J1658" s="17"/>
      <c r="K1658" s="17"/>
      <c r="L1658" s="17"/>
      <c r="M1658" s="42" t="s">
        <v>4045</v>
      </c>
      <c r="N1658" s="17">
        <v>6290709471</v>
      </c>
      <c r="O1658" s="17"/>
      <c r="P1658" s="17"/>
      <c r="Q1658" s="17"/>
      <c r="R1658" s="17"/>
      <c r="S1658" s="17"/>
      <c r="T1658" s="17"/>
      <c r="U1658" s="17"/>
      <c r="V1658" s="17"/>
      <c r="W1658" s="17"/>
      <c r="X1658" s="17"/>
      <c r="Y1658" s="17"/>
      <c r="Z1658" s="17"/>
      <c r="AA1658" s="17"/>
      <c r="AB1658" s="17"/>
      <c r="AC1658" s="17"/>
      <c r="AD1658" s="17"/>
      <c r="AE1658" s="17"/>
      <c r="AF1658" s="17"/>
      <c r="AG1658" s="17"/>
      <c r="AH1658" s="17"/>
      <c r="AI1658" s="17"/>
      <c r="AJ1658" s="17"/>
      <c r="AK1658" s="17"/>
      <c r="AL1658" s="17"/>
      <c r="AM1658" s="17"/>
      <c r="AN1658" s="17"/>
      <c r="AO1658" s="17"/>
      <c r="AP1658" s="17"/>
      <c r="AQ1658" s="17"/>
      <c r="AR1658" s="17"/>
      <c r="AS1658" s="17"/>
      <c r="AT1658" s="17"/>
      <c r="AU1658" s="17"/>
    </row>
    <row r="1659">
      <c r="A1659" s="17">
        <v>1657</v>
      </c>
      <c r="B1659" s="17" t="s">
        <v>52</v>
      </c>
      <c r="C1659" s="42" t="s">
        <v>4964</v>
      </c>
      <c r="D1659" s="35" t="s">
        <v>3886</v>
      </c>
      <c r="E1659" s="17" t="s">
        <v>4965</v>
      </c>
      <c r="F1659" s="17" t="s">
        <v>4966</v>
      </c>
      <c r="G1659" s="17">
        <v>22.77863</v>
      </c>
      <c r="H1659" s="17">
        <v>87.216294000000005</v>
      </c>
      <c r="I1659" s="17"/>
      <c r="J1659" s="17"/>
      <c r="K1659" s="17"/>
      <c r="L1659" s="17"/>
      <c r="M1659" s="42" t="s">
        <v>4210</v>
      </c>
      <c r="N1659" s="17">
        <v>7980098242</v>
      </c>
      <c r="O1659" s="17">
        <v>9</v>
      </c>
      <c r="P1659" s="17">
        <v>70</v>
      </c>
      <c r="Q1659" s="17" t="s">
        <v>105</v>
      </c>
      <c r="R1659" s="17" t="s">
        <v>154</v>
      </c>
      <c r="S1659" s="17" t="s">
        <v>75</v>
      </c>
      <c r="T1659" s="17"/>
      <c r="U1659" s="17" t="s">
        <v>105</v>
      </c>
      <c r="V1659" s="17" t="s">
        <v>77</v>
      </c>
      <c r="W1659" s="17" t="s">
        <v>454</v>
      </c>
      <c r="X1659" s="17">
        <v>3</v>
      </c>
      <c r="Y1659" s="17">
        <v>0</v>
      </c>
      <c r="Z1659" s="17"/>
      <c r="AA1659" s="17" t="s">
        <v>105</v>
      </c>
      <c r="AB1659" s="17" t="s">
        <v>239</v>
      </c>
      <c r="AC1659" s="17">
        <v>2</v>
      </c>
      <c r="AD1659" s="17">
        <v>0</v>
      </c>
      <c r="AE1659" s="17">
        <v>0</v>
      </c>
      <c r="AF1659" s="17"/>
      <c r="AG1659" s="17" t="s">
        <v>124</v>
      </c>
      <c r="AH1659" s="17" t="s">
        <v>82</v>
      </c>
      <c r="AI1659" s="17" t="s">
        <v>83</v>
      </c>
      <c r="AJ1659" s="17">
        <v>2111</v>
      </c>
      <c r="AK1659" s="17" t="s">
        <v>75</v>
      </c>
      <c r="AL1659" s="17" t="s">
        <v>75</v>
      </c>
      <c r="AM1659" s="17" t="s">
        <v>75</v>
      </c>
      <c r="AN1659" s="17" t="s">
        <v>84</v>
      </c>
      <c r="AO1659" s="17" t="s">
        <v>75</v>
      </c>
      <c r="AP1659" s="17"/>
      <c r="AQ1659" s="17"/>
      <c r="AR1659" s="17"/>
      <c r="AS1659" s="17"/>
      <c r="AT1659" s="17"/>
      <c r="AU1659" s="17" t="s">
        <v>111</v>
      </c>
    </row>
    <row r="1660">
      <c r="A1660" s="17">
        <v>1658</v>
      </c>
      <c r="B1660" s="17" t="s">
        <v>52</v>
      </c>
      <c r="C1660" s="42" t="s">
        <v>4967</v>
      </c>
      <c r="D1660" s="35" t="s">
        <v>3886</v>
      </c>
      <c r="E1660" s="17" t="s">
        <v>4968</v>
      </c>
      <c r="F1660" s="17" t="s">
        <v>4969</v>
      </c>
      <c r="G1660" s="17">
        <v>22.829719999999998</v>
      </c>
      <c r="H1660" s="17">
        <v>87.232709999999997</v>
      </c>
      <c r="I1660" s="17"/>
      <c r="J1660" s="17"/>
      <c r="K1660" s="17"/>
      <c r="L1660" s="17"/>
      <c r="M1660" s="42" t="s">
        <v>4210</v>
      </c>
      <c r="N1660" s="17">
        <v>7980098242</v>
      </c>
      <c r="O1660" s="17">
        <v>10</v>
      </c>
      <c r="P1660" s="17">
        <v>110</v>
      </c>
      <c r="Q1660" s="17" t="s">
        <v>73</v>
      </c>
      <c r="R1660" s="17" t="s">
        <v>74</v>
      </c>
      <c r="S1660" s="17" t="s">
        <v>75</v>
      </c>
      <c r="T1660" s="17"/>
      <c r="U1660" s="17" t="s">
        <v>160</v>
      </c>
      <c r="V1660" s="17" t="s">
        <v>77</v>
      </c>
      <c r="W1660" s="17" t="s">
        <v>123</v>
      </c>
      <c r="X1660" s="17">
        <v>4</v>
      </c>
      <c r="Y1660" s="17">
        <v>0</v>
      </c>
      <c r="Z1660" s="17"/>
      <c r="AA1660" s="17" t="s">
        <v>73</v>
      </c>
      <c r="AB1660" s="17" t="s">
        <v>79</v>
      </c>
      <c r="AC1660" s="17">
        <v>2</v>
      </c>
      <c r="AD1660" s="17">
        <v>0</v>
      </c>
      <c r="AE1660" s="17">
        <v>0</v>
      </c>
      <c r="AF1660" s="17"/>
      <c r="AG1660" s="17" t="s">
        <v>81</v>
      </c>
      <c r="AH1660" s="17" t="s">
        <v>82</v>
      </c>
      <c r="AI1660" s="17" t="s">
        <v>107</v>
      </c>
      <c r="AJ1660" s="17"/>
      <c r="AK1660" s="17" t="s">
        <v>75</v>
      </c>
      <c r="AL1660" s="17" t="s">
        <v>75</v>
      </c>
      <c r="AM1660" s="17" t="s">
        <v>75</v>
      </c>
      <c r="AN1660" s="17" t="s">
        <v>84</v>
      </c>
      <c r="AO1660" s="17" t="s">
        <v>75</v>
      </c>
      <c r="AP1660" s="17"/>
      <c r="AQ1660" s="17"/>
      <c r="AR1660" s="17"/>
      <c r="AS1660" s="17"/>
      <c r="AT1660" s="17" t="s">
        <v>4970</v>
      </c>
      <c r="AU1660" s="17" t="s">
        <v>127</v>
      </c>
    </row>
    <row r="1661">
      <c r="A1661" s="17">
        <v>1659</v>
      </c>
      <c r="B1661" s="17" t="s">
        <v>52</v>
      </c>
      <c r="C1661" s="42" t="s">
        <v>4971</v>
      </c>
      <c r="D1661" s="35" t="s">
        <v>3886</v>
      </c>
      <c r="E1661" s="17" t="s">
        <v>4972</v>
      </c>
      <c r="F1661" s="17" t="s">
        <v>4973</v>
      </c>
      <c r="G1661" s="17">
        <v>22.656948</v>
      </c>
      <c r="H1661" s="17">
        <v>87.246630999999994</v>
      </c>
      <c r="I1661" s="17"/>
      <c r="J1661" s="17"/>
      <c r="K1661" s="17"/>
      <c r="L1661" s="17"/>
      <c r="M1661" s="42" t="s">
        <v>4033</v>
      </c>
      <c r="N1661" s="17"/>
      <c r="O1661" s="17"/>
      <c r="P1661" s="17"/>
      <c r="Q1661" s="17"/>
      <c r="R1661" s="17"/>
      <c r="S1661" s="17"/>
      <c r="T1661" s="17"/>
      <c r="U1661" s="17"/>
      <c r="V1661" s="17"/>
      <c r="W1661" s="17"/>
      <c r="X1661" s="17"/>
      <c r="Y1661" s="17"/>
      <c r="Z1661" s="17"/>
      <c r="AA1661" s="17"/>
      <c r="AB1661" s="17"/>
      <c r="AC1661" s="17"/>
      <c r="AD1661" s="17"/>
      <c r="AE1661" s="17"/>
      <c r="AF1661" s="17"/>
      <c r="AG1661" s="17"/>
      <c r="AH1661" s="17"/>
      <c r="AI1661" s="17"/>
      <c r="AJ1661" s="17"/>
      <c r="AK1661" s="17"/>
      <c r="AL1661" s="17"/>
      <c r="AM1661" s="17"/>
      <c r="AN1661" s="17"/>
      <c r="AO1661" s="17"/>
      <c r="AP1661" s="17"/>
      <c r="AQ1661" s="17"/>
      <c r="AR1661" s="17"/>
      <c r="AS1661" s="17"/>
      <c r="AT1661" s="17"/>
      <c r="AU1661" s="17"/>
    </row>
    <row r="1662">
      <c r="A1662" s="17">
        <v>1660</v>
      </c>
      <c r="B1662" s="17" t="s">
        <v>52</v>
      </c>
      <c r="C1662" s="42" t="s">
        <v>4974</v>
      </c>
      <c r="D1662" s="35" t="s">
        <v>3886</v>
      </c>
      <c r="E1662" s="17" t="s">
        <v>4975</v>
      </c>
      <c r="F1662" s="17" t="s">
        <v>4976</v>
      </c>
      <c r="G1662" s="17">
        <v>22.857737</v>
      </c>
      <c r="H1662" s="17">
        <v>87.428456999999995</v>
      </c>
      <c r="I1662" s="17"/>
      <c r="J1662" s="17"/>
      <c r="K1662" s="17"/>
      <c r="L1662" s="17"/>
      <c r="M1662" s="42" t="s">
        <v>4011</v>
      </c>
      <c r="N1662" s="17">
        <v>8240995350</v>
      </c>
      <c r="O1662" s="17">
        <v>17</v>
      </c>
      <c r="P1662" s="17">
        <v>60</v>
      </c>
      <c r="Q1662" s="17" t="s">
        <v>105</v>
      </c>
      <c r="R1662" s="17" t="s">
        <v>154</v>
      </c>
      <c r="S1662" s="17" t="s">
        <v>75</v>
      </c>
      <c r="T1662" s="17"/>
      <c r="U1662" s="17" t="s">
        <v>105</v>
      </c>
      <c r="V1662" s="17" t="s">
        <v>77</v>
      </c>
      <c r="W1662" s="17" t="s">
        <v>78</v>
      </c>
      <c r="X1662" s="17">
        <v>3</v>
      </c>
      <c r="Y1662" s="17">
        <v>0</v>
      </c>
      <c r="Z1662" s="17"/>
      <c r="AA1662" s="17" t="s">
        <v>105</v>
      </c>
      <c r="AB1662" s="17" t="s">
        <v>239</v>
      </c>
      <c r="AC1662" s="17">
        <v>3</v>
      </c>
      <c r="AD1662" s="17">
        <v>0</v>
      </c>
      <c r="AE1662" s="17">
        <v>1</v>
      </c>
      <c r="AF1662" s="17"/>
      <c r="AG1662" s="17" t="s">
        <v>81</v>
      </c>
      <c r="AH1662" s="17" t="s">
        <v>82</v>
      </c>
      <c r="AI1662" s="17" t="s">
        <v>107</v>
      </c>
      <c r="AJ1662" s="17"/>
      <c r="AK1662" s="17" t="s">
        <v>75</v>
      </c>
      <c r="AL1662" s="17" t="s">
        <v>75</v>
      </c>
      <c r="AM1662" s="17" t="s">
        <v>75</v>
      </c>
      <c r="AN1662" s="17" t="s">
        <v>84</v>
      </c>
      <c r="AO1662" s="17" t="s">
        <v>75</v>
      </c>
      <c r="AP1662" s="17"/>
      <c r="AQ1662" s="17"/>
      <c r="AR1662" s="17"/>
      <c r="AS1662" s="17"/>
      <c r="AT1662" s="17"/>
      <c r="AU1662" s="17" t="s">
        <v>111</v>
      </c>
    </row>
    <row r="1663">
      <c r="A1663" s="17">
        <v>1661</v>
      </c>
      <c r="B1663" s="17" t="s">
        <v>52</v>
      </c>
      <c r="C1663" s="42" t="s">
        <v>4977</v>
      </c>
      <c r="D1663" s="35" t="s">
        <v>3886</v>
      </c>
      <c r="E1663" s="17" t="s">
        <v>4978</v>
      </c>
      <c r="F1663" s="17" t="s">
        <v>4979</v>
      </c>
      <c r="G1663" s="17">
        <v>22.845514000000001</v>
      </c>
      <c r="H1663" s="17">
        <v>87.198964000000004</v>
      </c>
      <c r="I1663" s="17"/>
      <c r="J1663" s="17"/>
      <c r="K1663" s="17"/>
      <c r="L1663" s="17"/>
      <c r="M1663" s="42" t="s">
        <v>4210</v>
      </c>
      <c r="N1663" s="17">
        <v>7980098242</v>
      </c>
      <c r="O1663" s="17">
        <v>8</v>
      </c>
      <c r="P1663" s="17">
        <v>120</v>
      </c>
      <c r="Q1663" s="17" t="s">
        <v>73</v>
      </c>
      <c r="R1663" s="17" t="s">
        <v>74</v>
      </c>
      <c r="S1663" s="17" t="s">
        <v>75</v>
      </c>
      <c r="T1663" s="17"/>
      <c r="U1663" s="17" t="s">
        <v>105</v>
      </c>
      <c r="V1663" s="17" t="s">
        <v>77</v>
      </c>
      <c r="W1663" s="17" t="s">
        <v>1182</v>
      </c>
      <c r="X1663" s="17">
        <v>3</v>
      </c>
      <c r="Y1663" s="17">
        <v>2</v>
      </c>
      <c r="Z1663" s="17"/>
      <c r="AA1663" s="17" t="s">
        <v>73</v>
      </c>
      <c r="AB1663" s="17" t="s">
        <v>79</v>
      </c>
      <c r="AC1663" s="17">
        <v>2</v>
      </c>
      <c r="AD1663" s="17">
        <v>0</v>
      </c>
      <c r="AE1663" s="17">
        <v>1</v>
      </c>
      <c r="AF1663" s="17"/>
      <c r="AG1663" s="17" t="s">
        <v>124</v>
      </c>
      <c r="AH1663" s="17" t="s">
        <v>162</v>
      </c>
      <c r="AI1663" s="17" t="s">
        <v>83</v>
      </c>
      <c r="AJ1663" s="17">
        <v>2112</v>
      </c>
      <c r="AK1663" s="17" t="s">
        <v>75</v>
      </c>
      <c r="AL1663" s="17" t="s">
        <v>75</v>
      </c>
      <c r="AM1663" s="17" t="s">
        <v>75</v>
      </c>
      <c r="AN1663" s="17" t="s">
        <v>84</v>
      </c>
      <c r="AO1663" s="17" t="s">
        <v>75</v>
      </c>
      <c r="AP1663" s="17"/>
      <c r="AQ1663" s="17"/>
      <c r="AR1663" s="17"/>
      <c r="AS1663" s="17"/>
      <c r="AT1663" s="17" t="s">
        <v>4980</v>
      </c>
      <c r="AU1663" s="17" t="s">
        <v>111</v>
      </c>
    </row>
    <row r="1664">
      <c r="A1664" s="17">
        <v>1662</v>
      </c>
      <c r="B1664" s="17" t="s">
        <v>52</v>
      </c>
      <c r="C1664" s="42" t="s">
        <v>4981</v>
      </c>
      <c r="D1664" s="35" t="s">
        <v>3886</v>
      </c>
      <c r="E1664" s="17" t="s">
        <v>4982</v>
      </c>
      <c r="F1664" s="17" t="s">
        <v>4983</v>
      </c>
      <c r="G1664" s="17">
        <v>22.794933</v>
      </c>
      <c r="H1664" s="17">
        <v>87.381021000000004</v>
      </c>
      <c r="I1664" s="17"/>
      <c r="J1664" s="17"/>
      <c r="K1664" s="17"/>
      <c r="L1664" s="17"/>
      <c r="M1664" s="42" t="s">
        <v>4045</v>
      </c>
      <c r="N1664" s="17">
        <v>6290709471</v>
      </c>
      <c r="O1664" s="17"/>
      <c r="P1664" s="17"/>
      <c r="Q1664" s="17"/>
      <c r="R1664" s="17"/>
      <c r="S1664" s="17"/>
      <c r="T1664" s="17"/>
      <c r="U1664" s="17"/>
      <c r="V1664" s="17"/>
      <c r="W1664" s="17"/>
      <c r="X1664" s="17"/>
      <c r="Y1664" s="17"/>
      <c r="Z1664" s="17"/>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row>
    <row r="1665">
      <c r="A1665" s="17">
        <v>1663</v>
      </c>
      <c r="B1665" s="17" t="s">
        <v>52</v>
      </c>
      <c r="C1665" s="42" t="s">
        <v>4984</v>
      </c>
      <c r="D1665" s="35" t="s">
        <v>3886</v>
      </c>
      <c r="E1665" s="17" t="s">
        <v>4985</v>
      </c>
      <c r="F1665" s="17" t="s">
        <v>4986</v>
      </c>
      <c r="G1665" s="17">
        <v>22.484337</v>
      </c>
      <c r="H1665" s="17">
        <v>87.362640999999996</v>
      </c>
      <c r="I1665" s="17"/>
      <c r="J1665" s="17"/>
      <c r="K1665" s="17"/>
      <c r="L1665" s="17"/>
      <c r="M1665" s="42" t="s">
        <v>4033</v>
      </c>
      <c r="N1665" s="17"/>
      <c r="O1665" s="17"/>
      <c r="P1665" s="17"/>
      <c r="Q1665" s="17"/>
      <c r="R1665" s="17"/>
      <c r="S1665" s="17"/>
      <c r="T1665" s="17"/>
      <c r="U1665" s="17"/>
      <c r="V1665" s="17"/>
      <c r="W1665" s="17"/>
      <c r="X1665" s="17"/>
      <c r="Y1665" s="17"/>
      <c r="Z1665" s="17"/>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row>
    <row r="1666">
      <c r="A1666" s="17">
        <v>1664</v>
      </c>
      <c r="B1666" s="17" t="s">
        <v>52</v>
      </c>
      <c r="C1666" s="42" t="s">
        <v>4987</v>
      </c>
      <c r="D1666" s="35" t="s">
        <v>3886</v>
      </c>
      <c r="E1666" s="17" t="s">
        <v>4988</v>
      </c>
      <c r="F1666" s="17" t="s">
        <v>4989</v>
      </c>
      <c r="G1666" s="17">
        <v>22.880483000000002</v>
      </c>
      <c r="H1666" s="17">
        <v>87.193038000000001</v>
      </c>
      <c r="I1666" s="17"/>
      <c r="J1666" s="17"/>
      <c r="K1666" s="17"/>
      <c r="L1666" s="17"/>
      <c r="M1666" s="42" t="s">
        <v>4210</v>
      </c>
      <c r="N1666" s="17">
        <v>7980098242</v>
      </c>
      <c r="O1666" s="17">
        <v>9</v>
      </c>
      <c r="P1666" s="17">
        <v>70</v>
      </c>
      <c r="Q1666" s="17" t="s">
        <v>73</v>
      </c>
      <c r="R1666" s="17" t="s">
        <v>74</v>
      </c>
      <c r="S1666" s="17" t="s">
        <v>75</v>
      </c>
      <c r="T1666" s="17"/>
      <c r="U1666" s="17" t="s">
        <v>105</v>
      </c>
      <c r="V1666" s="17" t="s">
        <v>77</v>
      </c>
      <c r="W1666" s="17" t="s">
        <v>123</v>
      </c>
      <c r="X1666" s="17">
        <v>3</v>
      </c>
      <c r="Y1666" s="17">
        <v>1</v>
      </c>
      <c r="Z1666" s="17"/>
      <c r="AA1666" s="17" t="s">
        <v>73</v>
      </c>
      <c r="AB1666" s="17" t="s">
        <v>79</v>
      </c>
      <c r="AC1666" s="17">
        <v>1</v>
      </c>
      <c r="AD1666" s="17">
        <v>0</v>
      </c>
      <c r="AE1666" s="17">
        <v>0</v>
      </c>
      <c r="AF1666" s="17"/>
      <c r="AG1666" s="17" t="s">
        <v>124</v>
      </c>
      <c r="AH1666" s="17" t="s">
        <v>82</v>
      </c>
      <c r="AI1666" s="17" t="s">
        <v>83</v>
      </c>
      <c r="AJ1666" s="17">
        <v>2111</v>
      </c>
      <c r="AK1666" s="17" t="s">
        <v>75</v>
      </c>
      <c r="AL1666" s="17" t="s">
        <v>75</v>
      </c>
      <c r="AM1666" s="17" t="s">
        <v>75</v>
      </c>
      <c r="AN1666" s="17" t="s">
        <v>84</v>
      </c>
      <c r="AO1666" s="17" t="s">
        <v>75</v>
      </c>
      <c r="AP1666" s="17"/>
      <c r="AQ1666" s="17"/>
      <c r="AR1666" s="17"/>
      <c r="AS1666" s="17"/>
      <c r="AT1666" s="17" t="s">
        <v>4990</v>
      </c>
      <c r="AU1666" s="17" t="s">
        <v>111</v>
      </c>
    </row>
    <row r="1667">
      <c r="A1667" s="17">
        <v>1665</v>
      </c>
      <c r="B1667" s="17" t="s">
        <v>52</v>
      </c>
      <c r="C1667" s="42" t="s">
        <v>4991</v>
      </c>
      <c r="D1667" s="35" t="s">
        <v>3886</v>
      </c>
      <c r="E1667" s="17" t="s">
        <v>4992</v>
      </c>
      <c r="F1667" s="17" t="s">
        <v>4993</v>
      </c>
      <c r="G1667" s="17">
        <v>22.459320000000002</v>
      </c>
      <c r="H1667" s="17">
        <v>87.261978999999997</v>
      </c>
      <c r="I1667" s="17"/>
      <c r="J1667" s="17"/>
      <c r="K1667" s="17"/>
      <c r="L1667" s="17"/>
      <c r="M1667" s="42" t="s">
        <v>3889</v>
      </c>
      <c r="N1667" s="17"/>
      <c r="O1667" s="17"/>
      <c r="P1667" s="17"/>
      <c r="Q1667" s="17"/>
      <c r="R1667" s="17"/>
      <c r="S1667" s="17"/>
      <c r="T1667" s="17"/>
      <c r="U1667" s="17"/>
      <c r="V1667" s="17"/>
      <c r="W1667" s="17"/>
      <c r="X1667" s="17"/>
      <c r="Y1667" s="17"/>
      <c r="Z1667" s="17"/>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row>
    <row r="1668">
      <c r="A1668" s="17">
        <v>1666</v>
      </c>
      <c r="B1668" s="17" t="s">
        <v>52</v>
      </c>
      <c r="C1668" s="42" t="s">
        <v>4994</v>
      </c>
      <c r="D1668" s="35" t="s">
        <v>3886</v>
      </c>
      <c r="E1668" s="17" t="s">
        <v>2987</v>
      </c>
      <c r="F1668" s="17" t="s">
        <v>4995</v>
      </c>
      <c r="G1668" s="17">
        <v>22.786797</v>
      </c>
      <c r="H1668" s="17">
        <v>87.453451999999999</v>
      </c>
      <c r="I1668" s="17"/>
      <c r="J1668" s="17"/>
      <c r="K1668" s="17"/>
      <c r="L1668" s="17"/>
      <c r="M1668" s="42" t="s">
        <v>4011</v>
      </c>
      <c r="N1668" s="17">
        <v>8240995350</v>
      </c>
      <c r="O1668" s="17">
        <v>18</v>
      </c>
      <c r="P1668" s="17">
        <v>62</v>
      </c>
      <c r="Q1668" s="17" t="s">
        <v>73</v>
      </c>
      <c r="R1668" s="17" t="s">
        <v>74</v>
      </c>
      <c r="S1668" s="17" t="s">
        <v>75</v>
      </c>
      <c r="T1668" s="17"/>
      <c r="U1668" s="17" t="s">
        <v>105</v>
      </c>
      <c r="V1668" s="17" t="s">
        <v>77</v>
      </c>
      <c r="W1668" s="17" t="s">
        <v>78</v>
      </c>
      <c r="X1668" s="17">
        <v>3</v>
      </c>
      <c r="Y1668" s="17">
        <v>0</v>
      </c>
      <c r="Z1668" s="17"/>
      <c r="AA1668" s="17" t="s">
        <v>73</v>
      </c>
      <c r="AB1668" s="17" t="s">
        <v>79</v>
      </c>
      <c r="AC1668" s="17">
        <v>3</v>
      </c>
      <c r="AD1668" s="17">
        <v>0</v>
      </c>
      <c r="AE1668" s="17">
        <v>1</v>
      </c>
      <c r="AF1668" s="17"/>
      <c r="AG1668" s="17" t="s">
        <v>81</v>
      </c>
      <c r="AH1668" s="17" t="s">
        <v>82</v>
      </c>
      <c r="AI1668" s="17" t="s">
        <v>107</v>
      </c>
      <c r="AJ1668" s="17"/>
      <c r="AK1668" s="17" t="s">
        <v>75</v>
      </c>
      <c r="AL1668" s="17" t="s">
        <v>75</v>
      </c>
      <c r="AM1668" s="17" t="s">
        <v>75</v>
      </c>
      <c r="AN1668" s="17" t="s">
        <v>84</v>
      </c>
      <c r="AO1668" s="17" t="s">
        <v>75</v>
      </c>
      <c r="AP1668" s="17"/>
      <c r="AQ1668" s="17"/>
      <c r="AR1668" s="17"/>
      <c r="AS1668" s="17"/>
      <c r="AT1668" s="17"/>
      <c r="AU1668" s="17" t="s">
        <v>127</v>
      </c>
    </row>
    <row r="1669">
      <c r="A1669" s="17">
        <v>1667</v>
      </c>
      <c r="B1669" s="17" t="s">
        <v>52</v>
      </c>
      <c r="C1669" s="42" t="s">
        <v>4996</v>
      </c>
      <c r="D1669" s="35" t="s">
        <v>3886</v>
      </c>
      <c r="E1669" s="17" t="s">
        <v>4997</v>
      </c>
      <c r="F1669" s="17" t="s">
        <v>4998</v>
      </c>
      <c r="G1669" s="17">
        <v>22.751732000000001</v>
      </c>
      <c r="H1669" s="17">
        <v>87.449954000000005</v>
      </c>
      <c r="I1669" s="17"/>
      <c r="J1669" s="17"/>
      <c r="K1669" s="17"/>
      <c r="L1669" s="17"/>
      <c r="M1669" s="42" t="s">
        <v>4011</v>
      </c>
      <c r="N1669" s="17">
        <v>8240995350</v>
      </c>
      <c r="O1669" s="17">
        <v>18</v>
      </c>
      <c r="P1669" s="17">
        <v>50</v>
      </c>
      <c r="Q1669" s="17" t="s">
        <v>73</v>
      </c>
      <c r="R1669" s="17" t="s">
        <v>74</v>
      </c>
      <c r="S1669" s="17" t="s">
        <v>75</v>
      </c>
      <c r="T1669" s="17"/>
      <c r="U1669" s="17" t="s">
        <v>105</v>
      </c>
      <c r="V1669" s="17" t="s">
        <v>77</v>
      </c>
      <c r="W1669" s="17" t="s">
        <v>252</v>
      </c>
      <c r="X1669" s="17">
        <v>3</v>
      </c>
      <c r="Y1669" s="17">
        <v>0</v>
      </c>
      <c r="Z1669" s="17"/>
      <c r="AA1669" s="17" t="s">
        <v>73</v>
      </c>
      <c r="AB1669" s="17" t="s">
        <v>79</v>
      </c>
      <c r="AC1669" s="17">
        <v>2</v>
      </c>
      <c r="AD1669" s="17">
        <v>0</v>
      </c>
      <c r="AE1669" s="17">
        <v>0</v>
      </c>
      <c r="AF1669" s="17"/>
      <c r="AG1669" s="17" t="s">
        <v>81</v>
      </c>
      <c r="AH1669" s="17" t="s">
        <v>82</v>
      </c>
      <c r="AI1669" s="17" t="s">
        <v>107</v>
      </c>
      <c r="AJ1669" s="17"/>
      <c r="AK1669" s="17" t="s">
        <v>137</v>
      </c>
      <c r="AL1669" s="17" t="s">
        <v>75</v>
      </c>
      <c r="AM1669" s="17" t="s">
        <v>163</v>
      </c>
      <c r="AN1669" s="17" t="s">
        <v>84</v>
      </c>
      <c r="AO1669" s="17" t="s">
        <v>75</v>
      </c>
      <c r="AP1669" s="17"/>
      <c r="AQ1669" s="17"/>
      <c r="AR1669" s="17"/>
      <c r="AS1669" s="17"/>
      <c r="AT1669" s="17" t="s">
        <v>4999</v>
      </c>
      <c r="AU1669" s="17" t="s">
        <v>127</v>
      </c>
    </row>
    <row r="1670">
      <c r="A1670" s="17">
        <v>1668</v>
      </c>
      <c r="B1670" s="17" t="s">
        <v>52</v>
      </c>
      <c r="C1670" s="42" t="s">
        <v>5000</v>
      </c>
      <c r="D1670" s="35" t="s">
        <v>3886</v>
      </c>
      <c r="E1670" s="17" t="s">
        <v>5001</v>
      </c>
      <c r="F1670" s="17" t="s">
        <v>5002</v>
      </c>
      <c r="G1670" s="17">
        <v>22.922308999999998</v>
      </c>
      <c r="H1670" s="17">
        <v>87.416162999999997</v>
      </c>
      <c r="I1670" s="17"/>
      <c r="J1670" s="17"/>
      <c r="K1670" s="17"/>
      <c r="L1670" s="17"/>
      <c r="M1670" s="42" t="s">
        <v>3967</v>
      </c>
      <c r="N1670" s="17"/>
      <c r="O1670" s="17"/>
      <c r="P1670" s="17"/>
      <c r="Q1670" s="17"/>
      <c r="R1670" s="17"/>
      <c r="S1670" s="17"/>
      <c r="T1670" s="17"/>
      <c r="U1670" s="17"/>
      <c r="V1670" s="17"/>
      <c r="W1670" s="17"/>
      <c r="X1670" s="17"/>
      <c r="Y1670" s="17"/>
      <c r="Z1670" s="17"/>
      <c r="AA1670" s="17"/>
      <c r="AB1670" s="17"/>
      <c r="AC1670" s="17"/>
      <c r="AD1670" s="17"/>
      <c r="AE1670" s="17"/>
      <c r="AF1670" s="17"/>
      <c r="AG1670" s="17"/>
      <c r="AH1670" s="17"/>
      <c r="AI1670" s="17"/>
      <c r="AJ1670" s="17"/>
      <c r="AK1670" s="17"/>
      <c r="AL1670" s="17"/>
      <c r="AM1670" s="17"/>
      <c r="AN1670" s="17"/>
      <c r="AO1670" s="17"/>
      <c r="AP1670" s="17"/>
      <c r="AQ1670" s="17"/>
      <c r="AR1670" s="17"/>
      <c r="AS1670" s="17"/>
      <c r="AT1670" s="17"/>
      <c r="AU1670" s="17"/>
    </row>
    <row r="1671">
      <c r="A1671" s="17">
        <v>1669</v>
      </c>
      <c r="B1671" s="17" t="s">
        <v>52</v>
      </c>
      <c r="C1671" s="42" t="s">
        <v>5003</v>
      </c>
      <c r="D1671" s="35" t="s">
        <v>3886</v>
      </c>
      <c r="E1671" s="17" t="s">
        <v>5004</v>
      </c>
      <c r="F1671" s="17" t="s">
        <v>5005</v>
      </c>
      <c r="G1671" s="17">
        <v>22.914697</v>
      </c>
      <c r="H1671" s="17">
        <v>87.306274999999999</v>
      </c>
      <c r="I1671" s="17"/>
      <c r="J1671" s="17"/>
      <c r="K1671" s="17"/>
      <c r="L1671" s="17"/>
      <c r="M1671" s="42" t="s">
        <v>3967</v>
      </c>
      <c r="N1671" s="17"/>
      <c r="O1671" s="17"/>
      <c r="P1671" s="17"/>
      <c r="Q1671" s="17"/>
      <c r="R1671" s="17"/>
      <c r="S1671" s="17"/>
      <c r="T1671" s="17"/>
      <c r="U1671" s="17"/>
      <c r="V1671" s="17"/>
      <c r="W1671" s="17"/>
      <c r="X1671" s="17"/>
      <c r="Y1671" s="17"/>
      <c r="Z1671" s="17"/>
      <c r="AA1671" s="17"/>
      <c r="AB1671" s="17"/>
      <c r="AC1671" s="17"/>
      <c r="AD1671" s="17"/>
      <c r="AE1671" s="17"/>
      <c r="AF1671" s="17"/>
      <c r="AG1671" s="17"/>
      <c r="AH1671" s="17"/>
      <c r="AI1671" s="17"/>
      <c r="AJ1671" s="17"/>
      <c r="AK1671" s="17"/>
      <c r="AL1671" s="17"/>
      <c r="AM1671" s="17"/>
      <c r="AN1671" s="17"/>
      <c r="AO1671" s="17"/>
      <c r="AP1671" s="17"/>
      <c r="AQ1671" s="17"/>
      <c r="AR1671" s="17"/>
      <c r="AS1671" s="17"/>
      <c r="AT1671" s="17"/>
      <c r="AU1671" s="17"/>
    </row>
    <row r="1672">
      <c r="A1672" s="17">
        <v>1670</v>
      </c>
      <c r="B1672" s="17" t="s">
        <v>52</v>
      </c>
      <c r="C1672" s="42" t="s">
        <v>5006</v>
      </c>
      <c r="D1672" s="35" t="s">
        <v>3886</v>
      </c>
      <c r="E1672" s="17" t="s">
        <v>5007</v>
      </c>
      <c r="F1672" s="17" t="s">
        <v>5008</v>
      </c>
      <c r="G1672" s="17">
        <v>22.895987999999999</v>
      </c>
      <c r="H1672" s="17">
        <v>87.343390999999997</v>
      </c>
      <c r="I1672" s="17"/>
      <c r="J1672" s="17"/>
      <c r="K1672" s="17"/>
      <c r="L1672" s="17"/>
      <c r="M1672" s="42" t="s">
        <v>3967</v>
      </c>
      <c r="N1672" s="17"/>
      <c r="O1672" s="17"/>
      <c r="P1672" s="17"/>
      <c r="Q1672" s="17"/>
      <c r="R1672" s="17"/>
      <c r="S1672" s="17"/>
      <c r="T1672" s="17"/>
      <c r="U1672" s="17"/>
      <c r="V1672" s="17"/>
      <c r="W1672" s="17"/>
      <c r="X1672" s="17"/>
      <c r="Y1672" s="17"/>
      <c r="Z1672" s="17"/>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row>
    <row r="1673">
      <c r="A1673" s="17">
        <v>1671</v>
      </c>
      <c r="B1673" s="17" t="s">
        <v>52</v>
      </c>
      <c r="C1673" s="42" t="s">
        <v>5009</v>
      </c>
      <c r="D1673" s="35" t="s">
        <v>3886</v>
      </c>
      <c r="E1673" s="17" t="s">
        <v>5010</v>
      </c>
      <c r="F1673" s="17" t="s">
        <v>5011</v>
      </c>
      <c r="G1673" s="17">
        <v>22.887547999999999</v>
      </c>
      <c r="H1673" s="17">
        <v>87.265269000000004</v>
      </c>
      <c r="I1673" s="17"/>
      <c r="J1673" s="17"/>
      <c r="K1673" s="17"/>
      <c r="L1673" s="17"/>
      <c r="M1673" s="42" t="s">
        <v>3967</v>
      </c>
      <c r="N1673" s="17"/>
      <c r="O1673" s="17"/>
      <c r="P1673" s="17"/>
      <c r="Q1673" s="17"/>
      <c r="R1673" s="17"/>
      <c r="S1673" s="17"/>
      <c r="T1673" s="17"/>
      <c r="U1673" s="17"/>
      <c r="V1673" s="17"/>
      <c r="W1673" s="17"/>
      <c r="X1673" s="17"/>
      <c r="Y1673" s="17"/>
      <c r="Z1673" s="17"/>
      <c r="AA1673" s="17"/>
      <c r="AB1673" s="17"/>
      <c r="AC1673" s="17"/>
      <c r="AD1673" s="17"/>
      <c r="AE1673" s="17"/>
      <c r="AF1673" s="17"/>
      <c r="AG1673" s="17"/>
      <c r="AH1673" s="17"/>
      <c r="AI1673" s="17"/>
      <c r="AJ1673" s="17"/>
      <c r="AK1673" s="17"/>
      <c r="AL1673" s="17"/>
      <c r="AM1673" s="17"/>
      <c r="AN1673" s="17"/>
      <c r="AO1673" s="17"/>
      <c r="AP1673" s="17"/>
      <c r="AQ1673" s="17"/>
      <c r="AR1673" s="17"/>
      <c r="AS1673" s="17"/>
      <c r="AT1673" s="17"/>
      <c r="AU1673" s="17"/>
    </row>
    <row r="1674">
      <c r="A1674" s="17">
        <v>1672</v>
      </c>
      <c r="B1674" s="17" t="s">
        <v>52</v>
      </c>
      <c r="C1674" s="42" t="s">
        <v>5012</v>
      </c>
      <c r="D1674" s="35" t="s">
        <v>3886</v>
      </c>
      <c r="E1674" s="17" t="s">
        <v>5013</v>
      </c>
      <c r="F1674" s="17" t="s">
        <v>5014</v>
      </c>
      <c r="G1674" s="17">
        <v>22.883666999999999</v>
      </c>
      <c r="H1674" s="17">
        <v>87.441030999999995</v>
      </c>
      <c r="I1674" s="17"/>
      <c r="J1674" s="17"/>
      <c r="K1674" s="17"/>
      <c r="L1674" s="17"/>
      <c r="M1674" s="42" t="s">
        <v>4011</v>
      </c>
      <c r="N1674" s="17">
        <v>8240995350</v>
      </c>
      <c r="O1674" s="17">
        <v>20</v>
      </c>
      <c r="P1674" s="17">
        <v>105</v>
      </c>
      <c r="Q1674" s="17" t="s">
        <v>73</v>
      </c>
      <c r="R1674" s="17" t="s">
        <v>74</v>
      </c>
      <c r="S1674" s="17" t="s">
        <v>75</v>
      </c>
      <c r="T1674" s="17"/>
      <c r="U1674" s="17" t="s">
        <v>105</v>
      </c>
      <c r="V1674" s="17" t="s">
        <v>77</v>
      </c>
      <c r="W1674" s="17" t="s">
        <v>123</v>
      </c>
      <c r="X1674" s="17">
        <v>3</v>
      </c>
      <c r="Y1674" s="17">
        <v>0</v>
      </c>
      <c r="Z1674" s="17"/>
      <c r="AA1674" s="17" t="s">
        <v>73</v>
      </c>
      <c r="AB1674" s="17" t="s">
        <v>79</v>
      </c>
      <c r="AC1674" s="17">
        <v>3</v>
      </c>
      <c r="AD1674" s="17">
        <v>0</v>
      </c>
      <c r="AE1674" s="17">
        <v>0</v>
      </c>
      <c r="AF1674" s="17"/>
      <c r="AG1674" s="17" t="s">
        <v>81</v>
      </c>
      <c r="AH1674" s="17" t="s">
        <v>82</v>
      </c>
      <c r="AI1674" s="17" t="s">
        <v>107</v>
      </c>
      <c r="AJ1674" s="17"/>
      <c r="AK1674" s="17" t="s">
        <v>75</v>
      </c>
      <c r="AL1674" s="17" t="s">
        <v>75</v>
      </c>
      <c r="AM1674" s="17" t="s">
        <v>75</v>
      </c>
      <c r="AN1674" s="17" t="s">
        <v>125</v>
      </c>
      <c r="AO1674" s="17" t="s">
        <v>75</v>
      </c>
      <c r="AP1674" s="17"/>
      <c r="AQ1674" s="17"/>
      <c r="AR1674" s="17"/>
      <c r="AS1674" s="17"/>
      <c r="AT1674" s="17" t="s">
        <v>5015</v>
      </c>
      <c r="AU1674" s="17" t="s">
        <v>111</v>
      </c>
    </row>
    <row r="1675">
      <c r="A1675" s="17">
        <v>1673</v>
      </c>
      <c r="B1675" s="17" t="s">
        <v>52</v>
      </c>
      <c r="C1675" s="42" t="s">
        <v>5016</v>
      </c>
      <c r="D1675" s="35" t="s">
        <v>3886</v>
      </c>
      <c r="E1675" s="17" t="s">
        <v>5017</v>
      </c>
      <c r="F1675" s="17" t="s">
        <v>5018</v>
      </c>
      <c r="G1675" s="17">
        <v>22.881149000000001</v>
      </c>
      <c r="H1675" s="17">
        <v>87.361701999999994</v>
      </c>
      <c r="I1675" s="17"/>
      <c r="J1675" s="17"/>
      <c r="K1675" s="17"/>
      <c r="L1675" s="17"/>
      <c r="M1675" s="42" t="s">
        <v>3967</v>
      </c>
      <c r="N1675" s="17"/>
      <c r="O1675" s="17"/>
      <c r="P1675" s="17"/>
      <c r="Q1675" s="17"/>
      <c r="R1675" s="17"/>
      <c r="S1675" s="17"/>
      <c r="T1675" s="17"/>
      <c r="U1675" s="17"/>
      <c r="V1675" s="17"/>
      <c r="W1675" s="17"/>
      <c r="X1675" s="17"/>
      <c r="Y1675" s="17"/>
      <c r="Z1675" s="17"/>
      <c r="AA1675" s="17"/>
      <c r="AB1675" s="17"/>
      <c r="AC1675" s="17"/>
      <c r="AD1675" s="17"/>
      <c r="AE1675" s="17"/>
      <c r="AF1675" s="17"/>
      <c r="AG1675" s="17"/>
      <c r="AH1675" s="17"/>
      <c r="AI1675" s="17"/>
      <c r="AJ1675" s="17"/>
      <c r="AK1675" s="17"/>
      <c r="AL1675" s="17"/>
      <c r="AM1675" s="17"/>
      <c r="AN1675" s="17"/>
      <c r="AO1675" s="17"/>
      <c r="AP1675" s="17"/>
      <c r="AQ1675" s="17"/>
      <c r="AR1675" s="17"/>
      <c r="AS1675" s="17"/>
      <c r="AT1675" s="17"/>
      <c r="AU1675" s="17"/>
    </row>
    <row r="1676">
      <c r="A1676" s="17">
        <v>1674</v>
      </c>
      <c r="B1676" s="17" t="s">
        <v>52</v>
      </c>
      <c r="C1676" s="42" t="s">
        <v>5019</v>
      </c>
      <c r="D1676" s="35" t="s">
        <v>3886</v>
      </c>
      <c r="E1676" s="17" t="s">
        <v>5020</v>
      </c>
      <c r="F1676" s="17" t="s">
        <v>5021</v>
      </c>
      <c r="G1676" s="17">
        <v>22.851507999999999</v>
      </c>
      <c r="H1676" s="17">
        <v>87.466346999999999</v>
      </c>
      <c r="I1676" s="17"/>
      <c r="J1676" s="17"/>
      <c r="K1676" s="17"/>
      <c r="L1676" s="17"/>
      <c r="M1676" s="42" t="s">
        <v>4011</v>
      </c>
      <c r="N1676" s="17">
        <v>8240995350</v>
      </c>
      <c r="O1676" s="17">
        <v>18</v>
      </c>
      <c r="P1676" s="17">
        <v>110</v>
      </c>
      <c r="Q1676" s="17" t="s">
        <v>187</v>
      </c>
      <c r="R1676" s="17" t="s">
        <v>339</v>
      </c>
      <c r="S1676" s="17" t="s">
        <v>75</v>
      </c>
      <c r="T1676" s="17"/>
      <c r="U1676" s="17" t="s">
        <v>105</v>
      </c>
      <c r="V1676" s="17" t="s">
        <v>77</v>
      </c>
      <c r="W1676" s="17" t="s">
        <v>123</v>
      </c>
      <c r="X1676" s="17">
        <v>6</v>
      </c>
      <c r="Y1676" s="17">
        <v>2</v>
      </c>
      <c r="Z1676" s="17" t="s">
        <v>5022</v>
      </c>
      <c r="AA1676" s="17" t="s">
        <v>187</v>
      </c>
      <c r="AB1676" s="17" t="s">
        <v>79</v>
      </c>
      <c r="AC1676" s="17">
        <v>6</v>
      </c>
      <c r="AD1676" s="17">
        <v>0</v>
      </c>
      <c r="AE1676" s="17">
        <v>0</v>
      </c>
      <c r="AF1676" s="17"/>
      <c r="AG1676" s="17" t="s">
        <v>124</v>
      </c>
      <c r="AH1676" s="17" t="s">
        <v>162</v>
      </c>
      <c r="AI1676" s="17" t="s">
        <v>83</v>
      </c>
      <c r="AJ1676" s="17">
        <v>2112</v>
      </c>
      <c r="AK1676" s="17" t="s">
        <v>75</v>
      </c>
      <c r="AL1676" s="17" t="s">
        <v>75</v>
      </c>
      <c r="AM1676" s="17" t="s">
        <v>75</v>
      </c>
      <c r="AN1676" s="17" t="s">
        <v>84</v>
      </c>
      <c r="AO1676" s="17" t="s">
        <v>75</v>
      </c>
      <c r="AP1676" s="17"/>
      <c r="AQ1676" s="17"/>
      <c r="AR1676" s="17"/>
      <c r="AS1676" s="17"/>
      <c r="AT1676" s="17"/>
      <c r="AU1676" s="17" t="s">
        <v>111</v>
      </c>
    </row>
    <row r="1677">
      <c r="A1677" s="17">
        <v>1675</v>
      </c>
      <c r="B1677" s="17" t="s">
        <v>52</v>
      </c>
      <c r="C1677" s="42" t="s">
        <v>5023</v>
      </c>
      <c r="D1677" s="35" t="s">
        <v>3886</v>
      </c>
      <c r="E1677" s="17" t="s">
        <v>5024</v>
      </c>
      <c r="F1677" s="17" t="s">
        <v>5025</v>
      </c>
      <c r="G1677" s="17">
        <v>22.846388999999999</v>
      </c>
      <c r="H1677" s="17">
        <v>87.267145999999997</v>
      </c>
      <c r="I1677" s="17"/>
      <c r="J1677" s="17"/>
      <c r="K1677" s="17"/>
      <c r="L1677" s="17"/>
      <c r="M1677" s="42" t="s">
        <v>3967</v>
      </c>
      <c r="N1677" s="17"/>
      <c r="O1677" s="17"/>
      <c r="P1677" s="17"/>
      <c r="Q1677" s="17"/>
      <c r="R1677" s="17"/>
      <c r="S1677" s="17"/>
      <c r="T1677" s="17"/>
      <c r="U1677" s="17"/>
      <c r="V1677" s="17"/>
      <c r="W1677" s="17"/>
      <c r="X1677" s="17"/>
      <c r="Y1677" s="17"/>
      <c r="Z1677" s="17"/>
      <c r="AA1677" s="17"/>
      <c r="AB1677" s="17"/>
      <c r="AC1677" s="17"/>
      <c r="AD1677" s="17"/>
      <c r="AE1677" s="17"/>
      <c r="AF1677" s="17"/>
      <c r="AG1677" s="17"/>
      <c r="AH1677" s="17"/>
      <c r="AI1677" s="17"/>
      <c r="AJ1677" s="17"/>
      <c r="AK1677" s="17"/>
      <c r="AL1677" s="17"/>
      <c r="AM1677" s="17"/>
      <c r="AN1677" s="17"/>
      <c r="AO1677" s="17"/>
      <c r="AP1677" s="17"/>
      <c r="AQ1677" s="17"/>
      <c r="AR1677" s="17"/>
      <c r="AS1677" s="17"/>
      <c r="AT1677" s="17"/>
      <c r="AU1677" s="17"/>
    </row>
    <row r="1678">
      <c r="A1678" s="17">
        <v>1676</v>
      </c>
      <c r="B1678" s="17" t="s">
        <v>52</v>
      </c>
      <c r="C1678" s="42" t="s">
        <v>5026</v>
      </c>
      <c r="D1678" s="35" t="s">
        <v>3886</v>
      </c>
      <c r="E1678" s="17" t="s">
        <v>5027</v>
      </c>
      <c r="F1678" s="17" t="s">
        <v>5028</v>
      </c>
      <c r="G1678" s="17">
        <v>22.834681</v>
      </c>
      <c r="H1678" s="17">
        <v>87.144699000000003</v>
      </c>
      <c r="I1678" s="17"/>
      <c r="J1678" s="17"/>
      <c r="K1678" s="17"/>
      <c r="L1678" s="17"/>
      <c r="M1678" s="42" t="s">
        <v>4210</v>
      </c>
      <c r="N1678" s="17">
        <v>7980098242</v>
      </c>
      <c r="O1678" s="17">
        <v>9</v>
      </c>
      <c r="P1678" s="17">
        <v>70</v>
      </c>
      <c r="Q1678" s="17" t="s">
        <v>73</v>
      </c>
      <c r="R1678" s="17" t="s">
        <v>74</v>
      </c>
      <c r="S1678" s="17" t="s">
        <v>75</v>
      </c>
      <c r="T1678" s="17"/>
      <c r="U1678" s="17" t="s">
        <v>76</v>
      </c>
      <c r="V1678" s="17" t="s">
        <v>77</v>
      </c>
      <c r="W1678" s="17" t="s">
        <v>449</v>
      </c>
      <c r="X1678" s="17">
        <v>3</v>
      </c>
      <c r="Y1678" s="17">
        <v>0</v>
      </c>
      <c r="Z1678" s="17" t="s">
        <v>109</v>
      </c>
      <c r="AA1678" s="17" t="s">
        <v>73</v>
      </c>
      <c r="AB1678" s="17" t="s">
        <v>79</v>
      </c>
      <c r="AC1678" s="17">
        <v>2</v>
      </c>
      <c r="AD1678" s="17">
        <v>0</v>
      </c>
      <c r="AE1678" s="17">
        <v>0</v>
      </c>
      <c r="AF1678" s="17"/>
      <c r="AG1678" s="17" t="s">
        <v>81</v>
      </c>
      <c r="AH1678" s="17" t="s">
        <v>82</v>
      </c>
      <c r="AI1678" s="17" t="s">
        <v>107</v>
      </c>
      <c r="AJ1678" s="17"/>
      <c r="AK1678" s="17" t="s">
        <v>75</v>
      </c>
      <c r="AL1678" s="17" t="s">
        <v>75</v>
      </c>
      <c r="AM1678" s="17" t="s">
        <v>163</v>
      </c>
      <c r="AN1678" s="17" t="s">
        <v>84</v>
      </c>
      <c r="AO1678" s="17" t="s">
        <v>75</v>
      </c>
      <c r="AP1678" s="17"/>
      <c r="AQ1678" s="17"/>
      <c r="AR1678" s="17"/>
      <c r="AS1678" s="17"/>
      <c r="AT1678" s="17" t="s">
        <v>5029</v>
      </c>
      <c r="AU1678" s="17" t="s">
        <v>430</v>
      </c>
    </row>
    <row r="1679">
      <c r="A1679" s="17">
        <v>1677</v>
      </c>
      <c r="B1679" s="17" t="s">
        <v>52</v>
      </c>
      <c r="C1679" s="42" t="s">
        <v>5030</v>
      </c>
      <c r="D1679" s="35" t="s">
        <v>3886</v>
      </c>
      <c r="E1679" s="17" t="s">
        <v>5031</v>
      </c>
      <c r="F1679" s="17" t="s">
        <v>5032</v>
      </c>
      <c r="G1679" s="17">
        <v>22.832284000000001</v>
      </c>
      <c r="H1679" s="17">
        <v>87.265522000000004</v>
      </c>
      <c r="I1679" s="17"/>
      <c r="J1679" s="17"/>
      <c r="K1679" s="17"/>
      <c r="L1679" s="17"/>
      <c r="M1679" s="42" t="s">
        <v>4210</v>
      </c>
      <c r="N1679" s="17">
        <v>7980098242</v>
      </c>
      <c r="O1679" s="17"/>
      <c r="P1679" s="17"/>
      <c r="Q1679" s="17"/>
      <c r="R1679" s="17"/>
      <c r="S1679" s="17"/>
      <c r="T1679" s="17"/>
      <c r="U1679" s="17"/>
      <c r="V1679" s="17"/>
      <c r="W1679" s="17"/>
      <c r="X1679" s="17"/>
      <c r="Y1679" s="17"/>
      <c r="Z1679" s="17"/>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row>
    <row r="1680">
      <c r="A1680" s="17">
        <v>1678</v>
      </c>
      <c r="B1680" s="17" t="s">
        <v>52</v>
      </c>
      <c r="C1680" s="42" t="s">
        <v>5033</v>
      </c>
      <c r="D1680" s="35" t="s">
        <v>3886</v>
      </c>
      <c r="E1680" s="17" t="s">
        <v>4846</v>
      </c>
      <c r="F1680" s="17" t="s">
        <v>5034</v>
      </c>
      <c r="G1680" s="17">
        <v>22.823439</v>
      </c>
      <c r="H1680" s="17">
        <v>87.313143999999994</v>
      </c>
      <c r="I1680" s="17"/>
      <c r="J1680" s="17"/>
      <c r="K1680" s="17"/>
      <c r="L1680" s="17"/>
      <c r="M1680" s="42" t="s">
        <v>3967</v>
      </c>
      <c r="N1680" s="17"/>
      <c r="O1680" s="17"/>
      <c r="P1680" s="17"/>
      <c r="Q1680" s="17"/>
      <c r="R1680" s="17"/>
      <c r="S1680" s="17"/>
      <c r="T1680" s="17"/>
      <c r="U1680" s="17"/>
      <c r="V1680" s="17"/>
      <c r="W1680" s="17"/>
      <c r="X1680" s="17"/>
      <c r="Y1680" s="17"/>
      <c r="Z1680" s="17"/>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row>
    <row r="1681">
      <c r="A1681" s="17">
        <v>1679</v>
      </c>
      <c r="B1681" s="17" t="s">
        <v>52</v>
      </c>
      <c r="C1681" s="42" t="s">
        <v>5035</v>
      </c>
      <c r="D1681" s="35" t="s">
        <v>3886</v>
      </c>
      <c r="E1681" s="17" t="s">
        <v>5036</v>
      </c>
      <c r="F1681" s="17" t="s">
        <v>5037</v>
      </c>
      <c r="G1681" s="17">
        <v>22.809246000000002</v>
      </c>
      <c r="H1681" s="17">
        <v>87.190979999999996</v>
      </c>
      <c r="I1681" s="17"/>
      <c r="J1681" s="17"/>
      <c r="K1681" s="17"/>
      <c r="L1681" s="17"/>
      <c r="M1681" s="42" t="s">
        <v>4210</v>
      </c>
      <c r="N1681" s="17">
        <v>7980098242</v>
      </c>
      <c r="O1681" s="17"/>
      <c r="P1681" s="17"/>
      <c r="Q1681" s="17"/>
      <c r="R1681" s="17"/>
      <c r="S1681" s="17"/>
      <c r="T1681" s="17"/>
      <c r="U1681" s="17"/>
      <c r="V1681" s="17"/>
      <c r="W1681" s="17"/>
      <c r="X1681" s="17"/>
      <c r="Y1681" s="17"/>
      <c r="Z1681" s="17"/>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row>
    <row r="1682">
      <c r="A1682" s="17">
        <v>1680</v>
      </c>
      <c r="B1682" s="17" t="s">
        <v>52</v>
      </c>
      <c r="C1682" s="42" t="s">
        <v>5038</v>
      </c>
      <c r="D1682" s="35" t="s">
        <v>3886</v>
      </c>
      <c r="E1682" s="17" t="s">
        <v>5039</v>
      </c>
      <c r="F1682" s="17" t="s">
        <v>5040</v>
      </c>
      <c r="G1682" s="17">
        <v>22.800177000000001</v>
      </c>
      <c r="H1682" s="17">
        <v>87.230590000000007</v>
      </c>
      <c r="I1682" s="17"/>
      <c r="J1682" s="17"/>
      <c r="K1682" s="17"/>
      <c r="L1682" s="17"/>
      <c r="M1682" s="42" t="s">
        <v>4210</v>
      </c>
      <c r="N1682" s="17">
        <v>7980098242</v>
      </c>
      <c r="O1682" s="17"/>
      <c r="P1682" s="17"/>
      <c r="Q1682" s="17"/>
      <c r="R1682" s="17"/>
      <c r="S1682" s="17"/>
      <c r="T1682" s="17"/>
      <c r="U1682" s="17"/>
      <c r="V1682" s="17"/>
      <c r="W1682" s="17"/>
      <c r="X1682" s="17"/>
      <c r="Y1682" s="17"/>
      <c r="Z1682" s="17"/>
      <c r="AA1682" s="17"/>
      <c r="AB1682" s="17"/>
      <c r="AC1682" s="17"/>
      <c r="AD1682" s="17"/>
      <c r="AE1682" s="17"/>
      <c r="AF1682" s="17"/>
      <c r="AG1682" s="17"/>
      <c r="AH1682" s="17"/>
      <c r="AI1682" s="17"/>
      <c r="AJ1682" s="17"/>
      <c r="AK1682" s="17"/>
      <c r="AL1682" s="17"/>
      <c r="AM1682" s="17"/>
      <c r="AN1682" s="17"/>
      <c r="AO1682" s="17"/>
      <c r="AP1682" s="17"/>
      <c r="AQ1682" s="17"/>
      <c r="AR1682" s="17"/>
      <c r="AS1682" s="17"/>
      <c r="AT1682" s="17"/>
      <c r="AU1682" s="17"/>
    </row>
    <row r="1683">
      <c r="A1683" s="17">
        <v>1681</v>
      </c>
      <c r="B1683" s="17" t="s">
        <v>52</v>
      </c>
      <c r="C1683" s="42" t="s">
        <v>5041</v>
      </c>
      <c r="D1683" s="35" t="s">
        <v>3886</v>
      </c>
      <c r="E1683" s="17" t="s">
        <v>3956</v>
      </c>
      <c r="F1683" s="17" t="s">
        <v>5042</v>
      </c>
      <c r="G1683" s="17">
        <v>22.800602999999999</v>
      </c>
      <c r="H1683" s="17">
        <v>87.538882000000001</v>
      </c>
      <c r="I1683" s="17"/>
      <c r="J1683" s="17"/>
      <c r="K1683" s="17"/>
      <c r="L1683" s="17"/>
      <c r="M1683" s="42" t="s">
        <v>4011</v>
      </c>
      <c r="N1683" s="17">
        <v>8240995350</v>
      </c>
      <c r="O1683" s="17"/>
      <c r="P1683" s="17"/>
      <c r="Q1683" s="17"/>
      <c r="R1683" s="17"/>
      <c r="S1683" s="17"/>
      <c r="T1683" s="17"/>
      <c r="U1683" s="17"/>
      <c r="V1683" s="17"/>
      <c r="W1683" s="17"/>
      <c r="X1683" s="17"/>
      <c r="Y1683" s="17"/>
      <c r="Z1683" s="17"/>
      <c r="AA1683" s="17"/>
      <c r="AB1683" s="17"/>
      <c r="AC1683" s="17"/>
      <c r="AD1683" s="17"/>
      <c r="AE1683" s="17"/>
      <c r="AF1683" s="17"/>
      <c r="AG1683" s="17"/>
      <c r="AH1683" s="17"/>
      <c r="AI1683" s="17"/>
      <c r="AJ1683" s="17"/>
      <c r="AK1683" s="17"/>
      <c r="AL1683" s="17"/>
      <c r="AM1683" s="17"/>
      <c r="AN1683" s="17"/>
      <c r="AO1683" s="17"/>
      <c r="AP1683" s="17"/>
      <c r="AQ1683" s="17"/>
      <c r="AR1683" s="17"/>
      <c r="AS1683" s="17"/>
      <c r="AT1683" s="17"/>
      <c r="AU1683" s="17"/>
    </row>
    <row r="1684">
      <c r="A1684" s="17">
        <v>1682</v>
      </c>
      <c r="B1684" s="17" t="s">
        <v>52</v>
      </c>
      <c r="C1684" s="42" t="s">
        <v>5043</v>
      </c>
      <c r="D1684" s="35" t="s">
        <v>3886</v>
      </c>
      <c r="E1684" s="17" t="s">
        <v>5044</v>
      </c>
      <c r="F1684" s="17" t="s">
        <v>5045</v>
      </c>
      <c r="G1684" s="17">
        <v>22.795455</v>
      </c>
      <c r="H1684" s="17">
        <v>87.087587999999997</v>
      </c>
      <c r="I1684" s="17"/>
      <c r="J1684" s="17"/>
      <c r="K1684" s="17"/>
      <c r="L1684" s="17"/>
      <c r="M1684" s="42" t="s">
        <v>4210</v>
      </c>
      <c r="N1684" s="17">
        <v>7980098242</v>
      </c>
      <c r="O1684" s="17"/>
      <c r="P1684" s="17"/>
      <c r="Q1684" s="17"/>
      <c r="R1684" s="17"/>
      <c r="S1684" s="17"/>
      <c r="T1684" s="17"/>
      <c r="U1684" s="17"/>
      <c r="V1684" s="17"/>
      <c r="W1684" s="17"/>
      <c r="X1684" s="17"/>
      <c r="Y1684" s="17"/>
      <c r="Z1684" s="17"/>
      <c r="AA1684" s="17"/>
      <c r="AB1684" s="17"/>
      <c r="AC1684" s="17"/>
      <c r="AD1684" s="17"/>
      <c r="AE1684" s="17"/>
      <c r="AF1684" s="17"/>
      <c r="AG1684" s="17"/>
      <c r="AH1684" s="17"/>
      <c r="AI1684" s="17"/>
      <c r="AJ1684" s="17"/>
      <c r="AK1684" s="17"/>
      <c r="AL1684" s="17"/>
      <c r="AM1684" s="17"/>
      <c r="AN1684" s="17"/>
      <c r="AO1684" s="17"/>
      <c r="AP1684" s="17"/>
      <c r="AQ1684" s="17"/>
      <c r="AR1684" s="17"/>
      <c r="AS1684" s="17"/>
      <c r="AT1684" s="17"/>
      <c r="AU1684" s="17"/>
    </row>
    <row r="1685">
      <c r="A1685" s="17">
        <v>1683</v>
      </c>
      <c r="B1685" s="17" t="s">
        <v>52</v>
      </c>
      <c r="C1685" s="42" t="s">
        <v>5046</v>
      </c>
      <c r="D1685" s="35" t="s">
        <v>3886</v>
      </c>
      <c r="E1685" s="17" t="s">
        <v>5047</v>
      </c>
      <c r="F1685" s="17" t="s">
        <v>5048</v>
      </c>
      <c r="G1685" s="17">
        <v>22.769608000000002</v>
      </c>
      <c r="H1685" s="17">
        <v>87.658111000000005</v>
      </c>
      <c r="I1685" s="17"/>
      <c r="J1685" s="17"/>
      <c r="K1685" s="17"/>
      <c r="L1685" s="17"/>
      <c r="M1685" s="42" t="s">
        <v>3987</v>
      </c>
      <c r="N1685" s="17"/>
      <c r="O1685" s="17"/>
      <c r="P1685" s="17"/>
      <c r="Q1685" s="17"/>
      <c r="R1685" s="17"/>
      <c r="S1685" s="17"/>
      <c r="T1685" s="17"/>
      <c r="U1685" s="17"/>
      <c r="V1685" s="17"/>
      <c r="W1685" s="17"/>
      <c r="X1685" s="17"/>
      <c r="Y1685" s="17"/>
      <c r="Z1685" s="17"/>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row>
    <row r="1686">
      <c r="A1686" s="17">
        <v>1684</v>
      </c>
      <c r="B1686" s="17" t="s">
        <v>52</v>
      </c>
      <c r="C1686" s="42" t="s">
        <v>5049</v>
      </c>
      <c r="D1686" s="35" t="s">
        <v>3886</v>
      </c>
      <c r="E1686" s="17" t="s">
        <v>5050</v>
      </c>
      <c r="F1686" s="17" t="s">
        <v>5051</v>
      </c>
      <c r="G1686" s="17">
        <v>22.769127999999998</v>
      </c>
      <c r="H1686" s="17">
        <v>87.154741000000001</v>
      </c>
      <c r="I1686" s="17"/>
      <c r="J1686" s="17"/>
      <c r="K1686" s="17"/>
      <c r="L1686" s="17"/>
      <c r="M1686" s="42" t="s">
        <v>4210</v>
      </c>
      <c r="N1686" s="17">
        <v>7980098242</v>
      </c>
      <c r="O1686" s="17"/>
      <c r="P1686" s="17"/>
      <c r="Q1686" s="17"/>
      <c r="R1686" s="17"/>
      <c r="S1686" s="17"/>
      <c r="T1686" s="17"/>
      <c r="U1686" s="17"/>
      <c r="V1686" s="17"/>
      <c r="W1686" s="17"/>
      <c r="X1686" s="17"/>
      <c r="Y1686" s="17"/>
      <c r="Z1686" s="17"/>
      <c r="AA1686" s="17"/>
      <c r="AB1686" s="17"/>
      <c r="AC1686" s="17"/>
      <c r="AD1686" s="17"/>
      <c r="AE1686" s="17"/>
      <c r="AF1686" s="17"/>
      <c r="AG1686" s="17"/>
      <c r="AH1686" s="17"/>
      <c r="AI1686" s="17"/>
      <c r="AJ1686" s="17"/>
      <c r="AK1686" s="17"/>
      <c r="AL1686" s="17"/>
      <c r="AM1686" s="17"/>
      <c r="AN1686" s="17"/>
      <c r="AO1686" s="17"/>
      <c r="AP1686" s="17"/>
      <c r="AQ1686" s="17"/>
      <c r="AR1686" s="17"/>
      <c r="AS1686" s="17"/>
      <c r="AT1686" s="17"/>
      <c r="AU1686" s="17"/>
    </row>
    <row r="1687">
      <c r="A1687" s="17">
        <v>1685</v>
      </c>
      <c r="B1687" s="17" t="s">
        <v>52</v>
      </c>
      <c r="C1687" s="42" t="s">
        <v>5052</v>
      </c>
      <c r="D1687" s="35" t="s">
        <v>3886</v>
      </c>
      <c r="E1687" s="17" t="s">
        <v>5053</v>
      </c>
      <c r="F1687" s="17" t="s">
        <v>5054</v>
      </c>
      <c r="G1687" s="17">
        <v>22.751197999999999</v>
      </c>
      <c r="H1687" s="17">
        <v>87.129724999999993</v>
      </c>
      <c r="I1687" s="17"/>
      <c r="J1687" s="17"/>
      <c r="K1687" s="17"/>
      <c r="L1687" s="17"/>
      <c r="M1687" s="42" t="s">
        <v>4210</v>
      </c>
      <c r="N1687" s="17">
        <v>7980098242</v>
      </c>
      <c r="O1687" s="17"/>
      <c r="P1687" s="17"/>
      <c r="Q1687" s="17"/>
      <c r="R1687" s="17"/>
      <c r="S1687" s="17"/>
      <c r="T1687" s="17"/>
      <c r="U1687" s="17"/>
      <c r="V1687" s="17"/>
      <c r="W1687" s="17"/>
      <c r="X1687" s="17"/>
      <c r="Y1687" s="17"/>
      <c r="Z1687" s="17"/>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row>
    <row r="1688">
      <c r="A1688" s="17">
        <v>1686</v>
      </c>
      <c r="B1688" s="17" t="s">
        <v>52</v>
      </c>
      <c r="C1688" s="42" t="s">
        <v>5055</v>
      </c>
      <c r="D1688" s="35" t="s">
        <v>3886</v>
      </c>
      <c r="E1688" s="17" t="s">
        <v>5056</v>
      </c>
      <c r="F1688" s="17" t="s">
        <v>5057</v>
      </c>
      <c r="G1688" s="17">
        <v>22.745676</v>
      </c>
      <c r="H1688" s="17">
        <v>87.203564999999998</v>
      </c>
      <c r="I1688" s="17"/>
      <c r="J1688" s="17"/>
      <c r="K1688" s="17"/>
      <c r="L1688" s="17"/>
      <c r="M1688" s="42" t="s">
        <v>4210</v>
      </c>
      <c r="N1688" s="17">
        <v>7980098242</v>
      </c>
      <c r="O1688" s="17"/>
      <c r="P1688" s="17"/>
      <c r="Q1688" s="17"/>
      <c r="R1688" s="17"/>
      <c r="S1688" s="17"/>
      <c r="T1688" s="17"/>
      <c r="U1688" s="17"/>
      <c r="V1688" s="17"/>
      <c r="W1688" s="17"/>
      <c r="X1688" s="17"/>
      <c r="Y1688" s="17"/>
      <c r="Z1688" s="17"/>
      <c r="AA1688" s="17"/>
      <c r="AB1688" s="17"/>
      <c r="AC1688" s="17"/>
      <c r="AD1688" s="17"/>
      <c r="AE1688" s="17"/>
      <c r="AF1688" s="17"/>
      <c r="AG1688" s="17"/>
      <c r="AH1688" s="17"/>
      <c r="AI1688" s="17"/>
      <c r="AJ1688" s="17"/>
      <c r="AK1688" s="17"/>
      <c r="AL1688" s="17"/>
      <c r="AM1688" s="17"/>
      <c r="AN1688" s="17"/>
      <c r="AO1688" s="17"/>
      <c r="AP1688" s="17"/>
      <c r="AQ1688" s="17"/>
      <c r="AR1688" s="17"/>
      <c r="AS1688" s="17"/>
      <c r="AT1688" s="17"/>
      <c r="AU1688" s="17"/>
    </row>
    <row r="1689">
      <c r="A1689" s="17">
        <v>1687</v>
      </c>
      <c r="B1689" s="17" t="s">
        <v>52</v>
      </c>
      <c r="C1689" s="42" t="s">
        <v>5058</v>
      </c>
      <c r="D1689" s="35" t="s">
        <v>3886</v>
      </c>
      <c r="E1689" s="17" t="s">
        <v>5059</v>
      </c>
      <c r="F1689" s="17" t="s">
        <v>5060</v>
      </c>
      <c r="G1689" s="17">
        <v>22.743198</v>
      </c>
      <c r="H1689" s="17">
        <v>87.551525999999996</v>
      </c>
      <c r="I1689" s="17"/>
      <c r="J1689" s="17"/>
      <c r="K1689" s="17"/>
      <c r="L1689" s="17"/>
      <c r="M1689" s="42" t="s">
        <v>3987</v>
      </c>
      <c r="N1689" s="17"/>
      <c r="O1689" s="17"/>
      <c r="P1689" s="17"/>
      <c r="Q1689" s="17"/>
      <c r="R1689" s="17"/>
      <c r="S1689" s="17"/>
      <c r="T1689" s="17"/>
      <c r="U1689" s="17"/>
      <c r="V1689" s="17"/>
      <c r="W1689" s="17"/>
      <c r="X1689" s="17"/>
      <c r="Y1689" s="17"/>
      <c r="Z1689" s="17"/>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row>
    <row r="1690">
      <c r="A1690" s="17">
        <v>1688</v>
      </c>
      <c r="B1690" s="17" t="s">
        <v>52</v>
      </c>
      <c r="C1690" s="42" t="s">
        <v>5061</v>
      </c>
      <c r="D1690" s="35" t="s">
        <v>3886</v>
      </c>
      <c r="E1690" s="17" t="s">
        <v>3956</v>
      </c>
      <c r="F1690" s="17" t="s">
        <v>5062</v>
      </c>
      <c r="G1690" s="17">
        <v>22.730084000000002</v>
      </c>
      <c r="H1690" s="17">
        <v>87.499122</v>
      </c>
      <c r="I1690" s="17"/>
      <c r="J1690" s="17"/>
      <c r="K1690" s="17"/>
      <c r="L1690" s="17"/>
      <c r="M1690" s="42" t="s">
        <v>3987</v>
      </c>
      <c r="N1690" s="17"/>
      <c r="O1690" s="17"/>
      <c r="P1690" s="17"/>
      <c r="Q1690" s="17"/>
      <c r="R1690" s="17"/>
      <c r="S1690" s="17"/>
      <c r="T1690" s="17"/>
      <c r="U1690" s="17"/>
      <c r="V1690" s="17"/>
      <c r="W1690" s="17"/>
      <c r="X1690" s="17"/>
      <c r="Y1690" s="17"/>
      <c r="Z1690" s="17"/>
      <c r="AA1690" s="17"/>
      <c r="AB1690" s="17"/>
      <c r="AC1690" s="17"/>
      <c r="AD1690" s="17"/>
      <c r="AE1690" s="17"/>
      <c r="AF1690" s="17"/>
      <c r="AG1690" s="17"/>
      <c r="AH1690" s="17"/>
      <c r="AI1690" s="17"/>
      <c r="AJ1690" s="17"/>
      <c r="AK1690" s="17"/>
      <c r="AL1690" s="17"/>
      <c r="AM1690" s="17"/>
      <c r="AN1690" s="17"/>
      <c r="AO1690" s="17"/>
      <c r="AP1690" s="17"/>
      <c r="AQ1690" s="17"/>
      <c r="AR1690" s="17"/>
      <c r="AS1690" s="17"/>
      <c r="AT1690" s="17"/>
      <c r="AU1690" s="17"/>
    </row>
    <row r="1691">
      <c r="A1691" s="17">
        <v>1689</v>
      </c>
      <c r="B1691" s="17" t="s">
        <v>52</v>
      </c>
      <c r="C1691" s="42" t="s">
        <v>5063</v>
      </c>
      <c r="D1691" s="35" t="s">
        <v>3886</v>
      </c>
      <c r="E1691" s="17" t="s">
        <v>5064</v>
      </c>
      <c r="F1691" s="17" t="s">
        <v>5065</v>
      </c>
      <c r="G1691" s="17">
        <v>22.727148</v>
      </c>
      <c r="H1691" s="17">
        <v>87.630325999999997</v>
      </c>
      <c r="I1691" s="17"/>
      <c r="J1691" s="17"/>
      <c r="K1691" s="17"/>
      <c r="L1691" s="17"/>
      <c r="M1691" s="42" t="s">
        <v>3987</v>
      </c>
      <c r="N1691" s="17"/>
      <c r="O1691" s="17"/>
      <c r="P1691" s="17"/>
      <c r="Q1691" s="17"/>
      <c r="R1691" s="17"/>
      <c r="S1691" s="17"/>
      <c r="T1691" s="17"/>
      <c r="U1691" s="17"/>
      <c r="V1691" s="17"/>
      <c r="W1691" s="17"/>
      <c r="X1691" s="17"/>
      <c r="Y1691" s="17"/>
      <c r="Z1691" s="17"/>
      <c r="AA1691" s="17"/>
      <c r="AB1691" s="17"/>
      <c r="AC1691" s="17"/>
      <c r="AD1691" s="17"/>
      <c r="AE1691" s="17"/>
      <c r="AF1691" s="17"/>
      <c r="AG1691" s="17"/>
      <c r="AH1691" s="17"/>
      <c r="AI1691" s="17"/>
      <c r="AJ1691" s="17"/>
      <c r="AK1691" s="17"/>
      <c r="AL1691" s="17"/>
      <c r="AM1691" s="17"/>
      <c r="AN1691" s="17"/>
      <c r="AO1691" s="17"/>
      <c r="AP1691" s="17"/>
      <c r="AQ1691" s="17"/>
      <c r="AR1691" s="17"/>
      <c r="AS1691" s="17"/>
      <c r="AT1691" s="17"/>
      <c r="AU1691" s="17"/>
    </row>
    <row r="1692">
      <c r="A1692" s="17">
        <v>1690</v>
      </c>
      <c r="B1692" s="17" t="s">
        <v>52</v>
      </c>
      <c r="C1692" s="42" t="s">
        <v>5066</v>
      </c>
      <c r="D1692" s="35" t="s">
        <v>3886</v>
      </c>
      <c r="E1692" s="17" t="s">
        <v>5067</v>
      </c>
      <c r="F1692" s="17" t="s">
        <v>5068</v>
      </c>
      <c r="G1692" s="17">
        <v>22.723444000000001</v>
      </c>
      <c r="H1692" s="17">
        <v>87.126862000000003</v>
      </c>
      <c r="I1692" s="17"/>
      <c r="J1692" s="17"/>
      <c r="K1692" s="17"/>
      <c r="L1692" s="17"/>
      <c r="M1692" s="42" t="s">
        <v>4210</v>
      </c>
      <c r="N1692" s="17">
        <v>7980098242</v>
      </c>
      <c r="O1692" s="17"/>
      <c r="P1692" s="17"/>
      <c r="Q1692" s="17"/>
      <c r="R1692" s="17"/>
      <c r="S1692" s="17"/>
      <c r="T1692" s="17"/>
      <c r="U1692" s="17"/>
      <c r="V1692" s="17"/>
      <c r="W1692" s="17"/>
      <c r="X1692" s="17"/>
      <c r="Y1692" s="17"/>
      <c r="Z1692" s="17"/>
      <c r="AA1692" s="17"/>
      <c r="AB1692" s="17"/>
      <c r="AC1692" s="17"/>
      <c r="AD1692" s="17"/>
      <c r="AE1692" s="17"/>
      <c r="AF1692" s="17"/>
      <c r="AG1692" s="17"/>
      <c r="AH1692" s="17"/>
      <c r="AI1692" s="17"/>
      <c r="AJ1692" s="17"/>
      <c r="AK1692" s="17"/>
      <c r="AL1692" s="17"/>
      <c r="AM1692" s="17"/>
      <c r="AN1692" s="17"/>
      <c r="AO1692" s="17"/>
      <c r="AP1692" s="17"/>
      <c r="AQ1692" s="17"/>
      <c r="AR1692" s="17"/>
      <c r="AS1692" s="17"/>
      <c r="AT1692" s="17"/>
      <c r="AU1692" s="17"/>
    </row>
    <row r="1693">
      <c r="A1693" s="17">
        <v>1691</v>
      </c>
      <c r="B1693" s="17" t="s">
        <v>52</v>
      </c>
      <c r="C1693" s="42" t="s">
        <v>5069</v>
      </c>
      <c r="D1693" s="35" t="s">
        <v>3886</v>
      </c>
      <c r="E1693" s="17" t="s">
        <v>5070</v>
      </c>
      <c r="F1693" s="17" t="s">
        <v>5071</v>
      </c>
      <c r="G1693" s="17">
        <v>22.713477999999999</v>
      </c>
      <c r="H1693" s="17">
        <v>87.271801999999994</v>
      </c>
      <c r="I1693" s="17"/>
      <c r="J1693" s="17"/>
      <c r="K1693" s="17"/>
      <c r="L1693" s="17"/>
      <c r="M1693" s="42" t="s">
        <v>4045</v>
      </c>
      <c r="N1693" s="17">
        <v>6290709471</v>
      </c>
      <c r="O1693" s="17"/>
      <c r="P1693" s="17"/>
      <c r="Q1693" s="17"/>
      <c r="R1693" s="17"/>
      <c r="S1693" s="17"/>
      <c r="T1693" s="17"/>
      <c r="U1693" s="17"/>
      <c r="V1693" s="17"/>
      <c r="W1693" s="17"/>
      <c r="X1693" s="17"/>
      <c r="Y1693" s="17"/>
      <c r="Z1693" s="17"/>
      <c r="AA1693" s="17"/>
      <c r="AB1693" s="17"/>
      <c r="AC1693" s="17"/>
      <c r="AD1693" s="17"/>
      <c r="AE1693" s="17"/>
      <c r="AF1693" s="17"/>
      <c r="AG1693" s="17"/>
      <c r="AH1693" s="17"/>
      <c r="AI1693" s="17"/>
      <c r="AJ1693" s="17"/>
      <c r="AK1693" s="17"/>
      <c r="AL1693" s="17"/>
      <c r="AM1693" s="17"/>
      <c r="AN1693" s="17"/>
      <c r="AO1693" s="17"/>
      <c r="AP1693" s="17"/>
      <c r="AQ1693" s="17"/>
      <c r="AR1693" s="17"/>
      <c r="AS1693" s="17"/>
      <c r="AT1693" s="17"/>
      <c r="AU1693" s="17"/>
    </row>
    <row r="1694">
      <c r="A1694" s="17">
        <v>1692</v>
      </c>
      <c r="B1694" s="17" t="s">
        <v>52</v>
      </c>
      <c r="C1694" s="42" t="s">
        <v>5072</v>
      </c>
      <c r="D1694" s="35" t="s">
        <v>3886</v>
      </c>
      <c r="E1694" s="17" t="s">
        <v>5073</v>
      </c>
      <c r="F1694" s="17" t="s">
        <v>5074</v>
      </c>
      <c r="G1694" s="17">
        <v>22.713925</v>
      </c>
      <c r="H1694" s="17">
        <v>87.215232</v>
      </c>
      <c r="I1694" s="17"/>
      <c r="J1694" s="17"/>
      <c r="K1694" s="17"/>
      <c r="L1694" s="17"/>
      <c r="M1694" s="42" t="s">
        <v>4045</v>
      </c>
      <c r="N1694" s="17">
        <v>6290709471</v>
      </c>
      <c r="O1694" s="17"/>
      <c r="P1694" s="17"/>
      <c r="Q1694" s="17"/>
      <c r="R1694" s="17"/>
      <c r="S1694" s="17"/>
      <c r="T1694" s="17"/>
      <c r="U1694" s="17"/>
      <c r="V1694" s="17"/>
      <c r="W1694" s="17"/>
      <c r="X1694" s="17"/>
      <c r="Y1694" s="17"/>
      <c r="Z1694" s="17"/>
      <c r="AA1694" s="17"/>
      <c r="AB1694" s="17"/>
      <c r="AC1694" s="17"/>
      <c r="AD1694" s="17"/>
      <c r="AE1694" s="17"/>
      <c r="AF1694" s="17"/>
      <c r="AG1694" s="17"/>
      <c r="AH1694" s="17"/>
      <c r="AI1694" s="17"/>
      <c r="AJ1694" s="17"/>
      <c r="AK1694" s="17"/>
      <c r="AL1694" s="17"/>
      <c r="AM1694" s="17"/>
      <c r="AN1694" s="17"/>
      <c r="AO1694" s="17"/>
      <c r="AP1694" s="17"/>
      <c r="AQ1694" s="17"/>
      <c r="AR1694" s="17"/>
      <c r="AS1694" s="17"/>
      <c r="AT1694" s="17"/>
      <c r="AU1694" s="17"/>
    </row>
    <row r="1695">
      <c r="A1695" s="17">
        <v>1693</v>
      </c>
      <c r="B1695" s="17" t="s">
        <v>52</v>
      </c>
      <c r="C1695" s="42" t="s">
        <v>5075</v>
      </c>
      <c r="D1695" s="35" t="s">
        <v>3886</v>
      </c>
      <c r="E1695" s="17" t="s">
        <v>5076</v>
      </c>
      <c r="F1695" s="17" t="s">
        <v>5077</v>
      </c>
      <c r="G1695" s="17">
        <v>22.704108000000002</v>
      </c>
      <c r="H1695" s="17">
        <v>87.584878000000003</v>
      </c>
      <c r="I1695" s="17"/>
      <c r="J1695" s="17"/>
      <c r="K1695" s="17"/>
      <c r="L1695" s="17"/>
      <c r="M1695" s="42" t="s">
        <v>3987</v>
      </c>
      <c r="N1695" s="17"/>
      <c r="O1695" s="17"/>
      <c r="P1695" s="17"/>
      <c r="Q1695" s="17"/>
      <c r="R1695" s="17"/>
      <c r="S1695" s="17"/>
      <c r="T1695" s="17"/>
      <c r="U1695" s="17"/>
      <c r="V1695" s="17"/>
      <c r="W1695" s="17"/>
      <c r="X1695" s="17"/>
      <c r="Y1695" s="17"/>
      <c r="Z1695" s="17"/>
      <c r="AA1695" s="17"/>
      <c r="AB1695" s="17"/>
      <c r="AC1695" s="17"/>
      <c r="AD1695" s="17"/>
      <c r="AE1695" s="17"/>
      <c r="AF1695" s="17"/>
      <c r="AG1695" s="17"/>
      <c r="AH1695" s="17"/>
      <c r="AI1695" s="17"/>
      <c r="AJ1695" s="17"/>
      <c r="AK1695" s="17"/>
      <c r="AL1695" s="17"/>
      <c r="AM1695" s="17"/>
      <c r="AN1695" s="17"/>
      <c r="AO1695" s="17"/>
      <c r="AP1695" s="17"/>
      <c r="AQ1695" s="17"/>
      <c r="AR1695" s="17"/>
      <c r="AS1695" s="17"/>
      <c r="AT1695" s="17"/>
      <c r="AU1695" s="17"/>
    </row>
    <row r="1696">
      <c r="A1696" s="17">
        <v>1694</v>
      </c>
      <c r="B1696" s="17" t="s">
        <v>52</v>
      </c>
      <c r="C1696" s="42" t="s">
        <v>5078</v>
      </c>
      <c r="D1696" s="35" t="s">
        <v>3886</v>
      </c>
      <c r="E1696" s="17" t="s">
        <v>5079</v>
      </c>
      <c r="F1696" s="17" t="s">
        <v>5080</v>
      </c>
      <c r="G1696" s="17">
        <v>22.687456000000001</v>
      </c>
      <c r="H1696" s="17">
        <v>87.575415000000007</v>
      </c>
      <c r="I1696" s="17"/>
      <c r="J1696" s="17"/>
      <c r="K1696" s="17"/>
      <c r="L1696" s="17"/>
      <c r="M1696" s="42" t="s">
        <v>3987</v>
      </c>
      <c r="N1696" s="17"/>
      <c r="O1696" s="17"/>
      <c r="P1696" s="17"/>
      <c r="Q1696" s="17"/>
      <c r="R1696" s="17"/>
      <c r="S1696" s="17"/>
      <c r="T1696" s="17"/>
      <c r="U1696" s="17"/>
      <c r="V1696" s="17"/>
      <c r="W1696" s="17"/>
      <c r="X1696" s="17"/>
      <c r="Y1696" s="17"/>
      <c r="Z1696" s="17"/>
      <c r="AA1696" s="17"/>
      <c r="AB1696" s="17"/>
      <c r="AC1696" s="17"/>
      <c r="AD1696" s="17"/>
      <c r="AE1696" s="17"/>
      <c r="AF1696" s="17"/>
      <c r="AG1696" s="17"/>
      <c r="AH1696" s="17"/>
      <c r="AI1696" s="17"/>
      <c r="AJ1696" s="17"/>
      <c r="AK1696" s="17"/>
      <c r="AL1696" s="17"/>
      <c r="AM1696" s="17"/>
      <c r="AN1696" s="17"/>
      <c r="AO1696" s="17"/>
      <c r="AP1696" s="17"/>
      <c r="AQ1696" s="17"/>
      <c r="AR1696" s="17"/>
      <c r="AS1696" s="17"/>
      <c r="AT1696" s="17"/>
      <c r="AU1696" s="17"/>
    </row>
    <row r="1697">
      <c r="A1697" s="17">
        <v>1695</v>
      </c>
      <c r="B1697" s="17" t="s">
        <v>52</v>
      </c>
      <c r="C1697" s="42" t="s">
        <v>5081</v>
      </c>
      <c r="D1697" s="35" t="s">
        <v>3886</v>
      </c>
      <c r="E1697" s="17" t="s">
        <v>5082</v>
      </c>
      <c r="F1697" s="17" t="s">
        <v>5083</v>
      </c>
      <c r="G1697" s="17">
        <v>22.673811000000001</v>
      </c>
      <c r="H1697" s="17">
        <v>87.413053000000005</v>
      </c>
      <c r="I1697" s="17"/>
      <c r="J1697" s="17"/>
      <c r="K1697" s="17"/>
      <c r="L1697" s="17"/>
      <c r="M1697" s="42" t="s">
        <v>4045</v>
      </c>
      <c r="N1697" s="17">
        <v>6290709471</v>
      </c>
      <c r="O1697" s="17"/>
      <c r="P1697" s="17"/>
      <c r="Q1697" s="17"/>
      <c r="R1697" s="17"/>
      <c r="S1697" s="17"/>
      <c r="T1697" s="17"/>
      <c r="U1697" s="17"/>
      <c r="V1697" s="17"/>
      <c r="W1697" s="17"/>
      <c r="X1697" s="17"/>
      <c r="Y1697" s="17"/>
      <c r="Z1697" s="17"/>
      <c r="AA1697" s="17"/>
      <c r="AB1697" s="17"/>
      <c r="AC1697" s="17"/>
      <c r="AD1697" s="17"/>
      <c r="AE1697" s="17"/>
      <c r="AF1697" s="17"/>
      <c r="AG1697" s="17"/>
      <c r="AH1697" s="17"/>
      <c r="AI1697" s="17"/>
      <c r="AJ1697" s="17"/>
      <c r="AK1697" s="17"/>
      <c r="AL1697" s="17"/>
      <c r="AM1697" s="17"/>
      <c r="AN1697" s="17"/>
      <c r="AO1697" s="17"/>
      <c r="AP1697" s="17"/>
      <c r="AQ1697" s="17"/>
      <c r="AR1697" s="17"/>
      <c r="AS1697" s="17"/>
      <c r="AT1697" s="17"/>
      <c r="AU1697" s="17"/>
    </row>
    <row r="1698">
      <c r="A1698" s="17">
        <v>1696</v>
      </c>
      <c r="B1698" s="17" t="s">
        <v>52</v>
      </c>
      <c r="C1698" s="42" t="s">
        <v>5084</v>
      </c>
      <c r="D1698" s="35" t="s">
        <v>3886</v>
      </c>
      <c r="E1698" s="17" t="s">
        <v>5085</v>
      </c>
      <c r="F1698" s="17" t="s">
        <v>5086</v>
      </c>
      <c r="G1698" s="17">
        <v>22.655283000000001</v>
      </c>
      <c r="H1698" s="17">
        <v>87.630724000000001</v>
      </c>
      <c r="I1698" s="17"/>
      <c r="J1698" s="17"/>
      <c r="K1698" s="17"/>
      <c r="L1698" s="17"/>
      <c r="M1698" s="42" t="s">
        <v>4099</v>
      </c>
      <c r="N1698" s="17">
        <v>7003921625</v>
      </c>
      <c r="O1698" s="17">
        <v>18</v>
      </c>
      <c r="P1698" s="17">
        <v>54</v>
      </c>
      <c r="Q1698" s="17" t="s">
        <v>105</v>
      </c>
      <c r="R1698" s="17" t="s">
        <v>154</v>
      </c>
      <c r="S1698" s="17" t="s">
        <v>75</v>
      </c>
      <c r="T1698" s="17"/>
      <c r="U1698" s="17" t="s">
        <v>105</v>
      </c>
      <c r="V1698" s="17" t="s">
        <v>77</v>
      </c>
      <c r="W1698" s="17" t="s">
        <v>123</v>
      </c>
      <c r="X1698" s="17">
        <v>3</v>
      </c>
      <c r="Y1698" s="17">
        <v>1</v>
      </c>
      <c r="Z1698" s="17"/>
      <c r="AA1698" s="17" t="s">
        <v>105</v>
      </c>
      <c r="AB1698" s="17" t="s">
        <v>239</v>
      </c>
      <c r="AC1698" s="17">
        <v>2</v>
      </c>
      <c r="AD1698" s="17">
        <v>0</v>
      </c>
      <c r="AE1698" s="17">
        <v>0</v>
      </c>
      <c r="AF1698" s="17" t="s">
        <v>919</v>
      </c>
      <c r="AG1698" s="17" t="s">
        <v>124</v>
      </c>
      <c r="AH1698" s="17" t="s">
        <v>82</v>
      </c>
      <c r="AI1698" s="17" t="s">
        <v>83</v>
      </c>
      <c r="AJ1698" s="17">
        <v>2111</v>
      </c>
      <c r="AK1698" s="17" t="s">
        <v>75</v>
      </c>
      <c r="AL1698" s="17" t="s">
        <v>75</v>
      </c>
      <c r="AM1698" s="17" t="s">
        <v>75</v>
      </c>
      <c r="AN1698" s="17" t="s">
        <v>125</v>
      </c>
      <c r="AO1698" s="17" t="s">
        <v>75</v>
      </c>
      <c r="AP1698" s="17"/>
      <c r="AQ1698" s="17"/>
      <c r="AR1698" s="17"/>
      <c r="AS1698" s="17"/>
      <c r="AT1698" s="17" t="s">
        <v>429</v>
      </c>
      <c r="AU1698" s="17" t="s">
        <v>111</v>
      </c>
    </row>
    <row r="1699">
      <c r="A1699" s="17">
        <v>1697</v>
      </c>
      <c r="B1699" s="17" t="s">
        <v>52</v>
      </c>
      <c r="C1699" s="42" t="s">
        <v>5087</v>
      </c>
      <c r="D1699" s="35" t="s">
        <v>3886</v>
      </c>
      <c r="E1699" s="17" t="s">
        <v>5088</v>
      </c>
      <c r="F1699" s="17" t="s">
        <v>5089</v>
      </c>
      <c r="G1699" s="17">
        <v>22.65269</v>
      </c>
      <c r="H1699" s="17">
        <v>87.546456000000006</v>
      </c>
      <c r="I1699" s="17"/>
      <c r="J1699" s="17"/>
      <c r="K1699" s="17"/>
      <c r="L1699" s="17"/>
      <c r="M1699" s="42" t="s">
        <v>3987</v>
      </c>
      <c r="N1699" s="17"/>
      <c r="O1699" s="17"/>
      <c r="P1699" s="17"/>
      <c r="Q1699" s="17"/>
      <c r="R1699" s="17"/>
      <c r="S1699" s="17"/>
      <c r="T1699" s="17"/>
      <c r="U1699" s="17"/>
      <c r="V1699" s="17"/>
      <c r="W1699" s="17"/>
      <c r="X1699" s="17"/>
      <c r="Y1699" s="17"/>
      <c r="Z1699" s="17"/>
      <c r="AA1699" s="17"/>
      <c r="AB1699" s="17"/>
      <c r="AC1699" s="17"/>
      <c r="AD1699" s="17"/>
      <c r="AE1699" s="17"/>
      <c r="AF1699" s="17"/>
      <c r="AG1699" s="17"/>
      <c r="AH1699" s="17"/>
      <c r="AI1699" s="17"/>
      <c r="AJ1699" s="17"/>
      <c r="AK1699" s="17"/>
      <c r="AL1699" s="17"/>
      <c r="AM1699" s="17"/>
      <c r="AN1699" s="17"/>
      <c r="AO1699" s="17"/>
      <c r="AP1699" s="17"/>
      <c r="AQ1699" s="17"/>
      <c r="AR1699" s="17"/>
      <c r="AS1699" s="17"/>
      <c r="AT1699" s="17"/>
      <c r="AU1699" s="17"/>
    </row>
    <row r="1700">
      <c r="A1700" s="17">
        <v>1698</v>
      </c>
      <c r="B1700" s="17" t="s">
        <v>52</v>
      </c>
      <c r="C1700" s="42" t="s">
        <v>5090</v>
      </c>
      <c r="D1700" s="35" t="s">
        <v>3886</v>
      </c>
      <c r="E1700" s="17" t="s">
        <v>5091</v>
      </c>
      <c r="F1700" s="17" t="s">
        <v>5092</v>
      </c>
      <c r="G1700" s="17">
        <v>22.656094</v>
      </c>
      <c r="H1700" s="17">
        <v>87.521348000000003</v>
      </c>
      <c r="I1700" s="17"/>
      <c r="J1700" s="17"/>
      <c r="K1700" s="17"/>
      <c r="L1700" s="17"/>
      <c r="M1700" s="42" t="s">
        <v>3987</v>
      </c>
      <c r="N1700" s="17"/>
      <c r="O1700" s="17"/>
      <c r="P1700" s="17"/>
      <c r="Q1700" s="17"/>
      <c r="R1700" s="17"/>
      <c r="S1700" s="17"/>
      <c r="T1700" s="17"/>
      <c r="U1700" s="17"/>
      <c r="V1700" s="17"/>
      <c r="W1700" s="17"/>
      <c r="X1700" s="17"/>
      <c r="Y1700" s="17"/>
      <c r="Z1700" s="17"/>
      <c r="AA1700" s="17"/>
      <c r="AB1700" s="17"/>
      <c r="AC1700" s="17"/>
      <c r="AD1700" s="17"/>
      <c r="AE1700" s="17"/>
      <c r="AF1700" s="17"/>
      <c r="AG1700" s="17"/>
      <c r="AH1700" s="17"/>
      <c r="AI1700" s="17"/>
      <c r="AJ1700" s="17"/>
      <c r="AK1700" s="17"/>
      <c r="AL1700" s="17"/>
      <c r="AM1700" s="17"/>
      <c r="AN1700" s="17"/>
      <c r="AO1700" s="17"/>
      <c r="AP1700" s="17"/>
      <c r="AQ1700" s="17"/>
      <c r="AR1700" s="17"/>
      <c r="AS1700" s="17"/>
      <c r="AT1700" s="17"/>
      <c r="AU1700" s="17"/>
    </row>
    <row r="1701">
      <c r="A1701" s="17">
        <v>1699</v>
      </c>
      <c r="B1701" s="17" t="s">
        <v>52</v>
      </c>
      <c r="C1701" s="42" t="s">
        <v>5093</v>
      </c>
      <c r="D1701" s="35" t="s">
        <v>3886</v>
      </c>
      <c r="E1701" s="17" t="s">
        <v>5094</v>
      </c>
      <c r="F1701" s="17" t="s">
        <v>5095</v>
      </c>
      <c r="G1701" s="17">
        <v>22.647974000000001</v>
      </c>
      <c r="H1701" s="17">
        <v>87.427864</v>
      </c>
      <c r="I1701" s="17"/>
      <c r="J1701" s="17"/>
      <c r="K1701" s="17"/>
      <c r="L1701" s="17"/>
      <c r="M1701" s="42" t="s">
        <v>4045</v>
      </c>
      <c r="N1701" s="17">
        <v>6290709471</v>
      </c>
      <c r="O1701" s="17"/>
      <c r="P1701" s="17"/>
      <c r="Q1701" s="17"/>
      <c r="R1701" s="17"/>
      <c r="S1701" s="17"/>
      <c r="T1701" s="17"/>
      <c r="U1701" s="17"/>
      <c r="V1701" s="17"/>
      <c r="W1701" s="17"/>
      <c r="X1701" s="17"/>
      <c r="Y1701" s="17"/>
      <c r="Z1701" s="17"/>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row>
    <row r="1702">
      <c r="A1702" s="17">
        <v>1700</v>
      </c>
      <c r="B1702" s="17" t="s">
        <v>52</v>
      </c>
      <c r="C1702" s="42" t="s">
        <v>5096</v>
      </c>
      <c r="D1702" s="35" t="s">
        <v>3886</v>
      </c>
      <c r="E1702" s="17" t="s">
        <v>5097</v>
      </c>
      <c r="F1702" s="17" t="s">
        <v>5098</v>
      </c>
      <c r="G1702" s="17">
        <v>22.646222999999999</v>
      </c>
      <c r="H1702" s="17">
        <v>87.129180000000005</v>
      </c>
      <c r="I1702" s="17"/>
      <c r="J1702" s="17"/>
      <c r="K1702" s="17"/>
      <c r="L1702" s="17"/>
      <c r="M1702" s="42" t="s">
        <v>4347</v>
      </c>
      <c r="N1702" s="17"/>
      <c r="O1702" s="17"/>
      <c r="P1702" s="17"/>
      <c r="Q1702" s="17"/>
      <c r="R1702" s="17"/>
      <c r="S1702" s="17"/>
      <c r="T1702" s="17"/>
      <c r="U1702" s="17"/>
      <c r="V1702" s="17"/>
      <c r="W1702" s="17"/>
      <c r="X1702" s="17"/>
      <c r="Y1702" s="17"/>
      <c r="Z1702" s="17"/>
      <c r="AA1702" s="17"/>
      <c r="AB1702" s="17"/>
      <c r="AC1702" s="17"/>
      <c r="AD1702" s="17"/>
      <c r="AE1702" s="17"/>
      <c r="AF1702" s="17"/>
      <c r="AG1702" s="17"/>
      <c r="AH1702" s="17"/>
      <c r="AI1702" s="17"/>
      <c r="AJ1702" s="17"/>
      <c r="AK1702" s="17"/>
      <c r="AL1702" s="17"/>
      <c r="AM1702" s="17"/>
      <c r="AN1702" s="17"/>
      <c r="AO1702" s="17"/>
      <c r="AP1702" s="17"/>
      <c r="AQ1702" s="17"/>
      <c r="AR1702" s="17"/>
      <c r="AS1702" s="17"/>
      <c r="AT1702" s="17"/>
      <c r="AU1702" s="17"/>
    </row>
    <row r="1703">
      <c r="A1703" s="17">
        <v>1701</v>
      </c>
      <c r="B1703" s="17" t="s">
        <v>52</v>
      </c>
      <c r="C1703" s="42" t="s">
        <v>5099</v>
      </c>
      <c r="D1703" s="35" t="s">
        <v>3886</v>
      </c>
      <c r="E1703" s="17" t="s">
        <v>5100</v>
      </c>
      <c r="F1703" s="17" t="s">
        <v>5101</v>
      </c>
      <c r="G1703" s="17">
        <v>22.637157999999999</v>
      </c>
      <c r="H1703" s="17">
        <v>87.356845000000007</v>
      </c>
      <c r="I1703" s="17"/>
      <c r="J1703" s="17"/>
      <c r="K1703" s="17"/>
      <c r="L1703" s="17"/>
      <c r="M1703" s="42" t="s">
        <v>4045</v>
      </c>
      <c r="N1703" s="17">
        <v>6290709471</v>
      </c>
      <c r="O1703" s="17"/>
      <c r="P1703" s="17"/>
      <c r="Q1703" s="17"/>
      <c r="R1703" s="17"/>
      <c r="S1703" s="17"/>
      <c r="T1703" s="17"/>
      <c r="U1703" s="17"/>
      <c r="V1703" s="17"/>
      <c r="W1703" s="17"/>
      <c r="X1703" s="17"/>
      <c r="Y1703" s="17"/>
      <c r="Z1703" s="17"/>
      <c r="AA1703" s="17"/>
      <c r="AB1703" s="17"/>
      <c r="AC1703" s="17"/>
      <c r="AD1703" s="17"/>
      <c r="AE1703" s="17"/>
      <c r="AF1703" s="17"/>
      <c r="AG1703" s="17"/>
      <c r="AH1703" s="17"/>
      <c r="AI1703" s="17"/>
      <c r="AJ1703" s="17"/>
      <c r="AK1703" s="17"/>
      <c r="AL1703" s="17"/>
      <c r="AM1703" s="17"/>
      <c r="AN1703" s="17"/>
      <c r="AO1703" s="17"/>
      <c r="AP1703" s="17"/>
      <c r="AQ1703" s="17"/>
      <c r="AR1703" s="17"/>
      <c r="AS1703" s="17"/>
      <c r="AT1703" s="17"/>
      <c r="AU1703" s="17"/>
    </row>
    <row r="1704">
      <c r="A1704" s="17">
        <v>1702</v>
      </c>
      <c r="B1704" s="17" t="s">
        <v>52</v>
      </c>
      <c r="C1704" s="42" t="s">
        <v>5102</v>
      </c>
      <c r="D1704" s="35" t="s">
        <v>3886</v>
      </c>
      <c r="E1704" s="17" t="s">
        <v>3956</v>
      </c>
      <c r="F1704" s="17" t="s">
        <v>5103</v>
      </c>
      <c r="G1704" s="17">
        <v>22.629687000000001</v>
      </c>
      <c r="H1704" s="17">
        <v>87.581221999999997</v>
      </c>
      <c r="I1704" s="17"/>
      <c r="J1704" s="17"/>
      <c r="K1704" s="17"/>
      <c r="L1704" s="17"/>
      <c r="M1704" s="42" t="s">
        <v>3987</v>
      </c>
      <c r="N1704" s="17"/>
      <c r="O1704" s="17"/>
      <c r="P1704" s="17"/>
      <c r="Q1704" s="17"/>
      <c r="R1704" s="17"/>
      <c r="S1704" s="17"/>
      <c r="T1704" s="17"/>
      <c r="U1704" s="17"/>
      <c r="V1704" s="17"/>
      <c r="W1704" s="17"/>
      <c r="X1704" s="17"/>
      <c r="Y1704" s="17"/>
      <c r="Z1704" s="17"/>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row>
    <row r="1705">
      <c r="A1705" s="17">
        <v>1703</v>
      </c>
      <c r="B1705" s="17" t="s">
        <v>52</v>
      </c>
      <c r="C1705" s="42" t="s">
        <v>5104</v>
      </c>
      <c r="D1705" s="35" t="s">
        <v>3886</v>
      </c>
      <c r="E1705" s="17" t="s">
        <v>5105</v>
      </c>
      <c r="F1705" s="17" t="s">
        <v>5106</v>
      </c>
      <c r="G1705" s="17">
        <v>22.634094999999999</v>
      </c>
      <c r="H1705" s="17">
        <v>87.536698999999999</v>
      </c>
      <c r="I1705" s="17"/>
      <c r="J1705" s="17"/>
      <c r="K1705" s="17"/>
      <c r="L1705" s="17"/>
      <c r="M1705" s="42" t="s">
        <v>3987</v>
      </c>
      <c r="N1705" s="17"/>
      <c r="O1705" s="17"/>
      <c r="P1705" s="17"/>
      <c r="Q1705" s="17"/>
      <c r="R1705" s="17"/>
      <c r="S1705" s="17"/>
      <c r="T1705" s="17"/>
      <c r="U1705" s="17"/>
      <c r="V1705" s="17"/>
      <c r="W1705" s="17"/>
      <c r="X1705" s="17"/>
      <c r="Y1705" s="17"/>
      <c r="Z1705" s="17"/>
      <c r="AA1705" s="17"/>
      <c r="AB1705" s="17"/>
      <c r="AC1705" s="17"/>
      <c r="AD1705" s="17"/>
      <c r="AE1705" s="17"/>
      <c r="AF1705" s="17"/>
      <c r="AG1705" s="17"/>
      <c r="AH1705" s="17"/>
      <c r="AI1705" s="17"/>
      <c r="AJ1705" s="17"/>
      <c r="AK1705" s="17"/>
      <c r="AL1705" s="17"/>
      <c r="AM1705" s="17"/>
      <c r="AN1705" s="17"/>
      <c r="AO1705" s="17"/>
      <c r="AP1705" s="17"/>
      <c r="AQ1705" s="17"/>
      <c r="AR1705" s="17"/>
      <c r="AS1705" s="17"/>
      <c r="AT1705" s="17"/>
      <c r="AU1705" s="17"/>
    </row>
    <row r="1706">
      <c r="A1706" s="17">
        <v>1704</v>
      </c>
      <c r="B1706" s="17" t="s">
        <v>52</v>
      </c>
      <c r="C1706" s="42" t="s">
        <v>5107</v>
      </c>
      <c r="D1706" s="35" t="s">
        <v>3886</v>
      </c>
      <c r="E1706" s="17" t="s">
        <v>5108</v>
      </c>
      <c r="F1706" s="17" t="s">
        <v>5109</v>
      </c>
      <c r="G1706" s="17">
        <v>22.628647999999998</v>
      </c>
      <c r="H1706" s="17">
        <v>87.633673000000002</v>
      </c>
      <c r="I1706" s="17"/>
      <c r="J1706" s="17"/>
      <c r="K1706" s="17"/>
      <c r="L1706" s="17"/>
      <c r="M1706" s="42" t="s">
        <v>4099</v>
      </c>
      <c r="N1706" s="17">
        <v>7003921625</v>
      </c>
      <c r="O1706" s="17">
        <v>18</v>
      </c>
      <c r="P1706" s="17">
        <v>120</v>
      </c>
      <c r="Q1706" s="17" t="s">
        <v>105</v>
      </c>
      <c r="R1706" s="17" t="s">
        <v>142</v>
      </c>
      <c r="S1706" s="17" t="s">
        <v>75</v>
      </c>
      <c r="T1706" s="17"/>
      <c r="U1706" s="17" t="s">
        <v>105</v>
      </c>
      <c r="V1706" s="17" t="s">
        <v>77</v>
      </c>
      <c r="W1706" s="17" t="s">
        <v>454</v>
      </c>
      <c r="X1706" s="17">
        <v>4</v>
      </c>
      <c r="Y1706" s="17">
        <v>0</v>
      </c>
      <c r="Z1706" s="17"/>
      <c r="AA1706" s="17" t="s">
        <v>105</v>
      </c>
      <c r="AB1706" s="17" t="s">
        <v>79</v>
      </c>
      <c r="AC1706" s="17">
        <v>6</v>
      </c>
      <c r="AD1706" s="17">
        <v>0</v>
      </c>
      <c r="AE1706" s="17">
        <v>0</v>
      </c>
      <c r="AF1706" s="17"/>
      <c r="AG1706" s="17" t="s">
        <v>81</v>
      </c>
      <c r="AH1706" s="17" t="s">
        <v>82</v>
      </c>
      <c r="AI1706" s="17" t="s">
        <v>107</v>
      </c>
      <c r="AJ1706" s="17"/>
      <c r="AK1706" s="17" t="s">
        <v>75</v>
      </c>
      <c r="AL1706" s="17" t="s">
        <v>75</v>
      </c>
      <c r="AM1706" s="17" t="s">
        <v>75</v>
      </c>
      <c r="AN1706" s="17" t="s">
        <v>84</v>
      </c>
      <c r="AO1706" s="17" t="s">
        <v>75</v>
      </c>
      <c r="AP1706" s="17"/>
      <c r="AQ1706" s="17"/>
      <c r="AR1706" s="17"/>
      <c r="AS1706" s="17"/>
      <c r="AT1706" s="17" t="s">
        <v>429</v>
      </c>
      <c r="AU1706" s="17" t="s">
        <v>111</v>
      </c>
    </row>
    <row r="1707">
      <c r="A1707" s="17">
        <v>1705</v>
      </c>
      <c r="B1707" s="17" t="s">
        <v>52</v>
      </c>
      <c r="C1707" s="42" t="s">
        <v>5110</v>
      </c>
      <c r="D1707" s="35" t="s">
        <v>3886</v>
      </c>
      <c r="E1707" s="17" t="s">
        <v>5111</v>
      </c>
      <c r="F1707" s="17" t="s">
        <v>5112</v>
      </c>
      <c r="G1707" s="17">
        <v>22.614348</v>
      </c>
      <c r="H1707" s="17">
        <v>87.586901999999995</v>
      </c>
      <c r="I1707" s="17"/>
      <c r="J1707" s="17"/>
      <c r="K1707" s="17"/>
      <c r="L1707" s="17"/>
      <c r="M1707" s="42" t="s">
        <v>4099</v>
      </c>
      <c r="N1707" s="17">
        <v>7003921625</v>
      </c>
      <c r="O1707" s="17">
        <v>16</v>
      </c>
      <c r="P1707" s="17">
        <v>130</v>
      </c>
      <c r="Q1707" s="17" t="s">
        <v>105</v>
      </c>
      <c r="R1707" s="17" t="s">
        <v>142</v>
      </c>
      <c r="S1707" s="17" t="s">
        <v>75</v>
      </c>
      <c r="T1707" s="17"/>
      <c r="U1707" s="17" t="s">
        <v>105</v>
      </c>
      <c r="V1707" s="17" t="s">
        <v>77</v>
      </c>
      <c r="W1707" s="17" t="s">
        <v>123</v>
      </c>
      <c r="X1707" s="17">
        <v>5</v>
      </c>
      <c r="Y1707" s="17">
        <v>0</v>
      </c>
      <c r="Z1707" s="17"/>
      <c r="AA1707" s="17" t="s">
        <v>105</v>
      </c>
      <c r="AB1707" s="17" t="s">
        <v>79</v>
      </c>
      <c r="AC1707" s="17">
        <v>6</v>
      </c>
      <c r="AD1707" s="17">
        <v>0</v>
      </c>
      <c r="AE1707" s="17">
        <v>0</v>
      </c>
      <c r="AF1707" s="17"/>
      <c r="AG1707" s="17" t="s">
        <v>124</v>
      </c>
      <c r="AH1707" s="17" t="s">
        <v>82</v>
      </c>
      <c r="AI1707" s="17" t="s">
        <v>83</v>
      </c>
      <c r="AJ1707" s="17">
        <v>2111</v>
      </c>
      <c r="AK1707" s="17" t="s">
        <v>75</v>
      </c>
      <c r="AL1707" s="17" t="s">
        <v>75</v>
      </c>
      <c r="AM1707" s="17" t="s">
        <v>75</v>
      </c>
      <c r="AN1707" s="17" t="s">
        <v>125</v>
      </c>
      <c r="AO1707" s="17" t="s">
        <v>75</v>
      </c>
      <c r="AP1707" s="17"/>
      <c r="AQ1707" s="17"/>
      <c r="AR1707" s="17"/>
      <c r="AS1707" s="17"/>
      <c r="AT1707" s="17"/>
      <c r="AU1707" s="17" t="s">
        <v>111</v>
      </c>
    </row>
    <row r="1708">
      <c r="A1708" s="17">
        <v>1706</v>
      </c>
      <c r="B1708" s="17" t="s">
        <v>52</v>
      </c>
      <c r="C1708" s="42" t="s">
        <v>5113</v>
      </c>
      <c r="D1708" s="35" t="s">
        <v>3886</v>
      </c>
      <c r="E1708" s="17" t="s">
        <v>5114</v>
      </c>
      <c r="F1708" s="17" t="s">
        <v>5115</v>
      </c>
      <c r="G1708" s="17">
        <v>22.610999</v>
      </c>
      <c r="H1708" s="17">
        <v>87.686197000000007</v>
      </c>
      <c r="I1708" s="17"/>
      <c r="J1708" s="17"/>
      <c r="K1708" s="17"/>
      <c r="L1708" s="17"/>
      <c r="M1708" s="42" t="s">
        <v>4099</v>
      </c>
      <c r="N1708" s="17">
        <v>7003921625</v>
      </c>
      <c r="O1708" s="17">
        <v>16</v>
      </c>
      <c r="P1708" s="17">
        <v>100</v>
      </c>
      <c r="Q1708" s="17" t="s">
        <v>187</v>
      </c>
      <c r="R1708" s="17" t="s">
        <v>142</v>
      </c>
      <c r="S1708" s="17" t="s">
        <v>75</v>
      </c>
      <c r="T1708" s="17"/>
      <c r="U1708" s="17" t="s">
        <v>105</v>
      </c>
      <c r="V1708" s="17" t="s">
        <v>77</v>
      </c>
      <c r="W1708" s="17" t="s">
        <v>454</v>
      </c>
      <c r="X1708" s="17">
        <v>5</v>
      </c>
      <c r="Y1708" s="17">
        <v>1</v>
      </c>
      <c r="Z1708" s="17"/>
      <c r="AA1708" s="17" t="s">
        <v>187</v>
      </c>
      <c r="AB1708" s="17" t="s">
        <v>79</v>
      </c>
      <c r="AC1708" s="17">
        <v>6</v>
      </c>
      <c r="AD1708" s="17">
        <v>0</v>
      </c>
      <c r="AE1708" s="17">
        <v>0</v>
      </c>
      <c r="AF1708" s="17"/>
      <c r="AG1708" s="17" t="s">
        <v>81</v>
      </c>
      <c r="AH1708" s="17" t="s">
        <v>82</v>
      </c>
      <c r="AI1708" s="17" t="s">
        <v>107</v>
      </c>
      <c r="AJ1708" s="17"/>
      <c r="AK1708" s="17" t="s">
        <v>75</v>
      </c>
      <c r="AL1708" s="17" t="s">
        <v>75</v>
      </c>
      <c r="AM1708" s="17" t="s">
        <v>75</v>
      </c>
      <c r="AN1708" s="17" t="s">
        <v>84</v>
      </c>
      <c r="AO1708" s="17" t="s">
        <v>75</v>
      </c>
      <c r="AP1708" s="17"/>
      <c r="AQ1708" s="17"/>
      <c r="AR1708" s="17"/>
      <c r="AS1708" s="17"/>
      <c r="AT1708" s="17" t="s">
        <v>146</v>
      </c>
      <c r="AU1708" s="17" t="s">
        <v>111</v>
      </c>
    </row>
    <row r="1709">
      <c r="A1709" s="17">
        <v>1707</v>
      </c>
      <c r="B1709" s="17" t="s">
        <v>52</v>
      </c>
      <c r="C1709" s="42" t="s">
        <v>5116</v>
      </c>
      <c r="D1709" s="35" t="s">
        <v>3886</v>
      </c>
      <c r="E1709" s="17" t="s">
        <v>5117</v>
      </c>
      <c r="F1709" s="17" t="s">
        <v>5118</v>
      </c>
      <c r="G1709" s="17">
        <v>22.611446999999998</v>
      </c>
      <c r="H1709" s="17">
        <v>87.397070999999997</v>
      </c>
      <c r="I1709" s="17"/>
      <c r="J1709" s="17"/>
      <c r="K1709" s="17"/>
      <c r="L1709" s="17"/>
      <c r="M1709" s="42" t="s">
        <v>4016</v>
      </c>
      <c r="N1709" s="17"/>
      <c r="O1709" s="17"/>
      <c r="P1709" s="17"/>
      <c r="Q1709" s="17"/>
      <c r="R1709" s="17"/>
      <c r="S1709" s="17"/>
      <c r="T1709" s="17"/>
      <c r="U1709" s="17"/>
      <c r="V1709" s="17"/>
      <c r="W1709" s="17"/>
      <c r="X1709" s="17"/>
      <c r="Y1709" s="17"/>
      <c r="Z1709" s="17"/>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row>
    <row r="1710">
      <c r="A1710" s="17">
        <v>1708</v>
      </c>
      <c r="B1710" s="17" t="s">
        <v>52</v>
      </c>
      <c r="C1710" s="42" t="s">
        <v>5119</v>
      </c>
      <c r="D1710" s="35" t="s">
        <v>3886</v>
      </c>
      <c r="E1710" s="17" t="s">
        <v>5120</v>
      </c>
      <c r="F1710" s="17" t="s">
        <v>5121</v>
      </c>
      <c r="G1710" s="17">
        <v>22.605240999999999</v>
      </c>
      <c r="H1710" s="17">
        <v>87.549836999999997</v>
      </c>
      <c r="I1710" s="17"/>
      <c r="J1710" s="17"/>
      <c r="K1710" s="17"/>
      <c r="L1710" s="17"/>
      <c r="M1710" s="42" t="s">
        <v>3987</v>
      </c>
      <c r="N1710" s="17"/>
      <c r="O1710" s="17"/>
      <c r="P1710" s="17"/>
      <c r="Q1710" s="17"/>
      <c r="R1710" s="17"/>
      <c r="S1710" s="17"/>
      <c r="T1710" s="17"/>
      <c r="U1710" s="17"/>
      <c r="V1710" s="17"/>
      <c r="W1710" s="17"/>
      <c r="X1710" s="17"/>
      <c r="Y1710" s="17"/>
      <c r="Z1710" s="17"/>
      <c r="AA1710" s="17"/>
      <c r="AB1710" s="17"/>
      <c r="AC1710" s="17"/>
      <c r="AD1710" s="17"/>
      <c r="AE1710" s="17"/>
      <c r="AF1710" s="17"/>
      <c r="AG1710" s="17"/>
      <c r="AH1710" s="17"/>
      <c r="AI1710" s="17"/>
      <c r="AJ1710" s="17"/>
      <c r="AK1710" s="17"/>
      <c r="AL1710" s="17"/>
      <c r="AM1710" s="17"/>
      <c r="AN1710" s="17"/>
      <c r="AO1710" s="17"/>
      <c r="AP1710" s="17"/>
      <c r="AQ1710" s="17"/>
      <c r="AR1710" s="17"/>
      <c r="AS1710" s="17"/>
      <c r="AT1710" s="17"/>
      <c r="AU1710" s="17"/>
    </row>
    <row r="1711">
      <c r="A1711" s="17">
        <v>1709</v>
      </c>
      <c r="B1711" s="17" t="s">
        <v>52</v>
      </c>
      <c r="C1711" s="42" t="s">
        <v>5122</v>
      </c>
      <c r="D1711" s="35" t="s">
        <v>3886</v>
      </c>
      <c r="E1711" s="17" t="s">
        <v>5123</v>
      </c>
      <c r="F1711" s="17" t="s">
        <v>5124</v>
      </c>
      <c r="G1711" s="17">
        <v>22.564729</v>
      </c>
      <c r="H1711" s="17">
        <v>87.549142000000003</v>
      </c>
      <c r="I1711" s="17"/>
      <c r="J1711" s="17"/>
      <c r="K1711" s="17"/>
      <c r="L1711" s="17"/>
      <c r="M1711" s="42" t="s">
        <v>4016</v>
      </c>
      <c r="N1711" s="17"/>
      <c r="O1711" s="17"/>
      <c r="P1711" s="17"/>
      <c r="Q1711" s="17"/>
      <c r="R1711" s="17"/>
      <c r="S1711" s="17"/>
      <c r="T1711" s="17"/>
      <c r="U1711" s="17"/>
      <c r="V1711" s="17"/>
      <c r="W1711" s="17"/>
      <c r="X1711" s="17"/>
      <c r="Y1711" s="17"/>
      <c r="Z1711" s="17"/>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row>
    <row r="1712">
      <c r="A1712" s="17">
        <v>1710</v>
      </c>
      <c r="B1712" s="17" t="s">
        <v>52</v>
      </c>
      <c r="C1712" s="42" t="s">
        <v>5125</v>
      </c>
      <c r="D1712" s="35" t="s">
        <v>3886</v>
      </c>
      <c r="E1712" s="17" t="s">
        <v>5126</v>
      </c>
      <c r="F1712" s="17" t="s">
        <v>5127</v>
      </c>
      <c r="G1712" s="17">
        <v>22.542527</v>
      </c>
      <c r="H1712" s="17">
        <v>87.572204999999997</v>
      </c>
      <c r="I1712" s="17"/>
      <c r="J1712" s="17"/>
      <c r="K1712" s="17"/>
      <c r="L1712" s="17"/>
      <c r="M1712" s="42" t="s">
        <v>4016</v>
      </c>
      <c r="N1712" s="17"/>
      <c r="O1712" s="17"/>
      <c r="P1712" s="17"/>
      <c r="Q1712" s="17"/>
      <c r="R1712" s="17"/>
      <c r="S1712" s="17"/>
      <c r="T1712" s="17"/>
      <c r="U1712" s="17"/>
      <c r="V1712" s="17"/>
      <c r="W1712" s="17"/>
      <c r="X1712" s="17"/>
      <c r="Y1712" s="17"/>
      <c r="Z1712" s="17"/>
      <c r="AA1712" s="17"/>
      <c r="AB1712" s="17"/>
      <c r="AC1712" s="17"/>
      <c r="AD1712" s="17"/>
      <c r="AE1712" s="17"/>
      <c r="AF1712" s="17"/>
      <c r="AG1712" s="17"/>
      <c r="AH1712" s="17"/>
      <c r="AI1712" s="17"/>
      <c r="AJ1712" s="17"/>
      <c r="AK1712" s="17"/>
      <c r="AL1712" s="17"/>
      <c r="AM1712" s="17"/>
      <c r="AN1712" s="17"/>
      <c r="AO1712" s="17"/>
      <c r="AP1712" s="17"/>
      <c r="AQ1712" s="17"/>
      <c r="AR1712" s="17"/>
      <c r="AS1712" s="17"/>
      <c r="AT1712" s="17"/>
      <c r="AU1712" s="17"/>
    </row>
    <row r="1713">
      <c r="A1713" s="17">
        <v>1711</v>
      </c>
      <c r="B1713" s="17" t="s">
        <v>52</v>
      </c>
      <c r="C1713" s="42" t="s">
        <v>5128</v>
      </c>
      <c r="D1713" s="35" t="s">
        <v>3886</v>
      </c>
      <c r="E1713" s="17" t="s">
        <v>5129</v>
      </c>
      <c r="F1713" s="17" t="s">
        <v>5130</v>
      </c>
      <c r="G1713" s="17">
        <v>22.528675</v>
      </c>
      <c r="H1713" s="17">
        <v>87.399189000000007</v>
      </c>
      <c r="I1713" s="17"/>
      <c r="J1713" s="17"/>
      <c r="K1713" s="17"/>
      <c r="L1713" s="17"/>
      <c r="M1713" s="42" t="s">
        <v>4033</v>
      </c>
      <c r="N1713" s="17"/>
      <c r="O1713" s="17"/>
      <c r="P1713" s="17"/>
      <c r="Q1713" s="17"/>
      <c r="R1713" s="17"/>
      <c r="S1713" s="17"/>
      <c r="T1713" s="17"/>
      <c r="U1713" s="17"/>
      <c r="V1713" s="17"/>
      <c r="W1713" s="17"/>
      <c r="X1713" s="17"/>
      <c r="Y1713" s="17"/>
      <c r="Z1713" s="17"/>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row>
    <row r="1714">
      <c r="A1714" s="17">
        <v>1712</v>
      </c>
      <c r="B1714" s="17" t="s">
        <v>52</v>
      </c>
      <c r="C1714" s="42" t="s">
        <v>5131</v>
      </c>
      <c r="D1714" s="35" t="s">
        <v>3886</v>
      </c>
      <c r="E1714" s="17" t="s">
        <v>5132</v>
      </c>
      <c r="F1714" s="17" t="s">
        <v>5133</v>
      </c>
      <c r="G1714" s="17">
        <v>22.525842999999998</v>
      </c>
      <c r="H1714" s="17">
        <v>87.767448999999999</v>
      </c>
      <c r="I1714" s="17"/>
      <c r="J1714" s="17"/>
      <c r="K1714" s="17"/>
      <c r="L1714" s="17"/>
      <c r="M1714" s="42" t="s">
        <v>4004</v>
      </c>
      <c r="N1714" s="17">
        <v>9382071290</v>
      </c>
      <c r="O1714" s="17">
        <v>24</v>
      </c>
      <c r="P1714" s="17">
        <v>150</v>
      </c>
      <c r="Q1714" s="17" t="s">
        <v>73</v>
      </c>
      <c r="R1714" s="17" t="s">
        <v>74</v>
      </c>
      <c r="S1714" s="17" t="s">
        <v>75</v>
      </c>
      <c r="T1714" s="17"/>
      <c r="U1714" s="17" t="s">
        <v>105</v>
      </c>
      <c r="V1714" s="17" t="s">
        <v>77</v>
      </c>
      <c r="W1714" s="17" t="s">
        <v>330</v>
      </c>
      <c r="X1714" s="17">
        <v>5</v>
      </c>
      <c r="Y1714" s="17">
        <v>1</v>
      </c>
      <c r="Z1714" s="17"/>
      <c r="AA1714" s="17" t="s">
        <v>73</v>
      </c>
      <c r="AB1714" s="17" t="s">
        <v>79</v>
      </c>
      <c r="AC1714" s="17">
        <v>3</v>
      </c>
      <c r="AD1714" s="17">
        <v>0</v>
      </c>
      <c r="AE1714" s="17">
        <v>0</v>
      </c>
      <c r="AF1714" s="17"/>
      <c r="AG1714" s="17" t="s">
        <v>81</v>
      </c>
      <c r="AH1714" s="17" t="s">
        <v>82</v>
      </c>
      <c r="AI1714" s="17" t="s">
        <v>107</v>
      </c>
      <c r="AJ1714" s="17"/>
      <c r="AK1714" s="17" t="s">
        <v>75</v>
      </c>
      <c r="AL1714" s="17" t="s">
        <v>75</v>
      </c>
      <c r="AM1714" s="17" t="s">
        <v>75</v>
      </c>
      <c r="AN1714" s="17" t="s">
        <v>84</v>
      </c>
      <c r="AO1714" s="17" t="s">
        <v>75</v>
      </c>
      <c r="AP1714" s="17"/>
      <c r="AQ1714" s="17"/>
      <c r="AR1714" s="17"/>
      <c r="AS1714" s="17"/>
      <c r="AT1714" s="17" t="s">
        <v>3361</v>
      </c>
      <c r="AU1714" s="17" t="s">
        <v>127</v>
      </c>
    </row>
    <row r="1715">
      <c r="A1715" s="17">
        <v>1713</v>
      </c>
      <c r="B1715" s="17" t="s">
        <v>52</v>
      </c>
      <c r="C1715" s="42" t="s">
        <v>5134</v>
      </c>
      <c r="D1715" s="35" t="s">
        <v>3886</v>
      </c>
      <c r="E1715" s="17" t="s">
        <v>5135</v>
      </c>
      <c r="F1715" s="17" t="s">
        <v>5136</v>
      </c>
      <c r="G1715" s="17">
        <v>22.519375</v>
      </c>
      <c r="H1715" s="17">
        <v>87.215901000000002</v>
      </c>
      <c r="I1715" s="17"/>
      <c r="J1715" s="17"/>
      <c r="K1715" s="17"/>
      <c r="L1715" s="17"/>
      <c r="M1715" s="42" t="s">
        <v>4347</v>
      </c>
      <c r="N1715" s="17"/>
      <c r="O1715" s="17"/>
      <c r="P1715" s="17"/>
      <c r="Q1715" s="17"/>
      <c r="R1715" s="17"/>
      <c r="S1715" s="17"/>
      <c r="T1715" s="17"/>
      <c r="U1715" s="17"/>
      <c r="V1715" s="17"/>
      <c r="W1715" s="17"/>
      <c r="X1715" s="17"/>
      <c r="Y1715" s="17"/>
      <c r="Z1715" s="17"/>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row>
    <row r="1716">
      <c r="A1716" s="17">
        <v>1714</v>
      </c>
      <c r="B1716" s="17" t="s">
        <v>52</v>
      </c>
      <c r="C1716" s="42" t="s">
        <v>5137</v>
      </c>
      <c r="D1716" s="35" t="s">
        <v>3886</v>
      </c>
      <c r="E1716" s="17" t="s">
        <v>3956</v>
      </c>
      <c r="F1716" s="17" t="s">
        <v>5138</v>
      </c>
      <c r="G1716" s="17">
        <v>22.516195</v>
      </c>
      <c r="H1716" s="17">
        <v>87.723744999999994</v>
      </c>
      <c r="I1716" s="17"/>
      <c r="J1716" s="17"/>
      <c r="K1716" s="17"/>
      <c r="L1716" s="17"/>
      <c r="M1716" s="42" t="s">
        <v>4004</v>
      </c>
      <c r="N1716" s="17">
        <v>9382071290</v>
      </c>
      <c r="O1716" s="17"/>
      <c r="P1716" s="17"/>
      <c r="Q1716" s="17"/>
      <c r="R1716" s="17"/>
      <c r="S1716" s="17"/>
      <c r="T1716" s="17"/>
      <c r="U1716" s="17"/>
      <c r="V1716" s="17"/>
      <c r="W1716" s="17"/>
      <c r="X1716" s="17"/>
      <c r="Y1716" s="17"/>
      <c r="Z1716" s="17"/>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row>
    <row r="1717">
      <c r="A1717" s="17">
        <v>1715</v>
      </c>
      <c r="B1717" s="17" t="s">
        <v>52</v>
      </c>
      <c r="C1717" s="42" t="s">
        <v>5139</v>
      </c>
      <c r="D1717" s="35" t="s">
        <v>3886</v>
      </c>
      <c r="E1717" s="17" t="s">
        <v>5140</v>
      </c>
      <c r="F1717" s="17" t="s">
        <v>5141</v>
      </c>
      <c r="G1717" s="17">
        <v>22.467265999999999</v>
      </c>
      <c r="H1717" s="17">
        <v>87.503218000000004</v>
      </c>
      <c r="I1717" s="17"/>
      <c r="J1717" s="17"/>
      <c r="K1717" s="17"/>
      <c r="L1717" s="17"/>
      <c r="M1717" s="42" t="s">
        <v>4016</v>
      </c>
      <c r="N1717" s="17"/>
      <c r="O1717" s="17"/>
      <c r="P1717" s="17"/>
      <c r="Q1717" s="17"/>
      <c r="R1717" s="17"/>
      <c r="S1717" s="17"/>
      <c r="T1717" s="17"/>
      <c r="U1717" s="17"/>
      <c r="V1717" s="17"/>
      <c r="W1717" s="17"/>
      <c r="X1717" s="17"/>
      <c r="Y1717" s="17"/>
      <c r="Z1717" s="17"/>
      <c r="AA1717" s="17"/>
      <c r="AB1717" s="17"/>
      <c r="AC1717" s="17"/>
      <c r="AD1717" s="17"/>
      <c r="AE1717" s="17"/>
      <c r="AF1717" s="17"/>
      <c r="AG1717" s="17"/>
      <c r="AH1717" s="17"/>
      <c r="AI1717" s="17"/>
      <c r="AJ1717" s="17"/>
      <c r="AK1717" s="17"/>
      <c r="AL1717" s="17"/>
      <c r="AM1717" s="17"/>
      <c r="AN1717" s="17"/>
      <c r="AO1717" s="17"/>
      <c r="AP1717" s="17"/>
      <c r="AQ1717" s="17"/>
      <c r="AR1717" s="17"/>
      <c r="AS1717" s="17"/>
      <c r="AT1717" s="17"/>
      <c r="AU1717" s="17"/>
    </row>
    <row r="1718">
      <c r="A1718" s="17">
        <v>1716</v>
      </c>
      <c r="B1718" s="17" t="s">
        <v>52</v>
      </c>
      <c r="C1718" s="42" t="s">
        <v>5142</v>
      </c>
      <c r="D1718" s="35" t="s">
        <v>3886</v>
      </c>
      <c r="E1718" s="17" t="s">
        <v>5143</v>
      </c>
      <c r="F1718" s="17" t="s">
        <v>5144</v>
      </c>
      <c r="G1718" s="17">
        <v>22.446249000000002</v>
      </c>
      <c r="H1718" s="17">
        <v>87.411579000000003</v>
      </c>
      <c r="I1718" s="17"/>
      <c r="J1718" s="17"/>
      <c r="K1718" s="17"/>
      <c r="L1718" s="17"/>
      <c r="M1718" s="42" t="s">
        <v>3893</v>
      </c>
      <c r="N1718" s="17"/>
      <c r="O1718" s="17"/>
      <c r="P1718" s="17"/>
      <c r="Q1718" s="17"/>
      <c r="R1718" s="17"/>
      <c r="S1718" s="17"/>
      <c r="T1718" s="17"/>
      <c r="U1718" s="17"/>
      <c r="V1718" s="17"/>
      <c r="W1718" s="17"/>
      <c r="X1718" s="17"/>
      <c r="Y1718" s="17"/>
      <c r="Z1718" s="17"/>
      <c r="AA1718" s="17"/>
      <c r="AB1718" s="17"/>
      <c r="AC1718" s="17"/>
      <c r="AD1718" s="17"/>
      <c r="AE1718" s="17"/>
      <c r="AF1718" s="17"/>
      <c r="AG1718" s="17"/>
      <c r="AH1718" s="17"/>
      <c r="AI1718" s="17"/>
      <c r="AJ1718" s="17"/>
      <c r="AK1718" s="17"/>
      <c r="AL1718" s="17"/>
      <c r="AM1718" s="17"/>
      <c r="AN1718" s="17"/>
      <c r="AO1718" s="17"/>
      <c r="AP1718" s="17"/>
      <c r="AQ1718" s="17"/>
      <c r="AR1718" s="17"/>
      <c r="AS1718" s="17"/>
      <c r="AT1718" s="17"/>
      <c r="AU1718" s="17"/>
    </row>
    <row r="1719">
      <c r="A1719" s="17">
        <v>1717</v>
      </c>
      <c r="B1719" s="17" t="s">
        <v>52</v>
      </c>
      <c r="C1719" s="42" t="s">
        <v>5145</v>
      </c>
      <c r="D1719" s="35" t="s">
        <v>3886</v>
      </c>
      <c r="E1719" s="17" t="s">
        <v>5146</v>
      </c>
      <c r="F1719" s="17" t="s">
        <v>5147</v>
      </c>
      <c r="G1719" s="17">
        <v>22.402249000000001</v>
      </c>
      <c r="H1719" s="17">
        <v>87.380785000000003</v>
      </c>
      <c r="I1719" s="17"/>
      <c r="J1719" s="17"/>
      <c r="K1719" s="17"/>
      <c r="L1719" s="17"/>
      <c r="M1719" s="42" t="s">
        <v>3893</v>
      </c>
      <c r="N1719" s="17"/>
      <c r="O1719" s="17"/>
      <c r="P1719" s="17"/>
      <c r="Q1719" s="17"/>
      <c r="R1719" s="17"/>
      <c r="S1719" s="17"/>
      <c r="T1719" s="17"/>
      <c r="U1719" s="17"/>
      <c r="V1719" s="17"/>
      <c r="W1719" s="17"/>
      <c r="X1719" s="17"/>
      <c r="Y1719" s="17"/>
      <c r="Z1719" s="17"/>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row>
    <row r="1720">
      <c r="A1720" s="17">
        <v>1718</v>
      </c>
      <c r="B1720" s="17" t="s">
        <v>52</v>
      </c>
      <c r="C1720" s="42" t="s">
        <v>5148</v>
      </c>
      <c r="D1720" s="35" t="s">
        <v>3886</v>
      </c>
      <c r="E1720" s="17" t="s">
        <v>3956</v>
      </c>
      <c r="F1720" s="17" t="s">
        <v>5149</v>
      </c>
      <c r="G1720" s="17">
        <v>22.401439</v>
      </c>
      <c r="H1720" s="17">
        <v>87.440358000000003</v>
      </c>
      <c r="I1720" s="17"/>
      <c r="J1720" s="17"/>
      <c r="K1720" s="17"/>
      <c r="L1720" s="17"/>
      <c r="M1720" s="42" t="s">
        <v>3893</v>
      </c>
      <c r="N1720" s="17"/>
      <c r="O1720" s="17"/>
      <c r="P1720" s="17"/>
      <c r="Q1720" s="17"/>
      <c r="R1720" s="17"/>
      <c r="S1720" s="17"/>
      <c r="T1720" s="17"/>
      <c r="U1720" s="17"/>
      <c r="V1720" s="17"/>
      <c r="W1720" s="17"/>
      <c r="X1720" s="17"/>
      <c r="Y1720" s="17"/>
      <c r="Z1720" s="17"/>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row>
    <row r="1721">
      <c r="A1721" s="17">
        <v>1719</v>
      </c>
      <c r="B1721" s="17" t="s">
        <v>52</v>
      </c>
      <c r="C1721" s="42" t="s">
        <v>5150</v>
      </c>
      <c r="D1721" s="35" t="s">
        <v>3886</v>
      </c>
      <c r="E1721" s="17" t="s">
        <v>4036</v>
      </c>
      <c r="F1721" s="17" t="s">
        <v>5151</v>
      </c>
      <c r="G1721" s="17">
        <v>22.485833</v>
      </c>
      <c r="H1721" s="17">
        <v>87.321749999999994</v>
      </c>
      <c r="I1721" s="17"/>
      <c r="J1721" s="17"/>
      <c r="K1721" s="17"/>
      <c r="L1721" s="17"/>
      <c r="M1721" s="42" t="s">
        <v>4033</v>
      </c>
      <c r="N1721" s="17"/>
      <c r="O1721" s="17"/>
      <c r="P1721" s="17"/>
      <c r="Q1721" s="17"/>
      <c r="R1721" s="17"/>
      <c r="S1721" s="17"/>
      <c r="T1721" s="17"/>
      <c r="U1721" s="17"/>
      <c r="V1721" s="17"/>
      <c r="W1721" s="17"/>
      <c r="X1721" s="17"/>
      <c r="Y1721" s="17"/>
      <c r="Z1721" s="17"/>
      <c r="AA1721" s="17"/>
      <c r="AB1721" s="17"/>
      <c r="AC1721" s="17"/>
      <c r="AD1721" s="17"/>
      <c r="AE1721" s="17"/>
      <c r="AF1721" s="17"/>
      <c r="AG1721" s="17"/>
      <c r="AH1721" s="17"/>
      <c r="AI1721" s="17"/>
      <c r="AJ1721" s="17"/>
      <c r="AK1721" s="17"/>
      <c r="AL1721" s="17"/>
      <c r="AM1721" s="17"/>
      <c r="AN1721" s="17"/>
      <c r="AO1721" s="17"/>
      <c r="AP1721" s="17"/>
      <c r="AQ1721" s="17"/>
      <c r="AR1721" s="17"/>
      <c r="AS1721" s="17"/>
      <c r="AT1721" s="17"/>
      <c r="AU1721" s="17"/>
    </row>
    <row r="1722">
      <c r="A1722" s="17">
        <v>1720</v>
      </c>
      <c r="B1722" s="17" t="s">
        <v>52</v>
      </c>
      <c r="C1722" s="42" t="s">
        <v>5152</v>
      </c>
      <c r="D1722" s="35" t="s">
        <v>3886</v>
      </c>
      <c r="E1722" s="17" t="s">
        <v>5153</v>
      </c>
      <c r="F1722" s="17" t="s">
        <v>5154</v>
      </c>
      <c r="G1722" s="17">
        <v>22.778797999999998</v>
      </c>
      <c r="H1722" s="17">
        <v>87.577878999999996</v>
      </c>
      <c r="I1722" s="17"/>
      <c r="J1722" s="17"/>
      <c r="K1722" s="17"/>
      <c r="L1722" s="17"/>
      <c r="M1722" s="42" t="s">
        <v>4011</v>
      </c>
      <c r="N1722" s="17">
        <v>8240995350</v>
      </c>
      <c r="O1722" s="17">
        <v>18</v>
      </c>
      <c r="P1722" s="17">
        <v>120</v>
      </c>
      <c r="Q1722" s="17" t="s">
        <v>73</v>
      </c>
      <c r="R1722" s="17" t="s">
        <v>74</v>
      </c>
      <c r="S1722" s="17" t="s">
        <v>75</v>
      </c>
      <c r="T1722" s="17"/>
      <c r="U1722" s="17" t="s">
        <v>755</v>
      </c>
      <c r="V1722" s="17">
        <v>314</v>
      </c>
      <c r="W1722" s="17" t="s">
        <v>78</v>
      </c>
      <c r="X1722" s="17">
        <v>2</v>
      </c>
      <c r="Y1722" s="17">
        <v>0</v>
      </c>
      <c r="Z1722" s="17"/>
      <c r="AA1722" s="17" t="s">
        <v>73</v>
      </c>
      <c r="AB1722" s="17" t="s">
        <v>79</v>
      </c>
      <c r="AC1722" s="17">
        <v>1</v>
      </c>
      <c r="AD1722" s="17">
        <v>0</v>
      </c>
      <c r="AE1722" s="17">
        <v>0</v>
      </c>
      <c r="AF1722" s="17"/>
      <c r="AG1722" s="17" t="s">
        <v>5155</v>
      </c>
      <c r="AH1722" s="17" t="s">
        <v>82</v>
      </c>
      <c r="AI1722" s="17" t="s">
        <v>83</v>
      </c>
      <c r="AJ1722" s="17">
        <v>2111</v>
      </c>
      <c r="AK1722" s="17" t="s">
        <v>75</v>
      </c>
      <c r="AL1722" s="17" t="s">
        <v>75</v>
      </c>
      <c r="AM1722" s="17" t="s">
        <v>75</v>
      </c>
      <c r="AN1722" s="17" t="s">
        <v>125</v>
      </c>
      <c r="AO1722" s="17" t="s">
        <v>75</v>
      </c>
      <c r="AP1722" s="17"/>
      <c r="AQ1722" s="17"/>
      <c r="AR1722" s="17"/>
      <c r="AS1722" s="17"/>
      <c r="AT1722" s="17" t="s">
        <v>80</v>
      </c>
      <c r="AU1722" s="17" t="s">
        <v>127</v>
      </c>
    </row>
    <row r="1723">
      <c r="A1723" s="17">
        <v>1721</v>
      </c>
      <c r="B1723" s="17" t="s">
        <v>52</v>
      </c>
      <c r="C1723" s="42" t="s">
        <v>5156</v>
      </c>
      <c r="D1723" s="35" t="s">
        <v>3886</v>
      </c>
      <c r="E1723" s="17" t="s">
        <v>5157</v>
      </c>
      <c r="F1723" s="17" t="s">
        <v>5158</v>
      </c>
      <c r="G1723" s="17">
        <v>22.865549999999999</v>
      </c>
      <c r="H1723" s="17">
        <v>87.315134999999998</v>
      </c>
      <c r="I1723" s="17"/>
      <c r="J1723" s="17"/>
      <c r="K1723" s="17"/>
      <c r="L1723" s="17"/>
      <c r="M1723" s="42" t="s">
        <v>3967</v>
      </c>
      <c r="N1723" s="17"/>
      <c r="O1723" s="17"/>
      <c r="P1723" s="17"/>
      <c r="Q1723" s="17"/>
      <c r="R1723" s="17"/>
      <c r="S1723" s="17"/>
      <c r="T1723" s="17"/>
      <c r="U1723" s="17"/>
      <c r="V1723" s="17"/>
      <c r="W1723" s="17"/>
      <c r="X1723" s="17"/>
      <c r="Y1723" s="17"/>
      <c r="Z1723" s="17"/>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row>
    <row r="1724">
      <c r="A1724" s="17">
        <v>1722</v>
      </c>
      <c r="B1724" s="17" t="s">
        <v>52</v>
      </c>
      <c r="C1724" s="42" t="s">
        <v>5159</v>
      </c>
      <c r="D1724" s="35" t="s">
        <v>3886</v>
      </c>
      <c r="E1724" s="17" t="s">
        <v>5160</v>
      </c>
      <c r="F1724" s="17" t="s">
        <v>5161</v>
      </c>
      <c r="G1724" s="17">
        <v>22.793085000000001</v>
      </c>
      <c r="H1724" s="17">
        <v>87.643152000000001</v>
      </c>
      <c r="I1724" s="17"/>
      <c r="J1724" s="17"/>
      <c r="K1724" s="17"/>
      <c r="L1724" s="17"/>
      <c r="M1724" s="42" t="s">
        <v>3987</v>
      </c>
      <c r="N1724" s="17"/>
      <c r="O1724" s="17"/>
      <c r="P1724" s="17"/>
      <c r="Q1724" s="17"/>
      <c r="R1724" s="17"/>
      <c r="S1724" s="17"/>
      <c r="T1724" s="17"/>
      <c r="U1724" s="17"/>
      <c r="V1724" s="17"/>
      <c r="W1724" s="17"/>
      <c r="X1724" s="17"/>
      <c r="Y1724" s="17"/>
      <c r="Z1724" s="17"/>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row>
    <row r="1725">
      <c r="A1725" s="17">
        <v>1723</v>
      </c>
      <c r="B1725" s="17" t="s">
        <v>52</v>
      </c>
      <c r="C1725" s="42" t="s">
        <v>5162</v>
      </c>
      <c r="D1725" s="35" t="s">
        <v>3886</v>
      </c>
      <c r="E1725" s="17" t="s">
        <v>3956</v>
      </c>
      <c r="F1725" s="17" t="s">
        <v>5163</v>
      </c>
      <c r="G1725" s="17">
        <v>22.769677999999999</v>
      </c>
      <c r="H1725" s="17">
        <v>87.612132000000003</v>
      </c>
      <c r="I1725" s="17"/>
      <c r="J1725" s="17"/>
      <c r="K1725" s="17"/>
      <c r="L1725" s="17"/>
      <c r="M1725" s="42" t="s">
        <v>3987</v>
      </c>
      <c r="N1725" s="17"/>
      <c r="O1725" s="17"/>
      <c r="P1725" s="17"/>
      <c r="Q1725" s="17"/>
      <c r="R1725" s="17"/>
      <c r="S1725" s="17"/>
      <c r="T1725" s="17"/>
      <c r="U1725" s="17"/>
      <c r="V1725" s="17"/>
      <c r="W1725" s="17"/>
      <c r="X1725" s="17"/>
      <c r="Y1725" s="17"/>
      <c r="Z1725" s="17"/>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row>
    <row r="1726">
      <c r="A1726" s="17">
        <v>1724</v>
      </c>
      <c r="B1726" s="17" t="s">
        <v>52</v>
      </c>
      <c r="C1726" s="42" t="s">
        <v>5164</v>
      </c>
      <c r="D1726" s="35" t="s">
        <v>3886</v>
      </c>
      <c r="E1726" s="17" t="s">
        <v>5165</v>
      </c>
      <c r="F1726" s="17" t="s">
        <v>5166</v>
      </c>
      <c r="G1726" s="17">
        <v>22.408873</v>
      </c>
      <c r="H1726" s="17">
        <v>87.328861000000003</v>
      </c>
      <c r="I1726" s="17"/>
      <c r="J1726" s="17"/>
      <c r="K1726" s="17"/>
      <c r="L1726" s="17"/>
      <c r="M1726" s="42" t="s">
        <v>3893</v>
      </c>
      <c r="N1726" s="17"/>
      <c r="O1726" s="17"/>
      <c r="P1726" s="17"/>
      <c r="Q1726" s="17"/>
      <c r="R1726" s="17"/>
      <c r="S1726" s="17"/>
      <c r="T1726" s="17"/>
      <c r="U1726" s="17"/>
      <c r="V1726" s="17"/>
      <c r="W1726" s="17"/>
      <c r="X1726" s="17"/>
      <c r="Y1726" s="17"/>
      <c r="Z1726" s="17"/>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row>
    <row r="1727">
      <c r="A1727" s="17">
        <v>1725</v>
      </c>
      <c r="B1727" s="17" t="s">
        <v>52</v>
      </c>
      <c r="C1727" s="42" t="s">
        <v>5167</v>
      </c>
      <c r="D1727" s="35" t="s">
        <v>3886</v>
      </c>
      <c r="E1727" s="17" t="s">
        <v>5168</v>
      </c>
      <c r="F1727" s="17" t="s">
        <v>5169</v>
      </c>
      <c r="G1727" s="17">
        <v>22.739484999999998</v>
      </c>
      <c r="H1727" s="17">
        <v>87.669976000000005</v>
      </c>
      <c r="I1727" s="17"/>
      <c r="J1727" s="17"/>
      <c r="K1727" s="17"/>
      <c r="L1727" s="17"/>
      <c r="M1727" s="42" t="s">
        <v>4099</v>
      </c>
      <c r="N1727" s="17">
        <v>7003921625</v>
      </c>
      <c r="O1727" s="17">
        <v>18</v>
      </c>
      <c r="P1727" s="17">
        <v>120</v>
      </c>
      <c r="Q1727" s="17" t="s">
        <v>73</v>
      </c>
      <c r="R1727" s="17" t="s">
        <v>104</v>
      </c>
      <c r="S1727" s="17" t="s">
        <v>75</v>
      </c>
      <c r="T1727" s="17"/>
      <c r="U1727" s="17" t="s">
        <v>105</v>
      </c>
      <c r="V1727" s="17" t="s">
        <v>77</v>
      </c>
      <c r="W1727" s="17" t="s">
        <v>454</v>
      </c>
      <c r="X1727" s="17">
        <v>4</v>
      </c>
      <c r="Y1727" s="17">
        <v>1</v>
      </c>
      <c r="Z1727" s="17"/>
      <c r="AA1727" s="17" t="s">
        <v>73</v>
      </c>
      <c r="AB1727" s="17" t="s">
        <v>79</v>
      </c>
      <c r="AC1727" s="17">
        <v>3</v>
      </c>
      <c r="AD1727" s="17">
        <v>0</v>
      </c>
      <c r="AE1727" s="17">
        <v>0</v>
      </c>
      <c r="AF1727" s="17"/>
      <c r="AG1727" s="17" t="s">
        <v>81</v>
      </c>
      <c r="AH1727" s="17" t="s">
        <v>82</v>
      </c>
      <c r="AI1727" s="17" t="s">
        <v>107</v>
      </c>
      <c r="AJ1727" s="17"/>
      <c r="AK1727" s="17" t="s">
        <v>75</v>
      </c>
      <c r="AL1727" s="17" t="s">
        <v>137</v>
      </c>
      <c r="AM1727" s="17" t="s">
        <v>75</v>
      </c>
      <c r="AN1727" s="17" t="s">
        <v>84</v>
      </c>
      <c r="AO1727" s="17" t="s">
        <v>75</v>
      </c>
      <c r="AP1727" s="17"/>
      <c r="AQ1727" s="17"/>
      <c r="AR1727" s="17"/>
      <c r="AS1727" s="17"/>
      <c r="AT1727" s="17" t="s">
        <v>5170</v>
      </c>
      <c r="AU1727" s="17" t="s">
        <v>111</v>
      </c>
    </row>
    <row r="1728">
      <c r="A1728" s="17">
        <v>1726</v>
      </c>
      <c r="B1728" s="17" t="s">
        <v>52</v>
      </c>
      <c r="C1728" s="42" t="s">
        <v>5171</v>
      </c>
      <c r="D1728" s="35" t="s">
        <v>3886</v>
      </c>
      <c r="E1728" s="17" t="s">
        <v>5172</v>
      </c>
      <c r="F1728" s="17" t="s">
        <v>5173</v>
      </c>
      <c r="G1728" s="17">
        <v>22.776143999999999</v>
      </c>
      <c r="H1728" s="17">
        <v>87.536711999999994</v>
      </c>
      <c r="I1728" s="17"/>
      <c r="J1728" s="17"/>
      <c r="K1728" s="17"/>
      <c r="L1728" s="17"/>
      <c r="M1728" s="42" t="s">
        <v>4011</v>
      </c>
      <c r="N1728" s="17">
        <v>8240995350</v>
      </c>
      <c r="O1728" s="17">
        <v>19</v>
      </c>
      <c r="P1728" s="17">
        <v>65</v>
      </c>
      <c r="Q1728" s="17" t="s">
        <v>73</v>
      </c>
      <c r="R1728" s="17" t="s">
        <v>74</v>
      </c>
      <c r="S1728" s="17" t="s">
        <v>75</v>
      </c>
      <c r="T1728" s="17"/>
      <c r="U1728" s="17" t="s">
        <v>105</v>
      </c>
      <c r="V1728" s="17" t="s">
        <v>77</v>
      </c>
      <c r="W1728" s="17" t="s">
        <v>454</v>
      </c>
      <c r="X1728" s="17">
        <v>4</v>
      </c>
      <c r="Y1728" s="17">
        <v>1</v>
      </c>
      <c r="Z1728" s="17"/>
      <c r="AA1728" s="17" t="s">
        <v>73</v>
      </c>
      <c r="AB1728" s="17" t="s">
        <v>79</v>
      </c>
      <c r="AC1728" s="17">
        <v>2</v>
      </c>
      <c r="AD1728" s="17">
        <v>0</v>
      </c>
      <c r="AE1728" s="17">
        <v>0</v>
      </c>
      <c r="AF1728" s="17"/>
      <c r="AG1728" s="17" t="s">
        <v>81</v>
      </c>
      <c r="AH1728" s="17" t="s">
        <v>82</v>
      </c>
      <c r="AI1728" s="17" t="s">
        <v>107</v>
      </c>
      <c r="AJ1728" s="17"/>
      <c r="AK1728" s="17" t="s">
        <v>75</v>
      </c>
      <c r="AL1728" s="17" t="s">
        <v>75</v>
      </c>
      <c r="AM1728" s="17" t="s">
        <v>75</v>
      </c>
      <c r="AN1728" s="17" t="s">
        <v>125</v>
      </c>
      <c r="AO1728" s="17" t="s">
        <v>75</v>
      </c>
      <c r="AP1728" s="17" t="s">
        <v>73</v>
      </c>
      <c r="AQ1728" s="17" t="s">
        <v>558</v>
      </c>
      <c r="AR1728" s="17">
        <v>3</v>
      </c>
      <c r="AS1728" s="17">
        <v>0</v>
      </c>
      <c r="AT1728" s="17"/>
      <c r="AU1728" s="17" t="s">
        <v>111</v>
      </c>
    </row>
    <row r="1729">
      <c r="A1729" s="17">
        <v>1727</v>
      </c>
      <c r="B1729" s="17" t="s">
        <v>52</v>
      </c>
      <c r="C1729" s="42" t="s">
        <v>5174</v>
      </c>
      <c r="D1729" s="35" t="s">
        <v>3886</v>
      </c>
      <c r="E1729" s="17" t="s">
        <v>5175</v>
      </c>
      <c r="F1729" s="17" t="s">
        <v>5176</v>
      </c>
      <c r="G1729" s="17">
        <v>22.854818999999999</v>
      </c>
      <c r="H1729" s="17">
        <v>87.503938000000005</v>
      </c>
      <c r="I1729" s="17"/>
      <c r="J1729" s="17"/>
      <c r="K1729" s="17"/>
      <c r="L1729" s="17"/>
      <c r="M1729" s="42" t="s">
        <v>4011</v>
      </c>
      <c r="N1729" s="17">
        <v>8240995350</v>
      </c>
      <c r="O1729" s="17">
        <v>16</v>
      </c>
      <c r="P1729" s="17">
        <v>115</v>
      </c>
      <c r="Q1729" s="17" t="s">
        <v>73</v>
      </c>
      <c r="R1729" s="17" t="s">
        <v>74</v>
      </c>
      <c r="S1729" s="17" t="s">
        <v>75</v>
      </c>
      <c r="T1729" s="17"/>
      <c r="U1729" s="17"/>
      <c r="V1729" s="17">
        <v>314</v>
      </c>
      <c r="W1729" s="17" t="s">
        <v>78</v>
      </c>
      <c r="X1729" s="17">
        <v>2</v>
      </c>
      <c r="Y1729" s="17">
        <v>0</v>
      </c>
      <c r="Z1729" s="17"/>
      <c r="AA1729" s="17" t="s">
        <v>73</v>
      </c>
      <c r="AB1729" s="17" t="s">
        <v>79</v>
      </c>
      <c r="AC1729" s="17">
        <v>2</v>
      </c>
      <c r="AD1729" s="17">
        <v>0</v>
      </c>
      <c r="AE1729" s="17">
        <v>0</v>
      </c>
      <c r="AF1729" s="17"/>
      <c r="AG1729" s="17" t="s">
        <v>81</v>
      </c>
      <c r="AH1729" s="17" t="s">
        <v>82</v>
      </c>
      <c r="AI1729" s="17" t="s">
        <v>107</v>
      </c>
      <c r="AJ1729" s="17"/>
      <c r="AK1729" s="17" t="s">
        <v>75</v>
      </c>
      <c r="AL1729" s="17" t="s">
        <v>75</v>
      </c>
      <c r="AM1729" s="17" t="s">
        <v>75</v>
      </c>
      <c r="AN1729" s="17" t="s">
        <v>84</v>
      </c>
      <c r="AO1729" s="17" t="s">
        <v>75</v>
      </c>
      <c r="AP1729" s="17"/>
      <c r="AQ1729" s="17"/>
      <c r="AR1729" s="17"/>
      <c r="AS1729" s="17"/>
      <c r="AT1729" s="17"/>
      <c r="AU1729" s="17" t="s">
        <v>111</v>
      </c>
    </row>
    <row r="1730">
      <c r="A1730" s="17">
        <v>1728</v>
      </c>
      <c r="B1730" s="17" t="s">
        <v>52</v>
      </c>
      <c r="C1730" s="42" t="s">
        <v>5177</v>
      </c>
      <c r="D1730" s="35" t="s">
        <v>3886</v>
      </c>
      <c r="E1730" s="17" t="s">
        <v>5178</v>
      </c>
      <c r="F1730" s="17" t="s">
        <v>5179</v>
      </c>
      <c r="G1730" s="17">
        <v>22.809559</v>
      </c>
      <c r="H1730" s="17">
        <v>87.520551999999995</v>
      </c>
      <c r="I1730" s="17"/>
      <c r="J1730" s="17"/>
      <c r="K1730" s="17"/>
      <c r="L1730" s="17"/>
      <c r="M1730" s="42" t="s">
        <v>4011</v>
      </c>
      <c r="N1730" s="17">
        <v>8240995350</v>
      </c>
      <c r="O1730" s="17">
        <v>19</v>
      </c>
      <c r="P1730" s="17">
        <v>160</v>
      </c>
      <c r="Q1730" s="17" t="s">
        <v>73</v>
      </c>
      <c r="R1730" s="17" t="s">
        <v>74</v>
      </c>
      <c r="S1730" s="17" t="s">
        <v>75</v>
      </c>
      <c r="T1730" s="17"/>
      <c r="U1730" s="17" t="s">
        <v>105</v>
      </c>
      <c r="V1730" s="17" t="s">
        <v>77</v>
      </c>
      <c r="W1730" s="17" t="s">
        <v>123</v>
      </c>
      <c r="X1730" s="17">
        <v>7</v>
      </c>
      <c r="Y1730" s="17">
        <v>3</v>
      </c>
      <c r="Z1730" s="17"/>
      <c r="AA1730" s="17" t="s">
        <v>73</v>
      </c>
      <c r="AB1730" s="17" t="s">
        <v>79</v>
      </c>
      <c r="AC1730" s="17">
        <v>3</v>
      </c>
      <c r="AD1730" s="17">
        <v>0</v>
      </c>
      <c r="AE1730" s="17">
        <v>0</v>
      </c>
      <c r="AF1730" s="17"/>
      <c r="AG1730" s="17" t="s">
        <v>124</v>
      </c>
      <c r="AH1730" s="17" t="s">
        <v>82</v>
      </c>
      <c r="AI1730" s="17" t="s">
        <v>83</v>
      </c>
      <c r="AJ1730" s="17">
        <v>2111</v>
      </c>
      <c r="AK1730" s="17" t="s">
        <v>75</v>
      </c>
      <c r="AL1730" s="17" t="s">
        <v>75</v>
      </c>
      <c r="AM1730" s="17" t="s">
        <v>75</v>
      </c>
      <c r="AN1730" s="17" t="s">
        <v>125</v>
      </c>
      <c r="AO1730" s="17" t="s">
        <v>75</v>
      </c>
      <c r="AP1730" s="17" t="s">
        <v>73</v>
      </c>
      <c r="AQ1730" s="17" t="s">
        <v>741</v>
      </c>
      <c r="AR1730" s="17">
        <v>4</v>
      </c>
      <c r="AS1730" s="17">
        <v>0</v>
      </c>
      <c r="AT1730" s="17" t="s">
        <v>5180</v>
      </c>
      <c r="AU1730" s="17" t="s">
        <v>127</v>
      </c>
    </row>
    <row r="1731">
      <c r="A1731" s="17">
        <v>1729</v>
      </c>
      <c r="B1731" s="17" t="s">
        <v>52</v>
      </c>
      <c r="C1731" s="42" t="s">
        <v>5181</v>
      </c>
      <c r="D1731" s="35" t="s">
        <v>3886</v>
      </c>
      <c r="E1731" s="17" t="s">
        <v>5182</v>
      </c>
      <c r="F1731" s="17" t="s">
        <v>5183</v>
      </c>
      <c r="G1731" s="17">
        <v>22.639296000000002</v>
      </c>
      <c r="H1731" s="17">
        <v>87.785793999999996</v>
      </c>
      <c r="I1731" s="17"/>
      <c r="J1731" s="17"/>
      <c r="K1731" s="17"/>
      <c r="L1731" s="17"/>
      <c r="M1731" s="42" t="s">
        <v>4099</v>
      </c>
      <c r="N1731" s="17">
        <v>7003921625</v>
      </c>
      <c r="O1731" s="17">
        <v>16</v>
      </c>
      <c r="P1731" s="17">
        <v>80</v>
      </c>
      <c r="Q1731" s="17" t="s">
        <v>187</v>
      </c>
      <c r="R1731" s="17" t="s">
        <v>142</v>
      </c>
      <c r="S1731" s="17" t="s">
        <v>75</v>
      </c>
      <c r="T1731" s="17"/>
      <c r="U1731" s="17" t="s">
        <v>105</v>
      </c>
      <c r="V1731" s="17" t="s">
        <v>77</v>
      </c>
      <c r="W1731" s="17" t="s">
        <v>443</v>
      </c>
      <c r="X1731" s="17">
        <v>5</v>
      </c>
      <c r="Y1731" s="17">
        <v>3</v>
      </c>
      <c r="Z1731" s="17"/>
      <c r="AA1731" s="17" t="s">
        <v>187</v>
      </c>
      <c r="AB1731" s="17" t="s">
        <v>79</v>
      </c>
      <c r="AC1731" s="17">
        <v>6</v>
      </c>
      <c r="AD1731" s="17">
        <v>0</v>
      </c>
      <c r="AE1731" s="17">
        <v>0</v>
      </c>
      <c r="AF1731" s="17"/>
      <c r="AG1731" s="17" t="s">
        <v>81</v>
      </c>
      <c r="AH1731" s="17" t="s">
        <v>82</v>
      </c>
      <c r="AI1731" s="17" t="s">
        <v>107</v>
      </c>
      <c r="AJ1731" s="17"/>
      <c r="AK1731" s="17" t="s">
        <v>137</v>
      </c>
      <c r="AL1731" s="17" t="s">
        <v>75</v>
      </c>
      <c r="AM1731" s="17" t="s">
        <v>75</v>
      </c>
      <c r="AN1731" s="17" t="s">
        <v>84</v>
      </c>
      <c r="AO1731" s="17" t="s">
        <v>75</v>
      </c>
      <c r="AP1731" s="17"/>
      <c r="AQ1731" s="17"/>
      <c r="AR1731" s="17"/>
      <c r="AS1731" s="17"/>
      <c r="AT1731" s="17" t="s">
        <v>481</v>
      </c>
      <c r="AU1731" s="17" t="s">
        <v>111</v>
      </c>
    </row>
    <row r="1732">
      <c r="A1732" s="17">
        <v>1730</v>
      </c>
      <c r="B1732" s="17" t="s">
        <v>52</v>
      </c>
      <c r="C1732" s="42" t="s">
        <v>5184</v>
      </c>
      <c r="D1732" s="35" t="s">
        <v>3886</v>
      </c>
      <c r="E1732" s="17" t="s">
        <v>5185</v>
      </c>
      <c r="F1732" s="17" t="s">
        <v>5186</v>
      </c>
      <c r="G1732" s="17">
        <v>22.674652999999999</v>
      </c>
      <c r="H1732" s="17">
        <v>87.639756000000006</v>
      </c>
      <c r="I1732" s="17"/>
      <c r="J1732" s="17"/>
      <c r="K1732" s="17"/>
      <c r="L1732" s="17"/>
      <c r="M1732" s="42" t="s">
        <v>4099</v>
      </c>
      <c r="N1732" s="17">
        <v>7003921625</v>
      </c>
      <c r="O1732" s="17">
        <v>16</v>
      </c>
      <c r="P1732" s="17">
        <v>60</v>
      </c>
      <c r="Q1732" s="17" t="s">
        <v>73</v>
      </c>
      <c r="R1732" s="17" t="s">
        <v>74</v>
      </c>
      <c r="S1732" s="17" t="s">
        <v>75</v>
      </c>
      <c r="T1732" s="17"/>
      <c r="U1732" s="17" t="s">
        <v>105</v>
      </c>
      <c r="V1732" s="17" t="s">
        <v>77</v>
      </c>
      <c r="W1732" s="17" t="s">
        <v>78</v>
      </c>
      <c r="X1732" s="17">
        <v>4</v>
      </c>
      <c r="Y1732" s="17">
        <v>0</v>
      </c>
      <c r="Z1732" s="17"/>
      <c r="AA1732" s="17" t="s">
        <v>73</v>
      </c>
      <c r="AB1732" s="17" t="s">
        <v>79</v>
      </c>
      <c r="AC1732" s="17">
        <v>2</v>
      </c>
      <c r="AD1732" s="17">
        <v>0</v>
      </c>
      <c r="AE1732" s="17">
        <v>0</v>
      </c>
      <c r="AF1732" s="17"/>
      <c r="AG1732" s="17" t="s">
        <v>81</v>
      </c>
      <c r="AH1732" s="17" t="s">
        <v>82</v>
      </c>
      <c r="AI1732" s="17" t="s">
        <v>107</v>
      </c>
      <c r="AJ1732" s="17"/>
      <c r="AK1732" s="17" t="s">
        <v>75</v>
      </c>
      <c r="AL1732" s="17" t="s">
        <v>75</v>
      </c>
      <c r="AM1732" s="17" t="s">
        <v>75</v>
      </c>
      <c r="AN1732" s="17" t="s">
        <v>84</v>
      </c>
      <c r="AO1732" s="17" t="s">
        <v>75</v>
      </c>
      <c r="AP1732" s="17"/>
      <c r="AQ1732" s="17"/>
      <c r="AR1732" s="17"/>
      <c r="AS1732" s="17"/>
      <c r="AT1732" s="17"/>
      <c r="AU1732" s="17" t="s">
        <v>111</v>
      </c>
    </row>
    <row r="1733">
      <c r="A1733" s="17">
        <v>1731</v>
      </c>
      <c r="B1733" s="17" t="s">
        <v>52</v>
      </c>
      <c r="C1733" s="42" t="s">
        <v>5187</v>
      </c>
      <c r="D1733" s="35" t="s">
        <v>3886</v>
      </c>
      <c r="E1733" s="17" t="s">
        <v>3956</v>
      </c>
      <c r="F1733" s="17" t="s">
        <v>5188</v>
      </c>
      <c r="G1733" s="17">
        <v>22.718769000000002</v>
      </c>
      <c r="H1733" s="17">
        <v>87.675846000000007</v>
      </c>
      <c r="I1733" s="17"/>
      <c r="J1733" s="17"/>
      <c r="K1733" s="17"/>
      <c r="L1733" s="17"/>
      <c r="M1733" s="42" t="s">
        <v>3987</v>
      </c>
      <c r="N1733" s="17"/>
      <c r="O1733" s="17"/>
      <c r="P1733" s="17"/>
      <c r="Q1733" s="17"/>
      <c r="R1733" s="17"/>
      <c r="S1733" s="17"/>
      <c r="T1733" s="17"/>
      <c r="U1733" s="17"/>
      <c r="V1733" s="17"/>
      <c r="W1733" s="17"/>
      <c r="X1733" s="17"/>
      <c r="Y1733" s="17"/>
      <c r="Z1733" s="17"/>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row>
    <row r="1734">
      <c r="A1734" s="17">
        <v>1732</v>
      </c>
      <c r="B1734" s="17" t="s">
        <v>52</v>
      </c>
      <c r="C1734" s="42" t="s">
        <v>5189</v>
      </c>
      <c r="D1734" s="35" t="s">
        <v>3886</v>
      </c>
      <c r="E1734" s="17" t="s">
        <v>5190</v>
      </c>
      <c r="F1734" s="17" t="s">
        <v>5191</v>
      </c>
      <c r="G1734" s="17">
        <v>22.619743</v>
      </c>
      <c r="H1734" s="17">
        <v>87.339995999999999</v>
      </c>
      <c r="I1734" s="17"/>
      <c r="J1734" s="17"/>
      <c r="K1734" s="17"/>
      <c r="L1734" s="17"/>
      <c r="M1734" s="42" t="s">
        <v>4033</v>
      </c>
      <c r="N1734" s="17"/>
      <c r="O1734" s="17"/>
      <c r="P1734" s="17"/>
      <c r="Q1734" s="17"/>
      <c r="R1734" s="17"/>
      <c r="S1734" s="17"/>
      <c r="T1734" s="17"/>
      <c r="U1734" s="17"/>
      <c r="V1734" s="17"/>
      <c r="W1734" s="17"/>
      <c r="X1734" s="17"/>
      <c r="Y1734" s="17"/>
      <c r="Z1734" s="17"/>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row>
    <row r="1735">
      <c r="A1735" s="17">
        <v>1733</v>
      </c>
      <c r="B1735" s="17" t="s">
        <v>52</v>
      </c>
      <c r="C1735" s="42" t="s">
        <v>5192</v>
      </c>
      <c r="D1735" s="35" t="s">
        <v>3886</v>
      </c>
      <c r="E1735" s="17" t="s">
        <v>5193</v>
      </c>
      <c r="F1735" s="17" t="s">
        <v>5194</v>
      </c>
      <c r="G1735" s="17">
        <v>22.758353</v>
      </c>
      <c r="H1735" s="17">
        <v>87.636508000000006</v>
      </c>
      <c r="I1735" s="17"/>
      <c r="J1735" s="17"/>
      <c r="K1735" s="17"/>
      <c r="L1735" s="17"/>
      <c r="M1735" s="42" t="s">
        <v>3987</v>
      </c>
      <c r="N1735" s="17"/>
      <c r="O1735" s="17"/>
      <c r="P1735" s="17"/>
      <c r="Q1735" s="17"/>
      <c r="R1735" s="17"/>
      <c r="S1735" s="17"/>
      <c r="T1735" s="17"/>
      <c r="U1735" s="17"/>
      <c r="V1735" s="17"/>
      <c r="W1735" s="17"/>
      <c r="X1735" s="17"/>
      <c r="Y1735" s="17"/>
      <c r="Z1735" s="17"/>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row>
    <row r="1736">
      <c r="A1736" s="17">
        <v>1734</v>
      </c>
      <c r="B1736" s="17" t="s">
        <v>52</v>
      </c>
      <c r="C1736" s="42" t="s">
        <v>5195</v>
      </c>
      <c r="D1736" s="35" t="s">
        <v>3886</v>
      </c>
      <c r="E1736" s="17" t="s">
        <v>5196</v>
      </c>
      <c r="F1736" s="17" t="s">
        <v>5197</v>
      </c>
      <c r="G1736" s="17">
        <v>22.780318999999999</v>
      </c>
      <c r="H1736" s="17">
        <v>87.411458999999994</v>
      </c>
      <c r="I1736" s="17"/>
      <c r="J1736" s="17"/>
      <c r="K1736" s="17"/>
      <c r="L1736" s="17"/>
      <c r="M1736" s="42" t="s">
        <v>4011</v>
      </c>
      <c r="N1736" s="17">
        <v>8240995350</v>
      </c>
      <c r="O1736" s="17">
        <v>19</v>
      </c>
      <c r="P1736" s="17">
        <v>50</v>
      </c>
      <c r="Q1736" s="17" t="s">
        <v>73</v>
      </c>
      <c r="R1736" s="17" t="s">
        <v>74</v>
      </c>
      <c r="S1736" s="17" t="s">
        <v>75</v>
      </c>
      <c r="T1736" s="17"/>
      <c r="U1736" s="17" t="s">
        <v>105</v>
      </c>
      <c r="V1736" s="17" t="s">
        <v>77</v>
      </c>
      <c r="W1736" s="17" t="s">
        <v>443</v>
      </c>
      <c r="X1736" s="17">
        <v>3</v>
      </c>
      <c r="Y1736" s="17">
        <v>1</v>
      </c>
      <c r="Z1736" s="17"/>
      <c r="AA1736" s="17" t="s">
        <v>73</v>
      </c>
      <c r="AB1736" s="17" t="s">
        <v>79</v>
      </c>
      <c r="AC1736" s="17">
        <v>2</v>
      </c>
      <c r="AD1736" s="17">
        <v>0</v>
      </c>
      <c r="AE1736" s="17">
        <v>0</v>
      </c>
      <c r="AF1736" s="17"/>
      <c r="AG1736" s="17" t="s">
        <v>81</v>
      </c>
      <c r="AH1736" s="17" t="s">
        <v>82</v>
      </c>
      <c r="AI1736" s="17" t="s">
        <v>107</v>
      </c>
      <c r="AJ1736" s="17"/>
      <c r="AK1736" s="17" t="s">
        <v>75</v>
      </c>
      <c r="AL1736" s="17" t="s">
        <v>75</v>
      </c>
      <c r="AM1736" s="17" t="s">
        <v>75</v>
      </c>
      <c r="AN1736" s="17" t="s">
        <v>125</v>
      </c>
      <c r="AO1736" s="17" t="s">
        <v>75</v>
      </c>
      <c r="AP1736" s="17"/>
      <c r="AQ1736" s="17"/>
      <c r="AR1736" s="17"/>
      <c r="AS1736" s="17"/>
      <c r="AT1736" s="17" t="s">
        <v>5198</v>
      </c>
      <c r="AU1736" s="17" t="s">
        <v>127</v>
      </c>
    </row>
    <row r="1737">
      <c r="A1737" s="17">
        <v>1735</v>
      </c>
      <c r="B1737" s="17" t="s">
        <v>52</v>
      </c>
      <c r="C1737" s="42" t="s">
        <v>5199</v>
      </c>
      <c r="D1737" s="35" t="s">
        <v>3886</v>
      </c>
      <c r="E1737" s="17" t="s">
        <v>3956</v>
      </c>
      <c r="F1737" s="17" t="s">
        <v>5200</v>
      </c>
      <c r="G1737" s="17">
        <v>22.825012000000001</v>
      </c>
      <c r="H1737" s="17">
        <v>87.600701000000001</v>
      </c>
      <c r="I1737" s="17"/>
      <c r="J1737" s="17"/>
      <c r="K1737" s="17"/>
      <c r="L1737" s="17"/>
      <c r="M1737" s="42" t="s">
        <v>4011</v>
      </c>
      <c r="N1737" s="17">
        <v>8240995350</v>
      </c>
      <c r="O1737" s="17"/>
      <c r="P1737" s="17"/>
      <c r="Q1737" s="17"/>
      <c r="R1737" s="17"/>
      <c r="S1737" s="17"/>
      <c r="T1737" s="17"/>
      <c r="U1737" s="17"/>
      <c r="V1737" s="17"/>
      <c r="W1737" s="17"/>
      <c r="X1737" s="17"/>
      <c r="Y1737" s="17"/>
      <c r="Z1737" s="17"/>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row>
    <row r="1738">
      <c r="A1738" s="17">
        <v>1736</v>
      </c>
      <c r="B1738" s="17" t="s">
        <v>52</v>
      </c>
      <c r="C1738" s="42" t="s">
        <v>5201</v>
      </c>
      <c r="D1738" s="35" t="s">
        <v>3886</v>
      </c>
      <c r="E1738" s="17" t="s">
        <v>5202</v>
      </c>
      <c r="F1738" s="17" t="s">
        <v>5203</v>
      </c>
      <c r="G1738" s="17">
        <v>22.822751</v>
      </c>
      <c r="H1738" s="17">
        <v>87.366895</v>
      </c>
      <c r="I1738" s="17"/>
      <c r="J1738" s="17"/>
      <c r="K1738" s="17"/>
      <c r="L1738" s="17"/>
      <c r="M1738" s="42" t="s">
        <v>3967</v>
      </c>
      <c r="N1738" s="17"/>
      <c r="O1738" s="17"/>
      <c r="P1738" s="17"/>
      <c r="Q1738" s="17"/>
      <c r="R1738" s="17"/>
      <c r="S1738" s="17"/>
      <c r="T1738" s="17"/>
      <c r="U1738" s="17"/>
      <c r="V1738" s="17"/>
      <c r="W1738" s="17"/>
      <c r="X1738" s="17"/>
      <c r="Y1738" s="17"/>
      <c r="Z1738" s="17"/>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row>
    <row r="1739">
      <c r="A1739" s="17">
        <v>1737</v>
      </c>
      <c r="B1739" s="17" t="s">
        <v>52</v>
      </c>
      <c r="C1739" s="42" t="s">
        <v>5204</v>
      </c>
      <c r="D1739" s="35" t="s">
        <v>3886</v>
      </c>
      <c r="E1739" s="17" t="s">
        <v>5205</v>
      </c>
      <c r="F1739" s="17" t="s">
        <v>5206</v>
      </c>
      <c r="G1739" s="17">
        <v>22.609185</v>
      </c>
      <c r="H1739" s="17">
        <v>87.269259000000005</v>
      </c>
      <c r="I1739" s="17"/>
      <c r="J1739" s="17"/>
      <c r="K1739" s="17"/>
      <c r="L1739" s="17"/>
      <c r="M1739" s="42" t="s">
        <v>4033</v>
      </c>
      <c r="N1739" s="17"/>
      <c r="O1739" s="17"/>
      <c r="P1739" s="17"/>
      <c r="Q1739" s="17"/>
      <c r="R1739" s="17"/>
      <c r="S1739" s="17"/>
      <c r="T1739" s="17"/>
      <c r="U1739" s="17"/>
      <c r="V1739" s="17"/>
      <c r="W1739" s="17"/>
      <c r="X1739" s="17"/>
      <c r="Y1739" s="17"/>
      <c r="Z1739" s="17"/>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row>
    <row r="1740">
      <c r="A1740" s="17">
        <v>1738</v>
      </c>
      <c r="B1740" s="17" t="s">
        <v>52</v>
      </c>
      <c r="C1740" s="42" t="s">
        <v>5207</v>
      </c>
      <c r="D1740" s="35" t="s">
        <v>3886</v>
      </c>
      <c r="E1740" s="17" t="s">
        <v>3965</v>
      </c>
      <c r="F1740" s="17" t="s">
        <v>5208</v>
      </c>
      <c r="G1740" s="17">
        <v>22.856555</v>
      </c>
      <c r="H1740" s="17">
        <v>87.355975000000001</v>
      </c>
      <c r="I1740" s="17"/>
      <c r="J1740" s="17"/>
      <c r="K1740" s="17"/>
      <c r="L1740" s="17"/>
      <c r="M1740" s="42" t="s">
        <v>3967</v>
      </c>
      <c r="N1740" s="17"/>
      <c r="O1740" s="17"/>
      <c r="P1740" s="17"/>
      <c r="Q1740" s="17"/>
      <c r="R1740" s="17"/>
      <c r="S1740" s="17"/>
      <c r="T1740" s="17"/>
      <c r="U1740" s="17"/>
      <c r="V1740" s="17"/>
      <c r="W1740" s="17"/>
      <c r="X1740" s="17"/>
      <c r="Y1740" s="17"/>
      <c r="Z1740" s="17"/>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row>
    <row r="1741">
      <c r="A1741" s="17">
        <v>1739</v>
      </c>
      <c r="B1741" s="17" t="s">
        <v>52</v>
      </c>
      <c r="C1741" s="42" t="s">
        <v>5209</v>
      </c>
      <c r="D1741" s="35" t="s">
        <v>3886</v>
      </c>
      <c r="E1741" s="17" t="s">
        <v>5210</v>
      </c>
      <c r="F1741" s="17" t="s">
        <v>5211</v>
      </c>
      <c r="G1741" s="17">
        <v>22.578275999999999</v>
      </c>
      <c r="H1741" s="17">
        <v>87.748513000000003</v>
      </c>
      <c r="I1741" s="17"/>
      <c r="J1741" s="17"/>
      <c r="K1741" s="17"/>
      <c r="L1741" s="17"/>
      <c r="M1741" s="42" t="s">
        <v>4004</v>
      </c>
      <c r="N1741" s="17">
        <v>9382071290</v>
      </c>
      <c r="O1741" s="17">
        <v>24</v>
      </c>
      <c r="P1741" s="17">
        <v>90</v>
      </c>
      <c r="Q1741" s="17" t="s">
        <v>187</v>
      </c>
      <c r="R1741" s="17" t="s">
        <v>74</v>
      </c>
      <c r="S1741" s="17" t="s">
        <v>75</v>
      </c>
      <c r="T1741" s="17"/>
      <c r="U1741" s="17" t="s">
        <v>76</v>
      </c>
      <c r="V1741" s="17" t="s">
        <v>77</v>
      </c>
      <c r="W1741" s="17" t="s">
        <v>252</v>
      </c>
      <c r="X1741" s="17">
        <v>5</v>
      </c>
      <c r="Y1741" s="17">
        <v>0</v>
      </c>
      <c r="Z1741" s="17"/>
      <c r="AA1741" s="17" t="s">
        <v>187</v>
      </c>
      <c r="AB1741" s="17" t="s">
        <v>79</v>
      </c>
      <c r="AC1741" s="17">
        <v>5</v>
      </c>
      <c r="AD1741" s="17">
        <v>0</v>
      </c>
      <c r="AE1741" s="17">
        <v>1</v>
      </c>
      <c r="AF1741" s="17"/>
      <c r="AG1741" s="17" t="s">
        <v>81</v>
      </c>
      <c r="AH1741" s="17" t="s">
        <v>82</v>
      </c>
      <c r="AI1741" s="17" t="s">
        <v>107</v>
      </c>
      <c r="AJ1741" s="17"/>
      <c r="AK1741" s="17" t="s">
        <v>75</v>
      </c>
      <c r="AL1741" s="17" t="s">
        <v>75</v>
      </c>
      <c r="AM1741" s="17" t="s">
        <v>75</v>
      </c>
      <c r="AN1741" s="17" t="s">
        <v>125</v>
      </c>
      <c r="AO1741" s="17" t="s">
        <v>75</v>
      </c>
      <c r="AP1741" s="17"/>
      <c r="AQ1741" s="17"/>
      <c r="AR1741" s="17"/>
      <c r="AS1741" s="17"/>
      <c r="AT1741" s="17" t="s">
        <v>5212</v>
      </c>
      <c r="AU1741" s="17" t="s">
        <v>2368</v>
      </c>
    </row>
    <row r="1742">
      <c r="A1742" s="17">
        <v>1740</v>
      </c>
      <c r="B1742" s="17" t="s">
        <v>52</v>
      </c>
      <c r="C1742" s="42" t="s">
        <v>5213</v>
      </c>
      <c r="D1742" s="35" t="s">
        <v>3886</v>
      </c>
      <c r="E1742" s="17" t="s">
        <v>5214</v>
      </c>
      <c r="F1742" s="17" t="s">
        <v>5215</v>
      </c>
      <c r="G1742" s="17">
        <v>22.656859000000001</v>
      </c>
      <c r="H1742" s="17">
        <v>87.480625000000003</v>
      </c>
      <c r="I1742" s="17"/>
      <c r="J1742" s="17"/>
      <c r="K1742" s="17"/>
      <c r="L1742" s="17"/>
      <c r="M1742" s="42" t="s">
        <v>3987</v>
      </c>
      <c r="N1742" s="17"/>
      <c r="O1742" s="17"/>
      <c r="P1742" s="17"/>
      <c r="Q1742" s="17"/>
      <c r="R1742" s="17"/>
      <c r="S1742" s="17"/>
      <c r="T1742" s="17"/>
      <c r="U1742" s="17"/>
      <c r="V1742" s="17"/>
      <c r="W1742" s="17"/>
      <c r="X1742" s="17"/>
      <c r="Y1742" s="17"/>
      <c r="Z1742" s="17"/>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row>
    <row r="1743">
      <c r="A1743" s="17">
        <v>1741</v>
      </c>
      <c r="B1743" s="17" t="s">
        <v>52</v>
      </c>
      <c r="C1743" s="42" t="s">
        <v>5216</v>
      </c>
      <c r="D1743" s="35" t="s">
        <v>3886</v>
      </c>
      <c r="E1743" s="17" t="s">
        <v>5217</v>
      </c>
      <c r="F1743" s="17" t="s">
        <v>5218</v>
      </c>
      <c r="G1743" s="17">
        <v>22.610485000000001</v>
      </c>
      <c r="H1743" s="17">
        <v>87.511104000000003</v>
      </c>
      <c r="I1743" s="17"/>
      <c r="J1743" s="17"/>
      <c r="K1743" s="17"/>
      <c r="L1743" s="17"/>
      <c r="M1743" s="42" t="s">
        <v>4000</v>
      </c>
      <c r="N1743" s="17"/>
      <c r="O1743" s="17"/>
      <c r="P1743" s="17"/>
      <c r="Q1743" s="17"/>
      <c r="R1743" s="17"/>
      <c r="S1743" s="17"/>
      <c r="T1743" s="17"/>
      <c r="U1743" s="17"/>
      <c r="V1743" s="17"/>
      <c r="W1743" s="17"/>
      <c r="X1743" s="17"/>
      <c r="Y1743" s="17"/>
      <c r="Z1743" s="17"/>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row>
    <row r="1744">
      <c r="A1744" s="17">
        <v>1742</v>
      </c>
      <c r="B1744" s="17" t="s">
        <v>52</v>
      </c>
      <c r="C1744" s="42" t="s">
        <v>5219</v>
      </c>
      <c r="D1744" s="35" t="s">
        <v>3886</v>
      </c>
      <c r="E1744" s="17" t="s">
        <v>5220</v>
      </c>
      <c r="F1744" s="17" t="s">
        <v>5221</v>
      </c>
      <c r="G1744" s="17">
        <v>22.638010999999999</v>
      </c>
      <c r="H1744" s="17">
        <v>87.316816000000003</v>
      </c>
      <c r="I1744" s="17"/>
      <c r="J1744" s="17"/>
      <c r="K1744" s="17"/>
      <c r="L1744" s="17"/>
      <c r="M1744" s="42" t="s">
        <v>4033</v>
      </c>
      <c r="N1744" s="17"/>
      <c r="O1744" s="17"/>
      <c r="P1744" s="17"/>
      <c r="Q1744" s="17"/>
      <c r="R1744" s="17"/>
      <c r="S1744" s="17"/>
      <c r="T1744" s="17"/>
      <c r="U1744" s="17"/>
      <c r="V1744" s="17"/>
      <c r="W1744" s="17"/>
      <c r="X1744" s="17"/>
      <c r="Y1744" s="17"/>
      <c r="Z1744" s="17"/>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row>
    <row r="1745">
      <c r="A1745" s="17">
        <v>1743</v>
      </c>
      <c r="B1745" s="17" t="s">
        <v>52</v>
      </c>
      <c r="C1745" s="42" t="s">
        <v>5222</v>
      </c>
      <c r="D1745" s="35" t="s">
        <v>3886</v>
      </c>
      <c r="E1745" s="17" t="s">
        <v>5223</v>
      </c>
      <c r="F1745" s="17" t="s">
        <v>5224</v>
      </c>
      <c r="G1745" s="17">
        <v>22.673527</v>
      </c>
      <c r="H1745" s="17">
        <v>87.607167000000004</v>
      </c>
      <c r="I1745" s="17"/>
      <c r="J1745" s="17"/>
      <c r="K1745" s="17"/>
      <c r="L1745" s="17"/>
      <c r="M1745" s="42" t="s">
        <v>3987</v>
      </c>
      <c r="N1745" s="17"/>
      <c r="O1745" s="17"/>
      <c r="P1745" s="17"/>
      <c r="Q1745" s="17"/>
      <c r="R1745" s="17"/>
      <c r="S1745" s="17"/>
      <c r="T1745" s="17"/>
      <c r="U1745" s="17"/>
      <c r="V1745" s="17"/>
      <c r="W1745" s="17"/>
      <c r="X1745" s="17"/>
      <c r="Y1745" s="17"/>
      <c r="Z1745" s="17"/>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row>
    <row r="1746">
      <c r="A1746" s="17">
        <v>1744</v>
      </c>
      <c r="B1746" s="17" t="s">
        <v>52</v>
      </c>
      <c r="C1746" s="42" t="s">
        <v>5225</v>
      </c>
      <c r="D1746" s="35" t="s">
        <v>3886</v>
      </c>
      <c r="E1746" s="17" t="s">
        <v>5226</v>
      </c>
      <c r="F1746" s="17" t="s">
        <v>5227</v>
      </c>
      <c r="G1746" s="17">
        <v>22.847086999999998</v>
      </c>
      <c r="H1746" s="17">
        <v>87.313457</v>
      </c>
      <c r="I1746" s="17"/>
      <c r="J1746" s="17"/>
      <c r="K1746" s="17"/>
      <c r="L1746" s="17"/>
      <c r="M1746" s="42" t="s">
        <v>3967</v>
      </c>
      <c r="N1746" s="17"/>
      <c r="O1746" s="17"/>
      <c r="P1746" s="17"/>
      <c r="Q1746" s="17"/>
      <c r="R1746" s="17"/>
      <c r="S1746" s="17"/>
      <c r="T1746" s="17"/>
      <c r="U1746" s="17"/>
      <c r="V1746" s="17"/>
      <c r="W1746" s="17"/>
      <c r="X1746" s="17"/>
      <c r="Y1746" s="17"/>
      <c r="Z1746" s="17"/>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row>
    <row r="1747">
      <c r="A1747" s="17">
        <v>1745</v>
      </c>
      <c r="B1747" s="17" t="s">
        <v>52</v>
      </c>
      <c r="C1747" s="42" t="s">
        <v>5228</v>
      </c>
      <c r="D1747" s="35" t="s">
        <v>3886</v>
      </c>
      <c r="E1747" s="17" t="s">
        <v>5229</v>
      </c>
      <c r="F1747" s="17" t="s">
        <v>5230</v>
      </c>
      <c r="G1747" s="17">
        <v>22.601199000000001</v>
      </c>
      <c r="H1747" s="17">
        <v>87.459772999999998</v>
      </c>
      <c r="I1747" s="17"/>
      <c r="J1747" s="17"/>
      <c r="K1747" s="17"/>
      <c r="L1747" s="17"/>
      <c r="M1747" s="42" t="s">
        <v>4016</v>
      </c>
      <c r="N1747" s="17"/>
      <c r="O1747" s="17"/>
      <c r="P1747" s="17"/>
      <c r="Q1747" s="17"/>
      <c r="R1747" s="17"/>
      <c r="S1747" s="17"/>
      <c r="T1747" s="17"/>
      <c r="U1747" s="17"/>
      <c r="V1747" s="17"/>
      <c r="W1747" s="17"/>
      <c r="X1747" s="17"/>
      <c r="Y1747" s="17"/>
      <c r="Z1747" s="17"/>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row>
    <row r="1748">
      <c r="A1748" s="17">
        <v>1746</v>
      </c>
      <c r="B1748" s="17" t="s">
        <v>52</v>
      </c>
      <c r="C1748" s="42" t="s">
        <v>5231</v>
      </c>
      <c r="D1748" s="35" t="s">
        <v>3886</v>
      </c>
      <c r="E1748" s="17" t="s">
        <v>5232</v>
      </c>
      <c r="F1748" s="17" t="s">
        <v>5233</v>
      </c>
      <c r="G1748" s="17">
        <v>22.582519999999999</v>
      </c>
      <c r="H1748" s="17">
        <v>87.458709999999996</v>
      </c>
      <c r="I1748" s="17"/>
      <c r="J1748" s="17"/>
      <c r="K1748" s="17"/>
      <c r="L1748" s="17"/>
      <c r="M1748" s="42" t="s">
        <v>4016</v>
      </c>
      <c r="N1748" s="17"/>
      <c r="O1748" s="17"/>
      <c r="P1748" s="17"/>
      <c r="Q1748" s="17"/>
      <c r="R1748" s="17"/>
      <c r="S1748" s="17"/>
      <c r="T1748" s="17"/>
      <c r="U1748" s="17"/>
      <c r="V1748" s="17"/>
      <c r="W1748" s="17"/>
      <c r="X1748" s="17"/>
      <c r="Y1748" s="17"/>
      <c r="Z1748" s="17"/>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row>
    <row r="1749">
      <c r="A1749" s="17">
        <v>1747</v>
      </c>
      <c r="B1749" s="17" t="s">
        <v>52</v>
      </c>
      <c r="C1749" s="42" t="s">
        <v>5234</v>
      </c>
      <c r="D1749" s="35" t="s">
        <v>3886</v>
      </c>
      <c r="E1749" s="17" t="s">
        <v>5235</v>
      </c>
      <c r="F1749" s="17" t="s">
        <v>5236</v>
      </c>
      <c r="G1749" s="17">
        <v>22.758150000000001</v>
      </c>
      <c r="H1749" s="17">
        <v>87.602553</v>
      </c>
      <c r="I1749" s="17"/>
      <c r="J1749" s="17"/>
      <c r="K1749" s="17"/>
      <c r="L1749" s="17"/>
      <c r="M1749" s="42" t="s">
        <v>3987</v>
      </c>
      <c r="N1749" s="17"/>
      <c r="O1749" s="17"/>
      <c r="P1749" s="17"/>
      <c r="Q1749" s="17"/>
      <c r="R1749" s="17"/>
      <c r="S1749" s="17"/>
      <c r="T1749" s="17"/>
      <c r="U1749" s="17"/>
      <c r="V1749" s="17"/>
      <c r="W1749" s="17"/>
      <c r="X1749" s="17"/>
      <c r="Y1749" s="17"/>
      <c r="Z1749" s="17"/>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row>
    <row r="1750">
      <c r="A1750" s="17">
        <v>1748</v>
      </c>
      <c r="B1750" s="17" t="s">
        <v>52</v>
      </c>
      <c r="C1750" s="42" t="s">
        <v>5237</v>
      </c>
      <c r="D1750" s="35" t="s">
        <v>3886</v>
      </c>
      <c r="E1750" s="17" t="s">
        <v>5238</v>
      </c>
      <c r="F1750" s="17" t="s">
        <v>5239</v>
      </c>
      <c r="G1750" s="17">
        <v>22.741952999999999</v>
      </c>
      <c r="H1750" s="17">
        <v>87.339016000000001</v>
      </c>
      <c r="I1750" s="17"/>
      <c r="J1750" s="17"/>
      <c r="K1750" s="17"/>
      <c r="L1750" s="17"/>
      <c r="M1750" s="42" t="s">
        <v>4045</v>
      </c>
      <c r="N1750" s="17">
        <v>6290709471</v>
      </c>
      <c r="O1750" s="17"/>
      <c r="P1750" s="17"/>
      <c r="Q1750" s="17"/>
      <c r="R1750" s="17"/>
      <c r="S1750" s="17"/>
      <c r="T1750" s="17"/>
      <c r="U1750" s="17"/>
      <c r="V1750" s="17"/>
      <c r="W1750" s="17"/>
      <c r="X1750" s="17"/>
      <c r="Y1750" s="17"/>
      <c r="Z1750" s="17"/>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row>
    <row r="1751">
      <c r="A1751" s="17">
        <v>1749</v>
      </c>
      <c r="B1751" s="17" t="s">
        <v>52</v>
      </c>
      <c r="C1751" s="42" t="s">
        <v>5240</v>
      </c>
      <c r="D1751" s="35" t="s">
        <v>3886</v>
      </c>
      <c r="E1751" s="17" t="s">
        <v>5241</v>
      </c>
      <c r="F1751" s="17" t="s">
        <v>5242</v>
      </c>
      <c r="G1751" s="17">
        <v>22.656123000000001</v>
      </c>
      <c r="H1751" s="17">
        <v>87.742028000000005</v>
      </c>
      <c r="I1751" s="17"/>
      <c r="J1751" s="17"/>
      <c r="K1751" s="17"/>
      <c r="L1751" s="17"/>
      <c r="M1751" s="42" t="s">
        <v>4099</v>
      </c>
      <c r="N1751" s="17">
        <v>7003921625</v>
      </c>
      <c r="O1751" s="17">
        <v>20</v>
      </c>
      <c r="P1751" s="17">
        <v>120</v>
      </c>
      <c r="Q1751" s="17" t="s">
        <v>73</v>
      </c>
      <c r="R1751" s="17" t="s">
        <v>74</v>
      </c>
      <c r="S1751" s="17" t="s">
        <v>75</v>
      </c>
      <c r="T1751" s="17"/>
      <c r="U1751" s="17" t="s">
        <v>105</v>
      </c>
      <c r="V1751" s="17" t="s">
        <v>77</v>
      </c>
      <c r="W1751" s="17" t="s">
        <v>443</v>
      </c>
      <c r="X1751" s="17">
        <v>5</v>
      </c>
      <c r="Y1751" s="17">
        <v>3</v>
      </c>
      <c r="Z1751" s="17"/>
      <c r="AA1751" s="17" t="s">
        <v>73</v>
      </c>
      <c r="AB1751" s="17" t="s">
        <v>79</v>
      </c>
      <c r="AC1751" s="17">
        <v>3</v>
      </c>
      <c r="AD1751" s="17">
        <v>0</v>
      </c>
      <c r="AE1751" s="17">
        <v>0</v>
      </c>
      <c r="AF1751" s="17"/>
      <c r="AG1751" s="17" t="s">
        <v>124</v>
      </c>
      <c r="AH1751" s="17" t="s">
        <v>162</v>
      </c>
      <c r="AI1751" s="17" t="s">
        <v>83</v>
      </c>
      <c r="AJ1751" s="17">
        <v>2112</v>
      </c>
      <c r="AK1751" s="17" t="s">
        <v>75</v>
      </c>
      <c r="AL1751" s="17" t="s">
        <v>75</v>
      </c>
      <c r="AM1751" s="17" t="s">
        <v>75</v>
      </c>
      <c r="AN1751" s="17" t="s">
        <v>84</v>
      </c>
      <c r="AO1751" s="17" t="s">
        <v>75</v>
      </c>
      <c r="AP1751" s="17"/>
      <c r="AQ1751" s="17"/>
      <c r="AR1751" s="17"/>
      <c r="AS1751" s="17"/>
      <c r="AT1751" s="17"/>
      <c r="AU1751" s="17" t="s">
        <v>111</v>
      </c>
    </row>
    <row r="1752">
      <c r="A1752" s="17">
        <v>1750</v>
      </c>
      <c r="B1752" s="17" t="s">
        <v>52</v>
      </c>
      <c r="C1752" s="42" t="s">
        <v>5243</v>
      </c>
      <c r="D1752" s="35" t="s">
        <v>3886</v>
      </c>
      <c r="E1752" s="17" t="s">
        <v>5244</v>
      </c>
      <c r="F1752" s="17" t="s">
        <v>5245</v>
      </c>
      <c r="G1752" s="17">
        <v>22.44753</v>
      </c>
      <c r="H1752" s="17">
        <v>87.376830999999996</v>
      </c>
      <c r="I1752" s="17"/>
      <c r="J1752" s="17"/>
      <c r="K1752" s="17"/>
      <c r="L1752" s="17"/>
      <c r="M1752" s="42" t="s">
        <v>3893</v>
      </c>
      <c r="N1752" s="17"/>
      <c r="O1752" s="17"/>
      <c r="P1752" s="17"/>
      <c r="Q1752" s="17"/>
      <c r="R1752" s="17"/>
      <c r="S1752" s="17"/>
      <c r="T1752" s="17"/>
      <c r="U1752" s="17"/>
      <c r="V1752" s="17"/>
      <c r="W1752" s="17"/>
      <c r="X1752" s="17"/>
      <c r="Y1752" s="17"/>
      <c r="Z1752" s="17"/>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row>
    <row r="1753">
      <c r="A1753" s="17">
        <v>1751</v>
      </c>
      <c r="B1753" s="17" t="s">
        <v>52</v>
      </c>
      <c r="C1753" s="42" t="s">
        <v>5246</v>
      </c>
      <c r="D1753" s="35" t="s">
        <v>3886</v>
      </c>
      <c r="E1753" s="17" t="s">
        <v>5247</v>
      </c>
      <c r="F1753" s="17" t="s">
        <v>5248</v>
      </c>
      <c r="G1753" s="17">
        <v>22.525369999999999</v>
      </c>
      <c r="H1753" s="17">
        <v>87.314335999999997</v>
      </c>
      <c r="I1753" s="17"/>
      <c r="J1753" s="17"/>
      <c r="K1753" s="17"/>
      <c r="L1753" s="17"/>
      <c r="M1753" s="42" t="s">
        <v>4033</v>
      </c>
      <c r="N1753" s="17"/>
      <c r="O1753" s="17"/>
      <c r="P1753" s="17"/>
      <c r="Q1753" s="17"/>
      <c r="R1753" s="17"/>
      <c r="S1753" s="17"/>
      <c r="T1753" s="17"/>
      <c r="U1753" s="17"/>
      <c r="V1753" s="17"/>
      <c r="W1753" s="17"/>
      <c r="X1753" s="17"/>
      <c r="Y1753" s="17"/>
      <c r="Z1753" s="17"/>
      <c r="AA1753" s="17"/>
      <c r="AB1753" s="17"/>
      <c r="AC1753" s="17"/>
      <c r="AD1753" s="17"/>
      <c r="AE1753" s="17"/>
      <c r="AF1753" s="17"/>
      <c r="AG1753" s="17"/>
      <c r="AH1753" s="17"/>
      <c r="AI1753" s="17"/>
      <c r="AJ1753" s="17"/>
      <c r="AK1753" s="17"/>
      <c r="AL1753" s="17"/>
      <c r="AM1753" s="17"/>
      <c r="AN1753" s="17"/>
      <c r="AO1753" s="17"/>
      <c r="AP1753" s="17"/>
      <c r="AQ1753" s="17"/>
      <c r="AR1753" s="17"/>
      <c r="AS1753" s="17"/>
      <c r="AT1753" s="17"/>
      <c r="AU1753" s="17"/>
    </row>
    <row r="1754">
      <c r="A1754" s="17">
        <v>1752</v>
      </c>
      <c r="B1754" s="17" t="s">
        <v>52</v>
      </c>
      <c r="C1754" s="42" t="s">
        <v>5249</v>
      </c>
      <c r="D1754" s="35" t="s">
        <v>3886</v>
      </c>
      <c r="E1754" s="17" t="s">
        <v>5250</v>
      </c>
      <c r="F1754" s="17" t="s">
        <v>5251</v>
      </c>
      <c r="G1754" s="17">
        <v>22.564893999999999</v>
      </c>
      <c r="H1754" s="17">
        <v>87.600010999999995</v>
      </c>
      <c r="I1754" s="17"/>
      <c r="J1754" s="17"/>
      <c r="K1754" s="17"/>
      <c r="L1754" s="17"/>
      <c r="M1754" s="42" t="s">
        <v>4016</v>
      </c>
      <c r="N1754" s="17"/>
      <c r="O1754" s="17"/>
      <c r="P1754" s="17"/>
      <c r="Q1754" s="17"/>
      <c r="R1754" s="17"/>
      <c r="S1754" s="17"/>
      <c r="T1754" s="17"/>
      <c r="U1754" s="17"/>
      <c r="V1754" s="17"/>
      <c r="W1754" s="17"/>
      <c r="X1754" s="17"/>
      <c r="Y1754" s="17"/>
      <c r="Z1754" s="17"/>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row>
    <row r="1755">
      <c r="A1755" s="17">
        <v>1753</v>
      </c>
      <c r="B1755" s="17" t="s">
        <v>52</v>
      </c>
      <c r="C1755" s="42" t="s">
        <v>5252</v>
      </c>
      <c r="D1755" s="35" t="s">
        <v>3886</v>
      </c>
      <c r="E1755" s="17" t="s">
        <v>5253</v>
      </c>
      <c r="F1755" s="17" t="s">
        <v>5254</v>
      </c>
      <c r="G1755" s="17">
        <v>22.6816</v>
      </c>
      <c r="H1755" s="17">
        <v>87.372891999999993</v>
      </c>
      <c r="I1755" s="17"/>
      <c r="J1755" s="17"/>
      <c r="K1755" s="17"/>
      <c r="L1755" s="17"/>
      <c r="M1755" s="42" t="s">
        <v>4045</v>
      </c>
      <c r="N1755" s="17">
        <v>6290709471</v>
      </c>
      <c r="O1755" s="17"/>
      <c r="P1755" s="17"/>
      <c r="Q1755" s="17"/>
      <c r="R1755" s="17"/>
      <c r="S1755" s="17"/>
      <c r="T1755" s="17"/>
      <c r="U1755" s="17"/>
      <c r="V1755" s="17"/>
      <c r="W1755" s="17"/>
      <c r="X1755" s="17"/>
      <c r="Y1755" s="17"/>
      <c r="Z1755" s="17"/>
      <c r="AA1755" s="17"/>
      <c r="AB1755" s="17"/>
      <c r="AC1755" s="17"/>
      <c r="AD1755" s="17"/>
      <c r="AE1755" s="17"/>
      <c r="AF1755" s="17"/>
      <c r="AG1755" s="17"/>
      <c r="AH1755" s="17"/>
      <c r="AI1755" s="17"/>
      <c r="AJ1755" s="17"/>
      <c r="AK1755" s="17"/>
      <c r="AL1755" s="17"/>
      <c r="AM1755" s="17"/>
      <c r="AN1755" s="17"/>
      <c r="AO1755" s="17"/>
      <c r="AP1755" s="17"/>
      <c r="AQ1755" s="17"/>
      <c r="AR1755" s="17"/>
      <c r="AS1755" s="17"/>
      <c r="AT1755" s="17"/>
      <c r="AU1755" s="17"/>
    </row>
    <row r="1756">
      <c r="A1756" s="17">
        <v>1754</v>
      </c>
      <c r="B1756" s="17" t="s">
        <v>52</v>
      </c>
      <c r="C1756" s="42" t="s">
        <v>5255</v>
      </c>
      <c r="D1756" s="35" t="s">
        <v>3886</v>
      </c>
      <c r="E1756" s="17" t="s">
        <v>5256</v>
      </c>
      <c r="F1756" s="17" t="s">
        <v>5257</v>
      </c>
      <c r="G1756" s="17">
        <v>22.767493000000002</v>
      </c>
      <c r="H1756" s="17">
        <v>87.705724000000004</v>
      </c>
      <c r="I1756" s="17"/>
      <c r="J1756" s="17"/>
      <c r="K1756" s="17"/>
      <c r="L1756" s="17"/>
      <c r="M1756" s="42" t="s">
        <v>4099</v>
      </c>
      <c r="N1756" s="17">
        <v>7003921625</v>
      </c>
      <c r="O1756" s="17">
        <v>18</v>
      </c>
      <c r="P1756" s="17">
        <v>90</v>
      </c>
      <c r="Q1756" s="17" t="s">
        <v>73</v>
      </c>
      <c r="R1756" s="17" t="s">
        <v>74</v>
      </c>
      <c r="S1756" s="17" t="s">
        <v>75</v>
      </c>
      <c r="T1756" s="17"/>
      <c r="U1756" s="17" t="s">
        <v>160</v>
      </c>
      <c r="V1756" s="17" t="s">
        <v>77</v>
      </c>
      <c r="W1756" s="17" t="s">
        <v>78</v>
      </c>
      <c r="X1756" s="17">
        <v>3</v>
      </c>
      <c r="Y1756" s="17">
        <v>0</v>
      </c>
      <c r="Z1756" s="17"/>
      <c r="AA1756" s="17" t="s">
        <v>73</v>
      </c>
      <c r="AB1756" s="17" t="s">
        <v>79</v>
      </c>
      <c r="AC1756" s="17">
        <v>2</v>
      </c>
      <c r="AD1756" s="17">
        <v>0</v>
      </c>
      <c r="AE1756" s="17">
        <v>0</v>
      </c>
      <c r="AF1756" s="17"/>
      <c r="AG1756" s="17" t="s">
        <v>124</v>
      </c>
      <c r="AH1756" s="17" t="s">
        <v>82</v>
      </c>
      <c r="AI1756" s="17" t="s">
        <v>83</v>
      </c>
      <c r="AJ1756" s="17">
        <v>2111</v>
      </c>
      <c r="AK1756" s="17" t="s">
        <v>75</v>
      </c>
      <c r="AL1756" s="17" t="s">
        <v>75</v>
      </c>
      <c r="AM1756" s="17" t="s">
        <v>75</v>
      </c>
      <c r="AN1756" s="17" t="s">
        <v>84</v>
      </c>
      <c r="AO1756" s="17" t="s">
        <v>75</v>
      </c>
      <c r="AP1756" s="17"/>
      <c r="AQ1756" s="17"/>
      <c r="AR1756" s="17"/>
      <c r="AS1756" s="17"/>
      <c r="AT1756" s="17" t="s">
        <v>919</v>
      </c>
      <c r="AU1756" s="17" t="s">
        <v>111</v>
      </c>
    </row>
    <row r="1757">
      <c r="A1757" s="17">
        <v>1755</v>
      </c>
      <c r="B1757" s="17" t="s">
        <v>52</v>
      </c>
      <c r="C1757" s="42" t="s">
        <v>5258</v>
      </c>
      <c r="D1757" s="35" t="s">
        <v>3886</v>
      </c>
      <c r="E1757" s="17" t="s">
        <v>5259</v>
      </c>
      <c r="F1757" s="17" t="s">
        <v>5260</v>
      </c>
      <c r="G1757" s="17">
        <v>22.607714999999999</v>
      </c>
      <c r="H1757" s="17">
        <v>87.189233000000002</v>
      </c>
      <c r="I1757" s="17"/>
      <c r="J1757" s="17"/>
      <c r="K1757" s="17"/>
      <c r="L1757" s="17"/>
      <c r="M1757" s="42" t="s">
        <v>4347</v>
      </c>
      <c r="N1757" s="17"/>
      <c r="O1757" s="17"/>
      <c r="P1757" s="17"/>
      <c r="Q1757" s="17"/>
      <c r="R1757" s="17"/>
      <c r="S1757" s="17"/>
      <c r="T1757" s="17"/>
      <c r="U1757" s="17"/>
      <c r="V1757" s="17"/>
      <c r="W1757" s="17"/>
      <c r="X1757" s="17"/>
      <c r="Y1757" s="17"/>
      <c r="Z1757" s="17"/>
      <c r="AA1757" s="17"/>
      <c r="AB1757" s="17"/>
      <c r="AC1757" s="17"/>
      <c r="AD1757" s="17"/>
      <c r="AE1757" s="17"/>
      <c r="AF1757" s="17"/>
      <c r="AG1757" s="17"/>
      <c r="AH1757" s="17"/>
      <c r="AI1757" s="17"/>
      <c r="AJ1757" s="17"/>
      <c r="AK1757" s="17"/>
      <c r="AL1757" s="17"/>
      <c r="AM1757" s="17"/>
      <c r="AN1757" s="17"/>
      <c r="AO1757" s="17"/>
      <c r="AP1757" s="17"/>
      <c r="AQ1757" s="17"/>
      <c r="AR1757" s="17"/>
      <c r="AS1757" s="17"/>
      <c r="AT1757" s="17"/>
      <c r="AU1757" s="17"/>
    </row>
    <row r="1758">
      <c r="A1758" s="17">
        <v>1756</v>
      </c>
      <c r="B1758" s="17" t="s">
        <v>52</v>
      </c>
      <c r="C1758" s="42" t="s">
        <v>5261</v>
      </c>
      <c r="D1758" s="35" t="s">
        <v>3886</v>
      </c>
      <c r="E1758" s="17" t="s">
        <v>5262</v>
      </c>
      <c r="F1758" s="17" t="s">
        <v>5263</v>
      </c>
      <c r="G1758" s="17">
        <v>22.615469999999998</v>
      </c>
      <c r="H1758" s="17">
        <v>87.648961</v>
      </c>
      <c r="I1758" s="17"/>
      <c r="J1758" s="17"/>
      <c r="K1758" s="17"/>
      <c r="L1758" s="17"/>
      <c r="M1758" s="42" t="s">
        <v>4099</v>
      </c>
      <c r="N1758" s="17">
        <v>7003921625</v>
      </c>
      <c r="O1758" s="17">
        <v>18</v>
      </c>
      <c r="P1758" s="17">
        <v>100</v>
      </c>
      <c r="Q1758" s="17" t="s">
        <v>73</v>
      </c>
      <c r="R1758" s="17" t="s">
        <v>74</v>
      </c>
      <c r="S1758" s="17" t="s">
        <v>75</v>
      </c>
      <c r="T1758" s="17"/>
      <c r="U1758" s="17" t="s">
        <v>160</v>
      </c>
      <c r="V1758" s="17" t="s">
        <v>77</v>
      </c>
      <c r="W1758" s="17" t="s">
        <v>1094</v>
      </c>
      <c r="X1758" s="17">
        <v>5</v>
      </c>
      <c r="Y1758" s="17">
        <v>0</v>
      </c>
      <c r="Z1758" s="17"/>
      <c r="AA1758" s="17" t="s">
        <v>73</v>
      </c>
      <c r="AB1758" s="17" t="s">
        <v>79</v>
      </c>
      <c r="AC1758" s="17">
        <v>3</v>
      </c>
      <c r="AD1758" s="17">
        <v>0</v>
      </c>
      <c r="AE1758" s="17">
        <v>0</v>
      </c>
      <c r="AF1758" s="17"/>
      <c r="AG1758" s="17" t="s">
        <v>81</v>
      </c>
      <c r="AH1758" s="17" t="s">
        <v>82</v>
      </c>
      <c r="AI1758" s="17" t="s">
        <v>83</v>
      </c>
      <c r="AJ1758" s="17">
        <v>2111</v>
      </c>
      <c r="AK1758" s="17" t="s">
        <v>75</v>
      </c>
      <c r="AL1758" s="17" t="s">
        <v>75</v>
      </c>
      <c r="AM1758" s="17" t="s">
        <v>75</v>
      </c>
      <c r="AN1758" s="17" t="s">
        <v>84</v>
      </c>
      <c r="AO1758" s="17" t="s">
        <v>75</v>
      </c>
      <c r="AP1758" s="17"/>
      <c r="AQ1758" s="17"/>
      <c r="AR1758" s="17"/>
      <c r="AS1758" s="17"/>
      <c r="AT1758" s="17" t="s">
        <v>919</v>
      </c>
      <c r="AU1758" s="17" t="s">
        <v>111</v>
      </c>
    </row>
    <row r="1759">
      <c r="A1759" s="17">
        <v>1757</v>
      </c>
      <c r="B1759" s="17" t="s">
        <v>52</v>
      </c>
      <c r="C1759" s="42" t="s">
        <v>5264</v>
      </c>
      <c r="D1759" s="35" t="s">
        <v>3886</v>
      </c>
      <c r="E1759" s="17" t="s">
        <v>5265</v>
      </c>
      <c r="F1759" s="17" t="s">
        <v>5266</v>
      </c>
      <c r="G1759" s="17">
        <v>22.504327</v>
      </c>
      <c r="H1759" s="17">
        <v>87.105491999999998</v>
      </c>
      <c r="I1759" s="17"/>
      <c r="J1759" s="17"/>
      <c r="K1759" s="17"/>
      <c r="L1759" s="17"/>
      <c r="M1759" s="42" t="s">
        <v>4347</v>
      </c>
      <c r="N1759" s="17"/>
      <c r="O1759" s="17"/>
      <c r="P1759" s="17"/>
      <c r="Q1759" s="17"/>
      <c r="R1759" s="17"/>
      <c r="S1759" s="17"/>
      <c r="T1759" s="17"/>
      <c r="U1759" s="17"/>
      <c r="V1759" s="17"/>
      <c r="W1759" s="17"/>
      <c r="X1759" s="17"/>
      <c r="Y1759" s="17"/>
      <c r="Z1759" s="17"/>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row>
    <row r="1760">
      <c r="A1760" s="17">
        <v>1758</v>
      </c>
      <c r="B1760" s="17" t="s">
        <v>52</v>
      </c>
      <c r="C1760" s="42" t="s">
        <v>5267</v>
      </c>
      <c r="D1760" s="35" t="s">
        <v>3886</v>
      </c>
      <c r="E1760" s="17" t="s">
        <v>5268</v>
      </c>
      <c r="F1760" s="17" t="s">
        <v>5269</v>
      </c>
      <c r="G1760" s="17">
        <v>22.566538000000001</v>
      </c>
      <c r="H1760" s="17">
        <v>87.354207000000002</v>
      </c>
      <c r="I1760" s="17"/>
      <c r="J1760" s="17"/>
      <c r="K1760" s="17"/>
      <c r="L1760" s="17"/>
      <c r="M1760" s="42" t="s">
        <v>4033</v>
      </c>
      <c r="N1760" s="17"/>
      <c r="O1760" s="17"/>
      <c r="P1760" s="17"/>
      <c r="Q1760" s="17"/>
      <c r="R1760" s="17"/>
      <c r="S1760" s="17"/>
      <c r="T1760" s="17"/>
      <c r="U1760" s="17"/>
      <c r="V1760" s="17"/>
      <c r="W1760" s="17"/>
      <c r="X1760" s="17"/>
      <c r="Y1760" s="17"/>
      <c r="Z1760" s="17"/>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row>
    <row r="1761">
      <c r="A1761" s="17">
        <v>1759</v>
      </c>
      <c r="B1761" s="17" t="s">
        <v>52</v>
      </c>
      <c r="C1761" s="42" t="s">
        <v>5270</v>
      </c>
      <c r="D1761" s="35" t="s">
        <v>3886</v>
      </c>
      <c r="E1761" s="17" t="s">
        <v>5271</v>
      </c>
      <c r="F1761" s="17" t="s">
        <v>5272</v>
      </c>
      <c r="G1761" s="17">
        <v>22.784700999999998</v>
      </c>
      <c r="H1761" s="17">
        <v>87.275402</v>
      </c>
      <c r="I1761" s="17"/>
      <c r="J1761" s="17"/>
      <c r="K1761" s="17"/>
      <c r="L1761" s="17"/>
      <c r="M1761" s="42" t="s">
        <v>4210</v>
      </c>
      <c r="N1761" s="17">
        <v>7980098242</v>
      </c>
      <c r="O1761" s="17"/>
      <c r="P1761" s="17"/>
      <c r="Q1761" s="17"/>
      <c r="R1761" s="17"/>
      <c r="S1761" s="17"/>
      <c r="T1761" s="17"/>
      <c r="U1761" s="17"/>
      <c r="V1761" s="17"/>
      <c r="W1761" s="17"/>
      <c r="X1761" s="17"/>
      <c r="Y1761" s="17"/>
      <c r="Z1761" s="17"/>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row>
    <row r="1762">
      <c r="A1762" s="17">
        <v>1760</v>
      </c>
      <c r="B1762" s="17" t="s">
        <v>52</v>
      </c>
      <c r="C1762" s="42" t="s">
        <v>5273</v>
      </c>
      <c r="D1762" s="35" t="s">
        <v>3886</v>
      </c>
      <c r="E1762" s="17" t="s">
        <v>5274</v>
      </c>
      <c r="F1762" s="17" t="s">
        <v>5275</v>
      </c>
      <c r="G1762" s="17">
        <v>22.636337000000001</v>
      </c>
      <c r="H1762" s="17">
        <v>87.497995000000003</v>
      </c>
      <c r="I1762" s="17"/>
      <c r="J1762" s="17"/>
      <c r="K1762" s="17"/>
      <c r="L1762" s="17"/>
      <c r="M1762" s="42" t="s">
        <v>3987</v>
      </c>
      <c r="N1762" s="17"/>
      <c r="O1762" s="17"/>
      <c r="P1762" s="17"/>
      <c r="Q1762" s="17"/>
      <c r="R1762" s="17"/>
      <c r="S1762" s="17"/>
      <c r="T1762" s="17"/>
      <c r="U1762" s="17"/>
      <c r="V1762" s="17"/>
      <c r="W1762" s="17"/>
      <c r="X1762" s="17"/>
      <c r="Y1762" s="17"/>
      <c r="Z1762" s="17"/>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row>
    <row r="1763">
      <c r="A1763" s="17">
        <v>1761</v>
      </c>
      <c r="B1763" s="17" t="s">
        <v>52</v>
      </c>
      <c r="C1763" s="42" t="s">
        <v>5276</v>
      </c>
      <c r="D1763" s="35" t="s">
        <v>3886</v>
      </c>
      <c r="E1763" s="17" t="s">
        <v>5277</v>
      </c>
      <c r="F1763" s="17" t="s">
        <v>5278</v>
      </c>
      <c r="G1763" s="17">
        <v>22.561937</v>
      </c>
      <c r="H1763" s="17">
        <v>87.653520999999998</v>
      </c>
      <c r="I1763" s="17"/>
      <c r="J1763" s="17"/>
      <c r="K1763" s="17"/>
      <c r="L1763" s="17"/>
      <c r="M1763" s="42" t="s">
        <v>4099</v>
      </c>
      <c r="N1763" s="17">
        <v>7003921625</v>
      </c>
      <c r="O1763" s="17">
        <v>18</v>
      </c>
      <c r="P1763" s="17">
        <v>50</v>
      </c>
      <c r="Q1763" s="17" t="s">
        <v>73</v>
      </c>
      <c r="R1763" s="17" t="s">
        <v>74</v>
      </c>
      <c r="S1763" s="17" t="s">
        <v>75</v>
      </c>
      <c r="T1763" s="17"/>
      <c r="U1763" s="17" t="s">
        <v>160</v>
      </c>
      <c r="V1763" s="17" t="s">
        <v>77</v>
      </c>
      <c r="W1763" s="17" t="s">
        <v>252</v>
      </c>
      <c r="X1763" s="17">
        <v>3</v>
      </c>
      <c r="Y1763" s="17">
        <v>0</v>
      </c>
      <c r="Z1763" s="17"/>
      <c r="AA1763" s="17" t="s">
        <v>73</v>
      </c>
      <c r="AB1763" s="17" t="s">
        <v>79</v>
      </c>
      <c r="AC1763" s="17">
        <v>3</v>
      </c>
      <c r="AD1763" s="17">
        <v>0</v>
      </c>
      <c r="AE1763" s="17">
        <v>1</v>
      </c>
      <c r="AF1763" s="17"/>
      <c r="AG1763" s="17" t="s">
        <v>81</v>
      </c>
      <c r="AH1763" s="17" t="s">
        <v>82</v>
      </c>
      <c r="AI1763" s="17" t="s">
        <v>107</v>
      </c>
      <c r="AJ1763" s="17"/>
      <c r="AK1763" s="17" t="s">
        <v>75</v>
      </c>
      <c r="AL1763" s="17" t="s">
        <v>75</v>
      </c>
      <c r="AM1763" s="17" t="s">
        <v>75</v>
      </c>
      <c r="AN1763" s="17" t="s">
        <v>84</v>
      </c>
      <c r="AO1763" s="17" t="s">
        <v>109</v>
      </c>
      <c r="AP1763" s="17"/>
      <c r="AQ1763" s="17"/>
      <c r="AR1763" s="17"/>
      <c r="AS1763" s="17"/>
      <c r="AT1763" s="17"/>
      <c r="AU1763" s="17" t="s">
        <v>111</v>
      </c>
    </row>
    <row r="1764">
      <c r="A1764" s="17">
        <v>1762</v>
      </c>
      <c r="B1764" s="17" t="s">
        <v>52</v>
      </c>
      <c r="C1764" s="42" t="s">
        <v>5279</v>
      </c>
      <c r="D1764" s="35" t="s">
        <v>3886</v>
      </c>
      <c r="E1764" s="17" t="s">
        <v>5280</v>
      </c>
      <c r="F1764" s="17" t="s">
        <v>5281</v>
      </c>
      <c r="G1764" s="17">
        <v>22.788575999999999</v>
      </c>
      <c r="H1764" s="17">
        <v>87.303898000000004</v>
      </c>
      <c r="I1764" s="17"/>
      <c r="J1764" s="17"/>
      <c r="K1764" s="17"/>
      <c r="L1764" s="17"/>
      <c r="M1764" s="42" t="s">
        <v>4045</v>
      </c>
      <c r="N1764" s="17">
        <v>6290709471</v>
      </c>
      <c r="O1764" s="17"/>
      <c r="P1764" s="17"/>
      <c r="Q1764" s="17"/>
      <c r="R1764" s="17"/>
      <c r="S1764" s="17"/>
      <c r="T1764" s="17"/>
      <c r="U1764" s="17"/>
      <c r="V1764" s="17"/>
      <c r="W1764" s="17"/>
      <c r="X1764" s="17"/>
      <c r="Y1764" s="17"/>
      <c r="Z1764" s="17"/>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row>
    <row r="1765">
      <c r="A1765" s="17">
        <v>1763</v>
      </c>
      <c r="B1765" s="17" t="s">
        <v>52</v>
      </c>
      <c r="C1765" s="42" t="s">
        <v>5282</v>
      </c>
      <c r="D1765" s="35" t="s">
        <v>3886</v>
      </c>
      <c r="E1765" s="17" t="s">
        <v>5283</v>
      </c>
      <c r="F1765" s="17" t="s">
        <v>5284</v>
      </c>
      <c r="G1765" s="17">
        <v>22.422056999999999</v>
      </c>
      <c r="H1765" s="17">
        <v>87.370249000000001</v>
      </c>
      <c r="I1765" s="17"/>
      <c r="J1765" s="17"/>
      <c r="K1765" s="17"/>
      <c r="L1765" s="17"/>
      <c r="M1765" s="42" t="s">
        <v>3893</v>
      </c>
      <c r="N1765" s="17"/>
      <c r="O1765" s="17"/>
      <c r="P1765" s="17"/>
      <c r="Q1765" s="17"/>
      <c r="R1765" s="17"/>
      <c r="S1765" s="17"/>
      <c r="T1765" s="17"/>
      <c r="U1765" s="17"/>
      <c r="V1765" s="17"/>
      <c r="W1765" s="17"/>
      <c r="X1765" s="17"/>
      <c r="Y1765" s="17"/>
      <c r="Z1765" s="17"/>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row>
    <row r="1766">
      <c r="A1766" s="17">
        <v>1764</v>
      </c>
      <c r="B1766" s="17" t="s">
        <v>52</v>
      </c>
      <c r="C1766" s="42" t="s">
        <v>5285</v>
      </c>
      <c r="D1766" s="35" t="s">
        <v>3886</v>
      </c>
      <c r="E1766" s="17" t="s">
        <v>5286</v>
      </c>
      <c r="F1766" s="17">
        <v>0</v>
      </c>
      <c r="G1766" s="17">
        <v>22.536353999999999</v>
      </c>
      <c r="H1766" s="17">
        <v>87.798895999999999</v>
      </c>
      <c r="I1766" s="17"/>
      <c r="J1766" s="17"/>
      <c r="K1766" s="17"/>
      <c r="L1766" s="17"/>
      <c r="M1766" s="42" t="s">
        <v>4004</v>
      </c>
      <c r="N1766" s="17">
        <v>9382071290</v>
      </c>
      <c r="O1766" s="17"/>
      <c r="P1766" s="17"/>
      <c r="Q1766" s="17"/>
      <c r="R1766" s="17"/>
      <c r="S1766" s="17"/>
      <c r="T1766" s="17"/>
      <c r="U1766" s="17"/>
      <c r="V1766" s="17"/>
      <c r="W1766" s="17"/>
      <c r="X1766" s="17"/>
      <c r="Y1766" s="17"/>
      <c r="Z1766" s="17"/>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row>
    <row r="1767">
      <c r="A1767" s="17">
        <v>1765</v>
      </c>
      <c r="B1767" s="17" t="s">
        <v>52</v>
      </c>
      <c r="C1767" s="42" t="s">
        <v>5287</v>
      </c>
      <c r="D1767" s="35" t="s">
        <v>3886</v>
      </c>
      <c r="E1767" s="17" t="s">
        <v>5288</v>
      </c>
      <c r="F1767" s="17">
        <v>0</v>
      </c>
      <c r="G1767" s="17">
        <v>22.412538000000001</v>
      </c>
      <c r="H1767" s="17">
        <v>87.329168999999993</v>
      </c>
      <c r="I1767" s="17"/>
      <c r="J1767" s="17"/>
      <c r="K1767" s="17"/>
      <c r="L1767" s="17"/>
      <c r="M1767" s="42" t="s">
        <v>3893</v>
      </c>
      <c r="N1767" s="17"/>
      <c r="O1767" s="17"/>
      <c r="P1767" s="17"/>
      <c r="Q1767" s="17"/>
      <c r="R1767" s="17"/>
      <c r="S1767" s="17"/>
      <c r="T1767" s="17"/>
      <c r="U1767" s="17"/>
      <c r="V1767" s="17"/>
      <c r="W1767" s="17"/>
      <c r="X1767" s="17"/>
      <c r="Y1767" s="17"/>
      <c r="Z1767" s="17"/>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row>
    <row r="1768">
      <c r="A1768" s="17">
        <v>1766</v>
      </c>
      <c r="B1768" s="17" t="s">
        <v>52</v>
      </c>
      <c r="C1768" s="42" t="s">
        <v>5289</v>
      </c>
      <c r="D1768" s="35" t="s">
        <v>3886</v>
      </c>
      <c r="E1768" s="17" t="s">
        <v>5290</v>
      </c>
      <c r="F1768" s="17" t="s">
        <v>5291</v>
      </c>
      <c r="G1768" s="17">
        <v>22.536125999999999</v>
      </c>
      <c r="H1768" s="17">
        <v>87.328198999999998</v>
      </c>
      <c r="I1768" s="17"/>
      <c r="J1768" s="17"/>
      <c r="K1768" s="17"/>
      <c r="L1768" s="17"/>
      <c r="M1768" s="42" t="s">
        <v>4033</v>
      </c>
      <c r="N1768" s="17"/>
      <c r="O1768" s="17"/>
      <c r="P1768" s="17"/>
      <c r="Q1768" s="17"/>
      <c r="R1768" s="17"/>
      <c r="S1768" s="17"/>
      <c r="T1768" s="17"/>
      <c r="U1768" s="17"/>
      <c r="V1768" s="17"/>
      <c r="W1768" s="17"/>
      <c r="X1768" s="17"/>
      <c r="Y1768" s="17"/>
      <c r="Z1768" s="17"/>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row>
    <row r="1769">
      <c r="A1769" s="17">
        <v>1767</v>
      </c>
      <c r="B1769" s="17" t="s">
        <v>52</v>
      </c>
      <c r="C1769" s="42" t="s">
        <v>5292</v>
      </c>
      <c r="D1769" s="35" t="s">
        <v>3886</v>
      </c>
      <c r="E1769" s="17" t="s">
        <v>5293</v>
      </c>
      <c r="F1769" s="17" t="s">
        <v>5294</v>
      </c>
      <c r="G1769" s="17">
        <v>22.465060000000001</v>
      </c>
      <c r="H1769" s="17">
        <v>87.145430000000005</v>
      </c>
      <c r="I1769" s="17"/>
      <c r="J1769" s="17"/>
      <c r="K1769" s="17"/>
      <c r="L1769" s="17"/>
      <c r="M1769" s="42" t="s">
        <v>4347</v>
      </c>
      <c r="N1769" s="17"/>
      <c r="O1769" s="17"/>
      <c r="P1769" s="17"/>
      <c r="Q1769" s="17"/>
      <c r="R1769" s="17"/>
      <c r="S1769" s="17"/>
      <c r="T1769" s="17"/>
      <c r="U1769" s="17"/>
      <c r="V1769" s="17"/>
      <c r="W1769" s="17"/>
      <c r="X1769" s="17"/>
      <c r="Y1769" s="17"/>
      <c r="Z1769" s="17"/>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row>
    <row r="1770">
      <c r="A1770" s="17">
        <v>1768</v>
      </c>
      <c r="B1770" s="17" t="s">
        <v>52</v>
      </c>
      <c r="C1770" s="42" t="s">
        <v>5295</v>
      </c>
      <c r="D1770" s="35" t="s">
        <v>3886</v>
      </c>
      <c r="E1770" s="17" t="s">
        <v>4339</v>
      </c>
      <c r="F1770" s="17" t="s">
        <v>5296</v>
      </c>
      <c r="G1770" s="17">
        <v>22.41112</v>
      </c>
      <c r="H1770" s="17">
        <v>87.419849999999997</v>
      </c>
      <c r="I1770" s="17"/>
      <c r="J1770" s="17"/>
      <c r="K1770" s="17"/>
      <c r="L1770" s="17"/>
      <c r="M1770" s="42" t="s">
        <v>3893</v>
      </c>
      <c r="N1770" s="17"/>
      <c r="O1770" s="17"/>
      <c r="P1770" s="17"/>
      <c r="Q1770" s="17"/>
      <c r="R1770" s="17"/>
      <c r="S1770" s="17"/>
      <c r="T1770" s="17"/>
      <c r="U1770" s="17"/>
      <c r="V1770" s="17"/>
      <c r="W1770" s="17"/>
      <c r="X1770" s="17"/>
      <c r="Y1770" s="17"/>
      <c r="Z1770" s="17"/>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row>
    <row r="1771">
      <c r="A1771" s="17">
        <v>1769</v>
      </c>
      <c r="B1771" s="17" t="s">
        <v>52</v>
      </c>
      <c r="C1771" s="42" t="s">
        <v>5297</v>
      </c>
      <c r="D1771" s="35" t="s">
        <v>3886</v>
      </c>
      <c r="E1771" s="17" t="s">
        <v>5298</v>
      </c>
      <c r="F1771" s="17" t="s">
        <v>5299</v>
      </c>
      <c r="G1771" s="17">
        <v>22.61045</v>
      </c>
      <c r="H1771" s="17">
        <v>87.721819999999994</v>
      </c>
      <c r="I1771" s="17"/>
      <c r="J1771" s="17"/>
      <c r="K1771" s="17"/>
      <c r="L1771" s="17"/>
      <c r="M1771" s="42" t="s">
        <v>4099</v>
      </c>
      <c r="N1771" s="17">
        <v>7003921625</v>
      </c>
      <c r="O1771" s="17">
        <v>20</v>
      </c>
      <c r="P1771" s="17">
        <v>90</v>
      </c>
      <c r="Q1771" s="17" t="s">
        <v>73</v>
      </c>
      <c r="R1771" s="17" t="s">
        <v>74</v>
      </c>
      <c r="S1771" s="17" t="s">
        <v>75</v>
      </c>
      <c r="T1771" s="17"/>
      <c r="U1771" s="17" t="s">
        <v>105</v>
      </c>
      <c r="V1771" s="17" t="s">
        <v>77</v>
      </c>
      <c r="W1771" s="17" t="s">
        <v>78</v>
      </c>
      <c r="X1771" s="17">
        <v>4</v>
      </c>
      <c r="Y1771" s="17">
        <v>1</v>
      </c>
      <c r="Z1771" s="17"/>
      <c r="AA1771" s="17" t="s">
        <v>73</v>
      </c>
      <c r="AB1771" s="17" t="s">
        <v>79</v>
      </c>
      <c r="AC1771" s="17">
        <v>4</v>
      </c>
      <c r="AD1771" s="17">
        <v>0</v>
      </c>
      <c r="AE1771" s="17">
        <v>0</v>
      </c>
      <c r="AF1771" s="17"/>
      <c r="AG1771" s="17" t="s">
        <v>81</v>
      </c>
      <c r="AH1771" s="17" t="s">
        <v>82</v>
      </c>
      <c r="AI1771" s="17" t="s">
        <v>107</v>
      </c>
      <c r="AJ1771" s="17"/>
      <c r="AK1771" s="17" t="s">
        <v>75</v>
      </c>
      <c r="AL1771" s="17" t="s">
        <v>75</v>
      </c>
      <c r="AM1771" s="17" t="s">
        <v>75</v>
      </c>
      <c r="AN1771" s="17" t="s">
        <v>84</v>
      </c>
      <c r="AO1771" s="17" t="s">
        <v>75</v>
      </c>
      <c r="AP1771" s="17"/>
      <c r="AQ1771" s="17"/>
      <c r="AR1771" s="17"/>
      <c r="AS1771" s="17"/>
      <c r="AT1771" s="17" t="s">
        <v>5300</v>
      </c>
      <c r="AU1771" s="17" t="s">
        <v>111</v>
      </c>
    </row>
    <row r="1772">
      <c r="A1772" s="17">
        <v>1770</v>
      </c>
      <c r="B1772" s="17" t="s">
        <v>52</v>
      </c>
      <c r="C1772" s="42" t="s">
        <v>5301</v>
      </c>
      <c r="D1772" s="35" t="s">
        <v>3886</v>
      </c>
      <c r="E1772" s="17" t="s">
        <v>5047</v>
      </c>
      <c r="F1772" s="17" t="s">
        <v>5302</v>
      </c>
      <c r="G1772" s="17">
        <v>22.42408</v>
      </c>
      <c r="H1772" s="17">
        <v>87.248570000000001</v>
      </c>
      <c r="I1772" s="17"/>
      <c r="J1772" s="17"/>
      <c r="K1772" s="17"/>
      <c r="L1772" s="17"/>
      <c r="M1772" s="42" t="s">
        <v>3889</v>
      </c>
      <c r="N1772" s="17"/>
      <c r="O1772" s="17"/>
      <c r="P1772" s="17"/>
      <c r="Q1772" s="17"/>
      <c r="R1772" s="17"/>
      <c r="S1772" s="17"/>
      <c r="T1772" s="17"/>
      <c r="U1772" s="17"/>
      <c r="V1772" s="17"/>
      <c r="W1772" s="17"/>
      <c r="X1772" s="17"/>
      <c r="Y1772" s="17"/>
      <c r="Z1772" s="17"/>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row>
    <row r="1773">
      <c r="A1773" s="17">
        <v>1771</v>
      </c>
      <c r="B1773" s="17" t="s">
        <v>52</v>
      </c>
      <c r="C1773" s="42" t="s">
        <v>5303</v>
      </c>
      <c r="D1773" s="35" t="s">
        <v>3886</v>
      </c>
      <c r="E1773" s="17" t="s">
        <v>5304</v>
      </c>
      <c r="F1773" s="17" t="s">
        <v>5305</v>
      </c>
      <c r="G1773" s="17">
        <v>22.39911</v>
      </c>
      <c r="H1773" s="17">
        <v>87.327361999999994</v>
      </c>
      <c r="I1773" s="17"/>
      <c r="J1773" s="17"/>
      <c r="K1773" s="17"/>
      <c r="L1773" s="17"/>
      <c r="M1773" s="42" t="s">
        <v>3889</v>
      </c>
      <c r="N1773" s="17"/>
      <c r="O1773" s="17"/>
      <c r="P1773" s="17"/>
      <c r="Q1773" s="17"/>
      <c r="R1773" s="17"/>
      <c r="S1773" s="17"/>
      <c r="T1773" s="17"/>
      <c r="U1773" s="17"/>
      <c r="V1773" s="17"/>
      <c r="W1773" s="17"/>
      <c r="X1773" s="17"/>
      <c r="Y1773" s="17"/>
      <c r="Z1773" s="17"/>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row>
    <row r="1774">
      <c r="A1774" s="17">
        <v>1772</v>
      </c>
      <c r="B1774" s="17" t="s">
        <v>52</v>
      </c>
      <c r="C1774" s="42" t="s">
        <v>5306</v>
      </c>
      <c r="D1774" s="35" t="s">
        <v>3886</v>
      </c>
      <c r="E1774" s="17" t="s">
        <v>5307</v>
      </c>
      <c r="F1774" s="17" t="s">
        <v>5308</v>
      </c>
      <c r="G1774" s="17">
        <v>22.705069999999999</v>
      </c>
      <c r="H1774" s="17">
        <v>87.320390000000003</v>
      </c>
      <c r="I1774" s="17"/>
      <c r="J1774" s="17"/>
      <c r="K1774" s="17"/>
      <c r="L1774" s="17"/>
      <c r="M1774" s="42" t="s">
        <v>4045</v>
      </c>
      <c r="N1774" s="17">
        <v>6290709471</v>
      </c>
      <c r="O1774" s="17"/>
      <c r="P1774" s="17"/>
      <c r="Q1774" s="17"/>
      <c r="R1774" s="17"/>
      <c r="S1774" s="17"/>
      <c r="T1774" s="17"/>
      <c r="U1774" s="17"/>
      <c r="V1774" s="17"/>
      <c r="W1774" s="17"/>
      <c r="X1774" s="17"/>
      <c r="Y1774" s="17"/>
      <c r="Z1774" s="17"/>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row>
    <row r="1775">
      <c r="A1775" s="17">
        <v>1773</v>
      </c>
      <c r="B1775" s="17" t="s">
        <v>52</v>
      </c>
      <c r="C1775" s="42" t="s">
        <v>5309</v>
      </c>
      <c r="D1775" s="35" t="s">
        <v>3886</v>
      </c>
      <c r="E1775" s="17" t="s">
        <v>5310</v>
      </c>
      <c r="F1775" s="17" t="s">
        <v>5311</v>
      </c>
      <c r="G1775" s="17">
        <v>22.421320000000001</v>
      </c>
      <c r="H1775" s="17">
        <v>87.313810000000004</v>
      </c>
      <c r="I1775" s="17"/>
      <c r="J1775" s="17"/>
      <c r="K1775" s="17"/>
      <c r="L1775" s="17"/>
      <c r="M1775" s="42" t="s">
        <v>3889</v>
      </c>
      <c r="N1775" s="17"/>
      <c r="O1775" s="17"/>
      <c r="P1775" s="17"/>
      <c r="Q1775" s="17"/>
      <c r="R1775" s="17"/>
      <c r="S1775" s="17"/>
      <c r="T1775" s="17"/>
      <c r="U1775" s="17"/>
      <c r="V1775" s="17"/>
      <c r="W1775" s="17"/>
      <c r="X1775" s="17"/>
      <c r="Y1775" s="17"/>
      <c r="Z1775" s="17"/>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row>
    <row r="1776">
      <c r="A1776" s="17">
        <v>1774</v>
      </c>
      <c r="B1776" s="17" t="s">
        <v>52</v>
      </c>
      <c r="C1776" s="42" t="s">
        <v>5312</v>
      </c>
      <c r="D1776" s="35" t="s">
        <v>3886</v>
      </c>
      <c r="E1776" s="17" t="s">
        <v>5313</v>
      </c>
      <c r="F1776" s="17" t="s">
        <v>5314</v>
      </c>
      <c r="G1776" s="17">
        <v>22.406199999999998</v>
      </c>
      <c r="H1776" s="17">
        <v>87.317790000000002</v>
      </c>
      <c r="I1776" s="17"/>
      <c r="J1776" s="17"/>
      <c r="K1776" s="17"/>
      <c r="L1776" s="17"/>
      <c r="M1776" s="42" t="s">
        <v>3889</v>
      </c>
      <c r="N1776" s="17"/>
      <c r="O1776" s="17"/>
      <c r="P1776" s="17"/>
      <c r="Q1776" s="17"/>
      <c r="R1776" s="17"/>
      <c r="S1776" s="17"/>
      <c r="T1776" s="17"/>
      <c r="U1776" s="17"/>
      <c r="V1776" s="17"/>
      <c r="W1776" s="17"/>
      <c r="X1776" s="17"/>
      <c r="Y1776" s="17"/>
      <c r="Z1776" s="17"/>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row>
    <row r="1777">
      <c r="A1777" s="17">
        <v>1775</v>
      </c>
      <c r="B1777" s="17" t="s">
        <v>52</v>
      </c>
      <c r="C1777" s="42" t="s">
        <v>5315</v>
      </c>
      <c r="D1777" s="35" t="s">
        <v>3886</v>
      </c>
      <c r="E1777" s="17" t="s">
        <v>5316</v>
      </c>
      <c r="F1777" s="17" t="s">
        <v>5317</v>
      </c>
      <c r="G1777" s="17">
        <v>22.43197</v>
      </c>
      <c r="H1777" s="17">
        <v>87.307699999999997</v>
      </c>
      <c r="I1777" s="17"/>
      <c r="J1777" s="17"/>
      <c r="K1777" s="17"/>
      <c r="L1777" s="17"/>
      <c r="M1777" s="42" t="s">
        <v>3889</v>
      </c>
      <c r="N1777" s="17"/>
      <c r="O1777" s="17"/>
      <c r="P1777" s="17"/>
      <c r="Q1777" s="17"/>
      <c r="R1777" s="17"/>
      <c r="S1777" s="17"/>
      <c r="T1777" s="17"/>
      <c r="U1777" s="17"/>
      <c r="V1777" s="17"/>
      <c r="W1777" s="17"/>
      <c r="X1777" s="17"/>
      <c r="Y1777" s="17"/>
      <c r="Z1777" s="17"/>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row>
    <row r="1778">
      <c r="A1778" s="17">
        <v>1776</v>
      </c>
      <c r="B1778" s="17" t="s">
        <v>52</v>
      </c>
      <c r="C1778" s="42" t="s">
        <v>5318</v>
      </c>
      <c r="D1778" s="35" t="s">
        <v>3886</v>
      </c>
      <c r="E1778" s="17" t="s">
        <v>3956</v>
      </c>
      <c r="F1778" s="17" t="s">
        <v>5319</v>
      </c>
      <c r="G1778" s="17">
        <v>22.414349999999999</v>
      </c>
      <c r="H1778" s="17">
        <v>87.325159999999997</v>
      </c>
      <c r="I1778" s="17"/>
      <c r="J1778" s="17"/>
      <c r="K1778" s="17"/>
      <c r="L1778" s="17"/>
      <c r="M1778" s="42" t="s">
        <v>3893</v>
      </c>
      <c r="N1778" s="17"/>
      <c r="O1778" s="17"/>
      <c r="P1778" s="17"/>
      <c r="Q1778" s="17"/>
      <c r="R1778" s="17"/>
      <c r="S1778" s="17"/>
      <c r="T1778" s="17"/>
      <c r="U1778" s="17"/>
      <c r="V1778" s="17"/>
      <c r="W1778" s="17"/>
      <c r="X1778" s="17"/>
      <c r="Y1778" s="17"/>
      <c r="Z1778" s="17"/>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row>
    <row r="1779">
      <c r="A1779" s="17">
        <v>1777</v>
      </c>
      <c r="B1779" s="17" t="s">
        <v>52</v>
      </c>
      <c r="C1779" s="42" t="s">
        <v>5320</v>
      </c>
      <c r="D1779" s="35" t="s">
        <v>3886</v>
      </c>
      <c r="E1779" s="17" t="s">
        <v>5321</v>
      </c>
      <c r="F1779" s="17" t="s">
        <v>5322</v>
      </c>
      <c r="G1779" s="17">
        <v>22.842020000000002</v>
      </c>
      <c r="H1779" s="17">
        <v>87.324996999999996</v>
      </c>
      <c r="I1779" s="17"/>
      <c r="J1779" s="17"/>
      <c r="K1779" s="17"/>
      <c r="L1779" s="17"/>
      <c r="M1779" s="42" t="s">
        <v>3967</v>
      </c>
      <c r="N1779" s="17"/>
      <c r="O1779" s="17"/>
      <c r="P1779" s="17"/>
      <c r="Q1779" s="17"/>
      <c r="R1779" s="17"/>
      <c r="S1779" s="17"/>
      <c r="T1779" s="17"/>
      <c r="U1779" s="17"/>
      <c r="V1779" s="17"/>
      <c r="W1779" s="17"/>
      <c r="X1779" s="17"/>
      <c r="Y1779" s="17"/>
      <c r="Z1779" s="17"/>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row>
    <row r="1780">
      <c r="A1780" s="17">
        <v>1778</v>
      </c>
      <c r="B1780" s="17" t="s">
        <v>52</v>
      </c>
      <c r="C1780" s="42" t="s">
        <v>5323</v>
      </c>
      <c r="D1780" s="35" t="s">
        <v>3886</v>
      </c>
      <c r="E1780" s="17" t="s">
        <v>5324</v>
      </c>
      <c r="F1780" s="17" t="s">
        <v>5325</v>
      </c>
      <c r="G1780" s="17">
        <v>22.729310000000002</v>
      </c>
      <c r="H1780" s="17">
        <v>87.551990000000004</v>
      </c>
      <c r="I1780" s="17"/>
      <c r="J1780" s="17"/>
      <c r="K1780" s="17"/>
      <c r="L1780" s="17"/>
      <c r="M1780" s="42" t="s">
        <v>3987</v>
      </c>
      <c r="N1780" s="17"/>
      <c r="O1780" s="17"/>
      <c r="P1780" s="17"/>
      <c r="Q1780" s="17"/>
      <c r="R1780" s="17"/>
      <c r="S1780" s="17"/>
      <c r="T1780" s="17"/>
      <c r="U1780" s="17"/>
      <c r="V1780" s="17"/>
      <c r="W1780" s="17"/>
      <c r="X1780" s="17"/>
      <c r="Y1780" s="17"/>
      <c r="Z1780" s="17"/>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row>
    <row r="1781">
      <c r="A1781" s="17">
        <v>1779</v>
      </c>
      <c r="B1781" s="17" t="s">
        <v>52</v>
      </c>
      <c r="C1781" s="42" t="s">
        <v>5326</v>
      </c>
      <c r="D1781" s="35" t="s">
        <v>3886</v>
      </c>
      <c r="E1781" s="17" t="s">
        <v>5327</v>
      </c>
      <c r="F1781" s="17" t="s">
        <v>5328</v>
      </c>
      <c r="G1781" s="17">
        <v>22.68271</v>
      </c>
      <c r="H1781" s="17">
        <v>87.663179999999997</v>
      </c>
      <c r="I1781" s="17"/>
      <c r="J1781" s="17"/>
      <c r="K1781" s="17"/>
      <c r="L1781" s="17"/>
      <c r="M1781" s="42" t="s">
        <v>4099</v>
      </c>
      <c r="N1781" s="17">
        <v>7003921625</v>
      </c>
      <c r="O1781" s="17">
        <v>18</v>
      </c>
      <c r="P1781" s="17">
        <v>75</v>
      </c>
      <c r="Q1781" s="17" t="s">
        <v>187</v>
      </c>
      <c r="R1781" s="17" t="s">
        <v>74</v>
      </c>
      <c r="S1781" s="17" t="s">
        <v>75</v>
      </c>
      <c r="T1781" s="17"/>
      <c r="U1781" s="17" t="s">
        <v>105</v>
      </c>
      <c r="V1781" s="17" t="s">
        <v>77</v>
      </c>
      <c r="W1781" s="17" t="s">
        <v>136</v>
      </c>
      <c r="X1781" s="17">
        <v>3</v>
      </c>
      <c r="Y1781" s="17">
        <v>1</v>
      </c>
      <c r="Z1781" s="17"/>
      <c r="AA1781" s="17" t="s">
        <v>187</v>
      </c>
      <c r="AB1781" s="17" t="s">
        <v>79</v>
      </c>
      <c r="AC1781" s="17">
        <v>3</v>
      </c>
      <c r="AD1781" s="17">
        <v>0</v>
      </c>
      <c r="AE1781" s="17">
        <v>0</v>
      </c>
      <c r="AF1781" s="17"/>
      <c r="AG1781" s="17" t="s">
        <v>124</v>
      </c>
      <c r="AH1781" s="17" t="s">
        <v>82</v>
      </c>
      <c r="AI1781" s="17" t="s">
        <v>83</v>
      </c>
      <c r="AJ1781" s="17">
        <v>2111</v>
      </c>
      <c r="AK1781" s="17" t="s">
        <v>75</v>
      </c>
      <c r="AL1781" s="17" t="s">
        <v>75</v>
      </c>
      <c r="AM1781" s="17" t="s">
        <v>75</v>
      </c>
      <c r="AN1781" s="17" t="s">
        <v>84</v>
      </c>
      <c r="AO1781" s="17" t="s">
        <v>109</v>
      </c>
      <c r="AP1781" s="17"/>
      <c r="AQ1781" s="17"/>
      <c r="AR1781" s="17"/>
      <c r="AS1781" s="17"/>
      <c r="AT1781" s="17"/>
      <c r="AU1781" s="17" t="s">
        <v>111</v>
      </c>
    </row>
    <row r="1782">
      <c r="A1782" s="17">
        <v>1780</v>
      </c>
      <c r="B1782" s="17" t="s">
        <v>52</v>
      </c>
      <c r="C1782" s="42" t="s">
        <v>5329</v>
      </c>
      <c r="D1782" s="35" t="s">
        <v>3886</v>
      </c>
      <c r="E1782" s="17" t="s">
        <v>5330</v>
      </c>
      <c r="F1782" s="17" t="s">
        <v>5331</v>
      </c>
      <c r="G1782" s="17">
        <v>22.60211</v>
      </c>
      <c r="H1782" s="17">
        <v>87.772279999999995</v>
      </c>
      <c r="I1782" s="17"/>
      <c r="J1782" s="17"/>
      <c r="K1782" s="17"/>
      <c r="L1782" s="17"/>
      <c r="M1782" s="42" t="s">
        <v>4099</v>
      </c>
      <c r="N1782" s="17">
        <v>7003921625</v>
      </c>
      <c r="O1782" s="17">
        <v>18</v>
      </c>
      <c r="P1782" s="17">
        <v>85</v>
      </c>
      <c r="Q1782" s="17" t="s">
        <v>73</v>
      </c>
      <c r="R1782" s="17" t="s">
        <v>74</v>
      </c>
      <c r="S1782" s="17" t="s">
        <v>75</v>
      </c>
      <c r="T1782" s="17"/>
      <c r="U1782" s="17" t="s">
        <v>160</v>
      </c>
      <c r="V1782" s="17" t="s">
        <v>77</v>
      </c>
      <c r="W1782" s="17" t="s">
        <v>78</v>
      </c>
      <c r="X1782" s="17">
        <v>4</v>
      </c>
      <c r="Y1782" s="17">
        <v>0</v>
      </c>
      <c r="Z1782" s="17"/>
      <c r="AA1782" s="17" t="s">
        <v>73</v>
      </c>
      <c r="AB1782" s="17" t="s">
        <v>79</v>
      </c>
      <c r="AC1782" s="17">
        <v>3</v>
      </c>
      <c r="AD1782" s="17">
        <v>0</v>
      </c>
      <c r="AE1782" s="17">
        <v>0</v>
      </c>
      <c r="AF1782" s="17"/>
      <c r="AG1782" s="17" t="s">
        <v>124</v>
      </c>
      <c r="AH1782" s="17" t="s">
        <v>82</v>
      </c>
      <c r="AI1782" s="17" t="s">
        <v>83</v>
      </c>
      <c r="AJ1782" s="17">
        <v>2111</v>
      </c>
      <c r="AK1782" s="17" t="s">
        <v>75</v>
      </c>
      <c r="AL1782" s="17" t="s">
        <v>75</v>
      </c>
      <c r="AM1782" s="17" t="s">
        <v>75</v>
      </c>
      <c r="AN1782" s="17" t="s">
        <v>84</v>
      </c>
      <c r="AO1782" s="17" t="s">
        <v>75</v>
      </c>
      <c r="AP1782" s="17"/>
      <c r="AQ1782" s="17"/>
      <c r="AR1782" s="17"/>
      <c r="AS1782" s="17"/>
      <c r="AT1782" s="17"/>
      <c r="AU1782" s="17" t="s">
        <v>111</v>
      </c>
    </row>
    <row r="1783">
      <c r="A1783" s="17">
        <v>1781</v>
      </c>
      <c r="B1783" s="17" t="s">
        <v>52</v>
      </c>
      <c r="C1783" s="42" t="s">
        <v>5332</v>
      </c>
      <c r="D1783" s="35" t="s">
        <v>3886</v>
      </c>
      <c r="E1783" s="17" t="s">
        <v>5333</v>
      </c>
      <c r="F1783" s="17" t="s">
        <v>5334</v>
      </c>
      <c r="G1783" s="17">
        <v>22.486409999999999</v>
      </c>
      <c r="H1783" s="17">
        <v>87.756969999999995</v>
      </c>
      <c r="I1783" s="17"/>
      <c r="J1783" s="17"/>
      <c r="K1783" s="17"/>
      <c r="L1783" s="17"/>
      <c r="M1783" s="42" t="s">
        <v>4004</v>
      </c>
      <c r="N1783" s="17">
        <v>9382071290</v>
      </c>
      <c r="O1783" s="17">
        <v>24</v>
      </c>
      <c r="P1783" s="17">
        <v>90</v>
      </c>
      <c r="Q1783" s="17" t="s">
        <v>187</v>
      </c>
      <c r="R1783" s="17" t="s">
        <v>74</v>
      </c>
      <c r="S1783" s="17" t="s">
        <v>75</v>
      </c>
      <c r="T1783" s="17"/>
      <c r="U1783" s="17" t="s">
        <v>105</v>
      </c>
      <c r="V1783" s="17" t="s">
        <v>77</v>
      </c>
      <c r="W1783" s="17" t="s">
        <v>161</v>
      </c>
      <c r="X1783" s="17">
        <v>5</v>
      </c>
      <c r="Y1783" s="17">
        <v>0</v>
      </c>
      <c r="Z1783" s="17"/>
      <c r="AA1783" s="17" t="s">
        <v>187</v>
      </c>
      <c r="AB1783" s="17" t="s">
        <v>79</v>
      </c>
      <c r="AC1783" s="17">
        <v>3</v>
      </c>
      <c r="AD1783" s="17">
        <v>0</v>
      </c>
      <c r="AE1783" s="17">
        <v>0</v>
      </c>
      <c r="AF1783" s="17"/>
      <c r="AG1783" s="17" t="s">
        <v>81</v>
      </c>
      <c r="AH1783" s="17" t="s">
        <v>82</v>
      </c>
      <c r="AI1783" s="17" t="s">
        <v>107</v>
      </c>
      <c r="AJ1783" s="17"/>
      <c r="AK1783" s="17" t="s">
        <v>75</v>
      </c>
      <c r="AL1783" s="17" t="s">
        <v>75</v>
      </c>
      <c r="AM1783" s="17" t="s">
        <v>75</v>
      </c>
      <c r="AN1783" s="17" t="s">
        <v>125</v>
      </c>
      <c r="AO1783" s="17" t="s">
        <v>75</v>
      </c>
      <c r="AP1783" s="17"/>
      <c r="AQ1783" s="17"/>
      <c r="AR1783" s="17"/>
      <c r="AS1783" s="17"/>
      <c r="AT1783" s="17"/>
      <c r="AU1783" s="17" t="s">
        <v>111</v>
      </c>
    </row>
    <row r="1784">
      <c r="A1784" s="17">
        <v>1782</v>
      </c>
      <c r="B1784" s="17" t="s">
        <v>52</v>
      </c>
      <c r="C1784" s="42" t="s">
        <v>5335</v>
      </c>
      <c r="D1784" s="35" t="s">
        <v>3886</v>
      </c>
      <c r="E1784" s="17" t="s">
        <v>5336</v>
      </c>
      <c r="F1784" s="17" t="s">
        <v>5337</v>
      </c>
      <c r="G1784" s="17">
        <v>22.5688</v>
      </c>
      <c r="H1784" s="17">
        <v>87.836119999999994</v>
      </c>
      <c r="I1784" s="17"/>
      <c r="J1784" s="17"/>
      <c r="K1784" s="17"/>
      <c r="L1784" s="17"/>
      <c r="M1784" s="42" t="s">
        <v>4004</v>
      </c>
      <c r="N1784" s="17">
        <v>9382071290</v>
      </c>
      <c r="O1784" s="17">
        <v>24</v>
      </c>
      <c r="P1784" s="17">
        <v>77</v>
      </c>
      <c r="Q1784" s="17" t="s">
        <v>105</v>
      </c>
      <c r="R1784" s="17" t="s">
        <v>74</v>
      </c>
      <c r="S1784" s="17" t="s">
        <v>75</v>
      </c>
      <c r="T1784" s="17"/>
      <c r="U1784" s="17" t="s">
        <v>160</v>
      </c>
      <c r="V1784" s="17" t="s">
        <v>77</v>
      </c>
      <c r="W1784" s="17" t="s">
        <v>78</v>
      </c>
      <c r="X1784" s="17">
        <v>3</v>
      </c>
      <c r="Y1784" s="17">
        <v>1</v>
      </c>
      <c r="Z1784" s="17"/>
      <c r="AA1784" s="17" t="s">
        <v>105</v>
      </c>
      <c r="AB1784" s="17" t="s">
        <v>79</v>
      </c>
      <c r="AC1784" s="17">
        <v>3</v>
      </c>
      <c r="AD1784" s="17">
        <v>0</v>
      </c>
      <c r="AE1784" s="17">
        <v>0</v>
      </c>
      <c r="AF1784" s="17"/>
      <c r="AG1784" s="17" t="s">
        <v>81</v>
      </c>
      <c r="AH1784" s="17" t="s">
        <v>82</v>
      </c>
      <c r="AI1784" s="17" t="s">
        <v>83</v>
      </c>
      <c r="AJ1784" s="17">
        <v>2111</v>
      </c>
      <c r="AK1784" s="17" t="s">
        <v>75</v>
      </c>
      <c r="AL1784" s="17" t="s">
        <v>137</v>
      </c>
      <c r="AM1784" s="17" t="s">
        <v>137</v>
      </c>
      <c r="AN1784" s="17" t="s">
        <v>84</v>
      </c>
      <c r="AO1784" s="17" t="s">
        <v>75</v>
      </c>
      <c r="AP1784" s="17"/>
      <c r="AQ1784" s="17"/>
      <c r="AR1784" s="17"/>
      <c r="AS1784" s="17"/>
      <c r="AT1784" s="17"/>
      <c r="AU1784" s="17" t="s">
        <v>2368</v>
      </c>
    </row>
    <row r="1785">
      <c r="A1785" s="17">
        <v>1783</v>
      </c>
      <c r="B1785" s="17" t="s">
        <v>52</v>
      </c>
      <c r="C1785" s="42" t="s">
        <v>5338</v>
      </c>
      <c r="D1785" s="35" t="s">
        <v>3886</v>
      </c>
      <c r="E1785" s="17" t="s">
        <v>5339</v>
      </c>
      <c r="F1785" s="17" t="s">
        <v>5340</v>
      </c>
      <c r="G1785" s="17">
        <v>22.50442</v>
      </c>
      <c r="H1785" s="17">
        <v>87.81962</v>
      </c>
      <c r="I1785" s="17"/>
      <c r="J1785" s="17"/>
      <c r="K1785" s="17"/>
      <c r="L1785" s="17"/>
      <c r="M1785" s="42" t="s">
        <v>4004</v>
      </c>
      <c r="N1785" s="17">
        <v>9382071290</v>
      </c>
      <c r="O1785" s="17">
        <v>24</v>
      </c>
      <c r="P1785" s="17">
        <v>90</v>
      </c>
      <c r="Q1785" s="17" t="s">
        <v>187</v>
      </c>
      <c r="R1785" s="17" t="s">
        <v>74</v>
      </c>
      <c r="S1785" s="17" t="s">
        <v>2623</v>
      </c>
      <c r="T1785" s="17"/>
      <c r="U1785" s="17" t="s">
        <v>160</v>
      </c>
      <c r="V1785" s="17" t="s">
        <v>77</v>
      </c>
      <c r="W1785" s="17" t="s">
        <v>252</v>
      </c>
      <c r="X1785" s="17">
        <v>6</v>
      </c>
      <c r="Y1785" s="17">
        <v>0</v>
      </c>
      <c r="Z1785" s="17"/>
      <c r="AA1785" s="17" t="s">
        <v>187</v>
      </c>
      <c r="AB1785" s="17" t="s">
        <v>79</v>
      </c>
      <c r="AC1785" s="17">
        <v>3</v>
      </c>
      <c r="AD1785" s="17">
        <v>0</v>
      </c>
      <c r="AE1785" s="17">
        <v>1</v>
      </c>
      <c r="AF1785" s="17"/>
      <c r="AG1785" s="17" t="s">
        <v>124</v>
      </c>
      <c r="AH1785" s="17" t="s">
        <v>82</v>
      </c>
      <c r="AI1785" s="17" t="s">
        <v>83</v>
      </c>
      <c r="AJ1785" s="17">
        <v>2111</v>
      </c>
      <c r="AK1785" s="17" t="s">
        <v>75</v>
      </c>
      <c r="AL1785" s="17" t="s">
        <v>75</v>
      </c>
      <c r="AM1785" s="17" t="s">
        <v>137</v>
      </c>
      <c r="AN1785" s="17" t="s">
        <v>84</v>
      </c>
      <c r="AO1785" s="17" t="s">
        <v>137</v>
      </c>
      <c r="AP1785" s="17"/>
      <c r="AQ1785" s="17"/>
      <c r="AR1785" s="17"/>
      <c r="AS1785" s="17"/>
      <c r="AT1785" s="17"/>
      <c r="AU1785" s="17" t="s">
        <v>111</v>
      </c>
    </row>
    <row r="1786">
      <c r="A1786" s="17">
        <v>1784</v>
      </c>
      <c r="B1786" s="17" t="s">
        <v>52</v>
      </c>
      <c r="C1786" s="42" t="s">
        <v>5341</v>
      </c>
      <c r="D1786" s="35" t="s">
        <v>3886</v>
      </c>
      <c r="E1786" s="17" t="s">
        <v>5342</v>
      </c>
      <c r="F1786" s="17" t="s">
        <v>5343</v>
      </c>
      <c r="G1786" s="17">
        <v>22.595890000000001</v>
      </c>
      <c r="H1786" s="17">
        <v>87.636799999999994</v>
      </c>
      <c r="I1786" s="17"/>
      <c r="J1786" s="17"/>
      <c r="K1786" s="17"/>
      <c r="L1786" s="17"/>
      <c r="M1786" s="42" t="s">
        <v>4099</v>
      </c>
      <c r="N1786" s="17">
        <v>7003921625</v>
      </c>
      <c r="O1786" s="17">
        <v>18</v>
      </c>
      <c r="P1786" s="17">
        <v>130</v>
      </c>
      <c r="Q1786" s="17" t="s">
        <v>73</v>
      </c>
      <c r="R1786" s="17" t="s">
        <v>74</v>
      </c>
      <c r="S1786" s="17" t="s">
        <v>75</v>
      </c>
      <c r="T1786" s="17"/>
      <c r="U1786" s="17" t="s">
        <v>160</v>
      </c>
      <c r="V1786" s="17" t="s">
        <v>77</v>
      </c>
      <c r="W1786" s="17" t="s">
        <v>78</v>
      </c>
      <c r="X1786" s="17">
        <v>4</v>
      </c>
      <c r="Y1786" s="17">
        <v>0</v>
      </c>
      <c r="Z1786" s="17"/>
      <c r="AA1786" s="17" t="s">
        <v>73</v>
      </c>
      <c r="AB1786" s="17" t="s">
        <v>79</v>
      </c>
      <c r="AC1786" s="17">
        <v>3</v>
      </c>
      <c r="AD1786" s="17">
        <v>0</v>
      </c>
      <c r="AE1786" s="17">
        <v>0</v>
      </c>
      <c r="AF1786" s="17"/>
      <c r="AG1786" s="17" t="s">
        <v>124</v>
      </c>
      <c r="AH1786" s="17" t="s">
        <v>82</v>
      </c>
      <c r="AI1786" s="17" t="s">
        <v>83</v>
      </c>
      <c r="AJ1786" s="17">
        <v>2111</v>
      </c>
      <c r="AK1786" s="17" t="s">
        <v>75</v>
      </c>
      <c r="AL1786" s="17" t="s">
        <v>75</v>
      </c>
      <c r="AM1786" s="17" t="s">
        <v>5344</v>
      </c>
      <c r="AN1786" s="17" t="s">
        <v>84</v>
      </c>
      <c r="AO1786" s="17" t="s">
        <v>75</v>
      </c>
      <c r="AP1786" s="17"/>
      <c r="AQ1786" s="17"/>
      <c r="AR1786" s="17"/>
      <c r="AS1786" s="17"/>
      <c r="AT1786" s="17" t="s">
        <v>429</v>
      </c>
      <c r="AU1786" s="17" t="s">
        <v>111</v>
      </c>
    </row>
    <row r="1787">
      <c r="A1787" s="17">
        <v>1785</v>
      </c>
      <c r="B1787" s="17" t="s">
        <v>52</v>
      </c>
      <c r="C1787" s="42" t="s">
        <v>5345</v>
      </c>
      <c r="D1787" s="35" t="s">
        <v>3886</v>
      </c>
      <c r="E1787" s="17"/>
      <c r="F1787" s="17"/>
      <c r="G1787" s="17"/>
      <c r="H1787" s="17"/>
      <c r="I1787" s="17"/>
      <c r="J1787" s="17"/>
      <c r="K1787" s="17"/>
      <c r="L1787" s="17"/>
      <c r="M1787" s="42" t="s">
        <v>5346</v>
      </c>
      <c r="N1787" s="17">
        <v>7003921625</v>
      </c>
      <c r="O1787" s="17">
        <v>22</v>
      </c>
      <c r="P1787" s="17">
        <v>45</v>
      </c>
      <c r="Q1787" s="17" t="s">
        <v>73</v>
      </c>
      <c r="R1787" s="17" t="s">
        <v>104</v>
      </c>
      <c r="S1787" s="17" t="s">
        <v>75</v>
      </c>
      <c r="T1787" s="17"/>
      <c r="U1787" s="17" t="s">
        <v>105</v>
      </c>
      <c r="V1787" s="17" t="s">
        <v>340</v>
      </c>
      <c r="W1787" s="17" t="s">
        <v>161</v>
      </c>
      <c r="X1787" s="17">
        <v>4</v>
      </c>
      <c r="Y1787" s="17">
        <v>0</v>
      </c>
      <c r="Z1787" s="17" t="s">
        <v>424</v>
      </c>
      <c r="AA1787" s="17" t="s">
        <v>73</v>
      </c>
      <c r="AB1787" s="17" t="s">
        <v>79</v>
      </c>
      <c r="AC1787" s="17">
        <v>2</v>
      </c>
      <c r="AD1787" s="17">
        <v>0</v>
      </c>
      <c r="AE1787" s="17">
        <v>0</v>
      </c>
      <c r="AF1787" s="17"/>
      <c r="AG1787" s="17" t="s">
        <v>124</v>
      </c>
      <c r="AH1787" s="17" t="s">
        <v>162</v>
      </c>
      <c r="AI1787" s="17" t="s">
        <v>83</v>
      </c>
      <c r="AJ1787" s="17">
        <v>2112</v>
      </c>
      <c r="AK1787" s="17" t="s">
        <v>75</v>
      </c>
      <c r="AL1787" s="17" t="s">
        <v>75</v>
      </c>
      <c r="AM1787" s="17" t="s">
        <v>75</v>
      </c>
      <c r="AN1787" s="17" t="s">
        <v>84</v>
      </c>
      <c r="AO1787" s="17" t="s">
        <v>137</v>
      </c>
      <c r="AP1787" s="17"/>
      <c r="AQ1787" s="17"/>
      <c r="AR1787" s="17"/>
      <c r="AS1787" s="17"/>
      <c r="AT1787" s="17" t="s">
        <v>5347</v>
      </c>
      <c r="AU1787" s="17" t="s">
        <v>111</v>
      </c>
    </row>
    <row r="1788">
      <c r="A1788" s="17">
        <v>1786</v>
      </c>
      <c r="B1788" s="17" t="s">
        <v>52</v>
      </c>
      <c r="C1788" s="42" t="s">
        <v>5348</v>
      </c>
      <c r="D1788" s="35" t="s">
        <v>3886</v>
      </c>
      <c r="E1788" s="17"/>
      <c r="F1788" s="17"/>
      <c r="G1788" s="17"/>
      <c r="H1788" s="17"/>
      <c r="I1788" s="17"/>
      <c r="J1788" s="17"/>
      <c r="K1788" s="17"/>
      <c r="L1788" s="17"/>
      <c r="M1788" s="42" t="s">
        <v>3987</v>
      </c>
      <c r="N1788" s="17"/>
      <c r="O1788" s="17"/>
      <c r="P1788" s="17"/>
      <c r="Q1788" s="17"/>
      <c r="R1788" s="17"/>
      <c r="S1788" s="17"/>
      <c r="T1788" s="17"/>
      <c r="U1788" s="17"/>
      <c r="V1788" s="17"/>
      <c r="W1788" s="17"/>
      <c r="X1788" s="17"/>
      <c r="Y1788" s="17"/>
      <c r="Z1788" s="17"/>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row>
    <row r="1789">
      <c r="A1789" s="17">
        <v>1787</v>
      </c>
      <c r="B1789" s="17" t="s">
        <v>52</v>
      </c>
      <c r="C1789" s="42" t="s">
        <v>5349</v>
      </c>
      <c r="D1789" s="35" t="s">
        <v>3886</v>
      </c>
      <c r="E1789" s="17" t="s">
        <v>5350</v>
      </c>
      <c r="F1789" s="17" t="s">
        <v>5351</v>
      </c>
      <c r="G1789" s="17">
        <v>22.669499999999999</v>
      </c>
      <c r="H1789" s="17">
        <v>87.763704000000004</v>
      </c>
      <c r="I1789" s="17"/>
      <c r="J1789" s="17"/>
      <c r="K1789" s="17"/>
      <c r="L1789" s="17"/>
      <c r="M1789" s="42" t="s">
        <v>4099</v>
      </c>
      <c r="N1789" s="17">
        <v>7003921625</v>
      </c>
      <c r="O1789" s="17">
        <v>18</v>
      </c>
      <c r="P1789" s="17">
        <v>75</v>
      </c>
      <c r="Q1789" s="17" t="s">
        <v>73</v>
      </c>
      <c r="R1789" s="17" t="s">
        <v>74</v>
      </c>
      <c r="S1789" s="17" t="s">
        <v>75</v>
      </c>
      <c r="T1789" s="17"/>
      <c r="U1789" s="17" t="s">
        <v>160</v>
      </c>
      <c r="V1789" s="17" t="s">
        <v>77</v>
      </c>
      <c r="W1789" s="17" t="s">
        <v>252</v>
      </c>
      <c r="X1789" s="17">
        <v>5</v>
      </c>
      <c r="Y1789" s="17">
        <v>0</v>
      </c>
      <c r="Z1789" s="17"/>
      <c r="AA1789" s="17" t="s">
        <v>73</v>
      </c>
      <c r="AB1789" s="17" t="s">
        <v>79</v>
      </c>
      <c r="AC1789" s="17">
        <v>3</v>
      </c>
      <c r="AD1789" s="17">
        <v>0</v>
      </c>
      <c r="AE1789" s="17">
        <v>0</v>
      </c>
      <c r="AF1789" s="17"/>
      <c r="AG1789" s="17" t="s">
        <v>81</v>
      </c>
      <c r="AH1789" s="17" t="s">
        <v>82</v>
      </c>
      <c r="AI1789" s="17" t="s">
        <v>83</v>
      </c>
      <c r="AJ1789" s="17">
        <v>2111</v>
      </c>
      <c r="AK1789" s="17" t="s">
        <v>75</v>
      </c>
      <c r="AL1789" s="17" t="s">
        <v>75</v>
      </c>
      <c r="AM1789" s="17" t="s">
        <v>75</v>
      </c>
      <c r="AN1789" s="17" t="s">
        <v>84</v>
      </c>
      <c r="AO1789" s="17" t="s">
        <v>75</v>
      </c>
      <c r="AP1789" s="17"/>
      <c r="AQ1789" s="17"/>
      <c r="AR1789" s="17"/>
      <c r="AS1789" s="17"/>
      <c r="AT1789" s="17"/>
      <c r="AU1789" s="17" t="s">
        <v>111</v>
      </c>
    </row>
    <row r="1790">
      <c r="A1790" s="17">
        <v>1788</v>
      </c>
      <c r="B1790" s="17" t="s">
        <v>52</v>
      </c>
      <c r="C1790" s="42" t="s">
        <v>5352</v>
      </c>
      <c r="D1790" s="35" t="s">
        <v>3886</v>
      </c>
      <c r="E1790" s="17" t="s">
        <v>5353</v>
      </c>
      <c r="F1790" s="17" t="s">
        <v>5354</v>
      </c>
      <c r="G1790" s="17">
        <v>22.56382</v>
      </c>
      <c r="H1790" s="17">
        <v>87.742369999999994</v>
      </c>
      <c r="I1790" s="17"/>
      <c r="J1790" s="17"/>
      <c r="K1790" s="17"/>
      <c r="L1790" s="17"/>
      <c r="M1790" s="42" t="s">
        <v>4004</v>
      </c>
      <c r="N1790" s="17">
        <v>9382071290</v>
      </c>
      <c r="O1790" s="17">
        <v>24</v>
      </c>
      <c r="P1790" s="17">
        <v>135</v>
      </c>
      <c r="Q1790" s="17" t="s">
        <v>187</v>
      </c>
      <c r="R1790" s="17" t="s">
        <v>339</v>
      </c>
      <c r="S1790" s="17" t="s">
        <v>75</v>
      </c>
      <c r="T1790" s="17"/>
      <c r="U1790" s="17" t="s">
        <v>160</v>
      </c>
      <c r="V1790" s="17" t="s">
        <v>77</v>
      </c>
      <c r="W1790" s="17" t="s">
        <v>252</v>
      </c>
      <c r="X1790" s="17">
        <v>5</v>
      </c>
      <c r="Y1790" s="17">
        <v>0</v>
      </c>
      <c r="Z1790" s="17"/>
      <c r="AA1790" s="17" t="s">
        <v>187</v>
      </c>
      <c r="AB1790" s="17" t="s">
        <v>79</v>
      </c>
      <c r="AC1790" s="17">
        <v>6</v>
      </c>
      <c r="AD1790" s="17">
        <v>0</v>
      </c>
      <c r="AE1790" s="17">
        <v>0</v>
      </c>
      <c r="AF1790" s="17"/>
      <c r="AG1790" s="17" t="s">
        <v>124</v>
      </c>
      <c r="AH1790" s="17" t="s">
        <v>162</v>
      </c>
      <c r="AI1790" s="17" t="s">
        <v>83</v>
      </c>
      <c r="AJ1790" s="17">
        <v>2112</v>
      </c>
      <c r="AK1790" s="17" t="s">
        <v>75</v>
      </c>
      <c r="AL1790" s="17" t="s">
        <v>137</v>
      </c>
      <c r="AM1790" s="17" t="s">
        <v>75</v>
      </c>
      <c r="AN1790" s="17" t="s">
        <v>84</v>
      </c>
      <c r="AO1790" s="17" t="s">
        <v>75</v>
      </c>
      <c r="AP1790" s="17"/>
      <c r="AQ1790" s="17"/>
      <c r="AR1790" s="17"/>
      <c r="AS1790" s="17"/>
      <c r="AT1790" s="17"/>
      <c r="AU1790" s="17" t="s">
        <v>111</v>
      </c>
    </row>
    <row r="1791">
      <c r="A1791" s="17">
        <v>1789</v>
      </c>
      <c r="B1791" s="17" t="s">
        <v>52</v>
      </c>
      <c r="C1791" s="42" t="s">
        <v>5355</v>
      </c>
      <c r="D1791" s="35" t="s">
        <v>3886</v>
      </c>
      <c r="E1791" s="17" t="s">
        <v>5356</v>
      </c>
      <c r="F1791" s="17" t="s">
        <v>5357</v>
      </c>
      <c r="G1791" s="17">
        <v>22.546589999999998</v>
      </c>
      <c r="H1791" s="17">
        <v>87.471320000000006</v>
      </c>
      <c r="I1791" s="17"/>
      <c r="J1791" s="17"/>
      <c r="K1791" s="17"/>
      <c r="L1791" s="17"/>
      <c r="M1791" s="42" t="s">
        <v>4016</v>
      </c>
      <c r="N1791" s="17"/>
      <c r="O1791" s="17"/>
      <c r="P1791" s="17"/>
      <c r="Q1791" s="17"/>
      <c r="R1791" s="17"/>
      <c r="S1791" s="17"/>
      <c r="T1791" s="17"/>
      <c r="U1791" s="17"/>
      <c r="V1791" s="17"/>
      <c r="W1791" s="17"/>
      <c r="X1791" s="17"/>
      <c r="Y1791" s="17"/>
      <c r="Z1791" s="17"/>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row>
    <row r="1792">
      <c r="A1792" s="17">
        <v>1790</v>
      </c>
      <c r="B1792" s="17" t="s">
        <v>52</v>
      </c>
      <c r="C1792" s="42" t="s">
        <v>5358</v>
      </c>
      <c r="D1792" s="35" t="s">
        <v>3886</v>
      </c>
      <c r="E1792" s="17" t="s">
        <v>5359</v>
      </c>
      <c r="F1792" s="17" t="s">
        <v>5360</v>
      </c>
      <c r="G1792" s="17">
        <v>22.572949999999999</v>
      </c>
      <c r="H1792" s="17">
        <v>87.695179999999993</v>
      </c>
      <c r="I1792" s="17"/>
      <c r="J1792" s="17"/>
      <c r="K1792" s="17"/>
      <c r="L1792" s="17"/>
      <c r="M1792" s="42" t="s">
        <v>4099</v>
      </c>
      <c r="N1792" s="17">
        <v>7003921625</v>
      </c>
      <c r="O1792" s="17">
        <v>17</v>
      </c>
      <c r="P1792" s="17">
        <v>120</v>
      </c>
      <c r="Q1792" s="17" t="s">
        <v>187</v>
      </c>
      <c r="R1792" s="17" t="s">
        <v>142</v>
      </c>
      <c r="S1792" s="17" t="s">
        <v>75</v>
      </c>
      <c r="T1792" s="17"/>
      <c r="U1792" s="17" t="s">
        <v>105</v>
      </c>
      <c r="V1792" s="17" t="s">
        <v>77</v>
      </c>
      <c r="W1792" s="17" t="s">
        <v>123</v>
      </c>
      <c r="X1792" s="17">
        <v>5</v>
      </c>
      <c r="Y1792" s="17">
        <v>2</v>
      </c>
      <c r="Z1792" s="17"/>
      <c r="AA1792" s="17" t="s">
        <v>187</v>
      </c>
      <c r="AB1792" s="17" t="s">
        <v>79</v>
      </c>
      <c r="AC1792" s="17">
        <v>6</v>
      </c>
      <c r="AD1792" s="17">
        <v>0</v>
      </c>
      <c r="AE1792" s="17">
        <v>0</v>
      </c>
      <c r="AF1792" s="17"/>
      <c r="AG1792" s="17" t="s">
        <v>81</v>
      </c>
      <c r="AH1792" s="17" t="s">
        <v>82</v>
      </c>
      <c r="AI1792" s="17" t="s">
        <v>107</v>
      </c>
      <c r="AJ1792" s="17"/>
      <c r="AK1792" s="17" t="s">
        <v>75</v>
      </c>
      <c r="AL1792" s="17" t="s">
        <v>75</v>
      </c>
      <c r="AM1792" s="17" t="s">
        <v>75</v>
      </c>
      <c r="AN1792" s="17" t="s">
        <v>84</v>
      </c>
      <c r="AO1792" s="17" t="s">
        <v>75</v>
      </c>
      <c r="AP1792" s="17"/>
      <c r="AQ1792" s="17"/>
      <c r="AR1792" s="17"/>
      <c r="AS1792" s="17"/>
      <c r="AT1792" s="17"/>
      <c r="AU1792" s="17" t="s">
        <v>111</v>
      </c>
    </row>
    <row r="1793">
      <c r="A1793" s="17">
        <v>1791</v>
      </c>
      <c r="B1793" s="17" t="s">
        <v>52</v>
      </c>
      <c r="C1793" s="42" t="s">
        <v>5361</v>
      </c>
      <c r="D1793" s="35" t="s">
        <v>3886</v>
      </c>
      <c r="E1793" s="17" t="s">
        <v>5362</v>
      </c>
      <c r="F1793" s="17" t="s">
        <v>5363</v>
      </c>
      <c r="G1793" s="17">
        <v>22.725899999999999</v>
      </c>
      <c r="H1793" s="17">
        <v>87.704390000000004</v>
      </c>
      <c r="I1793" s="17"/>
      <c r="J1793" s="17"/>
      <c r="K1793" s="17"/>
      <c r="L1793" s="17"/>
      <c r="M1793" s="42" t="s">
        <v>4099</v>
      </c>
      <c r="N1793" s="17">
        <v>7003921625</v>
      </c>
      <c r="O1793" s="17">
        <v>17</v>
      </c>
      <c r="P1793" s="17">
        <v>65</v>
      </c>
      <c r="Q1793" s="17" t="s">
        <v>73</v>
      </c>
      <c r="R1793" s="17" t="s">
        <v>74</v>
      </c>
      <c r="S1793" s="17" t="s">
        <v>75</v>
      </c>
      <c r="T1793" s="17"/>
      <c r="U1793" s="17" t="s">
        <v>105</v>
      </c>
      <c r="V1793" s="17" t="s">
        <v>77</v>
      </c>
      <c r="W1793" s="17" t="s">
        <v>161</v>
      </c>
      <c r="X1793" s="17">
        <v>8</v>
      </c>
      <c r="Y1793" s="17">
        <v>2</v>
      </c>
      <c r="Z1793" s="17"/>
      <c r="AA1793" s="17" t="s">
        <v>73</v>
      </c>
      <c r="AB1793" s="17" t="s">
        <v>79</v>
      </c>
      <c r="AC1793" s="17">
        <v>3</v>
      </c>
      <c r="AD1793" s="17">
        <v>0</v>
      </c>
      <c r="AE1793" s="17">
        <v>0</v>
      </c>
      <c r="AF1793" s="17"/>
      <c r="AG1793" s="17" t="s">
        <v>124</v>
      </c>
      <c r="AH1793" s="17" t="s">
        <v>82</v>
      </c>
      <c r="AI1793" s="17" t="s">
        <v>83</v>
      </c>
      <c r="AJ1793" s="17">
        <v>2111</v>
      </c>
      <c r="AK1793" s="17" t="s">
        <v>75</v>
      </c>
      <c r="AL1793" s="17" t="s">
        <v>75</v>
      </c>
      <c r="AM1793" s="17" t="s">
        <v>75</v>
      </c>
      <c r="AN1793" s="17" t="s">
        <v>125</v>
      </c>
      <c r="AO1793" s="17" t="s">
        <v>75</v>
      </c>
      <c r="AP1793" s="17" t="s">
        <v>73</v>
      </c>
      <c r="AQ1793" s="17" t="s">
        <v>741</v>
      </c>
      <c r="AR1793" s="17">
        <v>4</v>
      </c>
      <c r="AS1793" s="17">
        <v>2</v>
      </c>
      <c r="AT1793" s="17" t="s">
        <v>429</v>
      </c>
      <c r="AU1793" s="17" t="s">
        <v>111</v>
      </c>
    </row>
    <row r="1794">
      <c r="A1794" s="17">
        <v>1792</v>
      </c>
      <c r="B1794" s="17" t="s">
        <v>52</v>
      </c>
      <c r="C1794" s="42" t="s">
        <v>5364</v>
      </c>
      <c r="D1794" s="35" t="s">
        <v>3886</v>
      </c>
      <c r="E1794" s="17" t="s">
        <v>5365</v>
      </c>
      <c r="F1794" s="17" t="s">
        <v>5366</v>
      </c>
      <c r="G1794" s="17">
        <v>22.537776999999998</v>
      </c>
      <c r="H1794" s="17">
        <v>87.443875000000006</v>
      </c>
      <c r="I1794" s="17"/>
      <c r="J1794" s="17"/>
      <c r="K1794" s="17"/>
      <c r="L1794" s="17"/>
      <c r="M1794" s="42" t="s">
        <v>4016</v>
      </c>
      <c r="N1794" s="17"/>
      <c r="O1794" s="17"/>
      <c r="P1794" s="17"/>
      <c r="Q1794" s="17"/>
      <c r="R1794" s="17"/>
      <c r="S1794" s="17"/>
      <c r="T1794" s="17"/>
      <c r="U1794" s="17"/>
      <c r="V1794" s="17"/>
      <c r="W1794" s="17"/>
      <c r="X1794" s="17"/>
      <c r="Y1794" s="17"/>
      <c r="Z1794" s="17"/>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row>
    <row r="1795">
      <c r="A1795" s="17">
        <v>1793</v>
      </c>
      <c r="B1795" s="17" t="s">
        <v>52</v>
      </c>
      <c r="C1795" s="42" t="s">
        <v>5367</v>
      </c>
      <c r="D1795" s="35" t="s">
        <v>3886</v>
      </c>
      <c r="E1795" s="17" t="s">
        <v>5368</v>
      </c>
      <c r="F1795" s="17" t="s">
        <v>5369</v>
      </c>
      <c r="G1795" s="17">
        <v>22.920266999999999</v>
      </c>
      <c r="H1795" s="17">
        <v>87.387247000000002</v>
      </c>
      <c r="I1795" s="17"/>
      <c r="J1795" s="17"/>
      <c r="K1795" s="17"/>
      <c r="L1795" s="17"/>
      <c r="M1795" s="42" t="s">
        <v>3967</v>
      </c>
      <c r="N1795" s="17"/>
      <c r="O1795" s="17"/>
      <c r="P1795" s="17"/>
      <c r="Q1795" s="17"/>
      <c r="R1795" s="17"/>
      <c r="S1795" s="17"/>
      <c r="T1795" s="17"/>
      <c r="U1795" s="17"/>
      <c r="V1795" s="17"/>
      <c r="W1795" s="17"/>
      <c r="X1795" s="17"/>
      <c r="Y1795" s="17"/>
      <c r="Z1795" s="17"/>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row>
    <row r="1796">
      <c r="A1796" s="17">
        <v>1794</v>
      </c>
      <c r="B1796" s="17" t="s">
        <v>52</v>
      </c>
      <c r="C1796" s="42" t="s">
        <v>5370</v>
      </c>
      <c r="D1796" s="35" t="s">
        <v>3886</v>
      </c>
      <c r="E1796" s="17" t="s">
        <v>5371</v>
      </c>
      <c r="F1796" s="17" t="s">
        <v>5372</v>
      </c>
      <c r="G1796" s="17">
        <v>22.527460000000001</v>
      </c>
      <c r="H1796" s="17">
        <v>87.566533000000007</v>
      </c>
      <c r="I1796" s="17"/>
      <c r="J1796" s="17"/>
      <c r="K1796" s="17"/>
      <c r="L1796" s="17"/>
      <c r="M1796" s="42" t="s">
        <v>4016</v>
      </c>
      <c r="N1796" s="17"/>
      <c r="O1796" s="17"/>
      <c r="P1796" s="17"/>
      <c r="Q1796" s="17"/>
      <c r="R1796" s="17"/>
      <c r="S1796" s="17"/>
      <c r="T1796" s="17"/>
      <c r="U1796" s="17"/>
      <c r="V1796" s="17"/>
      <c r="W1796" s="17"/>
      <c r="X1796" s="17"/>
      <c r="Y1796" s="17"/>
      <c r="Z1796" s="17"/>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row>
    <row r="1797">
      <c r="A1797" s="17">
        <v>1795</v>
      </c>
      <c r="B1797" s="17" t="s">
        <v>52</v>
      </c>
      <c r="C1797" s="42" t="s">
        <v>5373</v>
      </c>
      <c r="D1797" s="35" t="s">
        <v>3886</v>
      </c>
      <c r="E1797" s="17" t="s">
        <v>5374</v>
      </c>
      <c r="F1797" s="17" t="s">
        <v>5375</v>
      </c>
      <c r="G1797" s="17">
        <v>22.828949999999999</v>
      </c>
      <c r="H1797" s="17">
        <v>87.450609999999998</v>
      </c>
      <c r="I1797" s="17"/>
      <c r="J1797" s="17"/>
      <c r="K1797" s="17"/>
      <c r="L1797" s="17"/>
      <c r="M1797" s="42" t="s">
        <v>4011</v>
      </c>
      <c r="N1797" s="17">
        <v>8240995350</v>
      </c>
      <c r="O1797" s="17">
        <v>18</v>
      </c>
      <c r="P1797" s="17">
        <v>65</v>
      </c>
      <c r="Q1797" s="17" t="s">
        <v>187</v>
      </c>
      <c r="R1797" s="17" t="s">
        <v>339</v>
      </c>
      <c r="S1797" s="17" t="s">
        <v>75</v>
      </c>
      <c r="T1797" s="17"/>
      <c r="U1797" s="17" t="s">
        <v>105</v>
      </c>
      <c r="V1797" s="17" t="s">
        <v>77</v>
      </c>
      <c r="W1797" s="17" t="s">
        <v>330</v>
      </c>
      <c r="X1797" s="17">
        <v>6</v>
      </c>
      <c r="Y1797" s="17">
        <v>0</v>
      </c>
      <c r="Z1797" s="17"/>
      <c r="AA1797" s="17" t="s">
        <v>187</v>
      </c>
      <c r="AB1797" s="17" t="s">
        <v>79</v>
      </c>
      <c r="AC1797" s="17">
        <v>2</v>
      </c>
      <c r="AD1797" s="17">
        <v>0</v>
      </c>
      <c r="AE1797" s="17">
        <v>0</v>
      </c>
      <c r="AF1797" s="17"/>
      <c r="AG1797" s="17" t="s">
        <v>124</v>
      </c>
      <c r="AH1797" s="17" t="s">
        <v>82</v>
      </c>
      <c r="AI1797" s="17" t="s">
        <v>83</v>
      </c>
      <c r="AJ1797" s="17">
        <v>2111</v>
      </c>
      <c r="AK1797" s="17" t="s">
        <v>75</v>
      </c>
      <c r="AL1797" s="17" t="s">
        <v>75</v>
      </c>
      <c r="AM1797" s="17" t="s">
        <v>75</v>
      </c>
      <c r="AN1797" s="17" t="s">
        <v>125</v>
      </c>
      <c r="AO1797" s="17" t="s">
        <v>75</v>
      </c>
      <c r="AP1797" s="17" t="s">
        <v>187</v>
      </c>
      <c r="AQ1797" s="17" t="s">
        <v>74</v>
      </c>
      <c r="AR1797" s="17">
        <v>2</v>
      </c>
      <c r="AS1797" s="17">
        <v>0</v>
      </c>
      <c r="AT1797" s="17"/>
      <c r="AU1797" s="17" t="s">
        <v>127</v>
      </c>
    </row>
    <row r="1798">
      <c r="A1798" s="17">
        <v>1796</v>
      </c>
      <c r="B1798" s="17" t="s">
        <v>52</v>
      </c>
      <c r="C1798" s="42" t="s">
        <v>5376</v>
      </c>
      <c r="D1798" s="35" t="s">
        <v>3886</v>
      </c>
      <c r="E1798" s="17" t="s">
        <v>5377</v>
      </c>
      <c r="F1798" s="17" t="s">
        <v>5378</v>
      </c>
      <c r="G1798" s="17">
        <v>22.634170000000001</v>
      </c>
      <c r="H1798" s="17">
        <v>87.286850999999999</v>
      </c>
      <c r="I1798" s="17"/>
      <c r="J1798" s="17"/>
      <c r="K1798" s="17"/>
      <c r="L1798" s="17"/>
      <c r="M1798" s="42" t="s">
        <v>4033</v>
      </c>
      <c r="N1798" s="17"/>
      <c r="O1798" s="17"/>
      <c r="P1798" s="17"/>
      <c r="Q1798" s="17"/>
      <c r="R1798" s="17"/>
      <c r="S1798" s="17"/>
      <c r="T1798" s="17"/>
      <c r="U1798" s="17"/>
      <c r="V1798" s="17"/>
      <c r="W1798" s="17"/>
      <c r="X1798" s="17"/>
      <c r="Y1798" s="17"/>
      <c r="Z1798" s="17"/>
      <c r="AA1798" s="17"/>
      <c r="AB1798" s="17"/>
      <c r="AC1798" s="17"/>
      <c r="AD1798" s="17"/>
      <c r="AE1798" s="17"/>
      <c r="AF1798" s="17"/>
      <c r="AG1798" s="17"/>
      <c r="AH1798" s="17"/>
      <c r="AI1798" s="17"/>
      <c r="AJ1798" s="17"/>
      <c r="AK1798" s="17"/>
      <c r="AL1798" s="17"/>
      <c r="AM1798" s="17"/>
      <c r="AN1798" s="17"/>
      <c r="AO1798" s="17"/>
      <c r="AP1798" s="17"/>
      <c r="AQ1798" s="17"/>
      <c r="AR1798" s="17"/>
      <c r="AS1798" s="17"/>
      <c r="AT1798" s="17"/>
      <c r="AU1798" s="17"/>
    </row>
    <row r="1799">
      <c r="A1799" s="17">
        <v>1797</v>
      </c>
      <c r="B1799" s="17" t="s">
        <v>52</v>
      </c>
      <c r="C1799" s="42" t="s">
        <v>5379</v>
      </c>
      <c r="D1799" s="35" t="s">
        <v>3886</v>
      </c>
      <c r="E1799" s="17" t="s">
        <v>5380</v>
      </c>
      <c r="F1799" s="17" t="s">
        <v>5381</v>
      </c>
      <c r="G1799" s="17">
        <v>22.63466</v>
      </c>
      <c r="H1799" s="17">
        <v>87.27543</v>
      </c>
      <c r="I1799" s="17"/>
      <c r="J1799" s="17"/>
      <c r="K1799" s="17"/>
      <c r="L1799" s="17"/>
      <c r="M1799" s="42" t="s">
        <v>4033</v>
      </c>
      <c r="N1799" s="17"/>
      <c r="O1799" s="17"/>
      <c r="P1799" s="17"/>
      <c r="Q1799" s="17"/>
      <c r="R1799" s="17"/>
      <c r="S1799" s="17"/>
      <c r="T1799" s="17"/>
      <c r="U1799" s="17"/>
      <c r="V1799" s="17"/>
      <c r="W1799" s="17"/>
      <c r="X1799" s="17"/>
      <c r="Y1799" s="17"/>
      <c r="Z1799" s="17"/>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row>
    <row r="1800">
      <c r="A1800" s="17">
        <v>1798</v>
      </c>
      <c r="B1800" s="17" t="s">
        <v>52</v>
      </c>
      <c r="C1800" s="42" t="s">
        <v>5382</v>
      </c>
      <c r="D1800" s="35" t="s">
        <v>3886</v>
      </c>
      <c r="E1800" s="17" t="s">
        <v>5383</v>
      </c>
      <c r="F1800" s="17" t="s">
        <v>5384</v>
      </c>
      <c r="G1800" s="17">
        <v>22.401669999999999</v>
      </c>
      <c r="H1800" s="17">
        <v>87.403090000000006</v>
      </c>
      <c r="I1800" s="17"/>
      <c r="J1800" s="17"/>
      <c r="K1800" s="17"/>
      <c r="L1800" s="17"/>
      <c r="M1800" s="42" t="s">
        <v>3893</v>
      </c>
      <c r="N1800" s="17"/>
      <c r="O1800" s="17"/>
      <c r="P1800" s="17"/>
      <c r="Q1800" s="17"/>
      <c r="R1800" s="17"/>
      <c r="S1800" s="17"/>
      <c r="T1800" s="17"/>
      <c r="U1800" s="17"/>
      <c r="V1800" s="17"/>
      <c r="W1800" s="17"/>
      <c r="X1800" s="17"/>
      <c r="Y1800" s="17"/>
      <c r="Z1800" s="17"/>
      <c r="AA1800" s="17"/>
      <c r="AB1800" s="17"/>
      <c r="AC1800" s="17"/>
      <c r="AD1800" s="17"/>
      <c r="AE1800" s="17"/>
      <c r="AF1800" s="17"/>
      <c r="AG1800" s="17"/>
      <c r="AH1800" s="17"/>
      <c r="AI1800" s="17"/>
      <c r="AJ1800" s="17"/>
      <c r="AK1800" s="17"/>
      <c r="AL1800" s="17"/>
      <c r="AM1800" s="17"/>
      <c r="AN1800" s="17"/>
      <c r="AO1800" s="17"/>
      <c r="AP1800" s="17"/>
      <c r="AQ1800" s="17"/>
      <c r="AR1800" s="17"/>
      <c r="AS1800" s="17"/>
      <c r="AT1800" s="17"/>
      <c r="AU1800" s="17"/>
    </row>
    <row r="1801">
      <c r="A1801" s="17">
        <v>1799</v>
      </c>
      <c r="B1801" s="17" t="s">
        <v>52</v>
      </c>
      <c r="C1801" s="42" t="s">
        <v>5385</v>
      </c>
      <c r="D1801" s="35" t="s">
        <v>3886</v>
      </c>
      <c r="E1801" s="17" t="s">
        <v>5386</v>
      </c>
      <c r="F1801" s="17" t="s">
        <v>5387</v>
      </c>
      <c r="G1801" s="17">
        <v>22.509285999999999</v>
      </c>
      <c r="H1801" s="17">
        <v>87.525030999999998</v>
      </c>
      <c r="I1801" s="17"/>
      <c r="J1801" s="17"/>
      <c r="K1801" s="17"/>
      <c r="L1801" s="17"/>
      <c r="M1801" s="42" t="s">
        <v>4016</v>
      </c>
      <c r="N1801" s="17"/>
      <c r="O1801" s="17"/>
      <c r="P1801" s="17"/>
      <c r="Q1801" s="17"/>
      <c r="R1801" s="17"/>
      <c r="S1801" s="17"/>
      <c r="T1801" s="17"/>
      <c r="U1801" s="17"/>
      <c r="V1801" s="17"/>
      <c r="W1801" s="17"/>
      <c r="X1801" s="17"/>
      <c r="Y1801" s="17"/>
      <c r="Z1801" s="17"/>
      <c r="AA1801" s="17"/>
      <c r="AB1801" s="17"/>
      <c r="AC1801" s="17"/>
      <c r="AD1801" s="17"/>
      <c r="AE1801" s="17"/>
      <c r="AF1801" s="17"/>
      <c r="AG1801" s="17"/>
      <c r="AH1801" s="17"/>
      <c r="AI1801" s="17"/>
      <c r="AJ1801" s="17"/>
      <c r="AK1801" s="17"/>
      <c r="AL1801" s="17"/>
      <c r="AM1801" s="17"/>
      <c r="AN1801" s="17"/>
      <c r="AO1801" s="17"/>
      <c r="AP1801" s="17"/>
      <c r="AQ1801" s="17"/>
      <c r="AR1801" s="17"/>
      <c r="AS1801" s="17"/>
      <c r="AT1801" s="17"/>
      <c r="AU1801" s="17"/>
    </row>
    <row r="1802">
      <c r="A1802" s="17">
        <v>1800</v>
      </c>
      <c r="B1802" s="17" t="s">
        <v>52</v>
      </c>
      <c r="C1802" s="42" t="s">
        <v>5388</v>
      </c>
      <c r="D1802" s="35" t="s">
        <v>3886</v>
      </c>
      <c r="E1802" s="17" t="s">
        <v>5389</v>
      </c>
      <c r="F1802" s="17" t="s">
        <v>5390</v>
      </c>
      <c r="G1802" s="17">
        <v>22.663129999999999</v>
      </c>
      <c r="H1802" s="17">
        <v>87.429329999999993</v>
      </c>
      <c r="I1802" s="17"/>
      <c r="J1802" s="17"/>
      <c r="K1802" s="17"/>
      <c r="L1802" s="17"/>
      <c r="M1802" s="42" t="s">
        <v>4045</v>
      </c>
      <c r="N1802" s="17">
        <v>6290709471</v>
      </c>
      <c r="O1802" s="17"/>
      <c r="P1802" s="17"/>
      <c r="Q1802" s="17"/>
      <c r="R1802" s="17"/>
      <c r="S1802" s="17"/>
      <c r="T1802" s="17"/>
      <c r="U1802" s="17"/>
      <c r="V1802" s="17"/>
      <c r="W1802" s="17"/>
      <c r="X1802" s="17"/>
      <c r="Y1802" s="17"/>
      <c r="Z1802" s="17"/>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row>
    <row r="1803">
      <c r="A1803" s="17">
        <v>1801</v>
      </c>
      <c r="B1803" s="17" t="s">
        <v>52</v>
      </c>
      <c r="C1803" s="42" t="s">
        <v>5391</v>
      </c>
      <c r="D1803" s="35" t="s">
        <v>3886</v>
      </c>
      <c r="E1803" s="17" t="s">
        <v>5392</v>
      </c>
      <c r="F1803" s="17" t="s">
        <v>5393</v>
      </c>
      <c r="G1803" s="17">
        <v>22.521409999999999</v>
      </c>
      <c r="H1803" s="17">
        <v>87.559650000000005</v>
      </c>
      <c r="I1803" s="17"/>
      <c r="J1803" s="17"/>
      <c r="K1803" s="17"/>
      <c r="L1803" s="17"/>
      <c r="M1803" s="42" t="s">
        <v>4016</v>
      </c>
      <c r="N1803" s="17"/>
      <c r="O1803" s="17"/>
      <c r="P1803" s="17"/>
      <c r="Q1803" s="17"/>
      <c r="R1803" s="17"/>
      <c r="S1803" s="17"/>
      <c r="T1803" s="17"/>
      <c r="U1803" s="17"/>
      <c r="V1803" s="17"/>
      <c r="W1803" s="17"/>
      <c r="X1803" s="17"/>
      <c r="Y1803" s="17"/>
      <c r="Z1803" s="17"/>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row>
    <row r="1804">
      <c r="A1804" s="17">
        <v>1802</v>
      </c>
      <c r="B1804" s="17" t="s">
        <v>52</v>
      </c>
      <c r="C1804" s="42" t="s">
        <v>5394</v>
      </c>
      <c r="D1804" s="35" t="s">
        <v>3886</v>
      </c>
      <c r="E1804" s="17" t="s">
        <v>5395</v>
      </c>
      <c r="F1804" s="17" t="s">
        <v>5396</v>
      </c>
      <c r="G1804" s="17">
        <v>22.664914</v>
      </c>
      <c r="H1804" s="17">
        <v>87.398747</v>
      </c>
      <c r="I1804" s="17"/>
      <c r="J1804" s="17"/>
      <c r="K1804" s="17"/>
      <c r="L1804" s="17"/>
      <c r="M1804" s="42" t="s">
        <v>4045</v>
      </c>
      <c r="N1804" s="17">
        <v>6290709471</v>
      </c>
      <c r="O1804" s="17"/>
      <c r="P1804" s="17"/>
      <c r="Q1804" s="17"/>
      <c r="R1804" s="17"/>
      <c r="S1804" s="17"/>
      <c r="T1804" s="17"/>
      <c r="U1804" s="17"/>
      <c r="V1804" s="17"/>
      <c r="W1804" s="17"/>
      <c r="X1804" s="17"/>
      <c r="Y1804" s="17"/>
      <c r="Z1804" s="17"/>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row>
    <row r="1805">
      <c r="A1805" s="17">
        <v>1803</v>
      </c>
      <c r="B1805" s="17" t="s">
        <v>52</v>
      </c>
      <c r="C1805" s="42" t="s">
        <v>5397</v>
      </c>
      <c r="D1805" s="35" t="s">
        <v>3886</v>
      </c>
      <c r="E1805" s="17" t="s">
        <v>5398</v>
      </c>
      <c r="F1805" s="17">
        <v>0</v>
      </c>
      <c r="G1805" s="17">
        <v>22.419740000000001</v>
      </c>
      <c r="H1805" s="17">
        <v>87.319280000000006</v>
      </c>
      <c r="I1805" s="17"/>
      <c r="J1805" s="17"/>
      <c r="K1805" s="17"/>
      <c r="L1805" s="17"/>
      <c r="M1805" s="42" t="s">
        <v>3893</v>
      </c>
      <c r="N1805" s="17"/>
      <c r="O1805" s="17"/>
      <c r="P1805" s="17"/>
      <c r="Q1805" s="17"/>
      <c r="R1805" s="17"/>
      <c r="S1805" s="17"/>
      <c r="T1805" s="17"/>
      <c r="U1805" s="17"/>
      <c r="V1805" s="17"/>
      <c r="W1805" s="17"/>
      <c r="X1805" s="17"/>
      <c r="Y1805" s="17"/>
      <c r="Z1805" s="17"/>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row>
    <row r="1806">
      <c r="A1806" s="17">
        <v>1804</v>
      </c>
      <c r="B1806" s="17" t="s">
        <v>52</v>
      </c>
      <c r="C1806" s="42" t="s">
        <v>1560</v>
      </c>
      <c r="D1806" s="35" t="s">
        <v>3886</v>
      </c>
      <c r="E1806" s="17" t="s">
        <v>1561</v>
      </c>
      <c r="F1806" s="17" t="s">
        <v>1562</v>
      </c>
      <c r="G1806" s="17">
        <v>22.560176999999999</v>
      </c>
      <c r="H1806" s="17">
        <v>87.841515000000001</v>
      </c>
      <c r="I1806" s="17"/>
      <c r="J1806" s="17"/>
      <c r="K1806" s="17"/>
      <c r="L1806" s="17"/>
      <c r="M1806" s="42" t="s">
        <v>4004</v>
      </c>
      <c r="N1806" s="17">
        <v>9382071290</v>
      </c>
      <c r="O1806" s="17">
        <v>24</v>
      </c>
      <c r="P1806" s="17">
        <v>95</v>
      </c>
      <c r="Q1806" s="17" t="s">
        <v>73</v>
      </c>
      <c r="R1806" s="17" t="s">
        <v>74</v>
      </c>
      <c r="S1806" s="17" t="s">
        <v>75</v>
      </c>
      <c r="T1806" s="17"/>
      <c r="U1806" s="17" t="s">
        <v>160</v>
      </c>
      <c r="V1806" s="17" t="s">
        <v>77</v>
      </c>
      <c r="W1806" s="17" t="s">
        <v>252</v>
      </c>
      <c r="X1806" s="17">
        <v>4</v>
      </c>
      <c r="Y1806" s="17">
        <v>0</v>
      </c>
      <c r="Z1806" s="17"/>
      <c r="AA1806" s="17" t="s">
        <v>73</v>
      </c>
      <c r="AB1806" s="17" t="s">
        <v>79</v>
      </c>
      <c r="AC1806" s="17">
        <v>3</v>
      </c>
      <c r="AD1806" s="17">
        <v>0</v>
      </c>
      <c r="AE1806" s="17">
        <v>1</v>
      </c>
      <c r="AF1806" s="17"/>
      <c r="AG1806" s="17" t="s">
        <v>81</v>
      </c>
      <c r="AH1806" s="17" t="s">
        <v>82</v>
      </c>
      <c r="AI1806" s="17" t="s">
        <v>107</v>
      </c>
      <c r="AJ1806" s="17"/>
      <c r="AK1806" s="17" t="s">
        <v>75</v>
      </c>
      <c r="AL1806" s="17" t="s">
        <v>75</v>
      </c>
      <c r="AM1806" s="17" t="s">
        <v>75</v>
      </c>
      <c r="AN1806" s="17" t="s">
        <v>84</v>
      </c>
      <c r="AO1806" s="17" t="s">
        <v>75</v>
      </c>
      <c r="AP1806" s="17"/>
      <c r="AQ1806" s="17"/>
      <c r="AR1806" s="17"/>
      <c r="AS1806" s="17"/>
      <c r="AT1806" s="17"/>
      <c r="AU1806" s="17" t="s">
        <v>5399</v>
      </c>
    </row>
    <row r="1807">
      <c r="A1807" s="17">
        <v>1805</v>
      </c>
      <c r="B1807" s="17" t="s">
        <v>52</v>
      </c>
      <c r="C1807" s="42" t="s">
        <v>5400</v>
      </c>
      <c r="D1807" s="35" t="s">
        <v>3886</v>
      </c>
      <c r="E1807" s="17" t="s">
        <v>5401</v>
      </c>
      <c r="F1807" s="17" t="s">
        <v>5402</v>
      </c>
      <c r="G1807" s="17">
        <v>22.680882</v>
      </c>
      <c r="H1807" s="17">
        <v>87.535309999999996</v>
      </c>
      <c r="I1807" s="17"/>
      <c r="J1807" s="17"/>
      <c r="K1807" s="17"/>
      <c r="L1807" s="17"/>
      <c r="M1807" s="42" t="s">
        <v>3987</v>
      </c>
      <c r="N1807" s="17"/>
      <c r="O1807" s="17"/>
      <c r="P1807" s="17"/>
      <c r="Q1807" s="17"/>
      <c r="R1807" s="17"/>
      <c r="S1807" s="17"/>
      <c r="T1807" s="17"/>
      <c r="U1807" s="17"/>
      <c r="V1807" s="17"/>
      <c r="W1807" s="17"/>
      <c r="X1807" s="17"/>
      <c r="Y1807" s="17"/>
      <c r="Z1807" s="17"/>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row>
    <row r="1808">
      <c r="A1808" s="17">
        <v>1806</v>
      </c>
      <c r="B1808" s="17" t="s">
        <v>52</v>
      </c>
      <c r="C1808" s="42" t="s">
        <v>5403</v>
      </c>
      <c r="D1808" s="35" t="s">
        <v>3886</v>
      </c>
      <c r="E1808" s="17" t="s">
        <v>5404</v>
      </c>
      <c r="F1808" s="17" t="s">
        <v>5405</v>
      </c>
      <c r="G1808" s="17">
        <v>22.651869000000001</v>
      </c>
      <c r="H1808" s="17">
        <v>87.564152000000007</v>
      </c>
      <c r="I1808" s="17"/>
      <c r="J1808" s="17"/>
      <c r="K1808" s="17"/>
      <c r="L1808" s="17"/>
      <c r="M1808" s="42" t="s">
        <v>3987</v>
      </c>
      <c r="N1808" s="17"/>
      <c r="O1808" s="17"/>
      <c r="P1808" s="17"/>
      <c r="Q1808" s="17"/>
      <c r="R1808" s="17"/>
      <c r="S1808" s="17"/>
      <c r="T1808" s="17"/>
      <c r="U1808" s="17"/>
      <c r="V1808" s="17"/>
      <c r="W1808" s="17"/>
      <c r="X1808" s="17"/>
      <c r="Y1808" s="17"/>
      <c r="Z1808" s="17"/>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row>
    <row r="1809">
      <c r="A1809" s="17">
        <v>1807</v>
      </c>
      <c r="B1809" s="17" t="s">
        <v>52</v>
      </c>
      <c r="C1809" s="42" t="s">
        <v>5406</v>
      </c>
      <c r="D1809" s="35" t="s">
        <v>3886</v>
      </c>
      <c r="E1809" s="17" t="s">
        <v>5407</v>
      </c>
      <c r="F1809" s="17" t="s">
        <v>5408</v>
      </c>
      <c r="G1809" s="17">
        <v>22.743089999999999</v>
      </c>
      <c r="H1809" s="17">
        <v>87.700620000000001</v>
      </c>
      <c r="I1809" s="17"/>
      <c r="J1809" s="17"/>
      <c r="K1809" s="17"/>
      <c r="L1809" s="17"/>
      <c r="M1809" s="42" t="s">
        <v>4099</v>
      </c>
      <c r="N1809" s="17">
        <v>7003921625</v>
      </c>
      <c r="O1809" s="17">
        <v>20</v>
      </c>
      <c r="P1809" s="17">
        <v>50</v>
      </c>
      <c r="Q1809" s="17" t="s">
        <v>73</v>
      </c>
      <c r="R1809" s="17" t="s">
        <v>74</v>
      </c>
      <c r="S1809" s="17" t="s">
        <v>75</v>
      </c>
      <c r="T1809" s="17"/>
      <c r="U1809" s="17" t="s">
        <v>160</v>
      </c>
      <c r="V1809" s="17" t="s">
        <v>77</v>
      </c>
      <c r="W1809" s="17" t="s">
        <v>78</v>
      </c>
      <c r="X1809" s="17">
        <v>3</v>
      </c>
      <c r="Y1809" s="17">
        <v>0</v>
      </c>
      <c r="Z1809" s="17"/>
      <c r="AA1809" s="17" t="s">
        <v>73</v>
      </c>
      <c r="AB1809" s="17" t="s">
        <v>79</v>
      </c>
      <c r="AC1809" s="17">
        <v>3</v>
      </c>
      <c r="AD1809" s="17">
        <v>0</v>
      </c>
      <c r="AE1809" s="17">
        <v>0</v>
      </c>
      <c r="AF1809" s="17"/>
      <c r="AG1809" s="17" t="s">
        <v>124</v>
      </c>
      <c r="AH1809" s="17" t="s">
        <v>82</v>
      </c>
      <c r="AI1809" s="17" t="s">
        <v>83</v>
      </c>
      <c r="AJ1809" s="17">
        <v>2111</v>
      </c>
      <c r="AK1809" s="17" t="s">
        <v>75</v>
      </c>
      <c r="AL1809" s="17" t="s">
        <v>75</v>
      </c>
      <c r="AM1809" s="17" t="s">
        <v>75</v>
      </c>
      <c r="AN1809" s="17" t="s">
        <v>84</v>
      </c>
      <c r="AO1809" s="17" t="s">
        <v>109</v>
      </c>
      <c r="AP1809" s="17"/>
      <c r="AQ1809" s="17"/>
      <c r="AR1809" s="17"/>
      <c r="AS1809" s="17"/>
      <c r="AT1809" s="17" t="s">
        <v>5409</v>
      </c>
      <c r="AU1809" s="17" t="s">
        <v>127</v>
      </c>
    </row>
    <row r="1810">
      <c r="A1810" s="17">
        <v>1808</v>
      </c>
      <c r="B1810" s="17" t="s">
        <v>52</v>
      </c>
      <c r="C1810" s="42" t="s">
        <v>5410</v>
      </c>
      <c r="D1810" s="35" t="s">
        <v>3886</v>
      </c>
      <c r="E1810" s="17" t="s">
        <v>5411</v>
      </c>
      <c r="F1810" s="17" t="s">
        <v>5412</v>
      </c>
      <c r="G1810" s="17">
        <v>22.698119999999999</v>
      </c>
      <c r="H1810" s="17">
        <v>87.702010000000001</v>
      </c>
      <c r="I1810" s="17"/>
      <c r="J1810" s="17"/>
      <c r="K1810" s="17"/>
      <c r="L1810" s="17"/>
      <c r="M1810" s="42" t="s">
        <v>4099</v>
      </c>
      <c r="N1810" s="17">
        <v>7003921625</v>
      </c>
      <c r="O1810" s="17">
        <v>18</v>
      </c>
      <c r="P1810" s="17">
        <v>50</v>
      </c>
      <c r="Q1810" s="17" t="s">
        <v>73</v>
      </c>
      <c r="R1810" s="17" t="s">
        <v>74</v>
      </c>
      <c r="S1810" s="17" t="s">
        <v>75</v>
      </c>
      <c r="T1810" s="17"/>
      <c r="U1810" s="17" t="s">
        <v>160</v>
      </c>
      <c r="V1810" s="17" t="s">
        <v>77</v>
      </c>
      <c r="W1810" s="17" t="s">
        <v>78</v>
      </c>
      <c r="X1810" s="17">
        <v>3</v>
      </c>
      <c r="Y1810" s="17">
        <v>0</v>
      </c>
      <c r="Z1810" s="17"/>
      <c r="AA1810" s="17" t="s">
        <v>73</v>
      </c>
      <c r="AB1810" s="17" t="s">
        <v>79</v>
      </c>
      <c r="AC1810" s="17">
        <v>3</v>
      </c>
      <c r="AD1810" s="17">
        <v>0</v>
      </c>
      <c r="AE1810" s="17">
        <v>1</v>
      </c>
      <c r="AF1810" s="17"/>
      <c r="AG1810" s="17" t="s">
        <v>124</v>
      </c>
      <c r="AH1810" s="17" t="s">
        <v>82</v>
      </c>
      <c r="AI1810" s="17" t="s">
        <v>83</v>
      </c>
      <c r="AJ1810" s="17">
        <v>2111</v>
      </c>
      <c r="AK1810" s="17" t="s">
        <v>75</v>
      </c>
      <c r="AL1810" s="17" t="s">
        <v>75</v>
      </c>
      <c r="AM1810" s="17" t="s">
        <v>75</v>
      </c>
      <c r="AN1810" s="17" t="s">
        <v>84</v>
      </c>
      <c r="AO1810" s="17" t="s">
        <v>75</v>
      </c>
      <c r="AP1810" s="17"/>
      <c r="AQ1810" s="17"/>
      <c r="AR1810" s="17"/>
      <c r="AS1810" s="17"/>
      <c r="AT1810" s="17"/>
      <c r="AU1810" s="17" t="s">
        <v>111</v>
      </c>
    </row>
    <row r="1811">
      <c r="A1811" s="17">
        <v>1809</v>
      </c>
      <c r="B1811" s="17" t="s">
        <v>52</v>
      </c>
      <c r="C1811" s="42" t="s">
        <v>5413</v>
      </c>
      <c r="D1811" s="35" t="s">
        <v>3886</v>
      </c>
      <c r="E1811" s="17" t="s">
        <v>5414</v>
      </c>
      <c r="F1811" s="17" t="s">
        <v>5415</v>
      </c>
      <c r="G1811" s="17">
        <v>22.604140000000001</v>
      </c>
      <c r="H1811" s="17">
        <v>87.723060000000004</v>
      </c>
      <c r="I1811" s="17"/>
      <c r="J1811" s="17"/>
      <c r="K1811" s="17"/>
      <c r="L1811" s="17"/>
      <c r="M1811" s="42" t="s">
        <v>4099</v>
      </c>
      <c r="N1811" s="17">
        <v>7003921625</v>
      </c>
      <c r="O1811" s="17">
        <v>18</v>
      </c>
      <c r="P1811" s="17">
        <v>75</v>
      </c>
      <c r="Q1811" s="17" t="s">
        <v>105</v>
      </c>
      <c r="R1811" s="17" t="s">
        <v>238</v>
      </c>
      <c r="S1811" s="17" t="s">
        <v>75</v>
      </c>
      <c r="T1811" s="17"/>
      <c r="U1811" s="17" t="s">
        <v>105</v>
      </c>
      <c r="V1811" s="17" t="s">
        <v>77</v>
      </c>
      <c r="W1811" s="17" t="s">
        <v>252</v>
      </c>
      <c r="X1811" s="17">
        <v>5</v>
      </c>
      <c r="Y1811" s="17">
        <v>0</v>
      </c>
      <c r="Z1811" s="17"/>
      <c r="AA1811" s="17" t="s">
        <v>105</v>
      </c>
      <c r="AB1811" s="17" t="s">
        <v>79</v>
      </c>
      <c r="AC1811" s="17">
        <v>3</v>
      </c>
      <c r="AD1811" s="17">
        <v>0</v>
      </c>
      <c r="AE1811" s="17">
        <v>2</v>
      </c>
      <c r="AF1811" s="17" t="s">
        <v>3748</v>
      </c>
      <c r="AG1811" s="17" t="s">
        <v>124</v>
      </c>
      <c r="AH1811" s="17" t="s">
        <v>82</v>
      </c>
      <c r="AI1811" s="17" t="s">
        <v>83</v>
      </c>
      <c r="AJ1811" s="17">
        <v>2111</v>
      </c>
      <c r="AK1811" s="17" t="s">
        <v>75</v>
      </c>
      <c r="AL1811" s="17" t="s">
        <v>75</v>
      </c>
      <c r="AM1811" s="17" t="s">
        <v>75</v>
      </c>
      <c r="AN1811" s="17" t="s">
        <v>84</v>
      </c>
      <c r="AO1811" s="17" t="s">
        <v>75</v>
      </c>
      <c r="AP1811" s="17"/>
      <c r="AQ1811" s="17"/>
      <c r="AR1811" s="17"/>
      <c r="AS1811" s="17"/>
      <c r="AT1811" s="17" t="s">
        <v>919</v>
      </c>
      <c r="AU1811" s="17" t="s">
        <v>111</v>
      </c>
    </row>
    <row r="1812">
      <c r="A1812" s="17">
        <v>1810</v>
      </c>
      <c r="B1812" s="17" t="s">
        <v>52</v>
      </c>
      <c r="C1812" s="42" t="s">
        <v>5416</v>
      </c>
      <c r="D1812" s="35" t="s">
        <v>3886</v>
      </c>
      <c r="E1812" s="17" t="s">
        <v>5417</v>
      </c>
      <c r="F1812" s="17">
        <v>0</v>
      </c>
      <c r="G1812" s="17">
        <v>22.431823000000001</v>
      </c>
      <c r="H1812" s="17">
        <v>87.322757999999993</v>
      </c>
      <c r="I1812" s="17"/>
      <c r="J1812" s="17"/>
      <c r="K1812" s="17"/>
      <c r="L1812" s="17"/>
      <c r="M1812" s="42" t="s">
        <v>3889</v>
      </c>
      <c r="N1812" s="17"/>
      <c r="O1812" s="17"/>
      <c r="P1812" s="17"/>
      <c r="Q1812" s="17"/>
      <c r="R1812" s="17"/>
      <c r="S1812" s="17"/>
      <c r="T1812" s="17"/>
      <c r="U1812" s="17"/>
      <c r="V1812" s="17"/>
      <c r="W1812" s="17"/>
      <c r="X1812" s="17"/>
      <c r="Y1812" s="17"/>
      <c r="Z1812" s="17"/>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row>
    <row r="1813">
      <c r="A1813" s="17">
        <v>1811</v>
      </c>
      <c r="B1813" s="17" t="s">
        <v>52</v>
      </c>
      <c r="C1813" s="42" t="s">
        <v>5418</v>
      </c>
      <c r="D1813" s="35" t="s">
        <v>3886</v>
      </c>
      <c r="E1813" s="17" t="s">
        <v>5419</v>
      </c>
      <c r="F1813" s="17" t="s">
        <v>5420</v>
      </c>
      <c r="G1813" s="17">
        <v>22.408829999999998</v>
      </c>
      <c r="H1813" s="17">
        <v>87.308130000000006</v>
      </c>
      <c r="I1813" s="17"/>
      <c r="J1813" s="17"/>
      <c r="K1813" s="17"/>
      <c r="L1813" s="17"/>
      <c r="M1813" s="42" t="s">
        <v>3889</v>
      </c>
      <c r="N1813" s="17"/>
      <c r="O1813" s="17"/>
      <c r="P1813" s="17"/>
      <c r="Q1813" s="17"/>
      <c r="R1813" s="17"/>
      <c r="S1813" s="17"/>
      <c r="T1813" s="17"/>
      <c r="U1813" s="17"/>
      <c r="V1813" s="17"/>
      <c r="W1813" s="17"/>
      <c r="X1813" s="17"/>
      <c r="Y1813" s="17"/>
      <c r="Z1813" s="17"/>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row>
    <row r="1814">
      <c r="A1814" s="17">
        <v>1812</v>
      </c>
      <c r="B1814" s="17" t="s">
        <v>52</v>
      </c>
      <c r="C1814" s="42" t="s">
        <v>5421</v>
      </c>
      <c r="D1814" s="35" t="s">
        <v>3886</v>
      </c>
      <c r="E1814" s="17" t="s">
        <v>5422</v>
      </c>
      <c r="F1814" s="17" t="s">
        <v>5423</v>
      </c>
      <c r="G1814" s="17">
        <v>22.68965</v>
      </c>
      <c r="H1814" s="17">
        <v>87.696349999999995</v>
      </c>
      <c r="I1814" s="17"/>
      <c r="J1814" s="17"/>
      <c r="K1814" s="17"/>
      <c r="L1814" s="17"/>
      <c r="M1814" s="42" t="s">
        <v>4099</v>
      </c>
      <c r="N1814" s="17">
        <v>7003921625</v>
      </c>
      <c r="O1814" s="17">
        <v>18</v>
      </c>
      <c r="P1814" s="17">
        <v>55</v>
      </c>
      <c r="Q1814" s="17" t="s">
        <v>105</v>
      </c>
      <c r="R1814" s="17" t="s">
        <v>238</v>
      </c>
      <c r="S1814" s="17" t="s">
        <v>75</v>
      </c>
      <c r="T1814" s="17"/>
      <c r="U1814" s="17" t="s">
        <v>160</v>
      </c>
      <c r="V1814" s="17" t="s">
        <v>77</v>
      </c>
      <c r="W1814" s="17" t="s">
        <v>161</v>
      </c>
      <c r="X1814" s="17">
        <v>3</v>
      </c>
      <c r="Y1814" s="17">
        <v>0</v>
      </c>
      <c r="Z1814" s="17"/>
      <c r="AA1814" s="17" t="s">
        <v>105</v>
      </c>
      <c r="AB1814" s="17" t="s">
        <v>79</v>
      </c>
      <c r="AC1814" s="17">
        <v>3</v>
      </c>
      <c r="AD1814" s="17">
        <v>0</v>
      </c>
      <c r="AE1814" s="17">
        <v>1</v>
      </c>
      <c r="AF1814" s="17"/>
      <c r="AG1814" s="17" t="s">
        <v>124</v>
      </c>
      <c r="AH1814" s="17" t="s">
        <v>82</v>
      </c>
      <c r="AI1814" s="17" t="s">
        <v>83</v>
      </c>
      <c r="AJ1814" s="17">
        <v>2111</v>
      </c>
      <c r="AK1814" s="17" t="s">
        <v>75</v>
      </c>
      <c r="AL1814" s="17" t="s">
        <v>75</v>
      </c>
      <c r="AM1814" s="17" t="s">
        <v>75</v>
      </c>
      <c r="AN1814" s="17" t="s">
        <v>84</v>
      </c>
      <c r="AO1814" s="17" t="s">
        <v>109</v>
      </c>
      <c r="AP1814" s="17"/>
      <c r="AQ1814" s="17"/>
      <c r="AR1814" s="17"/>
      <c r="AS1814" s="17"/>
      <c r="AT1814" s="17" t="s">
        <v>5424</v>
      </c>
      <c r="AU1814" s="17" t="s">
        <v>127</v>
      </c>
    </row>
    <row r="1815">
      <c r="A1815" s="17">
        <v>1813</v>
      </c>
      <c r="B1815" s="17" t="s">
        <v>52</v>
      </c>
      <c r="C1815" s="42" t="s">
        <v>5425</v>
      </c>
      <c r="D1815" s="35" t="s">
        <v>3886</v>
      </c>
      <c r="E1815" s="17" t="s">
        <v>5426</v>
      </c>
      <c r="F1815" s="17">
        <v>0</v>
      </c>
      <c r="G1815" s="17">
        <v>22.419609999999999</v>
      </c>
      <c r="H1815" s="17">
        <v>87.308310000000006</v>
      </c>
      <c r="I1815" s="17"/>
      <c r="J1815" s="17"/>
      <c r="K1815" s="17"/>
      <c r="L1815" s="17"/>
      <c r="M1815" s="42" t="s">
        <v>3889</v>
      </c>
      <c r="N1815" s="17"/>
      <c r="O1815" s="17"/>
      <c r="P1815" s="17"/>
      <c r="Q1815" s="17"/>
      <c r="R1815" s="17"/>
      <c r="S1815" s="17"/>
      <c r="T1815" s="17"/>
      <c r="U1815" s="17"/>
      <c r="V1815" s="17"/>
      <c r="W1815" s="17"/>
      <c r="X1815" s="17"/>
      <c r="Y1815" s="17"/>
      <c r="Z1815" s="17"/>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row>
    <row r="1816">
      <c r="A1816" s="17">
        <v>1814</v>
      </c>
      <c r="B1816" s="17" t="s">
        <v>52</v>
      </c>
      <c r="C1816" s="42" t="s">
        <v>5427</v>
      </c>
      <c r="D1816" s="35" t="s">
        <v>3886</v>
      </c>
      <c r="E1816" s="17" t="s">
        <v>5428</v>
      </c>
      <c r="F1816" s="17" t="s">
        <v>5429</v>
      </c>
      <c r="G1816" s="17">
        <v>22.524266999999998</v>
      </c>
      <c r="H1816" s="17">
        <v>87.539421000000004</v>
      </c>
      <c r="I1816" s="17"/>
      <c r="J1816" s="17"/>
      <c r="K1816" s="17"/>
      <c r="L1816" s="17"/>
      <c r="M1816" s="42" t="s">
        <v>4016</v>
      </c>
      <c r="N1816" s="17"/>
      <c r="O1816" s="17"/>
      <c r="P1816" s="17"/>
      <c r="Q1816" s="17"/>
      <c r="R1816" s="17"/>
      <c r="S1816" s="17"/>
      <c r="T1816" s="17"/>
      <c r="U1816" s="17"/>
      <c r="V1816" s="17"/>
      <c r="W1816" s="17"/>
      <c r="X1816" s="17"/>
      <c r="Y1816" s="17"/>
      <c r="Z1816" s="17"/>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row>
    <row r="1817">
      <c r="A1817" s="17">
        <v>1815</v>
      </c>
      <c r="B1817" s="17" t="s">
        <v>52</v>
      </c>
      <c r="C1817" s="42" t="s">
        <v>5430</v>
      </c>
      <c r="D1817" s="35" t="s">
        <v>3886</v>
      </c>
      <c r="E1817" s="17" t="s">
        <v>5431</v>
      </c>
      <c r="F1817" s="17" t="s">
        <v>5432</v>
      </c>
      <c r="G1817" s="17">
        <v>22.442539</v>
      </c>
      <c r="H1817" s="17">
        <v>87.308564000000004</v>
      </c>
      <c r="I1817" s="17"/>
      <c r="J1817" s="17"/>
      <c r="K1817" s="17"/>
      <c r="L1817" s="17"/>
      <c r="M1817" s="42" t="s">
        <v>3889</v>
      </c>
      <c r="N1817" s="17"/>
      <c r="O1817" s="17"/>
      <c r="P1817" s="17"/>
      <c r="Q1817" s="17"/>
      <c r="R1817" s="17"/>
      <c r="S1817" s="17"/>
      <c r="T1817" s="17"/>
      <c r="U1817" s="17"/>
      <c r="V1817" s="17"/>
      <c r="W1817" s="17"/>
      <c r="X1817" s="17"/>
      <c r="Y1817" s="17"/>
      <c r="Z1817" s="17"/>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row>
    <row r="1818">
      <c r="A1818" s="17">
        <v>1816</v>
      </c>
      <c r="B1818" s="17" t="s">
        <v>52</v>
      </c>
      <c r="C1818" s="42" t="s">
        <v>1522</v>
      </c>
      <c r="D1818" s="35" t="s">
        <v>3886</v>
      </c>
      <c r="E1818" s="17" t="s">
        <v>1523</v>
      </c>
      <c r="F1818" s="17" t="s">
        <v>1524</v>
      </c>
      <c r="G1818" s="17">
        <v>22.53622</v>
      </c>
      <c r="H1818" s="17">
        <v>87.821529999999996</v>
      </c>
      <c r="I1818" s="17"/>
      <c r="J1818" s="17"/>
      <c r="K1818" s="17"/>
      <c r="L1818" s="17"/>
      <c r="M1818" s="42" t="s">
        <v>4004</v>
      </c>
      <c r="N1818" s="17">
        <v>9382071290</v>
      </c>
      <c r="O1818" s="17">
        <v>24</v>
      </c>
      <c r="P1818" s="17">
        <v>95</v>
      </c>
      <c r="Q1818" s="17" t="s">
        <v>105</v>
      </c>
      <c r="R1818" s="17" t="s">
        <v>339</v>
      </c>
      <c r="S1818" s="17" t="s">
        <v>75</v>
      </c>
      <c r="T1818" s="17"/>
      <c r="U1818" s="17" t="s">
        <v>160</v>
      </c>
      <c r="V1818" s="17" t="s">
        <v>77</v>
      </c>
      <c r="W1818" s="17" t="s">
        <v>161</v>
      </c>
      <c r="X1818" s="17">
        <v>8</v>
      </c>
      <c r="Y1818" s="17">
        <v>0</v>
      </c>
      <c r="Z1818" s="17"/>
      <c r="AA1818" s="17" t="s">
        <v>105</v>
      </c>
      <c r="AB1818" s="17" t="s">
        <v>79</v>
      </c>
      <c r="AC1818" s="17">
        <v>4</v>
      </c>
      <c r="AD1818" s="17">
        <v>0</v>
      </c>
      <c r="AE1818" s="17">
        <v>0</v>
      </c>
      <c r="AF1818" s="17"/>
      <c r="AG1818" s="17" t="s">
        <v>81</v>
      </c>
      <c r="AH1818" s="17" t="s">
        <v>82</v>
      </c>
      <c r="AI1818" s="17" t="s">
        <v>107</v>
      </c>
      <c r="AJ1818" s="17"/>
      <c r="AK1818" s="17" t="s">
        <v>75</v>
      </c>
      <c r="AL1818" s="17" t="s">
        <v>75</v>
      </c>
      <c r="AM1818" s="17" t="s">
        <v>75</v>
      </c>
      <c r="AN1818" s="17" t="s">
        <v>84</v>
      </c>
      <c r="AO1818" s="17" t="s">
        <v>137</v>
      </c>
      <c r="AP1818" s="17"/>
      <c r="AQ1818" s="17"/>
      <c r="AR1818" s="17"/>
      <c r="AS1818" s="17"/>
      <c r="AT1818" s="17"/>
      <c r="AU1818" s="17" t="s">
        <v>111</v>
      </c>
    </row>
    <row r="1819">
      <c r="A1819" s="17">
        <v>1817</v>
      </c>
      <c r="B1819" s="17" t="s">
        <v>52</v>
      </c>
      <c r="C1819" s="42" t="s">
        <v>1557</v>
      </c>
      <c r="D1819" s="35" t="s">
        <v>3886</v>
      </c>
      <c r="E1819" s="17" t="s">
        <v>1558</v>
      </c>
      <c r="F1819" s="17" t="s">
        <v>1559</v>
      </c>
      <c r="G1819" s="17">
        <v>22.553249999999998</v>
      </c>
      <c r="H1819" s="17">
        <v>87.76773</v>
      </c>
      <c r="I1819" s="17"/>
      <c r="J1819" s="17"/>
      <c r="K1819" s="17"/>
      <c r="L1819" s="17"/>
      <c r="M1819" s="42" t="s">
        <v>4004</v>
      </c>
      <c r="N1819" s="17">
        <v>9382071290</v>
      </c>
      <c r="O1819" s="17">
        <v>24</v>
      </c>
      <c r="P1819" s="17">
        <v>75</v>
      </c>
      <c r="Q1819" s="17" t="s">
        <v>105</v>
      </c>
      <c r="R1819" s="17" t="s">
        <v>74</v>
      </c>
      <c r="S1819" s="17" t="s">
        <v>75</v>
      </c>
      <c r="T1819" s="17"/>
      <c r="U1819" s="17" t="s">
        <v>503</v>
      </c>
      <c r="V1819" s="17" t="s">
        <v>504</v>
      </c>
      <c r="W1819" s="17" t="s">
        <v>593</v>
      </c>
      <c r="X1819" s="17">
        <v>2</v>
      </c>
      <c r="Y1819" s="17">
        <v>0</v>
      </c>
      <c r="Z1819" s="17"/>
      <c r="AA1819" s="17" t="s">
        <v>105</v>
      </c>
      <c r="AB1819" s="17" t="s">
        <v>79</v>
      </c>
      <c r="AC1819" s="17">
        <v>3</v>
      </c>
      <c r="AD1819" s="17">
        <v>0</v>
      </c>
      <c r="AE1819" s="17">
        <v>1</v>
      </c>
      <c r="AF1819" s="17"/>
      <c r="AG1819" s="17" t="s">
        <v>124</v>
      </c>
      <c r="AH1819" s="17" t="s">
        <v>82</v>
      </c>
      <c r="AI1819" s="17" t="s">
        <v>83</v>
      </c>
      <c r="AJ1819" s="17">
        <v>2111</v>
      </c>
      <c r="AK1819" s="17" t="s">
        <v>75</v>
      </c>
      <c r="AL1819" s="17" t="s">
        <v>75</v>
      </c>
      <c r="AM1819" s="17" t="s">
        <v>75</v>
      </c>
      <c r="AN1819" s="17" t="s">
        <v>84</v>
      </c>
      <c r="AO1819" s="17" t="s">
        <v>75</v>
      </c>
      <c r="AP1819" s="17"/>
      <c r="AQ1819" s="17"/>
      <c r="AR1819" s="17"/>
      <c r="AS1819" s="17"/>
      <c r="AT1819" s="17"/>
      <c r="AU1819" s="17" t="s">
        <v>111</v>
      </c>
    </row>
    <row r="1820">
      <c r="A1820" s="17">
        <v>1818</v>
      </c>
      <c r="B1820" s="17" t="s">
        <v>52</v>
      </c>
      <c r="C1820" s="42" t="s">
        <v>5433</v>
      </c>
      <c r="D1820" s="35" t="s">
        <v>3886</v>
      </c>
      <c r="E1820" s="17" t="s">
        <v>2100</v>
      </c>
      <c r="F1820" s="17" t="s">
        <v>5434</v>
      </c>
      <c r="G1820" s="17">
        <v>22.55509</v>
      </c>
      <c r="H1820" s="17">
        <v>87.786600000000007</v>
      </c>
      <c r="I1820" s="17"/>
      <c r="J1820" s="17"/>
      <c r="K1820" s="17"/>
      <c r="L1820" s="17"/>
      <c r="M1820" s="42" t="s">
        <v>4004</v>
      </c>
      <c r="N1820" s="17">
        <v>9382071290</v>
      </c>
      <c r="O1820" s="17">
        <v>24</v>
      </c>
      <c r="P1820" s="17">
        <v>95</v>
      </c>
      <c r="Q1820" s="17" t="s">
        <v>105</v>
      </c>
      <c r="R1820" s="17" t="s">
        <v>142</v>
      </c>
      <c r="S1820" s="17" t="s">
        <v>75</v>
      </c>
      <c r="T1820" s="17"/>
      <c r="U1820" s="17" t="s">
        <v>160</v>
      </c>
      <c r="V1820" s="17" t="s">
        <v>77</v>
      </c>
      <c r="W1820" s="17" t="s">
        <v>252</v>
      </c>
      <c r="X1820" s="17">
        <v>8</v>
      </c>
      <c r="Y1820" s="17">
        <v>0</v>
      </c>
      <c r="Z1820" s="17"/>
      <c r="AA1820" s="17" t="s">
        <v>105</v>
      </c>
      <c r="AB1820" s="17" t="s">
        <v>79</v>
      </c>
      <c r="AC1820" s="17">
        <v>3</v>
      </c>
      <c r="AD1820" s="17">
        <v>0</v>
      </c>
      <c r="AE1820" s="17">
        <v>0</v>
      </c>
      <c r="AF1820" s="17"/>
      <c r="AG1820" s="17" t="s">
        <v>124</v>
      </c>
      <c r="AH1820" s="17" t="s">
        <v>82</v>
      </c>
      <c r="AI1820" s="17" t="s">
        <v>83</v>
      </c>
      <c r="AJ1820" s="17">
        <v>2111</v>
      </c>
      <c r="AK1820" s="17" t="s">
        <v>75</v>
      </c>
      <c r="AL1820" s="17" t="s">
        <v>75</v>
      </c>
      <c r="AM1820" s="17" t="s">
        <v>75</v>
      </c>
      <c r="AN1820" s="17" t="s">
        <v>84</v>
      </c>
      <c r="AO1820" s="17" t="s">
        <v>75</v>
      </c>
      <c r="AP1820" s="17"/>
      <c r="AQ1820" s="17"/>
      <c r="AR1820" s="17"/>
      <c r="AS1820" s="17"/>
      <c r="AT1820" s="17"/>
      <c r="AU1820" s="17" t="s">
        <v>111</v>
      </c>
    </row>
    <row r="1821">
      <c r="A1821" s="17">
        <v>1819</v>
      </c>
      <c r="B1821" s="17" t="s">
        <v>52</v>
      </c>
      <c r="C1821" s="42" t="s">
        <v>5435</v>
      </c>
      <c r="D1821" s="35" t="s">
        <v>3886</v>
      </c>
      <c r="E1821" s="17" t="s">
        <v>5436</v>
      </c>
      <c r="F1821" s="17" t="s">
        <v>5437</v>
      </c>
      <c r="G1821" s="17">
        <v>22.771979000000002</v>
      </c>
      <c r="H1821" s="17">
        <v>87.729591999999997</v>
      </c>
      <c r="I1821" s="17"/>
      <c r="J1821" s="17"/>
      <c r="K1821" s="17"/>
      <c r="L1821" s="17"/>
      <c r="M1821" s="42" t="s">
        <v>4099</v>
      </c>
      <c r="N1821" s="17">
        <v>7003921625</v>
      </c>
      <c r="O1821" s="17">
        <v>18</v>
      </c>
      <c r="P1821" s="17">
        <v>70</v>
      </c>
      <c r="Q1821" s="17" t="s">
        <v>73</v>
      </c>
      <c r="R1821" s="17" t="s">
        <v>74</v>
      </c>
      <c r="S1821" s="17" t="s">
        <v>75</v>
      </c>
      <c r="T1821" s="17"/>
      <c r="U1821" s="17" t="s">
        <v>160</v>
      </c>
      <c r="V1821" s="17" t="s">
        <v>77</v>
      </c>
      <c r="W1821" s="17" t="s">
        <v>5438</v>
      </c>
      <c r="X1821" s="17">
        <v>3</v>
      </c>
      <c r="Y1821" s="17">
        <v>0</v>
      </c>
      <c r="Z1821" s="17"/>
      <c r="AA1821" s="17" t="s">
        <v>73</v>
      </c>
      <c r="AB1821" s="17" t="s">
        <v>79</v>
      </c>
      <c r="AC1821" s="17">
        <v>3</v>
      </c>
      <c r="AD1821" s="17">
        <v>0</v>
      </c>
      <c r="AE1821" s="17">
        <v>1</v>
      </c>
      <c r="AF1821" s="17"/>
      <c r="AG1821" s="17" t="s">
        <v>124</v>
      </c>
      <c r="AH1821" s="17" t="s">
        <v>82</v>
      </c>
      <c r="AI1821" s="17" t="s">
        <v>83</v>
      </c>
      <c r="AJ1821" s="17">
        <v>2111</v>
      </c>
      <c r="AK1821" s="17" t="s">
        <v>75</v>
      </c>
      <c r="AL1821" s="17" t="s">
        <v>75</v>
      </c>
      <c r="AM1821" s="17" t="s">
        <v>75</v>
      </c>
      <c r="AN1821" s="17" t="s">
        <v>84</v>
      </c>
      <c r="AO1821" s="17" t="s">
        <v>75</v>
      </c>
      <c r="AP1821" s="17"/>
      <c r="AQ1821" s="17"/>
      <c r="AR1821" s="17"/>
      <c r="AS1821" s="17"/>
      <c r="AT1821" s="17"/>
      <c r="AU1821" s="17" t="s">
        <v>111</v>
      </c>
    </row>
    <row r="1822">
      <c r="A1822" s="17">
        <v>1820</v>
      </c>
      <c r="B1822" s="17" t="s">
        <v>52</v>
      </c>
      <c r="C1822" s="42" t="s">
        <v>5439</v>
      </c>
      <c r="D1822" s="35" t="s">
        <v>3886</v>
      </c>
      <c r="E1822" s="17" t="s">
        <v>5440</v>
      </c>
      <c r="F1822" s="17" t="s">
        <v>5441</v>
      </c>
      <c r="G1822" s="17">
        <v>22.516729999999999</v>
      </c>
      <c r="H1822" s="17">
        <v>87.87679</v>
      </c>
      <c r="I1822" s="17"/>
      <c r="J1822" s="17"/>
      <c r="K1822" s="17"/>
      <c r="L1822" s="17"/>
      <c r="M1822" s="42" t="s">
        <v>4004</v>
      </c>
      <c r="N1822" s="17">
        <v>9382071290</v>
      </c>
      <c r="O1822" s="17">
        <v>24</v>
      </c>
      <c r="P1822" s="17">
        <v>70</v>
      </c>
      <c r="Q1822" s="17" t="s">
        <v>73</v>
      </c>
      <c r="R1822" s="17" t="s">
        <v>74</v>
      </c>
      <c r="S1822" s="17" t="s">
        <v>75</v>
      </c>
      <c r="T1822" s="17"/>
      <c r="U1822" s="17" t="s">
        <v>160</v>
      </c>
      <c r="V1822" s="17" t="s">
        <v>77</v>
      </c>
      <c r="W1822" s="17" t="s">
        <v>252</v>
      </c>
      <c r="X1822" s="17">
        <v>3</v>
      </c>
      <c r="Y1822" s="17">
        <v>0</v>
      </c>
      <c r="Z1822" s="17"/>
      <c r="AA1822" s="17" t="s">
        <v>73</v>
      </c>
      <c r="AB1822" s="17" t="s">
        <v>79</v>
      </c>
      <c r="AC1822" s="17">
        <v>2</v>
      </c>
      <c r="AD1822" s="17">
        <v>0</v>
      </c>
      <c r="AE1822" s="17">
        <v>0</v>
      </c>
      <c r="AF1822" s="17"/>
      <c r="AG1822" s="17" t="s">
        <v>124</v>
      </c>
      <c r="AH1822" s="17" t="s">
        <v>82</v>
      </c>
      <c r="AI1822" s="17" t="s">
        <v>83</v>
      </c>
      <c r="AJ1822" s="17">
        <v>2111</v>
      </c>
      <c r="AK1822" s="17" t="s">
        <v>75</v>
      </c>
      <c r="AL1822" s="17" t="s">
        <v>75</v>
      </c>
      <c r="AM1822" s="17" t="s">
        <v>75</v>
      </c>
      <c r="AN1822" s="17" t="s">
        <v>84</v>
      </c>
      <c r="AO1822" s="17" t="s">
        <v>75</v>
      </c>
      <c r="AP1822" s="17"/>
      <c r="AQ1822" s="17"/>
      <c r="AR1822" s="17"/>
      <c r="AS1822" s="17"/>
      <c r="AT1822" s="17"/>
      <c r="AU1822" s="17" t="s">
        <v>111</v>
      </c>
    </row>
    <row r="1823">
      <c r="A1823" s="17">
        <v>1821</v>
      </c>
      <c r="B1823" s="17" t="s">
        <v>52</v>
      </c>
      <c r="C1823" s="42" t="s">
        <v>5442</v>
      </c>
      <c r="D1823" s="35" t="s">
        <v>3886</v>
      </c>
      <c r="E1823" s="17" t="s">
        <v>5443</v>
      </c>
      <c r="F1823" s="17" t="s">
        <v>5444</v>
      </c>
      <c r="G1823" s="17">
        <v>22.430720000000001</v>
      </c>
      <c r="H1823" s="17">
        <v>87.473410000000001</v>
      </c>
      <c r="I1823" s="17"/>
      <c r="J1823" s="17"/>
      <c r="K1823" s="17"/>
      <c r="L1823" s="17"/>
      <c r="M1823" s="42" t="s">
        <v>3893</v>
      </c>
      <c r="N1823" s="17"/>
      <c r="O1823" s="17"/>
      <c r="P1823" s="17"/>
      <c r="Q1823" s="17"/>
      <c r="R1823" s="17"/>
      <c r="S1823" s="17"/>
      <c r="T1823" s="17"/>
      <c r="U1823" s="17"/>
      <c r="V1823" s="17"/>
      <c r="W1823" s="17"/>
      <c r="X1823" s="17"/>
      <c r="Y1823" s="17"/>
      <c r="Z1823" s="17"/>
      <c r="AA1823" s="17"/>
      <c r="AB1823" s="17"/>
      <c r="AC1823" s="17"/>
      <c r="AD1823" s="17"/>
      <c r="AE1823" s="17"/>
      <c r="AF1823" s="17"/>
      <c r="AG1823" s="17"/>
      <c r="AH1823" s="17"/>
      <c r="AI1823" s="17"/>
      <c r="AJ1823" s="17"/>
      <c r="AK1823" s="17"/>
      <c r="AL1823" s="17"/>
      <c r="AM1823" s="17"/>
      <c r="AN1823" s="17"/>
      <c r="AO1823" s="17"/>
      <c r="AP1823" s="17"/>
      <c r="AQ1823" s="17"/>
      <c r="AR1823" s="17"/>
      <c r="AS1823" s="17"/>
      <c r="AT1823" s="17"/>
      <c r="AU1823" s="17"/>
    </row>
    <row r="1824">
      <c r="A1824" s="17">
        <v>1822</v>
      </c>
      <c r="B1824" s="17" t="s">
        <v>52</v>
      </c>
      <c r="C1824" s="42" t="s">
        <v>5445</v>
      </c>
      <c r="D1824" s="35" t="s">
        <v>3886</v>
      </c>
      <c r="E1824" s="17" t="s">
        <v>5446</v>
      </c>
      <c r="F1824" s="17" t="s">
        <v>5447</v>
      </c>
      <c r="G1824" s="17">
        <v>22.585190000000001</v>
      </c>
      <c r="H1824" s="17">
        <v>87.615970000000004</v>
      </c>
      <c r="I1824" s="17"/>
      <c r="J1824" s="17"/>
      <c r="K1824" s="17"/>
      <c r="L1824" s="17"/>
      <c r="M1824" s="42" t="s">
        <v>4099</v>
      </c>
      <c r="N1824" s="17">
        <v>7003921625</v>
      </c>
      <c r="O1824" s="17">
        <v>16</v>
      </c>
      <c r="P1824" s="17">
        <v>70</v>
      </c>
      <c r="Q1824" s="17" t="s">
        <v>73</v>
      </c>
      <c r="R1824" s="17" t="s">
        <v>74</v>
      </c>
      <c r="S1824" s="17" t="s">
        <v>75</v>
      </c>
      <c r="T1824" s="17"/>
      <c r="U1824" s="17" t="s">
        <v>755</v>
      </c>
      <c r="V1824" s="17" t="s">
        <v>504</v>
      </c>
      <c r="W1824" s="17" t="s">
        <v>161</v>
      </c>
      <c r="X1824" s="17">
        <v>2</v>
      </c>
      <c r="Y1824" s="17">
        <v>0</v>
      </c>
      <c r="Z1824" s="17"/>
      <c r="AA1824" s="17" t="s">
        <v>73</v>
      </c>
      <c r="AB1824" s="17" t="s">
        <v>79</v>
      </c>
      <c r="AC1824" s="17">
        <v>3</v>
      </c>
      <c r="AD1824" s="17">
        <v>0</v>
      </c>
      <c r="AE1824" s="17">
        <v>2</v>
      </c>
      <c r="AF1824" s="17"/>
      <c r="AG1824" s="17" t="s">
        <v>124</v>
      </c>
      <c r="AH1824" s="17" t="s">
        <v>82</v>
      </c>
      <c r="AI1824" s="17" t="s">
        <v>83</v>
      </c>
      <c r="AJ1824" s="17">
        <v>2111</v>
      </c>
      <c r="AK1824" s="17" t="s">
        <v>75</v>
      </c>
      <c r="AL1824" s="17" t="s">
        <v>75</v>
      </c>
      <c r="AM1824" s="17" t="s">
        <v>75</v>
      </c>
      <c r="AN1824" s="17" t="s">
        <v>84</v>
      </c>
      <c r="AO1824" s="17" t="s">
        <v>75</v>
      </c>
      <c r="AP1824" s="17"/>
      <c r="AQ1824" s="17"/>
      <c r="AR1824" s="17"/>
      <c r="AS1824" s="17"/>
      <c r="AT1824" s="17"/>
      <c r="AU1824" s="17" t="s">
        <v>111</v>
      </c>
    </row>
    <row r="1825">
      <c r="A1825" s="17">
        <v>1823</v>
      </c>
      <c r="B1825" s="17" t="s">
        <v>52</v>
      </c>
      <c r="C1825" s="42" t="s">
        <v>5448</v>
      </c>
      <c r="D1825" s="35" t="s">
        <v>3886</v>
      </c>
      <c r="E1825" s="17" t="s">
        <v>5449</v>
      </c>
      <c r="F1825" s="17" t="s">
        <v>5450</v>
      </c>
      <c r="G1825" s="17">
        <v>22.43946</v>
      </c>
      <c r="H1825" s="17">
        <v>87.323300000000003</v>
      </c>
      <c r="I1825" s="17"/>
      <c r="J1825" s="17"/>
      <c r="K1825" s="17"/>
      <c r="L1825" s="17"/>
      <c r="M1825" s="42" t="s">
        <v>3893</v>
      </c>
      <c r="N1825" s="17"/>
      <c r="O1825" s="17"/>
      <c r="P1825" s="17"/>
      <c r="Q1825" s="17"/>
      <c r="R1825" s="17"/>
      <c r="S1825" s="17"/>
      <c r="T1825" s="17"/>
      <c r="U1825" s="17"/>
      <c r="V1825" s="17"/>
      <c r="W1825" s="17"/>
      <c r="X1825" s="17"/>
      <c r="Y1825" s="17"/>
      <c r="Z1825" s="17"/>
      <c r="AA1825" s="17"/>
      <c r="AB1825" s="17"/>
      <c r="AC1825" s="17"/>
      <c r="AD1825" s="17"/>
      <c r="AE1825" s="17"/>
      <c r="AF1825" s="17"/>
      <c r="AG1825" s="17"/>
      <c r="AH1825" s="17"/>
      <c r="AI1825" s="17"/>
      <c r="AJ1825" s="17"/>
      <c r="AK1825" s="17"/>
      <c r="AL1825" s="17"/>
      <c r="AM1825" s="17"/>
      <c r="AN1825" s="17"/>
      <c r="AO1825" s="17"/>
      <c r="AP1825" s="17"/>
      <c r="AQ1825" s="17"/>
      <c r="AR1825" s="17"/>
      <c r="AS1825" s="17"/>
      <c r="AT1825" s="17"/>
      <c r="AU1825" s="17"/>
    </row>
    <row r="1826">
      <c r="A1826" s="17">
        <v>1824</v>
      </c>
      <c r="B1826" s="17" t="s">
        <v>52</v>
      </c>
      <c r="C1826" s="42" t="s">
        <v>5451</v>
      </c>
      <c r="D1826" s="35" t="s">
        <v>3886</v>
      </c>
      <c r="E1826" s="17" t="s">
        <v>5452</v>
      </c>
      <c r="F1826" s="17" t="s">
        <v>5453</v>
      </c>
      <c r="G1826" s="17">
        <v>22.577169999999999</v>
      </c>
      <c r="H1826" s="17">
        <v>87.311746999999997</v>
      </c>
      <c r="I1826" s="17"/>
      <c r="J1826" s="17"/>
      <c r="K1826" s="17"/>
      <c r="L1826" s="17"/>
      <c r="M1826" s="42" t="s">
        <v>4033</v>
      </c>
      <c r="N1826" s="17"/>
      <c r="O1826" s="17"/>
      <c r="P1826" s="17"/>
      <c r="Q1826" s="17"/>
      <c r="R1826" s="17"/>
      <c r="S1826" s="17"/>
      <c r="T1826" s="17"/>
      <c r="U1826" s="17"/>
      <c r="V1826" s="17"/>
      <c r="W1826" s="17"/>
      <c r="X1826" s="17"/>
      <c r="Y1826" s="17"/>
      <c r="Z1826" s="17"/>
      <c r="AA1826" s="17"/>
      <c r="AB1826" s="17"/>
      <c r="AC1826" s="17"/>
      <c r="AD1826" s="17"/>
      <c r="AE1826" s="17"/>
      <c r="AF1826" s="17"/>
      <c r="AG1826" s="17"/>
      <c r="AH1826" s="17"/>
      <c r="AI1826" s="17"/>
      <c r="AJ1826" s="17"/>
      <c r="AK1826" s="17"/>
      <c r="AL1826" s="17"/>
      <c r="AM1826" s="17"/>
      <c r="AN1826" s="17"/>
      <c r="AO1826" s="17"/>
      <c r="AP1826" s="17"/>
      <c r="AQ1826" s="17"/>
      <c r="AR1826" s="17"/>
      <c r="AS1826" s="17"/>
      <c r="AT1826" s="17"/>
      <c r="AU1826" s="17"/>
    </row>
    <row r="1827">
      <c r="A1827" s="17">
        <v>1825</v>
      </c>
      <c r="B1827" s="17" t="s">
        <v>52</v>
      </c>
      <c r="C1827" s="42" t="s">
        <v>5454</v>
      </c>
      <c r="D1827" s="35" t="s">
        <v>3886</v>
      </c>
      <c r="E1827" s="17"/>
      <c r="F1827" s="17"/>
      <c r="G1827" s="17"/>
      <c r="H1827" s="17"/>
      <c r="I1827" s="17"/>
      <c r="J1827" s="17"/>
      <c r="K1827" s="17"/>
      <c r="L1827" s="17"/>
      <c r="M1827" s="42" t="s">
        <v>3889</v>
      </c>
      <c r="N1827" s="17"/>
      <c r="O1827" s="17"/>
      <c r="P1827" s="17"/>
      <c r="Q1827" s="17"/>
      <c r="R1827" s="17"/>
      <c r="S1827" s="17"/>
      <c r="T1827" s="17"/>
      <c r="U1827" s="17"/>
      <c r="V1827" s="17"/>
      <c r="W1827" s="17"/>
      <c r="X1827" s="17"/>
      <c r="Y1827" s="17"/>
      <c r="Z1827" s="17"/>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row>
    <row r="1828">
      <c r="A1828" s="17">
        <v>1826</v>
      </c>
      <c r="B1828" s="17" t="s">
        <v>52</v>
      </c>
      <c r="C1828" s="42" t="s">
        <v>5455</v>
      </c>
      <c r="D1828" s="35" t="s">
        <v>3886</v>
      </c>
      <c r="E1828" s="17" t="s">
        <v>5456</v>
      </c>
      <c r="F1828" s="17" t="s">
        <v>5457</v>
      </c>
      <c r="G1828" s="17">
        <v>22.4162</v>
      </c>
      <c r="H1828" s="17">
        <v>87.305840000000003</v>
      </c>
      <c r="I1828" s="17"/>
      <c r="J1828" s="17"/>
      <c r="K1828" s="17"/>
      <c r="L1828" s="17"/>
      <c r="M1828" s="42" t="s">
        <v>3889</v>
      </c>
      <c r="N1828" s="17"/>
      <c r="O1828" s="17"/>
      <c r="P1828" s="17"/>
      <c r="Q1828" s="17"/>
      <c r="R1828" s="17"/>
      <c r="S1828" s="17"/>
      <c r="T1828" s="17"/>
      <c r="U1828" s="17"/>
      <c r="V1828" s="17"/>
      <c r="W1828" s="17"/>
      <c r="X1828" s="17"/>
      <c r="Y1828" s="17"/>
      <c r="Z1828" s="17"/>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row>
    <row r="1829">
      <c r="A1829" s="17">
        <v>1827</v>
      </c>
      <c r="B1829" s="17" t="s">
        <v>52</v>
      </c>
      <c r="C1829" s="42" t="s">
        <v>5458</v>
      </c>
      <c r="D1829" s="35" t="s">
        <v>3886</v>
      </c>
      <c r="E1829" s="17" t="s">
        <v>5459</v>
      </c>
      <c r="F1829" s="17" t="s">
        <v>5460</v>
      </c>
      <c r="G1829" s="17">
        <v>22.4207</v>
      </c>
      <c r="H1829" s="17">
        <v>87.329409999999996</v>
      </c>
      <c r="I1829" s="17"/>
      <c r="J1829" s="17"/>
      <c r="K1829" s="17"/>
      <c r="L1829" s="17"/>
      <c r="M1829" s="42" t="s">
        <v>3893</v>
      </c>
      <c r="N1829" s="17"/>
      <c r="O1829" s="17"/>
      <c r="P1829" s="17"/>
      <c r="Q1829" s="17"/>
      <c r="R1829" s="17"/>
      <c r="S1829" s="17"/>
      <c r="T1829" s="17"/>
      <c r="U1829" s="17"/>
      <c r="V1829" s="17"/>
      <c r="W1829" s="17"/>
      <c r="X1829" s="17"/>
      <c r="Y1829" s="17"/>
      <c r="Z1829" s="17"/>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row>
    <row r="1830">
      <c r="A1830" s="17">
        <v>1828</v>
      </c>
      <c r="B1830" s="17" t="s">
        <v>52</v>
      </c>
      <c r="C1830" s="42" t="s">
        <v>5461</v>
      </c>
      <c r="D1830" s="35" t="s">
        <v>3886</v>
      </c>
      <c r="E1830" s="17"/>
      <c r="F1830" s="17" t="s">
        <v>5462</v>
      </c>
      <c r="G1830" s="17">
        <v>22.85416</v>
      </c>
      <c r="H1830" s="17">
        <v>87.351659999999995</v>
      </c>
      <c r="I1830" s="17"/>
      <c r="J1830" s="17"/>
      <c r="K1830" s="17"/>
      <c r="L1830" s="17"/>
      <c r="M1830" s="42" t="s">
        <v>3967</v>
      </c>
      <c r="N1830" s="17"/>
      <c r="O1830" s="17"/>
      <c r="P1830" s="17"/>
      <c r="Q1830" s="17"/>
      <c r="R1830" s="17"/>
      <c r="S1830" s="17"/>
      <c r="T1830" s="17"/>
      <c r="U1830" s="17"/>
      <c r="V1830" s="17"/>
      <c r="W1830" s="17"/>
      <c r="X1830" s="17"/>
      <c r="Y1830" s="17"/>
      <c r="Z1830" s="17"/>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row>
    <row r="1831">
      <c r="A1831" s="17">
        <v>1829</v>
      </c>
      <c r="B1831" s="17" t="s">
        <v>52</v>
      </c>
      <c r="C1831" s="42" t="s">
        <v>5463</v>
      </c>
      <c r="D1831" s="35" t="s">
        <v>3886</v>
      </c>
      <c r="E1831" s="17"/>
      <c r="F1831" s="17" t="s">
        <v>5464</v>
      </c>
      <c r="G1831" s="17">
        <v>22.458500000000001</v>
      </c>
      <c r="H1831" s="17">
        <v>87.327520000000007</v>
      </c>
      <c r="I1831" s="17"/>
      <c r="J1831" s="17"/>
      <c r="K1831" s="17"/>
      <c r="L1831" s="17"/>
      <c r="M1831" s="42" t="s">
        <v>3893</v>
      </c>
      <c r="N1831" s="17"/>
      <c r="O1831" s="17"/>
      <c r="P1831" s="17"/>
      <c r="Q1831" s="17"/>
      <c r="R1831" s="17"/>
      <c r="S1831" s="17"/>
      <c r="T1831" s="17"/>
      <c r="U1831" s="17"/>
      <c r="V1831" s="17"/>
      <c r="W1831" s="17"/>
      <c r="X1831" s="17"/>
      <c r="Y1831" s="17"/>
      <c r="Z1831" s="17"/>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row>
    <row r="1832">
      <c r="A1832" s="17">
        <v>1830</v>
      </c>
      <c r="B1832" s="17" t="s">
        <v>52</v>
      </c>
      <c r="C1832" s="42" t="s">
        <v>5465</v>
      </c>
      <c r="D1832" s="35" t="s">
        <v>3886</v>
      </c>
      <c r="E1832" s="17" t="s">
        <v>3238</v>
      </c>
      <c r="F1832" s="17" t="s">
        <v>5466</v>
      </c>
      <c r="G1832" s="17">
        <v>22.731459999999998</v>
      </c>
      <c r="H1832" s="17">
        <v>87.512200000000007</v>
      </c>
      <c r="I1832" s="17"/>
      <c r="J1832" s="17"/>
      <c r="K1832" s="17"/>
      <c r="L1832" s="17"/>
      <c r="M1832" s="42" t="s">
        <v>3987</v>
      </c>
      <c r="N1832" s="17"/>
      <c r="O1832" s="17"/>
      <c r="P1832" s="17"/>
      <c r="Q1832" s="17"/>
      <c r="R1832" s="17"/>
      <c r="S1832" s="17"/>
      <c r="T1832" s="17"/>
      <c r="U1832" s="17"/>
      <c r="V1832" s="17"/>
      <c r="W1832" s="17"/>
      <c r="X1832" s="17"/>
      <c r="Y1832" s="17"/>
      <c r="Z1832" s="17"/>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row>
    <row r="1833">
      <c r="A1833" s="17">
        <v>1831</v>
      </c>
      <c r="B1833" s="17" t="s">
        <v>52</v>
      </c>
      <c r="C1833" s="42" t="s">
        <v>5467</v>
      </c>
      <c r="D1833" s="35" t="s">
        <v>3886</v>
      </c>
      <c r="E1833" s="17" t="s">
        <v>5468</v>
      </c>
      <c r="F1833" s="17" t="s">
        <v>5469</v>
      </c>
      <c r="G1833" s="17">
        <v>22.444859999999998</v>
      </c>
      <c r="H1833" s="17">
        <v>87.330449999999999</v>
      </c>
      <c r="I1833" s="17"/>
      <c r="J1833" s="17"/>
      <c r="K1833" s="17"/>
      <c r="L1833" s="17"/>
      <c r="M1833" s="42" t="s">
        <v>3893</v>
      </c>
      <c r="N1833" s="17"/>
      <c r="O1833" s="17"/>
      <c r="P1833" s="17"/>
      <c r="Q1833" s="17"/>
      <c r="R1833" s="17"/>
      <c r="S1833" s="17"/>
      <c r="T1833" s="17"/>
      <c r="U1833" s="17"/>
      <c r="V1833" s="17"/>
      <c r="W1833" s="17"/>
      <c r="X1833" s="17"/>
      <c r="Y1833" s="17"/>
      <c r="Z1833" s="17"/>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row>
    <row r="1834">
      <c r="A1834" s="17">
        <v>1832</v>
      </c>
      <c r="B1834" s="17" t="s">
        <v>52</v>
      </c>
      <c r="C1834" s="42" t="s">
        <v>5470</v>
      </c>
      <c r="D1834" s="35" t="s">
        <v>3886</v>
      </c>
      <c r="E1834" s="17" t="s">
        <v>5471</v>
      </c>
      <c r="F1834" s="17" t="s">
        <v>5472</v>
      </c>
      <c r="G1834" s="17">
        <v>22.431139999999999</v>
      </c>
      <c r="H1834" s="17">
        <v>87.325900000000004</v>
      </c>
      <c r="I1834" s="17"/>
      <c r="J1834" s="17"/>
      <c r="K1834" s="17"/>
      <c r="L1834" s="17"/>
      <c r="M1834" s="42" t="s">
        <v>3893</v>
      </c>
      <c r="N1834" s="17"/>
      <c r="O1834" s="17"/>
      <c r="P1834" s="17"/>
      <c r="Q1834" s="17"/>
      <c r="R1834" s="17"/>
      <c r="S1834" s="17"/>
      <c r="T1834" s="17"/>
      <c r="U1834" s="17"/>
      <c r="V1834" s="17"/>
      <c r="W1834" s="17"/>
      <c r="X1834" s="17"/>
      <c r="Y1834" s="17"/>
      <c r="Z1834" s="17"/>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row>
    <row r="1835">
      <c r="A1835" s="17">
        <v>1833</v>
      </c>
      <c r="B1835" s="17" t="s">
        <v>52</v>
      </c>
      <c r="C1835" s="42" t="s">
        <v>5473</v>
      </c>
      <c r="D1835" s="35" t="s">
        <v>3886</v>
      </c>
      <c r="E1835" s="17" t="s">
        <v>5474</v>
      </c>
      <c r="F1835" s="17" t="s">
        <v>5475</v>
      </c>
      <c r="G1835" s="17">
        <v>22.421309999999998</v>
      </c>
      <c r="H1835" s="17">
        <v>87.325909999999993</v>
      </c>
      <c r="I1835" s="17"/>
      <c r="J1835" s="17"/>
      <c r="K1835" s="17"/>
      <c r="L1835" s="17"/>
      <c r="M1835" s="42" t="s">
        <v>3893</v>
      </c>
      <c r="N1835" s="17"/>
      <c r="O1835" s="17"/>
      <c r="P1835" s="17"/>
      <c r="Q1835" s="17"/>
      <c r="R1835" s="17"/>
      <c r="S1835" s="17"/>
      <c r="T1835" s="17"/>
      <c r="U1835" s="17"/>
      <c r="V1835" s="17"/>
      <c r="W1835" s="17"/>
      <c r="X1835" s="17"/>
      <c r="Y1835" s="17"/>
      <c r="Z1835" s="17"/>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row>
    <row r="1836">
      <c r="A1836" s="17">
        <v>1834</v>
      </c>
      <c r="B1836" s="17" t="s">
        <v>52</v>
      </c>
      <c r="C1836" s="42" t="s">
        <v>5476</v>
      </c>
      <c r="D1836" s="35" t="s">
        <v>3886</v>
      </c>
      <c r="E1836" s="17"/>
      <c r="F1836" s="17" t="s">
        <v>5477</v>
      </c>
      <c r="G1836" s="17">
        <v>22.73067</v>
      </c>
      <c r="H1836" s="17">
        <v>87.738439999999997</v>
      </c>
      <c r="I1836" s="17"/>
      <c r="J1836" s="17"/>
      <c r="K1836" s="17"/>
      <c r="L1836" s="17"/>
      <c r="M1836" s="42" t="s">
        <v>4099</v>
      </c>
      <c r="N1836" s="17">
        <v>7003921625</v>
      </c>
      <c r="O1836" s="17">
        <v>16</v>
      </c>
      <c r="P1836" s="17">
        <v>65</v>
      </c>
      <c r="Q1836" s="17" t="s">
        <v>187</v>
      </c>
      <c r="R1836" s="17" t="s">
        <v>74</v>
      </c>
      <c r="S1836" s="17" t="s">
        <v>75</v>
      </c>
      <c r="T1836" s="17"/>
      <c r="U1836" s="17" t="s">
        <v>160</v>
      </c>
      <c r="V1836" s="17" t="s">
        <v>77</v>
      </c>
      <c r="W1836" s="17" t="s">
        <v>252</v>
      </c>
      <c r="X1836" s="17">
        <v>3</v>
      </c>
      <c r="Y1836" s="17">
        <v>0</v>
      </c>
      <c r="Z1836" s="17"/>
      <c r="AA1836" s="17" t="s">
        <v>187</v>
      </c>
      <c r="AB1836" s="17" t="s">
        <v>79</v>
      </c>
      <c r="AC1836" s="17">
        <v>4</v>
      </c>
      <c r="AD1836" s="17">
        <v>0</v>
      </c>
      <c r="AE1836" s="17">
        <v>1</v>
      </c>
      <c r="AF1836" s="17"/>
      <c r="AG1836" s="17" t="s">
        <v>124</v>
      </c>
      <c r="AH1836" s="17" t="s">
        <v>162</v>
      </c>
      <c r="AI1836" s="17" t="s">
        <v>83</v>
      </c>
      <c r="AJ1836" s="17">
        <v>2112</v>
      </c>
      <c r="AK1836" s="17" t="s">
        <v>75</v>
      </c>
      <c r="AL1836" s="17" t="s">
        <v>75</v>
      </c>
      <c r="AM1836" s="17" t="s">
        <v>75</v>
      </c>
      <c r="AN1836" s="17" t="s">
        <v>84</v>
      </c>
      <c r="AO1836" s="17" t="s">
        <v>109</v>
      </c>
      <c r="AP1836" s="17"/>
      <c r="AQ1836" s="17"/>
      <c r="AR1836" s="17"/>
      <c r="AS1836" s="17"/>
      <c r="AT1836" s="17" t="s">
        <v>481</v>
      </c>
      <c r="AU1836" s="17" t="s">
        <v>127</v>
      </c>
    </row>
    <row r="1837">
      <c r="A1837" s="17">
        <v>1835</v>
      </c>
      <c r="B1837" s="17" t="s">
        <v>52</v>
      </c>
      <c r="C1837" s="42" t="s">
        <v>5478</v>
      </c>
      <c r="D1837" s="35" t="s">
        <v>3886</v>
      </c>
      <c r="E1837" s="17"/>
      <c r="F1837" s="17">
        <v>0</v>
      </c>
      <c r="G1837" s="17">
        <v>22.589500000000001</v>
      </c>
      <c r="H1837" s="17">
        <v>87.516069999999999</v>
      </c>
      <c r="I1837" s="17"/>
      <c r="J1837" s="17"/>
      <c r="K1837" s="17"/>
      <c r="L1837" s="17"/>
      <c r="M1837" s="42" t="s">
        <v>4016</v>
      </c>
      <c r="N1837" s="17"/>
      <c r="O1837" s="17"/>
      <c r="P1837" s="17"/>
      <c r="Q1837" s="17"/>
      <c r="R1837" s="17"/>
      <c r="S1837" s="17"/>
      <c r="T1837" s="17"/>
      <c r="U1837" s="17"/>
      <c r="V1837" s="17"/>
      <c r="W1837" s="17"/>
      <c r="X1837" s="17"/>
      <c r="Y1837" s="17"/>
      <c r="Z1837" s="17"/>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row>
    <row r="1838">
      <c r="A1838" s="17">
        <v>1836</v>
      </c>
      <c r="B1838" s="17" t="s">
        <v>52</v>
      </c>
      <c r="C1838" s="42" t="s">
        <v>5479</v>
      </c>
      <c r="D1838" s="35" t="s">
        <v>3886</v>
      </c>
      <c r="E1838" s="17"/>
      <c r="F1838" s="17">
        <v>0</v>
      </c>
      <c r="G1838" s="17">
        <v>22.6069</v>
      </c>
      <c r="H1838" s="17">
        <v>87.323070000000001</v>
      </c>
      <c r="I1838" s="17"/>
      <c r="J1838" s="17"/>
      <c r="K1838" s="17"/>
      <c r="L1838" s="17"/>
      <c r="M1838" s="42" t="s">
        <v>4033</v>
      </c>
      <c r="N1838" s="17"/>
      <c r="O1838" s="17"/>
      <c r="P1838" s="17"/>
      <c r="Q1838" s="17"/>
      <c r="R1838" s="17"/>
      <c r="S1838" s="17"/>
      <c r="T1838" s="17"/>
      <c r="U1838" s="17"/>
      <c r="V1838" s="17"/>
      <c r="W1838" s="17"/>
      <c r="X1838" s="17"/>
      <c r="Y1838" s="17"/>
      <c r="Z1838" s="17"/>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row>
    <row r="1839">
      <c r="A1839" s="17">
        <v>1837</v>
      </c>
      <c r="B1839" s="17" t="s">
        <v>52</v>
      </c>
      <c r="C1839" s="42" t="s">
        <v>5480</v>
      </c>
      <c r="D1839" s="35" t="s">
        <v>3886</v>
      </c>
      <c r="E1839" s="17" t="s">
        <v>5481</v>
      </c>
      <c r="F1839" s="17">
        <v>0</v>
      </c>
      <c r="G1839" s="17">
        <v>22.729099999999999</v>
      </c>
      <c r="H1839" s="17">
        <v>87.355050000000006</v>
      </c>
      <c r="I1839" s="17"/>
      <c r="J1839" s="17"/>
      <c r="K1839" s="17"/>
      <c r="L1839" s="17"/>
      <c r="M1839" s="42" t="s">
        <v>4045</v>
      </c>
      <c r="N1839" s="17">
        <v>6290709471</v>
      </c>
      <c r="O1839" s="17"/>
      <c r="P1839" s="17"/>
      <c r="Q1839" s="17"/>
      <c r="R1839" s="17"/>
      <c r="S1839" s="17"/>
      <c r="T1839" s="17"/>
      <c r="U1839" s="17"/>
      <c r="V1839" s="17"/>
      <c r="W1839" s="17"/>
      <c r="X1839" s="17"/>
      <c r="Y1839" s="17"/>
      <c r="Z1839" s="17"/>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row>
    <row r="1840">
      <c r="A1840" s="17">
        <v>1838</v>
      </c>
      <c r="B1840" s="17" t="s">
        <v>52</v>
      </c>
      <c r="C1840" s="42" t="s">
        <v>5482</v>
      </c>
      <c r="D1840" s="35" t="s">
        <v>3886</v>
      </c>
      <c r="E1840" s="17" t="s">
        <v>5483</v>
      </c>
      <c r="F1840" s="17">
        <v>0</v>
      </c>
      <c r="G1840" s="17">
        <v>22.636710000000001</v>
      </c>
      <c r="H1840" s="17">
        <v>87.440169999999995</v>
      </c>
      <c r="I1840" s="17"/>
      <c r="J1840" s="17"/>
      <c r="K1840" s="17"/>
      <c r="L1840" s="17"/>
      <c r="M1840" s="42" t="s">
        <v>4045</v>
      </c>
      <c r="N1840" s="17">
        <v>6290709471</v>
      </c>
      <c r="O1840" s="17"/>
      <c r="P1840" s="17"/>
      <c r="Q1840" s="17"/>
      <c r="R1840" s="17"/>
      <c r="S1840" s="17"/>
      <c r="T1840" s="17"/>
      <c r="U1840" s="17"/>
      <c r="V1840" s="17"/>
      <c r="W1840" s="17"/>
      <c r="X1840" s="17"/>
      <c r="Y1840" s="17"/>
      <c r="Z1840" s="17"/>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row>
    <row r="1841">
      <c r="A1841" s="17">
        <v>1839</v>
      </c>
      <c r="B1841" s="17" t="s">
        <v>52</v>
      </c>
      <c r="C1841" s="42" t="s">
        <v>5484</v>
      </c>
      <c r="D1841" s="35" t="s">
        <v>3886</v>
      </c>
      <c r="E1841" s="17" t="s">
        <v>5485</v>
      </c>
      <c r="F1841" s="17">
        <v>0</v>
      </c>
      <c r="G1841" s="17">
        <v>22.722249999999999</v>
      </c>
      <c r="H1841" s="17">
        <v>87.673389999999998</v>
      </c>
      <c r="I1841" s="17"/>
      <c r="J1841" s="17"/>
      <c r="K1841" s="17"/>
      <c r="L1841" s="17"/>
      <c r="M1841" s="42" t="s">
        <v>4099</v>
      </c>
      <c r="N1841" s="17">
        <v>7003921625</v>
      </c>
      <c r="O1841" s="17">
        <v>20</v>
      </c>
      <c r="P1841" s="17">
        <v>70</v>
      </c>
      <c r="Q1841" s="17" t="s">
        <v>105</v>
      </c>
      <c r="R1841" s="17" t="s">
        <v>142</v>
      </c>
      <c r="S1841" s="17" t="s">
        <v>75</v>
      </c>
      <c r="T1841" s="17"/>
      <c r="U1841" s="17" t="s">
        <v>503</v>
      </c>
      <c r="V1841" s="17" t="s">
        <v>504</v>
      </c>
      <c r="W1841" s="17" t="s">
        <v>5486</v>
      </c>
      <c r="X1841" s="17">
        <v>2</v>
      </c>
      <c r="Y1841" s="17">
        <v>0</v>
      </c>
      <c r="Z1841" s="17"/>
      <c r="AA1841" s="17" t="s">
        <v>105</v>
      </c>
      <c r="AB1841" s="17" t="s">
        <v>79</v>
      </c>
      <c r="AC1841" s="17">
        <v>6</v>
      </c>
      <c r="AD1841" s="17">
        <v>0</v>
      </c>
      <c r="AE1841" s="17">
        <v>0</v>
      </c>
      <c r="AF1841" s="17"/>
      <c r="AG1841" s="17" t="s">
        <v>81</v>
      </c>
      <c r="AH1841" s="17" t="s">
        <v>82</v>
      </c>
      <c r="AI1841" s="17" t="s">
        <v>107</v>
      </c>
      <c r="AJ1841" s="17"/>
      <c r="AK1841" s="17" t="s">
        <v>75</v>
      </c>
      <c r="AL1841" s="17" t="s">
        <v>75</v>
      </c>
      <c r="AM1841" s="17" t="s">
        <v>75</v>
      </c>
      <c r="AN1841" s="17" t="s">
        <v>84</v>
      </c>
      <c r="AO1841" s="17" t="s">
        <v>109</v>
      </c>
      <c r="AP1841" s="17"/>
      <c r="AQ1841" s="17"/>
      <c r="AR1841" s="17"/>
      <c r="AS1841" s="17"/>
      <c r="AT1841" s="17"/>
      <c r="AU1841" s="17" t="s">
        <v>111</v>
      </c>
    </row>
    <row r="1842">
      <c r="A1842" s="17">
        <v>1840</v>
      </c>
      <c r="B1842" s="17" t="s">
        <v>52</v>
      </c>
      <c r="C1842" s="42" t="s">
        <v>5487</v>
      </c>
      <c r="D1842" s="35" t="s">
        <v>3886</v>
      </c>
      <c r="E1842" s="17" t="s">
        <v>5488</v>
      </c>
      <c r="F1842" s="17">
        <v>0</v>
      </c>
      <c r="G1842" s="17">
        <v>22.66385</v>
      </c>
      <c r="H1842" s="17">
        <v>87.733239999999995</v>
      </c>
      <c r="I1842" s="17"/>
      <c r="J1842" s="17"/>
      <c r="K1842" s="17"/>
      <c r="L1842" s="17"/>
      <c r="M1842" s="42" t="s">
        <v>4099</v>
      </c>
      <c r="N1842" s="17">
        <v>7003921625</v>
      </c>
      <c r="O1842" s="17">
        <v>22</v>
      </c>
      <c r="P1842" s="17">
        <v>85</v>
      </c>
      <c r="Q1842" s="17" t="s">
        <v>73</v>
      </c>
      <c r="R1842" s="17" t="s">
        <v>142</v>
      </c>
      <c r="S1842" s="17" t="s">
        <v>75</v>
      </c>
      <c r="T1842" s="17"/>
      <c r="U1842" s="17" t="s">
        <v>160</v>
      </c>
      <c r="V1842" s="17" t="s">
        <v>77</v>
      </c>
      <c r="W1842" s="17" t="s">
        <v>161</v>
      </c>
      <c r="X1842" s="17">
        <v>5</v>
      </c>
      <c r="Y1842" s="17">
        <v>0</v>
      </c>
      <c r="Z1842" s="17"/>
      <c r="AA1842" s="17" t="s">
        <v>73</v>
      </c>
      <c r="AB1842" s="17" t="s">
        <v>79</v>
      </c>
      <c r="AC1842" s="17">
        <v>4</v>
      </c>
      <c r="AD1842" s="17">
        <v>0</v>
      </c>
      <c r="AE1842" s="17">
        <v>1</v>
      </c>
      <c r="AF1842" s="17"/>
      <c r="AG1842" s="17" t="s">
        <v>724</v>
      </c>
      <c r="AH1842" s="17"/>
      <c r="AI1842" s="17"/>
      <c r="AJ1842" s="17"/>
      <c r="AK1842" s="17"/>
      <c r="AL1842" s="17"/>
      <c r="AM1842" s="17"/>
      <c r="AN1842" s="17"/>
      <c r="AO1842" s="17"/>
      <c r="AP1842" s="17"/>
      <c r="AQ1842" s="17"/>
      <c r="AR1842" s="17"/>
      <c r="AS1842" s="17"/>
      <c r="AT1842" s="17" t="s">
        <v>3722</v>
      </c>
      <c r="AU1842" s="17" t="s">
        <v>127</v>
      </c>
    </row>
    <row r="1843">
      <c r="A1843" s="17">
        <v>1841</v>
      </c>
      <c r="B1843" s="17" t="s">
        <v>52</v>
      </c>
      <c r="C1843" s="42" t="s">
        <v>5489</v>
      </c>
      <c r="D1843" s="35" t="s">
        <v>3886</v>
      </c>
      <c r="E1843" s="17" t="s">
        <v>5490</v>
      </c>
      <c r="F1843" s="17">
        <v>0</v>
      </c>
      <c r="G1843" s="17">
        <v>22.518080000000001</v>
      </c>
      <c r="H1843" s="17">
        <v>87.824860000000001</v>
      </c>
      <c r="I1843" s="17"/>
      <c r="J1843" s="17"/>
      <c r="K1843" s="17"/>
      <c r="L1843" s="17"/>
      <c r="M1843" s="42" t="s">
        <v>4004</v>
      </c>
      <c r="N1843" s="17">
        <v>9382071290</v>
      </c>
      <c r="O1843" s="17">
        <v>24</v>
      </c>
      <c r="P1843" s="17">
        <v>85</v>
      </c>
      <c r="Q1843" s="17" t="s">
        <v>73</v>
      </c>
      <c r="R1843" s="17" t="s">
        <v>74</v>
      </c>
      <c r="S1843" s="17" t="s">
        <v>75</v>
      </c>
      <c r="T1843" s="17"/>
      <c r="U1843" s="17" t="s">
        <v>160</v>
      </c>
      <c r="V1843" s="17" t="s">
        <v>77</v>
      </c>
      <c r="W1843" s="17" t="s">
        <v>252</v>
      </c>
      <c r="X1843" s="17">
        <v>5</v>
      </c>
      <c r="Y1843" s="17">
        <v>0</v>
      </c>
      <c r="Z1843" s="17"/>
      <c r="AA1843" s="17" t="s">
        <v>73</v>
      </c>
      <c r="AB1843" s="17" t="s">
        <v>79</v>
      </c>
      <c r="AC1843" s="17">
        <v>2</v>
      </c>
      <c r="AD1843" s="17">
        <v>0</v>
      </c>
      <c r="AE1843" s="17">
        <v>0</v>
      </c>
      <c r="AF1843" s="17"/>
      <c r="AG1843" s="17" t="s">
        <v>81</v>
      </c>
      <c r="AH1843" s="17" t="s">
        <v>82</v>
      </c>
      <c r="AI1843" s="17" t="s">
        <v>107</v>
      </c>
      <c r="AJ1843" s="17"/>
      <c r="AK1843" s="17" t="s">
        <v>137</v>
      </c>
      <c r="AL1843" s="17" t="s">
        <v>75</v>
      </c>
      <c r="AM1843" s="17" t="s">
        <v>75</v>
      </c>
      <c r="AN1843" s="17" t="s">
        <v>84</v>
      </c>
      <c r="AO1843" s="17" t="s">
        <v>75</v>
      </c>
      <c r="AP1843" s="17"/>
      <c r="AQ1843" s="17"/>
      <c r="AR1843" s="17"/>
      <c r="AS1843" s="17"/>
      <c r="AT1843" s="17"/>
      <c r="AU1843" s="17" t="s">
        <v>111</v>
      </c>
    </row>
    <row r="1844">
      <c r="A1844" s="17">
        <v>1842</v>
      </c>
      <c r="B1844" s="17" t="s">
        <v>52</v>
      </c>
      <c r="C1844" s="42" t="s">
        <v>5491</v>
      </c>
      <c r="D1844" s="35" t="s">
        <v>3886</v>
      </c>
      <c r="E1844" s="17" t="s">
        <v>5492</v>
      </c>
      <c r="F1844" s="17"/>
      <c r="G1844" s="17"/>
      <c r="H1844" s="17"/>
      <c r="I1844" s="17"/>
      <c r="J1844" s="17"/>
      <c r="K1844" s="17"/>
      <c r="L1844" s="17"/>
      <c r="M1844" s="42" t="s">
        <v>4004</v>
      </c>
      <c r="N1844" s="17"/>
      <c r="O1844" s="17"/>
      <c r="P1844" s="17"/>
      <c r="Q1844" s="17"/>
      <c r="R1844" s="17"/>
      <c r="S1844" s="17"/>
      <c r="T1844" s="17"/>
      <c r="U1844" s="17"/>
      <c r="V1844" s="17"/>
      <c r="W1844" s="17"/>
      <c r="X1844" s="17"/>
      <c r="Y1844" s="17"/>
      <c r="Z1844" s="17"/>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row>
    <row r="1845">
      <c r="A1845" s="17">
        <v>1843</v>
      </c>
      <c r="B1845" s="17" t="s">
        <v>52</v>
      </c>
      <c r="C1845" s="42" t="s">
        <v>5493</v>
      </c>
      <c r="D1845" s="35" t="s">
        <v>3886</v>
      </c>
      <c r="E1845" s="17" t="s">
        <v>5494</v>
      </c>
      <c r="F1845" s="17">
        <v>0</v>
      </c>
      <c r="G1845" s="17">
        <v>22.422249999999998</v>
      </c>
      <c r="H1845" s="17">
        <v>87.316919999999996</v>
      </c>
      <c r="I1845" s="17"/>
      <c r="J1845" s="17"/>
      <c r="K1845" s="17"/>
      <c r="L1845" s="17"/>
      <c r="M1845" s="42" t="s">
        <v>3889</v>
      </c>
      <c r="N1845" s="17"/>
      <c r="O1845" s="17"/>
      <c r="P1845" s="17"/>
      <c r="Q1845" s="17"/>
      <c r="R1845" s="17"/>
      <c r="S1845" s="17"/>
      <c r="T1845" s="17"/>
      <c r="U1845" s="17"/>
      <c r="V1845" s="17"/>
      <c r="W1845" s="17"/>
      <c r="X1845" s="17"/>
      <c r="Y1845" s="17"/>
      <c r="Z1845" s="17"/>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row>
    <row r="1846">
      <c r="A1846" s="17">
        <v>1844</v>
      </c>
      <c r="B1846" s="17" t="s">
        <v>52</v>
      </c>
      <c r="C1846" s="42" t="s">
        <v>5495</v>
      </c>
      <c r="D1846" s="35" t="s">
        <v>3886</v>
      </c>
      <c r="E1846" s="17"/>
      <c r="F1846" s="17"/>
      <c r="G1846" s="17"/>
      <c r="H1846" s="17"/>
      <c r="I1846" s="17"/>
      <c r="J1846" s="17"/>
      <c r="K1846" s="17"/>
      <c r="L1846" s="17"/>
      <c r="M1846" s="42" t="s">
        <v>4045</v>
      </c>
      <c r="N1846" s="17">
        <v>6290709471</v>
      </c>
      <c r="O1846" s="17"/>
      <c r="P1846" s="17"/>
      <c r="Q1846" s="17"/>
      <c r="R1846" s="17"/>
      <c r="S1846" s="17"/>
      <c r="T1846" s="17"/>
      <c r="U1846" s="17"/>
      <c r="V1846" s="17"/>
      <c r="W1846" s="17"/>
      <c r="X1846" s="17"/>
      <c r="Y1846" s="17"/>
      <c r="Z1846" s="17"/>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row>
    <row r="1847">
      <c r="A1847" s="17">
        <v>1845</v>
      </c>
      <c r="B1847" s="17" t="s">
        <v>52</v>
      </c>
      <c r="C1847" s="42" t="s">
        <v>5496</v>
      </c>
      <c r="D1847" s="35" t="s">
        <v>3886</v>
      </c>
      <c r="E1847" s="17"/>
      <c r="F1847" s="17"/>
      <c r="G1847" s="17"/>
      <c r="H1847" s="17"/>
      <c r="I1847" s="17"/>
      <c r="J1847" s="17"/>
      <c r="K1847" s="17"/>
      <c r="L1847" s="17"/>
      <c r="M1847" s="42" t="s">
        <v>4045</v>
      </c>
      <c r="N1847" s="17">
        <v>6290709471</v>
      </c>
      <c r="O1847" s="17"/>
      <c r="P1847" s="17"/>
      <c r="Q1847" s="17"/>
      <c r="R1847" s="17"/>
      <c r="S1847" s="17"/>
      <c r="T1847" s="17"/>
      <c r="U1847" s="17"/>
      <c r="V1847" s="17"/>
      <c r="W1847" s="17"/>
      <c r="X1847" s="17"/>
      <c r="Y1847" s="17"/>
      <c r="Z1847" s="17"/>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row>
    <row r="1848">
      <c r="A1848" s="17">
        <v>1846</v>
      </c>
      <c r="B1848" s="17" t="s">
        <v>52</v>
      </c>
      <c r="C1848" s="41" t="s">
        <v>5497</v>
      </c>
      <c r="D1848" s="35" t="s">
        <v>3886</v>
      </c>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7"/>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row>
    <row r="1849">
      <c r="A1849" s="17">
        <v>1847</v>
      </c>
      <c r="B1849" s="17" t="s">
        <v>52</v>
      </c>
      <c r="C1849" s="41" t="s">
        <v>5498</v>
      </c>
      <c r="D1849" s="35" t="s">
        <v>3886</v>
      </c>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row>
    <row r="1850">
      <c r="A1850" s="17">
        <v>1848</v>
      </c>
      <c r="B1850" s="17" t="s">
        <v>52</v>
      </c>
      <c r="C1850" s="41" t="s">
        <v>5499</v>
      </c>
      <c r="D1850" s="35" t="s">
        <v>3886</v>
      </c>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row>
    <row r="1851">
      <c r="A1851" s="17">
        <v>1849</v>
      </c>
      <c r="B1851" s="17" t="s">
        <v>52</v>
      </c>
      <c r="C1851" s="41" t="s">
        <v>5500</v>
      </c>
      <c r="D1851" s="35" t="s">
        <v>3886</v>
      </c>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row>
    <row r="1852">
      <c r="A1852" s="17">
        <v>1850</v>
      </c>
      <c r="B1852" s="17" t="s">
        <v>52</v>
      </c>
      <c r="C1852" s="41" t="s">
        <v>5501</v>
      </c>
      <c r="D1852" s="35" t="s">
        <v>3886</v>
      </c>
      <c r="E1852" s="17"/>
      <c r="F1852" s="17"/>
      <c r="G1852" s="17"/>
      <c r="H1852" s="17"/>
      <c r="I1852" s="17"/>
      <c r="J1852" s="17"/>
      <c r="K1852" s="17"/>
      <c r="L1852" s="17"/>
      <c r="M1852" s="17"/>
      <c r="N1852" s="17"/>
      <c r="O1852" s="17"/>
      <c r="P1852" s="17"/>
      <c r="Q1852" s="17"/>
      <c r="R1852" s="17"/>
      <c r="S1852" s="17"/>
      <c r="T1852" s="17"/>
      <c r="U1852" s="17"/>
      <c r="V1852" s="17"/>
      <c r="W1852" s="17"/>
      <c r="X1852" s="17"/>
      <c r="Y1852" s="17"/>
      <c r="Z1852" s="17"/>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row>
    <row r="1853">
      <c r="A1853" s="17">
        <v>1851</v>
      </c>
      <c r="B1853" s="17" t="s">
        <v>52</v>
      </c>
      <c r="C1853" s="41" t="s">
        <v>5502</v>
      </c>
      <c r="D1853" s="35" t="s">
        <v>3886</v>
      </c>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7"/>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row>
    <row r="1854">
      <c r="A1854" s="17">
        <v>1852</v>
      </c>
      <c r="B1854" s="17" t="s">
        <v>52</v>
      </c>
      <c r="C1854" s="41" t="s">
        <v>5503</v>
      </c>
      <c r="D1854" s="35" t="s">
        <v>3886</v>
      </c>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7"/>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row>
    <row r="1855">
      <c r="A1855" s="17">
        <v>1853</v>
      </c>
      <c r="B1855" s="17" t="s">
        <v>52</v>
      </c>
      <c r="C1855" s="41" t="s">
        <v>5504</v>
      </c>
      <c r="D1855" s="35" t="s">
        <v>3886</v>
      </c>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row>
    <row r="1856">
      <c r="A1856" s="17">
        <v>1854</v>
      </c>
      <c r="B1856" s="17" t="s">
        <v>52</v>
      </c>
      <c r="C1856" s="41" t="s">
        <v>5505</v>
      </c>
      <c r="D1856" s="35" t="s">
        <v>3886</v>
      </c>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row>
    <row r="1857">
      <c r="A1857" s="17">
        <v>1855</v>
      </c>
      <c r="B1857" s="17" t="s">
        <v>52</v>
      </c>
      <c r="C1857" s="41" t="s">
        <v>5506</v>
      </c>
      <c r="D1857" s="35" t="s">
        <v>3886</v>
      </c>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7"/>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row>
    <row r="1858">
      <c r="A1858" s="17">
        <v>1856</v>
      </c>
      <c r="B1858" s="17" t="s">
        <v>52</v>
      </c>
      <c r="C1858" s="41" t="s">
        <v>5507</v>
      </c>
      <c r="D1858" s="35" t="s">
        <v>3886</v>
      </c>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7"/>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row>
    <row r="1859">
      <c r="A1859" s="17">
        <v>1857</v>
      </c>
      <c r="B1859" s="17" t="s">
        <v>52</v>
      </c>
      <c r="C1859" s="41" t="s">
        <v>5508</v>
      </c>
      <c r="D1859" s="35" t="s">
        <v>3886</v>
      </c>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row>
    <row r="1860">
      <c r="A1860" s="17">
        <v>1858</v>
      </c>
      <c r="B1860" s="17" t="s">
        <v>52</v>
      </c>
      <c r="C1860" s="41" t="s">
        <v>5509</v>
      </c>
      <c r="D1860" s="35" t="s">
        <v>3886</v>
      </c>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row>
    <row r="1861">
      <c r="A1861" s="17">
        <v>1859</v>
      </c>
      <c r="B1861" s="17" t="s">
        <v>52</v>
      </c>
      <c r="C1861" s="41" t="s">
        <v>5510</v>
      </c>
      <c r="D1861" s="35" t="s">
        <v>3886</v>
      </c>
      <c r="E1861" s="17"/>
      <c r="F1861" s="17"/>
      <c r="G1861" s="17"/>
      <c r="H1861" s="17"/>
      <c r="I1861" s="17"/>
      <c r="J1861" s="17"/>
      <c r="K1861" s="17"/>
      <c r="L1861" s="17"/>
      <c r="M1861" s="17"/>
      <c r="N1861" s="17"/>
      <c r="O1861" s="17"/>
      <c r="P1861" s="17"/>
      <c r="Q1861" s="17"/>
      <c r="R1861" s="17"/>
      <c r="S1861" s="17"/>
      <c r="T1861" s="17"/>
      <c r="U1861" s="17"/>
      <c r="V1861" s="17"/>
      <c r="W1861" s="17"/>
      <c r="X1861" s="17"/>
      <c r="Y1861" s="17"/>
      <c r="Z1861" s="17"/>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row>
    <row r="1862">
      <c r="A1862" s="17">
        <v>1860</v>
      </c>
      <c r="B1862" s="17" t="s">
        <v>52</v>
      </c>
      <c r="C1862" s="41" t="s">
        <v>5511</v>
      </c>
      <c r="D1862" s="35" t="s">
        <v>3886</v>
      </c>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7"/>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row>
    <row r="1863">
      <c r="A1863" s="17">
        <v>1861</v>
      </c>
      <c r="B1863" s="17" t="s">
        <v>52</v>
      </c>
      <c r="C1863" s="41" t="s">
        <v>5512</v>
      </c>
      <c r="D1863" s="35" t="s">
        <v>3886</v>
      </c>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row>
    <row r="1864">
      <c r="A1864" s="17">
        <v>1862</v>
      </c>
      <c r="B1864" s="17" t="s">
        <v>52</v>
      </c>
      <c r="C1864" s="41" t="s">
        <v>5513</v>
      </c>
      <c r="D1864" s="35" t="s">
        <v>3886</v>
      </c>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7"/>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row>
    <row r="1865">
      <c r="A1865" s="17">
        <v>1863</v>
      </c>
      <c r="B1865" s="17" t="s">
        <v>52</v>
      </c>
      <c r="C1865" s="41" t="s">
        <v>5514</v>
      </c>
      <c r="D1865" s="35" t="s">
        <v>3886</v>
      </c>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7"/>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row>
    <row r="1866">
      <c r="A1866" s="17">
        <v>1864</v>
      </c>
      <c r="B1866" s="17" t="s">
        <v>52</v>
      </c>
      <c r="C1866" s="41" t="s">
        <v>5515</v>
      </c>
      <c r="D1866" s="35" t="s">
        <v>3886</v>
      </c>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row>
    <row r="1867">
      <c r="A1867" s="17">
        <v>1865</v>
      </c>
      <c r="B1867" s="17" t="s">
        <v>52</v>
      </c>
      <c r="C1867" s="41" t="s">
        <v>5516</v>
      </c>
      <c r="D1867" s="35" t="s">
        <v>3886</v>
      </c>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row>
    <row r="1868">
      <c r="A1868" s="17">
        <v>1866</v>
      </c>
      <c r="B1868" s="17" t="s">
        <v>52</v>
      </c>
      <c r="C1868" s="41" t="s">
        <v>5517</v>
      </c>
      <c r="D1868" s="35" t="s">
        <v>3886</v>
      </c>
      <c r="E1868" s="17"/>
      <c r="F1868" s="17"/>
      <c r="G1868" s="17"/>
      <c r="H1868" s="17"/>
      <c r="I1868" s="17"/>
      <c r="J1868" s="17"/>
      <c r="K1868" s="17"/>
      <c r="L1868" s="17"/>
      <c r="M1868" s="17"/>
      <c r="N1868" s="17"/>
      <c r="O1868" s="17"/>
      <c r="P1868" s="17"/>
      <c r="Q1868" s="17"/>
      <c r="R1868" s="17"/>
      <c r="S1868" s="17"/>
      <c r="T1868" s="17"/>
      <c r="U1868" s="17"/>
      <c r="V1868" s="17"/>
      <c r="W1868" s="17"/>
      <c r="X1868" s="17"/>
      <c r="Y1868" s="17"/>
      <c r="Z1868" s="17"/>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row>
    <row r="1869">
      <c r="A1869" s="17">
        <v>1867</v>
      </c>
      <c r="B1869" s="17" t="s">
        <v>52</v>
      </c>
      <c r="C1869" s="41" t="s">
        <v>5518</v>
      </c>
      <c r="D1869" s="35" t="s">
        <v>3886</v>
      </c>
      <c r="E1869" s="17"/>
      <c r="F1869" s="17"/>
      <c r="G1869" s="17"/>
      <c r="H1869" s="17"/>
      <c r="I1869" s="17"/>
      <c r="J1869" s="17"/>
      <c r="K1869" s="17"/>
      <c r="L1869" s="17"/>
      <c r="M1869" s="17"/>
      <c r="N1869" s="17"/>
      <c r="O1869" s="17"/>
      <c r="P1869" s="17"/>
      <c r="Q1869" s="17"/>
      <c r="R1869" s="17"/>
      <c r="S1869" s="17"/>
      <c r="T1869" s="17"/>
      <c r="U1869" s="17"/>
      <c r="V1869" s="17"/>
      <c r="W1869" s="17"/>
      <c r="X1869" s="17"/>
      <c r="Y1869" s="17"/>
      <c r="Z1869" s="17"/>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row>
    <row r="1870">
      <c r="A1870" s="17">
        <v>1868</v>
      </c>
      <c r="B1870" s="17" t="s">
        <v>52</v>
      </c>
      <c r="C1870" s="41" t="s">
        <v>5519</v>
      </c>
      <c r="D1870" s="35" t="s">
        <v>3886</v>
      </c>
      <c r="E1870" s="17"/>
      <c r="F1870" s="17"/>
      <c r="G1870" s="17"/>
      <c r="H1870" s="17"/>
      <c r="I1870" s="17"/>
      <c r="J1870" s="17"/>
      <c r="K1870" s="17"/>
      <c r="L1870" s="17"/>
      <c r="M1870" s="17"/>
      <c r="N1870" s="17"/>
      <c r="O1870" s="17"/>
      <c r="P1870" s="17"/>
      <c r="Q1870" s="17"/>
      <c r="R1870" s="17"/>
      <c r="S1870" s="17"/>
      <c r="T1870" s="17"/>
      <c r="U1870" s="17"/>
      <c r="V1870" s="17"/>
      <c r="W1870" s="17"/>
      <c r="X1870" s="17"/>
      <c r="Y1870" s="17"/>
      <c r="Z1870" s="17"/>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row>
    <row r="1871">
      <c r="A1871" s="17">
        <v>1869</v>
      </c>
      <c r="B1871" s="17" t="s">
        <v>52</v>
      </c>
      <c r="C1871" s="41" t="s">
        <v>5520</v>
      </c>
      <c r="D1871" s="35" t="s">
        <v>3886</v>
      </c>
      <c r="E1871" s="17"/>
      <c r="F1871" s="17"/>
      <c r="G1871" s="17"/>
      <c r="H1871" s="17"/>
      <c r="I1871" s="17"/>
      <c r="J1871" s="17"/>
      <c r="K1871" s="17"/>
      <c r="L1871" s="17"/>
      <c r="M1871" s="17"/>
      <c r="N1871" s="17"/>
      <c r="O1871" s="17"/>
      <c r="P1871" s="17"/>
      <c r="Q1871" s="17"/>
      <c r="R1871" s="17"/>
      <c r="S1871" s="17"/>
      <c r="T1871" s="17"/>
      <c r="U1871" s="17"/>
      <c r="V1871" s="17"/>
      <c r="W1871" s="17"/>
      <c r="X1871" s="17"/>
      <c r="Y1871" s="17"/>
      <c r="Z1871" s="17"/>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row>
    <row r="1872">
      <c r="A1872" s="17">
        <v>1870</v>
      </c>
      <c r="B1872" s="17" t="s">
        <v>52</v>
      </c>
      <c r="C1872" s="41" t="s">
        <v>5521</v>
      </c>
      <c r="D1872" s="35" t="s">
        <v>3886</v>
      </c>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row>
    <row r="1873">
      <c r="A1873" s="17">
        <v>1871</v>
      </c>
      <c r="B1873" s="17" t="s">
        <v>52</v>
      </c>
      <c r="C1873" s="41" t="s">
        <v>5522</v>
      </c>
      <c r="D1873" s="35" t="s">
        <v>3886</v>
      </c>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7"/>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row>
    <row r="1874">
      <c r="A1874" s="17">
        <v>1872</v>
      </c>
      <c r="B1874" s="17" t="s">
        <v>52</v>
      </c>
      <c r="C1874" s="41" t="s">
        <v>5523</v>
      </c>
      <c r="D1874" s="35" t="s">
        <v>3886</v>
      </c>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7"/>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row>
    <row r="1875">
      <c r="A1875" s="17">
        <v>1873</v>
      </c>
      <c r="B1875" s="17" t="s">
        <v>52</v>
      </c>
      <c r="C1875" s="41" t="s">
        <v>5524</v>
      </c>
      <c r="D1875" s="35" t="s">
        <v>3886</v>
      </c>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row>
    <row r="1876">
      <c r="A1876" s="17">
        <v>1874</v>
      </c>
      <c r="B1876" s="17" t="s">
        <v>52</v>
      </c>
      <c r="C1876" s="41" t="s">
        <v>5525</v>
      </c>
      <c r="D1876" s="35" t="s">
        <v>3886</v>
      </c>
      <c r="E1876" s="17"/>
      <c r="F1876" s="17"/>
      <c r="G1876" s="17"/>
      <c r="H1876" s="17"/>
      <c r="I1876" s="17"/>
      <c r="J1876" s="17"/>
      <c r="K1876" s="17"/>
      <c r="L1876" s="17"/>
      <c r="M1876" s="17"/>
      <c r="N1876" s="17"/>
      <c r="O1876" s="17"/>
      <c r="P1876" s="17"/>
      <c r="Q1876" s="17"/>
      <c r="R1876" s="17"/>
      <c r="S1876" s="17"/>
      <c r="T1876" s="17"/>
      <c r="U1876" s="17"/>
      <c r="V1876" s="17"/>
      <c r="W1876" s="17"/>
      <c r="X1876" s="17"/>
      <c r="Y1876" s="17"/>
      <c r="Z1876" s="17"/>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row>
    <row r="1877">
      <c r="A1877" s="17">
        <v>1875</v>
      </c>
      <c r="B1877" s="17" t="s">
        <v>52</v>
      </c>
      <c r="C1877" s="41" t="s">
        <v>5526</v>
      </c>
      <c r="D1877" s="35" t="s">
        <v>3886</v>
      </c>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7"/>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row>
    <row r="1878">
      <c r="A1878" s="17">
        <v>1876</v>
      </c>
      <c r="B1878" s="17" t="s">
        <v>52</v>
      </c>
      <c r="C1878" s="41" t="s">
        <v>5527</v>
      </c>
      <c r="D1878" s="35" t="s">
        <v>3886</v>
      </c>
      <c r="E1878" s="17"/>
      <c r="F1878" s="17"/>
      <c r="G1878" s="17"/>
      <c r="H1878" s="17"/>
      <c r="I1878" s="17"/>
      <c r="J1878" s="17"/>
      <c r="K1878" s="17"/>
      <c r="L1878" s="17"/>
      <c r="M1878" s="17"/>
      <c r="N1878" s="17"/>
      <c r="O1878" s="17"/>
      <c r="P1878" s="17"/>
      <c r="Q1878" s="17"/>
      <c r="R1878" s="17"/>
      <c r="S1878" s="17"/>
      <c r="T1878" s="17"/>
      <c r="U1878" s="17"/>
      <c r="V1878" s="17"/>
      <c r="W1878" s="17"/>
      <c r="X1878" s="17"/>
      <c r="Y1878" s="17"/>
      <c r="Z1878" s="17"/>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row>
    <row r="1879">
      <c r="A1879" s="17">
        <v>1877</v>
      </c>
      <c r="B1879" s="17" t="s">
        <v>52</v>
      </c>
      <c r="C1879" s="41" t="s">
        <v>5528</v>
      </c>
      <c r="D1879" s="35" t="s">
        <v>3886</v>
      </c>
      <c r="E1879" s="17"/>
      <c r="F1879" s="17"/>
      <c r="G1879" s="17"/>
      <c r="H1879" s="17"/>
      <c r="I1879" s="17"/>
      <c r="J1879" s="17"/>
      <c r="K1879" s="17"/>
      <c r="L1879" s="17"/>
      <c r="M1879" s="17"/>
      <c r="N1879" s="17"/>
      <c r="O1879" s="17"/>
      <c r="P1879" s="17"/>
      <c r="Q1879" s="17"/>
      <c r="R1879" s="17"/>
      <c r="S1879" s="17"/>
      <c r="T1879" s="17"/>
      <c r="U1879" s="17"/>
      <c r="V1879" s="17"/>
      <c r="W1879" s="17"/>
      <c r="X1879" s="17"/>
      <c r="Y1879" s="17"/>
      <c r="Z1879" s="17"/>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row>
    <row r="1880">
      <c r="A1880" s="17">
        <v>1878</v>
      </c>
      <c r="B1880" s="17" t="s">
        <v>52</v>
      </c>
      <c r="C1880" s="41" t="s">
        <v>5529</v>
      </c>
      <c r="D1880" s="35" t="s">
        <v>3886</v>
      </c>
      <c r="E1880" s="17"/>
      <c r="F1880" s="17"/>
      <c r="G1880" s="17"/>
      <c r="H1880" s="17"/>
      <c r="I1880" s="17"/>
      <c r="J1880" s="17"/>
      <c r="K1880" s="17"/>
      <c r="L1880" s="17"/>
      <c r="M1880" s="17"/>
      <c r="N1880" s="17"/>
      <c r="O1880" s="17"/>
      <c r="P1880" s="17"/>
      <c r="Q1880" s="17"/>
      <c r="R1880" s="17"/>
      <c r="S1880" s="17"/>
      <c r="T1880" s="17"/>
      <c r="U1880" s="17"/>
      <c r="V1880" s="17"/>
      <c r="W1880" s="17"/>
      <c r="X1880" s="17"/>
      <c r="Y1880" s="17"/>
      <c r="Z1880" s="17"/>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row>
    <row r="1881">
      <c r="A1881" s="17">
        <v>1879</v>
      </c>
      <c r="B1881" s="17" t="s">
        <v>52</v>
      </c>
      <c r="C1881" s="41" t="s">
        <v>5530</v>
      </c>
      <c r="D1881" s="35" t="s">
        <v>3886</v>
      </c>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7"/>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row>
    <row r="1882">
      <c r="A1882" s="17">
        <v>1880</v>
      </c>
      <c r="B1882" s="17" t="s">
        <v>52</v>
      </c>
      <c r="C1882" s="41" t="s">
        <v>5531</v>
      </c>
      <c r="D1882" s="35" t="s">
        <v>3886</v>
      </c>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7"/>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row>
    <row r="1883">
      <c r="A1883" s="17">
        <v>1881</v>
      </c>
      <c r="B1883" s="17" t="s">
        <v>52</v>
      </c>
      <c r="C1883" s="41" t="s">
        <v>5532</v>
      </c>
      <c r="D1883" s="35" t="s">
        <v>3886</v>
      </c>
      <c r="E1883" s="17"/>
      <c r="F1883" s="17"/>
      <c r="G1883" s="17"/>
      <c r="H1883" s="17"/>
      <c r="I1883" s="17"/>
      <c r="J1883" s="17"/>
      <c r="K1883" s="17"/>
      <c r="L1883" s="17"/>
      <c r="M1883" s="17"/>
      <c r="N1883" s="17"/>
      <c r="O1883" s="17"/>
      <c r="P1883" s="17"/>
      <c r="Q1883" s="17"/>
      <c r="R1883" s="17"/>
      <c r="S1883" s="17"/>
      <c r="T1883" s="17"/>
      <c r="U1883" s="17"/>
      <c r="V1883" s="17"/>
      <c r="W1883" s="17"/>
      <c r="X1883" s="17"/>
      <c r="Y1883" s="17"/>
      <c r="Z1883" s="17"/>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row>
    <row r="1884">
      <c r="A1884" s="17">
        <v>1882</v>
      </c>
      <c r="B1884" s="17" t="s">
        <v>52</v>
      </c>
      <c r="C1884" s="41" t="s">
        <v>5533</v>
      </c>
      <c r="D1884" s="35" t="s">
        <v>3886</v>
      </c>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7"/>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row>
    <row r="1885">
      <c r="A1885" s="17">
        <v>1883</v>
      </c>
      <c r="B1885" s="17" t="s">
        <v>52</v>
      </c>
      <c r="C1885" s="41" t="s">
        <v>5534</v>
      </c>
      <c r="D1885" s="35" t="s">
        <v>3886</v>
      </c>
      <c r="E1885" s="17"/>
      <c r="F1885" s="17"/>
      <c r="G1885" s="17"/>
      <c r="H1885" s="17"/>
      <c r="I1885" s="17"/>
      <c r="J1885" s="17"/>
      <c r="K1885" s="17"/>
      <c r="L1885" s="17"/>
      <c r="M1885" s="17"/>
      <c r="N1885" s="17"/>
      <c r="O1885" s="17"/>
      <c r="P1885" s="17"/>
      <c r="Q1885" s="17"/>
      <c r="R1885" s="17"/>
      <c r="S1885" s="17"/>
      <c r="T1885" s="17"/>
      <c r="U1885" s="17"/>
      <c r="V1885" s="17"/>
      <c r="W1885" s="17"/>
      <c r="X1885" s="17"/>
      <c r="Y1885" s="17"/>
      <c r="Z1885" s="17"/>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row>
    <row r="1886">
      <c r="A1886" s="17">
        <v>1884</v>
      </c>
      <c r="B1886" s="17" t="s">
        <v>52</v>
      </c>
      <c r="C1886" s="41" t="s">
        <v>5535</v>
      </c>
      <c r="D1886" s="35" t="s">
        <v>3886</v>
      </c>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7"/>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row>
    <row r="1887">
      <c r="A1887" s="17">
        <v>1885</v>
      </c>
      <c r="B1887" s="17" t="s">
        <v>52</v>
      </c>
      <c r="C1887" s="41" t="s">
        <v>5536</v>
      </c>
      <c r="D1887" s="35" t="s">
        <v>3886</v>
      </c>
      <c r="E1887" s="17"/>
      <c r="F1887" s="17"/>
      <c r="G1887" s="17"/>
      <c r="H1887" s="17"/>
      <c r="I1887" s="17"/>
      <c r="J1887" s="17"/>
      <c r="K1887" s="17"/>
      <c r="L1887" s="17"/>
      <c r="M1887" s="17"/>
      <c r="N1887" s="17"/>
      <c r="O1887" s="17"/>
      <c r="P1887" s="17"/>
      <c r="Q1887" s="17"/>
      <c r="R1887" s="17"/>
      <c r="S1887" s="17"/>
      <c r="T1887" s="17"/>
      <c r="U1887" s="17"/>
      <c r="V1887" s="17"/>
      <c r="W1887" s="17"/>
      <c r="X1887" s="17"/>
      <c r="Y1887" s="17"/>
      <c r="Z1887" s="17"/>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row>
    <row r="1888">
      <c r="A1888" s="17">
        <v>1886</v>
      </c>
      <c r="B1888" s="17" t="s">
        <v>52</v>
      </c>
      <c r="C1888" s="41" t="s">
        <v>5537</v>
      </c>
      <c r="D1888" s="35" t="s">
        <v>3886</v>
      </c>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7"/>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row>
    <row r="1889">
      <c r="A1889" s="17">
        <v>1887</v>
      </c>
      <c r="B1889" s="17" t="s">
        <v>52</v>
      </c>
      <c r="C1889" s="41" t="s">
        <v>5538</v>
      </c>
      <c r="D1889" s="35" t="s">
        <v>3886</v>
      </c>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7"/>
      <c r="AA1889" s="17"/>
      <c r="AB1889" s="17"/>
      <c r="AC1889" s="17"/>
      <c r="AD1889" s="17"/>
      <c r="AE1889" s="17"/>
      <c r="AF1889" s="17"/>
      <c r="AG1889" s="17"/>
      <c r="AH1889" s="17"/>
      <c r="AI1889" s="17"/>
      <c r="AJ1889" s="17"/>
      <c r="AK1889" s="17"/>
      <c r="AL1889" s="17"/>
      <c r="AM1889" s="17"/>
      <c r="AN1889" s="17"/>
      <c r="AO1889" s="17"/>
      <c r="AP1889" s="17"/>
      <c r="AQ1889" s="17"/>
      <c r="AR1889" s="17"/>
      <c r="AS1889" s="17"/>
      <c r="AT1889" s="17"/>
      <c r="AU1889" s="17"/>
    </row>
    <row r="1890">
      <c r="A1890" s="17">
        <v>1888</v>
      </c>
      <c r="B1890" s="17" t="s">
        <v>52</v>
      </c>
      <c r="C1890" s="41" t="s">
        <v>5539</v>
      </c>
      <c r="D1890" s="35" t="s">
        <v>3886</v>
      </c>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7"/>
      <c r="AA1890" s="17"/>
      <c r="AB1890" s="17"/>
      <c r="AC1890" s="17"/>
      <c r="AD1890" s="17"/>
      <c r="AE1890" s="17"/>
      <c r="AF1890" s="17"/>
      <c r="AG1890" s="17"/>
      <c r="AH1890" s="17"/>
      <c r="AI1890" s="17"/>
      <c r="AJ1890" s="17"/>
      <c r="AK1890" s="17"/>
      <c r="AL1890" s="17"/>
      <c r="AM1890" s="17"/>
      <c r="AN1890" s="17"/>
      <c r="AO1890" s="17"/>
      <c r="AP1890" s="17"/>
      <c r="AQ1890" s="17"/>
      <c r="AR1890" s="17"/>
      <c r="AS1890" s="17"/>
      <c r="AT1890" s="17"/>
      <c r="AU1890" s="17"/>
    </row>
    <row r="1891">
      <c r="A1891" s="17">
        <v>1889</v>
      </c>
      <c r="B1891" s="17" t="s">
        <v>52</v>
      </c>
      <c r="C1891" s="41" t="s">
        <v>5540</v>
      </c>
      <c r="D1891" s="35" t="s">
        <v>3886</v>
      </c>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7"/>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row>
    <row r="1892">
      <c r="A1892" s="17">
        <v>1890</v>
      </c>
      <c r="B1892" s="17" t="s">
        <v>52</v>
      </c>
      <c r="C1892" s="41" t="s">
        <v>5541</v>
      </c>
      <c r="D1892" s="35" t="s">
        <v>3886</v>
      </c>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7"/>
      <c r="AA1892" s="17"/>
      <c r="AB1892" s="17"/>
      <c r="AC1892" s="17"/>
      <c r="AD1892" s="17"/>
      <c r="AE1892" s="17"/>
      <c r="AF1892" s="17"/>
      <c r="AG1892" s="17"/>
      <c r="AH1892" s="17"/>
      <c r="AI1892" s="17"/>
      <c r="AJ1892" s="17"/>
      <c r="AK1892" s="17"/>
      <c r="AL1892" s="17"/>
      <c r="AM1892" s="17"/>
      <c r="AN1892" s="17"/>
      <c r="AO1892" s="17"/>
      <c r="AP1892" s="17"/>
      <c r="AQ1892" s="17"/>
      <c r="AR1892" s="17"/>
      <c r="AS1892" s="17"/>
      <c r="AT1892" s="17"/>
      <c r="AU1892" s="17"/>
    </row>
    <row r="1893">
      <c r="A1893" s="17">
        <v>1891</v>
      </c>
      <c r="B1893" s="17" t="s">
        <v>52</v>
      </c>
      <c r="C1893" s="41" t="s">
        <v>5542</v>
      </c>
      <c r="D1893" s="35" t="s">
        <v>3886</v>
      </c>
      <c r="E1893" s="17"/>
      <c r="F1893" s="17"/>
      <c r="G1893" s="17"/>
      <c r="H1893" s="17"/>
      <c r="I1893" s="17"/>
      <c r="J1893" s="17"/>
      <c r="K1893" s="17"/>
      <c r="L1893" s="17"/>
      <c r="M1893" s="17"/>
      <c r="N1893" s="17"/>
      <c r="O1893" s="17"/>
      <c r="P1893" s="17"/>
      <c r="Q1893" s="17"/>
      <c r="R1893" s="17"/>
      <c r="S1893" s="17"/>
      <c r="T1893" s="17"/>
      <c r="U1893" s="17"/>
      <c r="V1893" s="17"/>
      <c r="W1893" s="17"/>
      <c r="X1893" s="17"/>
      <c r="Y1893" s="17"/>
      <c r="Z1893" s="17"/>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row>
    <row r="1894">
      <c r="A1894" s="17">
        <v>1892</v>
      </c>
      <c r="B1894" s="17" t="s">
        <v>52</v>
      </c>
      <c r="C1894" s="41" t="s">
        <v>5543</v>
      </c>
      <c r="D1894" s="35" t="s">
        <v>3886</v>
      </c>
      <c r="E1894" s="17"/>
      <c r="F1894" s="17"/>
      <c r="G1894" s="17"/>
      <c r="H1894" s="17"/>
      <c r="I1894" s="17"/>
      <c r="J1894" s="17"/>
      <c r="K1894" s="17"/>
      <c r="L1894" s="17"/>
      <c r="M1894" s="17"/>
      <c r="N1894" s="17"/>
      <c r="O1894" s="17"/>
      <c r="P1894" s="17"/>
      <c r="Q1894" s="17"/>
      <c r="R1894" s="17"/>
      <c r="S1894" s="17"/>
      <c r="T1894" s="17"/>
      <c r="U1894" s="17"/>
      <c r="V1894" s="17"/>
      <c r="W1894" s="17"/>
      <c r="X1894" s="17"/>
      <c r="Y1894" s="17"/>
      <c r="Z1894" s="17"/>
      <c r="AA1894" s="17"/>
      <c r="AB1894" s="17"/>
      <c r="AC1894" s="17"/>
      <c r="AD1894" s="17"/>
      <c r="AE1894" s="17"/>
      <c r="AF1894" s="17"/>
      <c r="AG1894" s="17"/>
      <c r="AH1894" s="17"/>
      <c r="AI1894" s="17"/>
      <c r="AJ1894" s="17"/>
      <c r="AK1894" s="17"/>
      <c r="AL1894" s="17"/>
      <c r="AM1894" s="17"/>
      <c r="AN1894" s="17"/>
      <c r="AO1894" s="17"/>
      <c r="AP1894" s="17"/>
      <c r="AQ1894" s="17"/>
      <c r="AR1894" s="17"/>
      <c r="AS1894" s="17"/>
      <c r="AT1894" s="17"/>
      <c r="AU1894" s="17"/>
    </row>
    <row r="1895">
      <c r="A1895" s="17">
        <v>1893</v>
      </c>
      <c r="B1895" s="17" t="s">
        <v>52</v>
      </c>
      <c r="C1895" s="41" t="s">
        <v>5544</v>
      </c>
      <c r="D1895" s="35" t="s">
        <v>3886</v>
      </c>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7"/>
      <c r="AA1895" s="17"/>
      <c r="AB1895" s="17"/>
      <c r="AC1895" s="17"/>
      <c r="AD1895" s="17"/>
      <c r="AE1895" s="17"/>
      <c r="AF1895" s="17"/>
      <c r="AG1895" s="17"/>
      <c r="AH1895" s="17"/>
      <c r="AI1895" s="17"/>
      <c r="AJ1895" s="17"/>
      <c r="AK1895" s="17"/>
      <c r="AL1895" s="17"/>
      <c r="AM1895" s="17"/>
      <c r="AN1895" s="17"/>
      <c r="AO1895" s="17"/>
      <c r="AP1895" s="17"/>
      <c r="AQ1895" s="17"/>
      <c r="AR1895" s="17"/>
      <c r="AS1895" s="17"/>
      <c r="AT1895" s="17"/>
      <c r="AU1895" s="17"/>
    </row>
    <row r="1896">
      <c r="A1896" s="17">
        <v>1894</v>
      </c>
      <c r="B1896" s="17" t="s">
        <v>52</v>
      </c>
      <c r="C1896" s="41" t="s">
        <v>5545</v>
      </c>
      <c r="D1896" s="35" t="s">
        <v>3886</v>
      </c>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7"/>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row>
    <row r="1897">
      <c r="A1897" s="17">
        <v>1895</v>
      </c>
      <c r="B1897" s="17" t="s">
        <v>52</v>
      </c>
      <c r="C1897" s="41" t="s">
        <v>5546</v>
      </c>
      <c r="D1897" s="35" t="s">
        <v>3886</v>
      </c>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7"/>
      <c r="AA1897" s="17"/>
      <c r="AB1897" s="17"/>
      <c r="AC1897" s="17"/>
      <c r="AD1897" s="17"/>
      <c r="AE1897" s="17"/>
      <c r="AF1897" s="17"/>
      <c r="AG1897" s="17"/>
      <c r="AH1897" s="17"/>
      <c r="AI1897" s="17"/>
      <c r="AJ1897" s="17"/>
      <c r="AK1897" s="17"/>
      <c r="AL1897" s="17"/>
      <c r="AM1897" s="17"/>
      <c r="AN1897" s="17"/>
      <c r="AO1897" s="17"/>
      <c r="AP1897" s="17"/>
      <c r="AQ1897" s="17"/>
      <c r="AR1897" s="17"/>
      <c r="AS1897" s="17"/>
      <c r="AT1897" s="17"/>
      <c r="AU1897" s="17"/>
    </row>
    <row r="1898">
      <c r="A1898" s="17">
        <v>1896</v>
      </c>
      <c r="B1898" s="17" t="s">
        <v>52</v>
      </c>
      <c r="C1898" s="41" t="s">
        <v>5547</v>
      </c>
      <c r="D1898" s="35" t="s">
        <v>3886</v>
      </c>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7"/>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row>
    <row r="1899">
      <c r="A1899" s="17">
        <v>1897</v>
      </c>
      <c r="B1899" s="17" t="s">
        <v>52</v>
      </c>
      <c r="C1899" s="41" t="s">
        <v>5548</v>
      </c>
      <c r="D1899" s="35" t="s">
        <v>3886</v>
      </c>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17"/>
      <c r="AA1899" s="17"/>
      <c r="AB1899" s="17"/>
      <c r="AC1899" s="17"/>
      <c r="AD1899" s="17"/>
      <c r="AE1899" s="17"/>
      <c r="AF1899" s="17"/>
      <c r="AG1899" s="17"/>
      <c r="AH1899" s="17"/>
      <c r="AI1899" s="17"/>
      <c r="AJ1899" s="17"/>
      <c r="AK1899" s="17"/>
      <c r="AL1899" s="17"/>
      <c r="AM1899" s="17"/>
      <c r="AN1899" s="17"/>
      <c r="AO1899" s="17"/>
      <c r="AP1899" s="17"/>
      <c r="AQ1899" s="17"/>
      <c r="AR1899" s="17"/>
      <c r="AS1899" s="17"/>
      <c r="AT1899" s="17"/>
      <c r="AU1899" s="17"/>
    </row>
    <row r="1900">
      <c r="A1900" s="17">
        <v>1898</v>
      </c>
      <c r="B1900" s="17" t="s">
        <v>52</v>
      </c>
      <c r="C1900" s="41" t="s">
        <v>5549</v>
      </c>
      <c r="D1900" s="35" t="s">
        <v>3886</v>
      </c>
      <c r="E1900" s="17"/>
      <c r="F1900" s="17"/>
      <c r="G1900" s="17"/>
      <c r="H1900" s="17"/>
      <c r="I1900" s="17"/>
      <c r="J1900" s="17"/>
      <c r="K1900" s="17"/>
      <c r="L1900" s="17"/>
      <c r="M1900" s="17"/>
      <c r="N1900" s="17"/>
      <c r="O1900" s="17"/>
      <c r="P1900" s="17"/>
      <c r="Q1900" s="17"/>
      <c r="R1900" s="17"/>
      <c r="S1900" s="17"/>
      <c r="T1900" s="17"/>
      <c r="U1900" s="17"/>
      <c r="V1900" s="17"/>
      <c r="W1900" s="17"/>
      <c r="X1900" s="17"/>
      <c r="Y1900" s="17"/>
      <c r="Z1900" s="17"/>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row>
    <row r="1901">
      <c r="A1901" s="17">
        <v>1899</v>
      </c>
      <c r="B1901" s="17" t="s">
        <v>52</v>
      </c>
      <c r="C1901" s="41" t="s">
        <v>5550</v>
      </c>
      <c r="D1901" s="35" t="s">
        <v>3886</v>
      </c>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7"/>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row>
    <row r="1902">
      <c r="A1902" s="17">
        <v>1900</v>
      </c>
      <c r="B1902" s="17" t="s">
        <v>52</v>
      </c>
      <c r="C1902" s="41" t="s">
        <v>5551</v>
      </c>
      <c r="D1902" s="35" t="s">
        <v>3886</v>
      </c>
      <c r="E1902" s="17"/>
      <c r="F1902" s="17"/>
      <c r="G1902" s="17"/>
      <c r="H1902" s="17"/>
      <c r="I1902" s="17"/>
      <c r="J1902" s="17"/>
      <c r="K1902" s="17"/>
      <c r="L1902" s="17"/>
      <c r="M1902" s="17"/>
      <c r="N1902" s="17"/>
      <c r="O1902" s="17"/>
      <c r="P1902" s="17"/>
      <c r="Q1902" s="17"/>
      <c r="R1902" s="17"/>
      <c r="S1902" s="17"/>
      <c r="T1902" s="17"/>
      <c r="U1902" s="17"/>
      <c r="V1902" s="17"/>
      <c r="W1902" s="17"/>
      <c r="X1902" s="17"/>
      <c r="Y1902" s="17"/>
      <c r="Z1902" s="17"/>
      <c r="AA1902" s="17"/>
      <c r="AB1902" s="17"/>
      <c r="AC1902" s="17"/>
      <c r="AD1902" s="17"/>
      <c r="AE1902" s="17"/>
      <c r="AF1902" s="17"/>
      <c r="AG1902" s="17"/>
      <c r="AH1902" s="17"/>
      <c r="AI1902" s="17"/>
      <c r="AJ1902" s="17"/>
      <c r="AK1902" s="17"/>
      <c r="AL1902" s="17"/>
      <c r="AM1902" s="17"/>
      <c r="AN1902" s="17"/>
      <c r="AO1902" s="17"/>
      <c r="AP1902" s="17"/>
      <c r="AQ1902" s="17"/>
      <c r="AR1902" s="17"/>
      <c r="AS1902" s="17"/>
      <c r="AT1902" s="17"/>
      <c r="AU1902" s="17"/>
    </row>
    <row r="1903">
      <c r="A1903" s="17">
        <v>1901</v>
      </c>
      <c r="B1903" s="17" t="s">
        <v>52</v>
      </c>
      <c r="C1903" s="41" t="s">
        <v>5552</v>
      </c>
      <c r="D1903" s="35" t="s">
        <v>3886</v>
      </c>
      <c r="E1903" s="17"/>
      <c r="F1903" s="17"/>
      <c r="G1903" s="17"/>
      <c r="H1903" s="17"/>
      <c r="I1903" s="17"/>
      <c r="J1903" s="17"/>
      <c r="K1903" s="17"/>
      <c r="L1903" s="17"/>
      <c r="M1903" s="17"/>
      <c r="N1903" s="17"/>
      <c r="O1903" s="17"/>
      <c r="P1903" s="17"/>
      <c r="Q1903" s="17"/>
      <c r="R1903" s="17"/>
      <c r="S1903" s="17"/>
      <c r="T1903" s="17"/>
      <c r="U1903" s="17"/>
      <c r="V1903" s="17"/>
      <c r="W1903" s="17"/>
      <c r="X1903" s="17"/>
      <c r="Y1903" s="17"/>
      <c r="Z1903" s="17"/>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row>
    <row r="1904">
      <c r="A1904" s="17">
        <v>1902</v>
      </c>
      <c r="B1904" s="17" t="s">
        <v>52</v>
      </c>
      <c r="C1904" s="41" t="s">
        <v>5553</v>
      </c>
      <c r="D1904" s="35" t="s">
        <v>3886</v>
      </c>
      <c r="E1904" s="17"/>
      <c r="F1904" s="17"/>
      <c r="G1904" s="17"/>
      <c r="H1904" s="17"/>
      <c r="I1904" s="17"/>
      <c r="J1904" s="17"/>
      <c r="K1904" s="17"/>
      <c r="L1904" s="17"/>
      <c r="M1904" s="17"/>
      <c r="N1904" s="17"/>
      <c r="O1904" s="17"/>
      <c r="P1904" s="17"/>
      <c r="Q1904" s="17"/>
      <c r="R1904" s="17"/>
      <c r="S1904" s="17"/>
      <c r="T1904" s="17"/>
      <c r="U1904" s="17"/>
      <c r="V1904" s="17"/>
      <c r="W1904" s="17"/>
      <c r="X1904" s="17"/>
      <c r="Y1904" s="17"/>
      <c r="Z1904" s="17"/>
      <c r="AA1904" s="17"/>
      <c r="AB1904" s="17"/>
      <c r="AC1904" s="17"/>
      <c r="AD1904" s="17"/>
      <c r="AE1904" s="17"/>
      <c r="AF1904" s="17"/>
      <c r="AG1904" s="17"/>
      <c r="AH1904" s="17"/>
      <c r="AI1904" s="17"/>
      <c r="AJ1904" s="17"/>
      <c r="AK1904" s="17"/>
      <c r="AL1904" s="17"/>
      <c r="AM1904" s="17"/>
      <c r="AN1904" s="17"/>
      <c r="AO1904" s="17"/>
      <c r="AP1904" s="17"/>
      <c r="AQ1904" s="17"/>
      <c r="AR1904" s="17"/>
      <c r="AS1904" s="17"/>
      <c r="AT1904" s="17"/>
      <c r="AU1904" s="17"/>
    </row>
    <row r="1905">
      <c r="A1905" s="17">
        <v>1903</v>
      </c>
      <c r="B1905" s="17" t="s">
        <v>52</v>
      </c>
      <c r="C1905" s="41" t="s">
        <v>5554</v>
      </c>
      <c r="D1905" s="35" t="s">
        <v>3886</v>
      </c>
      <c r="E1905" s="17"/>
      <c r="F1905" s="17"/>
      <c r="G1905" s="17"/>
      <c r="H1905" s="17"/>
      <c r="I1905" s="17"/>
      <c r="J1905" s="17"/>
      <c r="K1905" s="17"/>
      <c r="L1905" s="17"/>
      <c r="M1905" s="17"/>
      <c r="N1905" s="17"/>
      <c r="O1905" s="17"/>
      <c r="P1905" s="17"/>
      <c r="Q1905" s="17"/>
      <c r="R1905" s="17"/>
      <c r="S1905" s="17"/>
      <c r="T1905" s="17"/>
      <c r="U1905" s="17"/>
      <c r="V1905" s="17"/>
      <c r="W1905" s="17"/>
      <c r="X1905" s="17"/>
      <c r="Y1905" s="17"/>
      <c r="Z1905" s="17"/>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row>
    <row r="1906">
      <c r="A1906" s="17">
        <v>1904</v>
      </c>
      <c r="B1906" s="17" t="s">
        <v>52</v>
      </c>
      <c r="C1906" s="41" t="s">
        <v>5555</v>
      </c>
      <c r="D1906" s="35" t="s">
        <v>3886</v>
      </c>
      <c r="E1906" s="17"/>
      <c r="F1906" s="17"/>
      <c r="G1906" s="17"/>
      <c r="H1906" s="17"/>
      <c r="I1906" s="17"/>
      <c r="J1906" s="17"/>
      <c r="K1906" s="17"/>
      <c r="L1906" s="17"/>
      <c r="M1906" s="17"/>
      <c r="N1906" s="17"/>
      <c r="O1906" s="17"/>
      <c r="P1906" s="17"/>
      <c r="Q1906" s="17"/>
      <c r="R1906" s="17"/>
      <c r="S1906" s="17"/>
      <c r="T1906" s="17"/>
      <c r="U1906" s="17"/>
      <c r="V1906" s="17"/>
      <c r="W1906" s="17"/>
      <c r="X1906" s="17"/>
      <c r="Y1906" s="17"/>
      <c r="Z1906" s="17"/>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row>
    <row r="1907">
      <c r="A1907" s="17">
        <v>1905</v>
      </c>
      <c r="B1907" s="17" t="s">
        <v>52</v>
      </c>
      <c r="C1907" s="41" t="s">
        <v>5556</v>
      </c>
      <c r="D1907" s="35" t="s">
        <v>3886</v>
      </c>
      <c r="E1907" s="17"/>
      <c r="F1907" s="17"/>
      <c r="G1907" s="17"/>
      <c r="H1907" s="17"/>
      <c r="I1907" s="17"/>
      <c r="J1907" s="17"/>
      <c r="K1907" s="17"/>
      <c r="L1907" s="17"/>
      <c r="M1907" s="17"/>
      <c r="N1907" s="17"/>
      <c r="O1907" s="17"/>
      <c r="P1907" s="17"/>
      <c r="Q1907" s="17"/>
      <c r="R1907" s="17"/>
      <c r="S1907" s="17"/>
      <c r="T1907" s="17"/>
      <c r="U1907" s="17"/>
      <c r="V1907" s="17"/>
      <c r="W1907" s="17"/>
      <c r="X1907" s="17"/>
      <c r="Y1907" s="17"/>
      <c r="Z1907" s="17"/>
      <c r="AA1907" s="17"/>
      <c r="AB1907" s="17"/>
      <c r="AC1907" s="17"/>
      <c r="AD1907" s="17"/>
      <c r="AE1907" s="17"/>
      <c r="AF1907" s="17"/>
      <c r="AG1907" s="17"/>
      <c r="AH1907" s="17"/>
      <c r="AI1907" s="17"/>
      <c r="AJ1907" s="17"/>
      <c r="AK1907" s="17"/>
      <c r="AL1907" s="17"/>
      <c r="AM1907" s="17"/>
      <c r="AN1907" s="17"/>
      <c r="AO1907" s="17"/>
      <c r="AP1907" s="17"/>
      <c r="AQ1907" s="17"/>
      <c r="AR1907" s="17"/>
      <c r="AS1907" s="17"/>
      <c r="AT1907" s="17"/>
      <c r="AU1907" s="17"/>
    </row>
    <row r="1908">
      <c r="A1908" s="17">
        <v>1906</v>
      </c>
      <c r="B1908" s="17" t="s">
        <v>52</v>
      </c>
      <c r="C1908" s="41" t="s">
        <v>5557</v>
      </c>
      <c r="D1908" s="35" t="s">
        <v>3886</v>
      </c>
      <c r="E1908" s="17"/>
      <c r="F1908" s="17"/>
      <c r="G1908" s="17"/>
      <c r="H1908" s="17"/>
      <c r="I1908" s="17"/>
      <c r="J1908" s="17"/>
      <c r="K1908" s="17"/>
      <c r="L1908" s="17"/>
      <c r="M1908" s="17"/>
      <c r="N1908" s="17"/>
      <c r="O1908" s="17"/>
      <c r="P1908" s="17"/>
      <c r="Q1908" s="17"/>
      <c r="R1908" s="17"/>
      <c r="S1908" s="17"/>
      <c r="T1908" s="17"/>
      <c r="U1908" s="17"/>
      <c r="V1908" s="17"/>
      <c r="W1908" s="17"/>
      <c r="X1908" s="17"/>
      <c r="Y1908" s="17"/>
      <c r="Z1908" s="17"/>
      <c r="AA1908" s="17"/>
      <c r="AB1908" s="17"/>
      <c r="AC1908" s="17"/>
      <c r="AD1908" s="17"/>
      <c r="AE1908" s="17"/>
      <c r="AF1908" s="17"/>
      <c r="AG1908" s="17"/>
      <c r="AH1908" s="17"/>
      <c r="AI1908" s="17"/>
      <c r="AJ1908" s="17"/>
      <c r="AK1908" s="17"/>
      <c r="AL1908" s="17"/>
      <c r="AM1908" s="17"/>
      <c r="AN1908" s="17"/>
      <c r="AO1908" s="17"/>
      <c r="AP1908" s="17"/>
      <c r="AQ1908" s="17"/>
      <c r="AR1908" s="17"/>
      <c r="AS1908" s="17"/>
      <c r="AT1908" s="17"/>
      <c r="AU1908" s="17"/>
    </row>
    <row r="1909">
      <c r="A1909" s="17">
        <v>1907</v>
      </c>
      <c r="B1909" s="17" t="s">
        <v>52</v>
      </c>
      <c r="C1909" s="41" t="s">
        <v>5558</v>
      </c>
      <c r="D1909" s="35" t="s">
        <v>3886</v>
      </c>
      <c r="E1909" s="17"/>
      <c r="F1909" s="17"/>
      <c r="G1909" s="17"/>
      <c r="H1909" s="17"/>
      <c r="I1909" s="17"/>
      <c r="J1909" s="17"/>
      <c r="K1909" s="17"/>
      <c r="L1909" s="17"/>
      <c r="M1909" s="17"/>
      <c r="N1909" s="17"/>
      <c r="O1909" s="17"/>
      <c r="P1909" s="17"/>
      <c r="Q1909" s="17"/>
      <c r="R1909" s="17"/>
      <c r="S1909" s="17"/>
      <c r="T1909" s="17"/>
      <c r="U1909" s="17"/>
      <c r="V1909" s="17"/>
      <c r="W1909" s="17"/>
      <c r="X1909" s="17"/>
      <c r="Y1909" s="17"/>
      <c r="Z1909" s="17"/>
      <c r="AA1909" s="17"/>
      <c r="AB1909" s="17"/>
      <c r="AC1909" s="17"/>
      <c r="AD1909" s="17"/>
      <c r="AE1909" s="17"/>
      <c r="AF1909" s="17"/>
      <c r="AG1909" s="17"/>
      <c r="AH1909" s="17"/>
      <c r="AI1909" s="17"/>
      <c r="AJ1909" s="17"/>
      <c r="AK1909" s="17"/>
      <c r="AL1909" s="17"/>
      <c r="AM1909" s="17"/>
      <c r="AN1909" s="17"/>
      <c r="AO1909" s="17"/>
      <c r="AP1909" s="17"/>
      <c r="AQ1909" s="17"/>
      <c r="AR1909" s="17"/>
      <c r="AS1909" s="17"/>
      <c r="AT1909" s="17"/>
      <c r="AU1909" s="17"/>
    </row>
    <row r="1910">
      <c r="A1910" s="17">
        <v>1908</v>
      </c>
      <c r="B1910" s="17" t="s">
        <v>52</v>
      </c>
      <c r="C1910" s="41" t="s">
        <v>5559</v>
      </c>
      <c r="D1910" s="35" t="s">
        <v>3886</v>
      </c>
      <c r="E1910" s="17"/>
      <c r="F1910" s="17"/>
      <c r="G1910" s="17"/>
      <c r="H1910" s="17"/>
      <c r="I1910" s="17"/>
      <c r="J1910" s="17"/>
      <c r="K1910" s="17"/>
      <c r="L1910" s="17"/>
      <c r="M1910" s="17"/>
      <c r="N1910" s="17"/>
      <c r="O1910" s="17"/>
      <c r="P1910" s="17"/>
      <c r="Q1910" s="17"/>
      <c r="R1910" s="17"/>
      <c r="S1910" s="17"/>
      <c r="T1910" s="17"/>
      <c r="U1910" s="17"/>
      <c r="V1910" s="17"/>
      <c r="W1910" s="17"/>
      <c r="X1910" s="17"/>
      <c r="Y1910" s="17"/>
      <c r="Z1910" s="17"/>
      <c r="AA1910" s="17"/>
      <c r="AB1910" s="17"/>
      <c r="AC1910" s="17"/>
      <c r="AD1910" s="17"/>
      <c r="AE1910" s="17"/>
      <c r="AF1910" s="17"/>
      <c r="AG1910" s="17"/>
      <c r="AH1910" s="17"/>
      <c r="AI1910" s="17"/>
      <c r="AJ1910" s="17"/>
      <c r="AK1910" s="17"/>
      <c r="AL1910" s="17"/>
      <c r="AM1910" s="17"/>
      <c r="AN1910" s="17"/>
      <c r="AO1910" s="17"/>
      <c r="AP1910" s="17"/>
      <c r="AQ1910" s="17"/>
      <c r="AR1910" s="17"/>
      <c r="AS1910" s="17"/>
      <c r="AT1910" s="17"/>
      <c r="AU1910" s="17"/>
    </row>
    <row r="1911">
      <c r="A1911" s="17">
        <v>1909</v>
      </c>
      <c r="B1911" s="17" t="s">
        <v>52</v>
      </c>
      <c r="C1911" s="41" t="s">
        <v>5560</v>
      </c>
      <c r="D1911" s="35" t="s">
        <v>3886</v>
      </c>
      <c r="E1911" s="17"/>
      <c r="F1911" s="17"/>
      <c r="G1911" s="17"/>
      <c r="H1911" s="17"/>
      <c r="I1911" s="17"/>
      <c r="J1911" s="17"/>
      <c r="K1911" s="17"/>
      <c r="L1911" s="17"/>
      <c r="M1911" s="17"/>
      <c r="N1911" s="17"/>
      <c r="O1911" s="17"/>
      <c r="P1911" s="17"/>
      <c r="Q1911" s="17"/>
      <c r="R1911" s="17"/>
      <c r="S1911" s="17"/>
      <c r="T1911" s="17"/>
      <c r="U1911" s="17"/>
      <c r="V1911" s="17"/>
      <c r="W1911" s="17"/>
      <c r="X1911" s="17"/>
      <c r="Y1911" s="17"/>
      <c r="Z1911" s="17"/>
      <c r="AA1911" s="17"/>
      <c r="AB1911" s="17"/>
      <c r="AC1911" s="17"/>
      <c r="AD1911" s="17"/>
      <c r="AE1911" s="17"/>
      <c r="AF1911" s="17"/>
      <c r="AG1911" s="17"/>
      <c r="AH1911" s="17"/>
      <c r="AI1911" s="17"/>
      <c r="AJ1911" s="17"/>
      <c r="AK1911" s="17"/>
      <c r="AL1911" s="17"/>
      <c r="AM1911" s="17"/>
      <c r="AN1911" s="17"/>
      <c r="AO1911" s="17"/>
      <c r="AP1911" s="17"/>
      <c r="AQ1911" s="17"/>
      <c r="AR1911" s="17"/>
      <c r="AS1911" s="17"/>
      <c r="AT1911" s="17"/>
      <c r="AU1911" s="17"/>
    </row>
    <row r="1912">
      <c r="A1912" s="17">
        <v>1910</v>
      </c>
      <c r="B1912" s="17" t="s">
        <v>52</v>
      </c>
      <c r="C1912" s="41" t="s">
        <v>5561</v>
      </c>
      <c r="D1912" s="35" t="s">
        <v>3886</v>
      </c>
      <c r="E1912" s="17"/>
      <c r="F1912" s="17"/>
      <c r="G1912" s="17"/>
      <c r="H1912" s="17"/>
      <c r="I1912" s="17"/>
      <c r="J1912" s="17"/>
      <c r="K1912" s="17"/>
      <c r="L1912" s="17"/>
      <c r="M1912" s="17"/>
      <c r="N1912" s="17"/>
      <c r="O1912" s="17"/>
      <c r="P1912" s="17"/>
      <c r="Q1912" s="17"/>
      <c r="R1912" s="17"/>
      <c r="S1912" s="17"/>
      <c r="T1912" s="17"/>
      <c r="U1912" s="17"/>
      <c r="V1912" s="17"/>
      <c r="W1912" s="17"/>
      <c r="X1912" s="17"/>
      <c r="Y1912" s="17"/>
      <c r="Z1912" s="17"/>
      <c r="AA1912" s="17"/>
      <c r="AB1912" s="17"/>
      <c r="AC1912" s="17"/>
      <c r="AD1912" s="17"/>
      <c r="AE1912" s="17"/>
      <c r="AF1912" s="17"/>
      <c r="AG1912" s="17"/>
      <c r="AH1912" s="17"/>
      <c r="AI1912" s="17"/>
      <c r="AJ1912" s="17"/>
      <c r="AK1912" s="17"/>
      <c r="AL1912" s="17"/>
      <c r="AM1912" s="17"/>
      <c r="AN1912" s="17"/>
      <c r="AO1912" s="17"/>
      <c r="AP1912" s="17"/>
      <c r="AQ1912" s="17"/>
      <c r="AR1912" s="17"/>
      <c r="AS1912" s="17"/>
      <c r="AT1912" s="17"/>
      <c r="AU1912" s="17"/>
    </row>
    <row r="1913">
      <c r="A1913" s="17">
        <v>1911</v>
      </c>
      <c r="B1913" s="17" t="s">
        <v>52</v>
      </c>
      <c r="C1913" s="41" t="s">
        <v>5562</v>
      </c>
      <c r="D1913" s="35" t="s">
        <v>3886</v>
      </c>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7"/>
      <c r="AA1913" s="17"/>
      <c r="AB1913" s="17"/>
      <c r="AC1913" s="17"/>
      <c r="AD1913" s="17"/>
      <c r="AE1913" s="17"/>
      <c r="AF1913" s="17"/>
      <c r="AG1913" s="17"/>
      <c r="AH1913" s="17"/>
      <c r="AI1913" s="17"/>
      <c r="AJ1913" s="17"/>
      <c r="AK1913" s="17"/>
      <c r="AL1913" s="17"/>
      <c r="AM1913" s="17"/>
      <c r="AN1913" s="17"/>
      <c r="AO1913" s="17"/>
      <c r="AP1913" s="17"/>
      <c r="AQ1913" s="17"/>
      <c r="AR1913" s="17"/>
      <c r="AS1913" s="17"/>
      <c r="AT1913" s="17"/>
      <c r="AU1913" s="17"/>
    </row>
    <row r="1914">
      <c r="A1914" s="17">
        <v>1912</v>
      </c>
      <c r="B1914" s="17" t="s">
        <v>52</v>
      </c>
      <c r="C1914" s="41" t="s">
        <v>5563</v>
      </c>
      <c r="D1914" s="35" t="s">
        <v>3886</v>
      </c>
      <c r="E1914" s="17"/>
      <c r="F1914" s="17"/>
      <c r="G1914" s="17"/>
      <c r="H1914" s="17"/>
      <c r="I1914" s="17"/>
      <c r="J1914" s="17"/>
      <c r="K1914" s="17"/>
      <c r="L1914" s="17"/>
      <c r="M1914" s="17"/>
      <c r="N1914" s="17"/>
      <c r="O1914" s="17"/>
      <c r="P1914" s="17"/>
      <c r="Q1914" s="17"/>
      <c r="R1914" s="17"/>
      <c r="S1914" s="17"/>
      <c r="T1914" s="17"/>
      <c r="U1914" s="17"/>
      <c r="V1914" s="17"/>
      <c r="W1914" s="17"/>
      <c r="X1914" s="17"/>
      <c r="Y1914" s="17"/>
      <c r="Z1914" s="17"/>
      <c r="AA1914" s="17"/>
      <c r="AB1914" s="17"/>
      <c r="AC1914" s="17"/>
      <c r="AD1914" s="17"/>
      <c r="AE1914" s="17"/>
      <c r="AF1914" s="17"/>
      <c r="AG1914" s="17"/>
      <c r="AH1914" s="17"/>
      <c r="AI1914" s="17"/>
      <c r="AJ1914" s="17"/>
      <c r="AK1914" s="17"/>
      <c r="AL1914" s="17"/>
      <c r="AM1914" s="17"/>
      <c r="AN1914" s="17"/>
      <c r="AO1914" s="17"/>
      <c r="AP1914" s="17"/>
      <c r="AQ1914" s="17"/>
      <c r="AR1914" s="17"/>
      <c r="AS1914" s="17"/>
      <c r="AT1914" s="17"/>
      <c r="AU1914" s="17"/>
    </row>
    <row r="1915">
      <c r="A1915" s="17">
        <v>1913</v>
      </c>
      <c r="B1915" s="17" t="s">
        <v>52</v>
      </c>
      <c r="C1915" s="41" t="s">
        <v>5564</v>
      </c>
      <c r="D1915" s="35" t="s">
        <v>3886</v>
      </c>
      <c r="E1915" s="17"/>
      <c r="F1915" s="17"/>
      <c r="G1915" s="17"/>
      <c r="H1915" s="17"/>
      <c r="I1915" s="17"/>
      <c r="J1915" s="17"/>
      <c r="K1915" s="17"/>
      <c r="L1915" s="17"/>
      <c r="M1915" s="17"/>
      <c r="N1915" s="17"/>
      <c r="O1915" s="17"/>
      <c r="P1915" s="17"/>
      <c r="Q1915" s="17"/>
      <c r="R1915" s="17"/>
      <c r="S1915" s="17"/>
      <c r="T1915" s="17"/>
      <c r="U1915" s="17"/>
      <c r="V1915" s="17"/>
      <c r="W1915" s="17"/>
      <c r="X1915" s="17"/>
      <c r="Y1915" s="17"/>
      <c r="Z1915" s="17"/>
      <c r="AA1915" s="17"/>
      <c r="AB1915" s="17"/>
      <c r="AC1915" s="17"/>
      <c r="AD1915" s="17"/>
      <c r="AE1915" s="17"/>
      <c r="AF1915" s="17"/>
      <c r="AG1915" s="17"/>
      <c r="AH1915" s="17"/>
      <c r="AI1915" s="17"/>
      <c r="AJ1915" s="17"/>
      <c r="AK1915" s="17"/>
      <c r="AL1915" s="17"/>
      <c r="AM1915" s="17"/>
      <c r="AN1915" s="17"/>
      <c r="AO1915" s="17"/>
      <c r="AP1915" s="17"/>
      <c r="AQ1915" s="17"/>
      <c r="AR1915" s="17"/>
      <c r="AS1915" s="17"/>
      <c r="AT1915" s="17"/>
      <c r="AU1915" s="17"/>
    </row>
    <row r="1916">
      <c r="A1916" s="17">
        <v>1914</v>
      </c>
      <c r="B1916" s="17" t="s">
        <v>52</v>
      </c>
      <c r="C1916" s="41" t="s">
        <v>5565</v>
      </c>
      <c r="D1916" s="35" t="s">
        <v>3886</v>
      </c>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7"/>
      <c r="AA1916" s="17"/>
      <c r="AB1916" s="17"/>
      <c r="AC1916" s="17"/>
      <c r="AD1916" s="17"/>
      <c r="AE1916" s="17"/>
      <c r="AF1916" s="17"/>
      <c r="AG1916" s="17"/>
      <c r="AH1916" s="17"/>
      <c r="AI1916" s="17"/>
      <c r="AJ1916" s="17"/>
      <c r="AK1916" s="17"/>
      <c r="AL1916" s="17"/>
      <c r="AM1916" s="17"/>
      <c r="AN1916" s="17"/>
      <c r="AO1916" s="17"/>
      <c r="AP1916" s="17"/>
      <c r="AQ1916" s="17"/>
      <c r="AR1916" s="17"/>
      <c r="AS1916" s="17"/>
      <c r="AT1916" s="17"/>
      <c r="AU1916" s="17"/>
    </row>
    <row r="1917">
      <c r="A1917" s="17">
        <v>1915</v>
      </c>
      <c r="B1917" s="17" t="s">
        <v>52</v>
      </c>
      <c r="C1917" s="42" t="s">
        <v>5566</v>
      </c>
      <c r="D1917" s="35" t="s">
        <v>3886</v>
      </c>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7"/>
      <c r="AA1917" s="17"/>
      <c r="AB1917" s="17"/>
      <c r="AC1917" s="17"/>
      <c r="AD1917" s="17"/>
      <c r="AE1917" s="17"/>
      <c r="AF1917" s="17"/>
      <c r="AG1917" s="17"/>
      <c r="AH1917" s="17"/>
      <c r="AI1917" s="17"/>
      <c r="AJ1917" s="17"/>
      <c r="AK1917" s="17"/>
      <c r="AL1917" s="17"/>
      <c r="AM1917" s="17"/>
      <c r="AN1917" s="17"/>
      <c r="AO1917" s="17"/>
      <c r="AP1917" s="17"/>
      <c r="AQ1917" s="17"/>
      <c r="AR1917" s="17"/>
      <c r="AS1917" s="17"/>
      <c r="AT1917" s="17"/>
      <c r="AU1917" s="17"/>
    </row>
    <row r="1918">
      <c r="A1918" s="17">
        <v>1916</v>
      </c>
      <c r="B1918" s="17" t="s">
        <v>52</v>
      </c>
      <c r="C1918" s="42" t="s">
        <v>5567</v>
      </c>
      <c r="D1918" s="35" t="s">
        <v>3886</v>
      </c>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7"/>
      <c r="AA1918" s="17"/>
      <c r="AB1918" s="17"/>
      <c r="AC1918" s="17"/>
      <c r="AD1918" s="17"/>
      <c r="AE1918" s="17"/>
      <c r="AF1918" s="17"/>
      <c r="AG1918" s="17"/>
      <c r="AH1918" s="17"/>
      <c r="AI1918" s="17"/>
      <c r="AJ1918" s="17"/>
      <c r="AK1918" s="17"/>
      <c r="AL1918" s="17"/>
      <c r="AM1918" s="17"/>
      <c r="AN1918" s="17"/>
      <c r="AO1918" s="17"/>
      <c r="AP1918" s="17"/>
      <c r="AQ1918" s="17"/>
      <c r="AR1918" s="17"/>
      <c r="AS1918" s="17"/>
      <c r="AT1918" s="17"/>
      <c r="AU1918" s="17"/>
    </row>
    <row r="1919">
      <c r="A1919" s="17">
        <v>1917</v>
      </c>
      <c r="B1919" s="17" t="s">
        <v>52</v>
      </c>
      <c r="C1919" s="42" t="s">
        <v>5568</v>
      </c>
      <c r="D1919" s="35" t="s">
        <v>3886</v>
      </c>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7"/>
      <c r="AA1919" s="17"/>
      <c r="AB1919" s="17"/>
      <c r="AC1919" s="17"/>
      <c r="AD1919" s="17"/>
      <c r="AE1919" s="17"/>
      <c r="AF1919" s="17"/>
      <c r="AG1919" s="17"/>
      <c r="AH1919" s="17"/>
      <c r="AI1919" s="17"/>
      <c r="AJ1919" s="17"/>
      <c r="AK1919" s="17"/>
      <c r="AL1919" s="17"/>
      <c r="AM1919" s="17"/>
      <c r="AN1919" s="17"/>
      <c r="AO1919" s="17"/>
      <c r="AP1919" s="17"/>
      <c r="AQ1919" s="17"/>
      <c r="AR1919" s="17"/>
      <c r="AS1919" s="17"/>
      <c r="AT1919" s="17"/>
      <c r="AU1919" s="17"/>
    </row>
    <row r="1920">
      <c r="A1920" s="17">
        <v>1918</v>
      </c>
      <c r="B1920" s="17" t="s">
        <v>52</v>
      </c>
      <c r="C1920" s="42" t="s">
        <v>5569</v>
      </c>
      <c r="D1920" s="35" t="s">
        <v>3886</v>
      </c>
      <c r="E1920" s="17"/>
      <c r="F1920" s="17"/>
      <c r="G1920" s="17"/>
      <c r="H1920" s="17"/>
      <c r="I1920" s="17"/>
      <c r="J1920" s="17"/>
      <c r="K1920" s="17"/>
      <c r="L1920" s="17"/>
      <c r="M1920" s="17"/>
      <c r="N1920" s="17"/>
      <c r="O1920" s="17"/>
      <c r="P1920" s="17"/>
      <c r="Q1920" s="17"/>
      <c r="R1920" s="17"/>
      <c r="S1920" s="17"/>
      <c r="T1920" s="17"/>
      <c r="U1920" s="17"/>
      <c r="V1920" s="17"/>
      <c r="W1920" s="17"/>
      <c r="X1920" s="17"/>
      <c r="Y1920" s="17"/>
      <c r="Z1920" s="17"/>
      <c r="AA1920" s="17"/>
      <c r="AB1920" s="17"/>
      <c r="AC1920" s="17"/>
      <c r="AD1920" s="17"/>
      <c r="AE1920" s="17"/>
      <c r="AF1920" s="17"/>
      <c r="AG1920" s="17"/>
      <c r="AH1920" s="17"/>
      <c r="AI1920" s="17"/>
      <c r="AJ1920" s="17"/>
      <c r="AK1920" s="17"/>
      <c r="AL1920" s="17"/>
      <c r="AM1920" s="17"/>
      <c r="AN1920" s="17"/>
      <c r="AO1920" s="17"/>
      <c r="AP1920" s="17"/>
      <c r="AQ1920" s="17"/>
      <c r="AR1920" s="17"/>
      <c r="AS1920" s="17"/>
      <c r="AT1920" s="17"/>
      <c r="AU1920" s="17"/>
    </row>
    <row r="1921" hidden="1">
      <c r="A1921" s="17">
        <v>1919</v>
      </c>
      <c r="B1921" s="17" t="s">
        <v>52</v>
      </c>
      <c r="C1921" s="25" t="s">
        <v>5570</v>
      </c>
      <c r="D1921" s="35" t="s">
        <v>5571</v>
      </c>
      <c r="E1921" s="17" t="s">
        <v>5572</v>
      </c>
      <c r="F1921" s="17" t="s">
        <v>5573</v>
      </c>
      <c r="G1921" s="17">
        <v>22.254394000000001</v>
      </c>
      <c r="H1921" s="17">
        <v>86.884145000000004</v>
      </c>
      <c r="I1921" s="17"/>
      <c r="J1921" s="17"/>
      <c r="K1921" s="17"/>
      <c r="L1921" s="17"/>
      <c r="M1921" s="43" t="s">
        <v>5574</v>
      </c>
      <c r="N1921" s="17">
        <v>9064976097</v>
      </c>
      <c r="O1921" s="17"/>
      <c r="P1921" s="17"/>
      <c r="Q1921" s="17"/>
      <c r="R1921" s="17"/>
      <c r="S1921" s="17"/>
      <c r="T1921" s="17"/>
      <c r="U1921" s="17"/>
      <c r="V1921" s="17"/>
      <c r="W1921" s="17"/>
      <c r="X1921" s="17"/>
      <c r="Y1921" s="17"/>
      <c r="Z1921" s="17"/>
      <c r="AA1921" s="17"/>
      <c r="AB1921" s="17"/>
      <c r="AC1921" s="17"/>
      <c r="AD1921" s="17"/>
      <c r="AE1921" s="17"/>
      <c r="AF1921" s="17"/>
      <c r="AG1921" s="17"/>
      <c r="AH1921" s="17"/>
      <c r="AI1921" s="17"/>
      <c r="AJ1921" s="17"/>
      <c r="AK1921" s="17"/>
      <c r="AL1921" s="17"/>
      <c r="AM1921" s="17"/>
      <c r="AN1921" s="17"/>
      <c r="AO1921" s="17"/>
      <c r="AP1921" s="17"/>
      <c r="AQ1921" s="17"/>
      <c r="AR1921" s="17"/>
      <c r="AS1921" s="17"/>
      <c r="AT1921" s="17"/>
      <c r="AU1921" s="17"/>
    </row>
    <row r="1922" hidden="1">
      <c r="A1922" s="17">
        <v>1920</v>
      </c>
      <c r="B1922" s="17" t="s">
        <v>52</v>
      </c>
      <c r="C1922" s="25" t="s">
        <v>5575</v>
      </c>
      <c r="D1922" s="35" t="s">
        <v>5571</v>
      </c>
      <c r="E1922" s="17" t="s">
        <v>5576</v>
      </c>
      <c r="F1922" s="17" t="s">
        <v>5577</v>
      </c>
      <c r="G1922" s="17">
        <v>22.327069999999999</v>
      </c>
      <c r="H1922" s="17">
        <v>86.882598999999999</v>
      </c>
      <c r="I1922" s="17"/>
      <c r="J1922" s="17"/>
      <c r="K1922" s="17"/>
      <c r="L1922" s="17"/>
      <c r="M1922" s="43" t="s">
        <v>5574</v>
      </c>
      <c r="N1922" s="17">
        <v>9064976097</v>
      </c>
      <c r="O1922" s="17"/>
      <c r="P1922" s="17"/>
      <c r="Q1922" s="17"/>
      <c r="R1922" s="17"/>
      <c r="S1922" s="17"/>
      <c r="T1922" s="17"/>
      <c r="U1922" s="17"/>
      <c r="V1922" s="17"/>
      <c r="W1922" s="17"/>
      <c r="X1922" s="17"/>
      <c r="Y1922" s="17"/>
      <c r="Z1922" s="17"/>
      <c r="AA1922" s="17"/>
      <c r="AB1922" s="17"/>
      <c r="AC1922" s="17"/>
      <c r="AD1922" s="17"/>
      <c r="AE1922" s="17"/>
      <c r="AF1922" s="17"/>
      <c r="AG1922" s="17"/>
      <c r="AH1922" s="17"/>
      <c r="AI1922" s="17"/>
      <c r="AJ1922" s="17"/>
      <c r="AK1922" s="17"/>
      <c r="AL1922" s="17"/>
      <c r="AM1922" s="17"/>
      <c r="AN1922" s="17"/>
      <c r="AO1922" s="17"/>
      <c r="AP1922" s="17"/>
      <c r="AQ1922" s="17"/>
      <c r="AR1922" s="17"/>
      <c r="AS1922" s="17"/>
      <c r="AT1922" s="17"/>
      <c r="AU1922" s="17"/>
    </row>
    <row r="1923" hidden="1">
      <c r="A1923" s="17">
        <v>1921</v>
      </c>
      <c r="B1923" s="17" t="s">
        <v>52</v>
      </c>
      <c r="C1923" s="25" t="s">
        <v>5578</v>
      </c>
      <c r="D1923" s="35" t="s">
        <v>5571</v>
      </c>
      <c r="E1923" s="17" t="s">
        <v>5579</v>
      </c>
      <c r="F1923" s="17" t="s">
        <v>5580</v>
      </c>
      <c r="G1923" s="17">
        <v>22.334133999999999</v>
      </c>
      <c r="H1923" s="17">
        <v>86.925712000000004</v>
      </c>
      <c r="I1923" s="17"/>
      <c r="J1923" s="17"/>
      <c r="K1923" s="17"/>
      <c r="L1923" s="17"/>
      <c r="M1923" s="43" t="s">
        <v>5574</v>
      </c>
      <c r="N1923" s="17">
        <v>9064976097</v>
      </c>
      <c r="O1923" s="17"/>
      <c r="P1923" s="17"/>
      <c r="Q1923" s="17"/>
      <c r="R1923" s="17"/>
      <c r="S1923" s="17"/>
      <c r="T1923" s="17"/>
      <c r="U1923" s="17"/>
      <c r="V1923" s="17"/>
      <c r="W1923" s="17"/>
      <c r="X1923" s="17"/>
      <c r="Y1923" s="17"/>
      <c r="Z1923" s="17"/>
      <c r="AA1923" s="17"/>
      <c r="AB1923" s="17"/>
      <c r="AC1923" s="17"/>
      <c r="AD1923" s="17"/>
      <c r="AE1923" s="17"/>
      <c r="AF1923" s="17"/>
      <c r="AG1923" s="17"/>
      <c r="AH1923" s="17"/>
      <c r="AI1923" s="17"/>
      <c r="AJ1923" s="17"/>
      <c r="AK1923" s="17"/>
      <c r="AL1923" s="17"/>
      <c r="AM1923" s="17"/>
      <c r="AN1923" s="17"/>
      <c r="AO1923" s="17"/>
      <c r="AP1923" s="17"/>
      <c r="AQ1923" s="17"/>
      <c r="AR1923" s="17"/>
      <c r="AS1923" s="17"/>
      <c r="AT1923" s="17"/>
      <c r="AU1923" s="17"/>
    </row>
    <row r="1924" hidden="1">
      <c r="A1924" s="17">
        <v>1922</v>
      </c>
      <c r="B1924" s="17" t="s">
        <v>52</v>
      </c>
      <c r="C1924" s="25" t="s">
        <v>5581</v>
      </c>
      <c r="D1924" s="35" t="s">
        <v>5571</v>
      </c>
      <c r="E1924" s="17" t="s">
        <v>5582</v>
      </c>
      <c r="F1924" s="17" t="s">
        <v>5583</v>
      </c>
      <c r="G1924" s="17">
        <v>22.384912</v>
      </c>
      <c r="H1924" s="17">
        <v>86.873636000000005</v>
      </c>
      <c r="I1924" s="17"/>
      <c r="J1924" s="17"/>
      <c r="K1924" s="17"/>
      <c r="L1924" s="17"/>
      <c r="M1924" s="43" t="s">
        <v>5574</v>
      </c>
      <c r="N1924" s="17">
        <v>9064976097</v>
      </c>
      <c r="O1924" s="17"/>
      <c r="P1924" s="17"/>
      <c r="Q1924" s="17"/>
      <c r="R1924" s="17"/>
      <c r="S1924" s="17"/>
      <c r="T1924" s="17"/>
      <c r="U1924" s="17"/>
      <c r="V1924" s="17"/>
      <c r="W1924" s="17"/>
      <c r="X1924" s="17"/>
      <c r="Y1924" s="17"/>
      <c r="Z1924" s="17"/>
      <c r="AA1924" s="17"/>
      <c r="AB1924" s="17"/>
      <c r="AC1924" s="17"/>
      <c r="AD1924" s="17"/>
      <c r="AE1924" s="17"/>
      <c r="AF1924" s="17"/>
      <c r="AG1924" s="17"/>
      <c r="AH1924" s="17"/>
      <c r="AI1924" s="17"/>
      <c r="AJ1924" s="17"/>
      <c r="AK1924" s="17"/>
      <c r="AL1924" s="17"/>
      <c r="AM1924" s="17"/>
      <c r="AN1924" s="17"/>
      <c r="AO1924" s="17"/>
      <c r="AP1924" s="17"/>
      <c r="AQ1924" s="17"/>
      <c r="AR1924" s="17"/>
      <c r="AS1924" s="17"/>
      <c r="AT1924" s="17"/>
      <c r="AU1924" s="17"/>
    </row>
    <row r="1925" hidden="1">
      <c r="A1925" s="17">
        <v>1923</v>
      </c>
      <c r="B1925" s="17" t="s">
        <v>52</v>
      </c>
      <c r="C1925" s="25" t="s">
        <v>5584</v>
      </c>
      <c r="D1925" s="35" t="s">
        <v>5571</v>
      </c>
      <c r="E1925" s="17" t="s">
        <v>5585</v>
      </c>
      <c r="F1925" s="17" t="s">
        <v>5586</v>
      </c>
      <c r="G1925" s="17">
        <v>22.243876</v>
      </c>
      <c r="H1925" s="17">
        <v>86.824870000000004</v>
      </c>
      <c r="I1925" s="17"/>
      <c r="J1925" s="17"/>
      <c r="K1925" s="17"/>
      <c r="L1925" s="17"/>
      <c r="M1925" s="43" t="s">
        <v>5574</v>
      </c>
      <c r="N1925" s="17">
        <v>9064976097</v>
      </c>
      <c r="O1925" s="17"/>
      <c r="P1925" s="17"/>
      <c r="Q1925" s="17"/>
      <c r="R1925" s="17"/>
      <c r="S1925" s="17"/>
      <c r="T1925" s="17"/>
      <c r="U1925" s="17"/>
      <c r="V1925" s="17"/>
      <c r="W1925" s="17"/>
      <c r="X1925" s="17"/>
      <c r="Y1925" s="17"/>
      <c r="Z1925" s="17"/>
      <c r="AA1925" s="17"/>
      <c r="AB1925" s="17"/>
      <c r="AC1925" s="17"/>
      <c r="AD1925" s="17"/>
      <c r="AE1925" s="17"/>
      <c r="AF1925" s="17"/>
      <c r="AG1925" s="17"/>
      <c r="AH1925" s="17"/>
      <c r="AI1925" s="17"/>
      <c r="AJ1925" s="17"/>
      <c r="AK1925" s="17"/>
      <c r="AL1925" s="17"/>
      <c r="AM1925" s="17"/>
      <c r="AN1925" s="17"/>
      <c r="AO1925" s="17"/>
      <c r="AP1925" s="17"/>
      <c r="AQ1925" s="17"/>
      <c r="AR1925" s="17"/>
      <c r="AS1925" s="17"/>
      <c r="AT1925" s="17"/>
      <c r="AU1925" s="17"/>
    </row>
    <row r="1926" hidden="1">
      <c r="A1926" s="17">
        <v>1924</v>
      </c>
      <c r="B1926" s="17" t="s">
        <v>52</v>
      </c>
      <c r="C1926" s="25" t="s">
        <v>5587</v>
      </c>
      <c r="D1926" s="35" t="s">
        <v>5571</v>
      </c>
      <c r="E1926" s="17" t="s">
        <v>5588</v>
      </c>
      <c r="F1926" s="17" t="s">
        <v>5589</v>
      </c>
      <c r="G1926" s="17">
        <v>22.305790999999999</v>
      </c>
      <c r="H1926" s="17">
        <v>86.948087999999998</v>
      </c>
      <c r="I1926" s="17"/>
      <c r="J1926" s="17"/>
      <c r="K1926" s="17"/>
      <c r="L1926" s="17"/>
      <c r="M1926" s="43" t="s">
        <v>5574</v>
      </c>
      <c r="N1926" s="17">
        <v>9064976097</v>
      </c>
      <c r="O1926" s="17"/>
      <c r="P1926" s="17"/>
      <c r="Q1926" s="17"/>
      <c r="R1926" s="17"/>
      <c r="S1926" s="17"/>
      <c r="T1926" s="17"/>
      <c r="U1926" s="17"/>
      <c r="V1926" s="17"/>
      <c r="W1926" s="17"/>
      <c r="X1926" s="17"/>
      <c r="Y1926" s="17"/>
      <c r="Z1926" s="17"/>
      <c r="AA1926" s="17"/>
      <c r="AB1926" s="17"/>
      <c r="AC1926" s="17"/>
      <c r="AD1926" s="17"/>
      <c r="AE1926" s="17"/>
      <c r="AF1926" s="17"/>
      <c r="AG1926" s="17"/>
      <c r="AH1926" s="17"/>
      <c r="AI1926" s="17"/>
      <c r="AJ1926" s="17"/>
      <c r="AK1926" s="17"/>
      <c r="AL1926" s="17"/>
      <c r="AM1926" s="17"/>
      <c r="AN1926" s="17"/>
      <c r="AO1926" s="17"/>
      <c r="AP1926" s="17"/>
      <c r="AQ1926" s="17"/>
      <c r="AR1926" s="17"/>
      <c r="AS1926" s="17"/>
      <c r="AT1926" s="17"/>
      <c r="AU1926" s="17"/>
    </row>
    <row r="1927" hidden="1">
      <c r="A1927" s="17">
        <v>1925</v>
      </c>
      <c r="B1927" s="17" t="s">
        <v>52</v>
      </c>
      <c r="C1927" s="25" t="s">
        <v>5590</v>
      </c>
      <c r="D1927" s="35" t="s">
        <v>5571</v>
      </c>
      <c r="E1927" s="17" t="s">
        <v>5591</v>
      </c>
      <c r="F1927" s="17" t="s">
        <v>5592</v>
      </c>
      <c r="G1927" s="17">
        <v>22.359597000000001</v>
      </c>
      <c r="H1927" s="17">
        <v>86.896360000000001</v>
      </c>
      <c r="I1927" s="17"/>
      <c r="J1927" s="17"/>
      <c r="K1927" s="17"/>
      <c r="L1927" s="17"/>
      <c r="M1927" s="43" t="s">
        <v>5574</v>
      </c>
      <c r="N1927" s="17">
        <v>9064976097</v>
      </c>
      <c r="O1927" s="17"/>
      <c r="P1927" s="17"/>
      <c r="Q1927" s="17"/>
      <c r="R1927" s="17"/>
      <c r="S1927" s="17"/>
      <c r="T1927" s="17"/>
      <c r="U1927" s="17"/>
      <c r="V1927" s="17"/>
      <c r="W1927" s="17"/>
      <c r="X1927" s="17"/>
      <c r="Y1927" s="17"/>
      <c r="Z1927" s="17"/>
      <c r="AA1927" s="17"/>
      <c r="AB1927" s="17"/>
      <c r="AC1927" s="17"/>
      <c r="AD1927" s="17"/>
      <c r="AE1927" s="17"/>
      <c r="AF1927" s="17"/>
      <c r="AG1927" s="17"/>
      <c r="AH1927" s="17"/>
      <c r="AI1927" s="17"/>
      <c r="AJ1927" s="17"/>
      <c r="AK1927" s="17"/>
      <c r="AL1927" s="17"/>
      <c r="AM1927" s="17"/>
      <c r="AN1927" s="17"/>
      <c r="AO1927" s="17"/>
      <c r="AP1927" s="17"/>
      <c r="AQ1927" s="17"/>
      <c r="AR1927" s="17"/>
      <c r="AS1927" s="17"/>
      <c r="AT1927" s="17"/>
      <c r="AU1927" s="17"/>
    </row>
    <row r="1928" hidden="1">
      <c r="A1928" s="17">
        <v>1926</v>
      </c>
      <c r="B1928" s="17" t="s">
        <v>52</v>
      </c>
      <c r="C1928" s="25" t="s">
        <v>5593</v>
      </c>
      <c r="D1928" s="35" t="s">
        <v>5571</v>
      </c>
      <c r="E1928" s="17" t="s">
        <v>5594</v>
      </c>
      <c r="F1928" s="17" t="s">
        <v>5595</v>
      </c>
      <c r="G1928" s="17">
        <v>22.236833000000001</v>
      </c>
      <c r="H1928" s="17">
        <v>86.861016000000006</v>
      </c>
      <c r="I1928" s="17"/>
      <c r="J1928" s="17"/>
      <c r="K1928" s="17"/>
      <c r="L1928" s="17"/>
      <c r="M1928" s="43" t="s">
        <v>5574</v>
      </c>
      <c r="N1928" s="17">
        <v>9064976097</v>
      </c>
      <c r="O1928" s="17"/>
      <c r="P1928" s="17"/>
      <c r="Q1928" s="17"/>
      <c r="R1928" s="17"/>
      <c r="S1928" s="17"/>
      <c r="T1928" s="17"/>
      <c r="U1928" s="17"/>
      <c r="V1928" s="17"/>
      <c r="W1928" s="17"/>
      <c r="X1928" s="17"/>
      <c r="Y1928" s="17"/>
      <c r="Z1928" s="17"/>
      <c r="AA1928" s="17"/>
      <c r="AB1928" s="17"/>
      <c r="AC1928" s="17"/>
      <c r="AD1928" s="17"/>
      <c r="AE1928" s="17"/>
      <c r="AF1928" s="17"/>
      <c r="AG1928" s="17"/>
      <c r="AH1928" s="17"/>
      <c r="AI1928" s="17"/>
      <c r="AJ1928" s="17"/>
      <c r="AK1928" s="17"/>
      <c r="AL1928" s="17"/>
      <c r="AM1928" s="17"/>
      <c r="AN1928" s="17"/>
      <c r="AO1928" s="17"/>
      <c r="AP1928" s="17"/>
      <c r="AQ1928" s="17"/>
      <c r="AR1928" s="17"/>
      <c r="AS1928" s="17"/>
      <c r="AT1928" s="17"/>
      <c r="AU1928" s="17"/>
    </row>
    <row r="1929" hidden="1">
      <c r="A1929" s="17">
        <v>1927</v>
      </c>
      <c r="B1929" s="17" t="s">
        <v>52</v>
      </c>
      <c r="C1929" s="25" t="s">
        <v>5596</v>
      </c>
      <c r="D1929" s="35" t="s">
        <v>5571</v>
      </c>
      <c r="E1929" s="17" t="s">
        <v>5597</v>
      </c>
      <c r="F1929" s="17" t="s">
        <v>5598</v>
      </c>
      <c r="G1929" s="17">
        <v>22.231112</v>
      </c>
      <c r="H1929" s="17">
        <v>86.902085999999997</v>
      </c>
      <c r="I1929" s="17"/>
      <c r="J1929" s="17"/>
      <c r="K1929" s="17"/>
      <c r="L1929" s="17"/>
      <c r="M1929" s="43" t="s">
        <v>5574</v>
      </c>
      <c r="N1929" s="17">
        <v>9064976097</v>
      </c>
      <c r="O1929" s="17"/>
      <c r="P1929" s="17"/>
      <c r="Q1929" s="17"/>
      <c r="R1929" s="17"/>
      <c r="S1929" s="17"/>
      <c r="T1929" s="17"/>
      <c r="U1929" s="17"/>
      <c r="V1929" s="17"/>
      <c r="W1929" s="17"/>
      <c r="X1929" s="17"/>
      <c r="Y1929" s="17"/>
      <c r="Z1929" s="17"/>
      <c r="AA1929" s="17"/>
      <c r="AB1929" s="17"/>
      <c r="AC1929" s="17"/>
      <c r="AD1929" s="17"/>
      <c r="AE1929" s="17"/>
      <c r="AF1929" s="17"/>
      <c r="AG1929" s="17"/>
      <c r="AH1929" s="17"/>
      <c r="AI1929" s="17"/>
      <c r="AJ1929" s="17"/>
      <c r="AK1929" s="17"/>
      <c r="AL1929" s="17"/>
      <c r="AM1929" s="17"/>
      <c r="AN1929" s="17"/>
      <c r="AO1929" s="17"/>
      <c r="AP1929" s="17"/>
      <c r="AQ1929" s="17"/>
      <c r="AR1929" s="17"/>
      <c r="AS1929" s="17"/>
      <c r="AT1929" s="17"/>
      <c r="AU1929" s="17"/>
    </row>
    <row r="1930" hidden="1">
      <c r="A1930" s="17">
        <v>1928</v>
      </c>
      <c r="B1930" s="17" t="s">
        <v>52</v>
      </c>
      <c r="C1930" s="25" t="s">
        <v>5599</v>
      </c>
      <c r="D1930" s="35" t="s">
        <v>5571</v>
      </c>
      <c r="E1930" s="17" t="s">
        <v>5600</v>
      </c>
      <c r="F1930" s="17" t="s">
        <v>5601</v>
      </c>
      <c r="G1930" s="17">
        <v>22.215634999999999</v>
      </c>
      <c r="H1930" s="17">
        <v>86.853205000000003</v>
      </c>
      <c r="I1930" s="17"/>
      <c r="J1930" s="17"/>
      <c r="K1930" s="17"/>
      <c r="L1930" s="17"/>
      <c r="M1930" s="43" t="s">
        <v>5574</v>
      </c>
      <c r="N1930" s="17">
        <v>9064976097</v>
      </c>
      <c r="O1930" s="17"/>
      <c r="P1930" s="17"/>
      <c r="Q1930" s="17"/>
      <c r="R1930" s="17"/>
      <c r="S1930" s="17"/>
      <c r="T1930" s="17"/>
      <c r="U1930" s="17"/>
      <c r="V1930" s="17"/>
      <c r="W1930" s="17"/>
      <c r="X1930" s="17"/>
      <c r="Y1930" s="17"/>
      <c r="Z1930" s="17"/>
      <c r="AA1930" s="17"/>
      <c r="AB1930" s="17"/>
      <c r="AC1930" s="17"/>
      <c r="AD1930" s="17"/>
      <c r="AE1930" s="17"/>
      <c r="AF1930" s="17"/>
      <c r="AG1930" s="17"/>
      <c r="AH1930" s="17"/>
      <c r="AI1930" s="17"/>
      <c r="AJ1930" s="17"/>
      <c r="AK1930" s="17"/>
      <c r="AL1930" s="17"/>
      <c r="AM1930" s="17"/>
      <c r="AN1930" s="17"/>
      <c r="AO1930" s="17"/>
      <c r="AP1930" s="17"/>
      <c r="AQ1930" s="17"/>
      <c r="AR1930" s="17"/>
      <c r="AS1930" s="17"/>
      <c r="AT1930" s="17"/>
      <c r="AU1930" s="17"/>
    </row>
    <row r="1931" hidden="1">
      <c r="A1931" s="17">
        <v>1929</v>
      </c>
      <c r="B1931" s="17" t="s">
        <v>52</v>
      </c>
      <c r="C1931" s="25" t="s">
        <v>5602</v>
      </c>
      <c r="D1931" s="35" t="s">
        <v>5571</v>
      </c>
      <c r="E1931" s="17" t="s">
        <v>5603</v>
      </c>
      <c r="F1931" s="17" t="s">
        <v>5604</v>
      </c>
      <c r="G1931" s="17">
        <v>22.225165000000001</v>
      </c>
      <c r="H1931" s="17">
        <v>86.990916999999996</v>
      </c>
      <c r="I1931" s="17"/>
      <c r="J1931" s="17"/>
      <c r="K1931" s="17"/>
      <c r="L1931" s="17"/>
      <c r="M1931" s="43" t="s">
        <v>5574</v>
      </c>
      <c r="N1931" s="17">
        <v>9064976097</v>
      </c>
      <c r="O1931" s="17"/>
      <c r="P1931" s="17"/>
      <c r="Q1931" s="17"/>
      <c r="R1931" s="17"/>
      <c r="S1931" s="17"/>
      <c r="T1931" s="17"/>
      <c r="U1931" s="17"/>
      <c r="V1931" s="17"/>
      <c r="W1931" s="17"/>
      <c r="X1931" s="17"/>
      <c r="Y1931" s="17"/>
      <c r="Z1931" s="17"/>
      <c r="AA1931" s="17"/>
      <c r="AB1931" s="17"/>
      <c r="AC1931" s="17"/>
      <c r="AD1931" s="17"/>
      <c r="AE1931" s="17"/>
      <c r="AF1931" s="17"/>
      <c r="AG1931" s="17"/>
      <c r="AH1931" s="17"/>
      <c r="AI1931" s="17"/>
      <c r="AJ1931" s="17"/>
      <c r="AK1931" s="17"/>
      <c r="AL1931" s="17"/>
      <c r="AM1931" s="17"/>
      <c r="AN1931" s="17"/>
      <c r="AO1931" s="17"/>
      <c r="AP1931" s="17"/>
      <c r="AQ1931" s="17"/>
      <c r="AR1931" s="17"/>
      <c r="AS1931" s="17"/>
      <c r="AT1931" s="17"/>
      <c r="AU1931" s="17"/>
    </row>
    <row r="1932" hidden="1">
      <c r="A1932" s="17">
        <v>1930</v>
      </c>
      <c r="B1932" s="17" t="s">
        <v>52</v>
      </c>
      <c r="C1932" s="25" t="s">
        <v>5605</v>
      </c>
      <c r="D1932" s="35" t="s">
        <v>5571</v>
      </c>
      <c r="E1932" s="17" t="s">
        <v>5606</v>
      </c>
      <c r="F1932" s="17" t="s">
        <v>5607</v>
      </c>
      <c r="G1932" s="17">
        <v>22.187588999999999</v>
      </c>
      <c r="H1932" s="17">
        <v>86.801074</v>
      </c>
      <c r="I1932" s="17"/>
      <c r="J1932" s="17"/>
      <c r="K1932" s="17"/>
      <c r="L1932" s="17"/>
      <c r="M1932" s="43" t="s">
        <v>5608</v>
      </c>
      <c r="N1932" s="17">
        <v>7864978775</v>
      </c>
      <c r="O1932" s="17"/>
      <c r="P1932" s="17"/>
      <c r="Q1932" s="17"/>
      <c r="R1932" s="17"/>
      <c r="S1932" s="17"/>
      <c r="T1932" s="17"/>
      <c r="U1932" s="17"/>
      <c r="V1932" s="17"/>
      <c r="W1932" s="17"/>
      <c r="X1932" s="17"/>
      <c r="Y1932" s="17"/>
      <c r="Z1932" s="17"/>
      <c r="AA1932" s="17"/>
      <c r="AB1932" s="17"/>
      <c r="AC1932" s="17"/>
      <c r="AD1932" s="17"/>
      <c r="AE1932" s="17"/>
      <c r="AF1932" s="17"/>
      <c r="AG1932" s="17"/>
      <c r="AH1932" s="17"/>
      <c r="AI1932" s="17"/>
      <c r="AJ1932" s="17"/>
      <c r="AK1932" s="17"/>
      <c r="AL1932" s="17"/>
      <c r="AM1932" s="17"/>
      <c r="AN1932" s="17"/>
      <c r="AO1932" s="17"/>
      <c r="AP1932" s="17"/>
      <c r="AQ1932" s="17"/>
      <c r="AR1932" s="17"/>
      <c r="AS1932" s="17"/>
      <c r="AT1932" s="17"/>
      <c r="AU1932" s="17"/>
    </row>
    <row r="1933" hidden="1">
      <c r="A1933" s="17">
        <v>1931</v>
      </c>
      <c r="B1933" s="17" t="s">
        <v>52</v>
      </c>
      <c r="C1933" s="25" t="s">
        <v>5609</v>
      </c>
      <c r="D1933" s="35" t="s">
        <v>5571</v>
      </c>
      <c r="E1933" s="17" t="s">
        <v>5610</v>
      </c>
      <c r="F1933" s="17" t="s">
        <v>5611</v>
      </c>
      <c r="G1933" s="17">
        <v>22.111373</v>
      </c>
      <c r="H1933" s="17">
        <v>86.972123999999994</v>
      </c>
      <c r="I1933" s="17"/>
      <c r="J1933" s="17"/>
      <c r="K1933" s="17"/>
      <c r="L1933" s="17"/>
      <c r="M1933" s="43" t="s">
        <v>5608</v>
      </c>
      <c r="N1933" s="17">
        <v>7864978775</v>
      </c>
      <c r="O1933" s="17"/>
      <c r="P1933" s="17"/>
      <c r="Q1933" s="17"/>
      <c r="R1933" s="17"/>
      <c r="S1933" s="17"/>
      <c r="T1933" s="17"/>
      <c r="U1933" s="17"/>
      <c r="V1933" s="17"/>
      <c r="W1933" s="17"/>
      <c r="X1933" s="17"/>
      <c r="Y1933" s="17"/>
      <c r="Z1933" s="17"/>
      <c r="AA1933" s="17"/>
      <c r="AB1933" s="17"/>
      <c r="AC1933" s="17"/>
      <c r="AD1933" s="17"/>
      <c r="AE1933" s="17"/>
      <c r="AF1933" s="17"/>
      <c r="AG1933" s="17"/>
      <c r="AH1933" s="17"/>
      <c r="AI1933" s="17"/>
      <c r="AJ1933" s="17"/>
      <c r="AK1933" s="17"/>
      <c r="AL1933" s="17"/>
      <c r="AM1933" s="17"/>
      <c r="AN1933" s="17"/>
      <c r="AO1933" s="17"/>
      <c r="AP1933" s="17"/>
      <c r="AQ1933" s="17"/>
      <c r="AR1933" s="17"/>
      <c r="AS1933" s="17"/>
      <c r="AT1933" s="17"/>
      <c r="AU1933" s="17"/>
    </row>
    <row r="1934" hidden="1">
      <c r="A1934" s="17">
        <v>1932</v>
      </c>
      <c r="B1934" s="17" t="s">
        <v>52</v>
      </c>
      <c r="C1934" s="25" t="s">
        <v>5612</v>
      </c>
      <c r="D1934" s="35" t="s">
        <v>5571</v>
      </c>
      <c r="E1934" s="17" t="s">
        <v>5613</v>
      </c>
      <c r="F1934" s="17" t="s">
        <v>5614</v>
      </c>
      <c r="G1934" s="17">
        <v>22.187560999999999</v>
      </c>
      <c r="H1934" s="17">
        <v>86.866197</v>
      </c>
      <c r="I1934" s="17"/>
      <c r="J1934" s="17"/>
      <c r="K1934" s="17"/>
      <c r="L1934" s="17"/>
      <c r="M1934" s="43" t="s">
        <v>5608</v>
      </c>
      <c r="N1934" s="17">
        <v>7864978775</v>
      </c>
      <c r="O1934" s="17"/>
      <c r="P1934" s="17"/>
      <c r="Q1934" s="17"/>
      <c r="R1934" s="17"/>
      <c r="S1934" s="17"/>
      <c r="T1934" s="17"/>
      <c r="U1934" s="17"/>
      <c r="V1934" s="17"/>
      <c r="W1934" s="17"/>
      <c r="X1934" s="17"/>
      <c r="Y1934" s="17"/>
      <c r="Z1934" s="17"/>
      <c r="AA1934" s="17"/>
      <c r="AB1934" s="17"/>
      <c r="AC1934" s="17"/>
      <c r="AD1934" s="17"/>
      <c r="AE1934" s="17"/>
      <c r="AF1934" s="17"/>
      <c r="AG1934" s="17"/>
      <c r="AH1934" s="17"/>
      <c r="AI1934" s="17"/>
      <c r="AJ1934" s="17"/>
      <c r="AK1934" s="17"/>
      <c r="AL1934" s="17"/>
      <c r="AM1934" s="17"/>
      <c r="AN1934" s="17"/>
      <c r="AO1934" s="17"/>
      <c r="AP1934" s="17"/>
      <c r="AQ1934" s="17"/>
      <c r="AR1934" s="17"/>
      <c r="AS1934" s="17"/>
      <c r="AT1934" s="17"/>
      <c r="AU1934" s="17"/>
    </row>
    <row r="1935" hidden="1">
      <c r="A1935" s="17">
        <v>1933</v>
      </c>
      <c r="B1935" s="17" t="s">
        <v>52</v>
      </c>
      <c r="C1935" s="25" t="s">
        <v>5615</v>
      </c>
      <c r="D1935" s="35" t="s">
        <v>5571</v>
      </c>
      <c r="E1935" s="17" t="s">
        <v>5616</v>
      </c>
      <c r="F1935" s="17" t="s">
        <v>5617</v>
      </c>
      <c r="G1935" s="17">
        <v>22.192951999999998</v>
      </c>
      <c r="H1935" s="17">
        <v>86.775603000000004</v>
      </c>
      <c r="I1935" s="17"/>
      <c r="J1935" s="17"/>
      <c r="K1935" s="17"/>
      <c r="L1935" s="17"/>
      <c r="M1935" s="43" t="s">
        <v>5608</v>
      </c>
      <c r="N1935" s="17">
        <v>7864978775</v>
      </c>
      <c r="O1935" s="17"/>
      <c r="P1935" s="17"/>
      <c r="Q1935" s="17"/>
      <c r="R1935" s="17"/>
      <c r="S1935" s="17"/>
      <c r="T1935" s="17"/>
      <c r="U1935" s="17"/>
      <c r="V1935" s="17"/>
      <c r="W1935" s="17"/>
      <c r="X1935" s="17"/>
      <c r="Y1935" s="17"/>
      <c r="Z1935" s="17"/>
      <c r="AA1935" s="17"/>
      <c r="AB1935" s="17"/>
      <c r="AC1935" s="17"/>
      <c r="AD1935" s="17"/>
      <c r="AE1935" s="17"/>
      <c r="AF1935" s="17"/>
      <c r="AG1935" s="17"/>
      <c r="AH1935" s="17"/>
      <c r="AI1935" s="17"/>
      <c r="AJ1935" s="17"/>
      <c r="AK1935" s="17"/>
      <c r="AL1935" s="17"/>
      <c r="AM1935" s="17"/>
      <c r="AN1935" s="17"/>
      <c r="AO1935" s="17"/>
      <c r="AP1935" s="17"/>
      <c r="AQ1935" s="17"/>
      <c r="AR1935" s="17"/>
      <c r="AS1935" s="17"/>
      <c r="AT1935" s="17"/>
      <c r="AU1935" s="17"/>
    </row>
    <row r="1936" hidden="1">
      <c r="A1936" s="17">
        <v>1934</v>
      </c>
      <c r="B1936" s="17" t="s">
        <v>52</v>
      </c>
      <c r="C1936" s="25" t="s">
        <v>5618</v>
      </c>
      <c r="D1936" s="35" t="s">
        <v>5571</v>
      </c>
      <c r="E1936" s="17" t="s">
        <v>5619</v>
      </c>
      <c r="F1936" s="17" t="s">
        <v>5620</v>
      </c>
      <c r="G1936" s="17">
        <v>22.197996</v>
      </c>
      <c r="H1936" s="17">
        <v>86.830303000000001</v>
      </c>
      <c r="I1936" s="17"/>
      <c r="J1936" s="17"/>
      <c r="K1936" s="17"/>
      <c r="L1936" s="17"/>
      <c r="M1936" s="43" t="s">
        <v>5608</v>
      </c>
      <c r="N1936" s="17">
        <v>7864978775</v>
      </c>
      <c r="O1936" s="17"/>
      <c r="P1936" s="17"/>
      <c r="Q1936" s="17"/>
      <c r="R1936" s="17"/>
      <c r="S1936" s="17"/>
      <c r="T1936" s="17"/>
      <c r="U1936" s="17"/>
      <c r="V1936" s="17"/>
      <c r="W1936" s="17"/>
      <c r="X1936" s="17"/>
      <c r="Y1936" s="17"/>
      <c r="Z1936" s="17"/>
      <c r="AA1936" s="17"/>
      <c r="AB1936" s="17"/>
      <c r="AC1936" s="17"/>
      <c r="AD1936" s="17"/>
      <c r="AE1936" s="17"/>
      <c r="AF1936" s="17"/>
      <c r="AG1936" s="17"/>
      <c r="AH1936" s="17"/>
      <c r="AI1936" s="17"/>
      <c r="AJ1936" s="17"/>
      <c r="AK1936" s="17"/>
      <c r="AL1936" s="17"/>
      <c r="AM1936" s="17"/>
      <c r="AN1936" s="17"/>
      <c r="AO1936" s="17"/>
      <c r="AP1936" s="17"/>
      <c r="AQ1936" s="17"/>
      <c r="AR1936" s="17"/>
      <c r="AS1936" s="17"/>
      <c r="AT1936" s="17"/>
      <c r="AU1936" s="17"/>
    </row>
    <row r="1937" hidden="1">
      <c r="A1937" s="17">
        <v>1935</v>
      </c>
      <c r="B1937" s="17" t="s">
        <v>52</v>
      </c>
      <c r="C1937" s="25" t="s">
        <v>5621</v>
      </c>
      <c r="D1937" s="35" t="s">
        <v>5571</v>
      </c>
      <c r="E1937" s="17" t="s">
        <v>5622</v>
      </c>
      <c r="F1937" s="17" t="s">
        <v>5623</v>
      </c>
      <c r="G1937" s="17">
        <v>22.196358</v>
      </c>
      <c r="H1937" s="17">
        <v>86.963652999999994</v>
      </c>
      <c r="I1937" s="17"/>
      <c r="J1937" s="17"/>
      <c r="K1937" s="17"/>
      <c r="L1937" s="17"/>
      <c r="M1937" s="43" t="s">
        <v>5608</v>
      </c>
      <c r="N1937" s="17">
        <v>7864978775</v>
      </c>
      <c r="O1937" s="17"/>
      <c r="P1937" s="17"/>
      <c r="Q1937" s="17"/>
      <c r="R1937" s="17"/>
      <c r="S1937" s="17"/>
      <c r="T1937" s="17"/>
      <c r="U1937" s="17"/>
      <c r="V1937" s="17"/>
      <c r="W1937" s="17"/>
      <c r="X1937" s="17"/>
      <c r="Y1937" s="17"/>
      <c r="Z1937" s="17"/>
      <c r="AA1937" s="17"/>
      <c r="AB1937" s="17"/>
      <c r="AC1937" s="17"/>
      <c r="AD1937" s="17"/>
      <c r="AE1937" s="17"/>
      <c r="AF1937" s="17"/>
      <c r="AG1937" s="17"/>
      <c r="AH1937" s="17"/>
      <c r="AI1937" s="17"/>
      <c r="AJ1937" s="17"/>
      <c r="AK1937" s="17"/>
      <c r="AL1937" s="17"/>
      <c r="AM1937" s="17"/>
      <c r="AN1937" s="17"/>
      <c r="AO1937" s="17"/>
      <c r="AP1937" s="17"/>
      <c r="AQ1937" s="17"/>
      <c r="AR1937" s="17"/>
      <c r="AS1937" s="17"/>
      <c r="AT1937" s="17"/>
      <c r="AU1937" s="17"/>
    </row>
    <row r="1938" hidden="1">
      <c r="A1938" s="17">
        <v>1936</v>
      </c>
      <c r="B1938" s="17" t="s">
        <v>52</v>
      </c>
      <c r="C1938" s="25" t="s">
        <v>5624</v>
      </c>
      <c r="D1938" s="35" t="s">
        <v>5571</v>
      </c>
      <c r="E1938" s="17" t="s">
        <v>5625</v>
      </c>
      <c r="F1938" s="17" t="s">
        <v>5626</v>
      </c>
      <c r="G1938" s="17">
        <v>22.150040000000001</v>
      </c>
      <c r="H1938" s="17">
        <v>87.021838000000002</v>
      </c>
      <c r="I1938" s="17"/>
      <c r="J1938" s="17"/>
      <c r="K1938" s="17"/>
      <c r="L1938" s="17"/>
      <c r="M1938" s="43" t="s">
        <v>5608</v>
      </c>
      <c r="N1938" s="17">
        <v>7864978775</v>
      </c>
      <c r="O1938" s="17"/>
      <c r="P1938" s="17"/>
      <c r="Q1938" s="17"/>
      <c r="R1938" s="17"/>
      <c r="S1938" s="17"/>
      <c r="T1938" s="17"/>
      <c r="U1938" s="17"/>
      <c r="V1938" s="17"/>
      <c r="W1938" s="17"/>
      <c r="X1938" s="17"/>
      <c r="Y1938" s="17"/>
      <c r="Z1938" s="17"/>
      <c r="AA1938" s="17"/>
      <c r="AB1938" s="17"/>
      <c r="AC1938" s="17"/>
      <c r="AD1938" s="17"/>
      <c r="AE1938" s="17"/>
      <c r="AF1938" s="17"/>
      <c r="AG1938" s="17"/>
      <c r="AH1938" s="17"/>
      <c r="AI1938" s="17"/>
      <c r="AJ1938" s="17"/>
      <c r="AK1938" s="17"/>
      <c r="AL1938" s="17"/>
      <c r="AM1938" s="17"/>
      <c r="AN1938" s="17"/>
      <c r="AO1938" s="17"/>
      <c r="AP1938" s="17"/>
      <c r="AQ1938" s="17"/>
      <c r="AR1938" s="17"/>
      <c r="AS1938" s="17"/>
      <c r="AT1938" s="17"/>
      <c r="AU1938" s="17"/>
    </row>
    <row r="1939" hidden="1">
      <c r="A1939" s="17">
        <v>1937</v>
      </c>
      <c r="B1939" s="17" t="s">
        <v>52</v>
      </c>
      <c r="C1939" s="25" t="s">
        <v>5627</v>
      </c>
      <c r="D1939" s="35" t="s">
        <v>5571</v>
      </c>
      <c r="E1939" s="17" t="s">
        <v>5628</v>
      </c>
      <c r="F1939" s="17" t="s">
        <v>5629</v>
      </c>
      <c r="G1939" s="17">
        <v>22.210495000000002</v>
      </c>
      <c r="H1939" s="17">
        <v>86.889516</v>
      </c>
      <c r="I1939" s="17"/>
      <c r="J1939" s="17"/>
      <c r="K1939" s="17"/>
      <c r="L1939" s="17"/>
      <c r="M1939" s="43" t="s">
        <v>5608</v>
      </c>
      <c r="N1939" s="17">
        <v>7864978775</v>
      </c>
      <c r="O1939" s="17"/>
      <c r="P1939" s="17"/>
      <c r="Q1939" s="17"/>
      <c r="R1939" s="17"/>
      <c r="S1939" s="17"/>
      <c r="T1939" s="17"/>
      <c r="U1939" s="17"/>
      <c r="V1939" s="17"/>
      <c r="W1939" s="17"/>
      <c r="X1939" s="17"/>
      <c r="Y1939" s="17"/>
      <c r="Z1939" s="17"/>
      <c r="AA1939" s="17"/>
      <c r="AB1939" s="17"/>
      <c r="AC1939" s="17"/>
      <c r="AD1939" s="17"/>
      <c r="AE1939" s="17"/>
      <c r="AF1939" s="17"/>
      <c r="AG1939" s="17"/>
      <c r="AH1939" s="17"/>
      <c r="AI1939" s="17"/>
      <c r="AJ1939" s="17"/>
      <c r="AK1939" s="17"/>
      <c r="AL1939" s="17"/>
      <c r="AM1939" s="17"/>
      <c r="AN1939" s="17"/>
      <c r="AO1939" s="17"/>
      <c r="AP1939" s="17"/>
      <c r="AQ1939" s="17"/>
      <c r="AR1939" s="17"/>
      <c r="AS1939" s="17"/>
      <c r="AT1939" s="17"/>
      <c r="AU1939" s="17"/>
    </row>
    <row r="1940" hidden="1">
      <c r="A1940" s="17">
        <v>1938</v>
      </c>
      <c r="B1940" s="17" t="s">
        <v>52</v>
      </c>
      <c r="C1940" s="25" t="s">
        <v>5630</v>
      </c>
      <c r="D1940" s="35" t="s">
        <v>5571</v>
      </c>
      <c r="E1940" s="17" t="s">
        <v>5631</v>
      </c>
      <c r="F1940" s="17" t="s">
        <v>5632</v>
      </c>
      <c r="G1940" s="17">
        <v>22.429057</v>
      </c>
      <c r="H1940" s="17">
        <v>87.087669000000005</v>
      </c>
      <c r="I1940" s="17"/>
      <c r="J1940" s="17"/>
      <c r="K1940" s="17"/>
      <c r="L1940" s="17"/>
      <c r="M1940" s="43" t="s">
        <v>5633</v>
      </c>
      <c r="N1940" s="17">
        <v>8967046045</v>
      </c>
      <c r="O1940" s="17"/>
      <c r="P1940" s="17"/>
      <c r="Q1940" s="17"/>
      <c r="R1940" s="17"/>
      <c r="S1940" s="17"/>
      <c r="T1940" s="17"/>
      <c r="U1940" s="17"/>
      <c r="V1940" s="17"/>
      <c r="W1940" s="17"/>
      <c r="X1940" s="17"/>
      <c r="Y1940" s="17"/>
      <c r="Z1940" s="17"/>
      <c r="AA1940" s="17"/>
      <c r="AB1940" s="17"/>
      <c r="AC1940" s="17"/>
      <c r="AD1940" s="17"/>
      <c r="AE1940" s="17"/>
      <c r="AF1940" s="17"/>
      <c r="AG1940" s="17"/>
      <c r="AH1940" s="17"/>
      <c r="AI1940" s="17"/>
      <c r="AJ1940" s="17"/>
      <c r="AK1940" s="17"/>
      <c r="AL1940" s="17"/>
      <c r="AM1940" s="17"/>
      <c r="AN1940" s="17"/>
      <c r="AO1940" s="17"/>
      <c r="AP1940" s="17"/>
      <c r="AQ1940" s="17"/>
      <c r="AR1940" s="17"/>
      <c r="AS1940" s="17"/>
      <c r="AT1940" s="17"/>
      <c r="AU1940" s="17"/>
    </row>
    <row r="1941" hidden="1">
      <c r="A1941" s="17">
        <v>1939</v>
      </c>
      <c r="B1941" s="17" t="s">
        <v>52</v>
      </c>
      <c r="C1941" s="25" t="s">
        <v>5634</v>
      </c>
      <c r="D1941" s="35" t="s">
        <v>5571</v>
      </c>
      <c r="E1941" s="17" t="s">
        <v>5635</v>
      </c>
      <c r="F1941" s="17" t="s">
        <v>5636</v>
      </c>
      <c r="G1941" s="17">
        <v>22.446753999999999</v>
      </c>
      <c r="H1941" s="17">
        <v>86.999959000000004</v>
      </c>
      <c r="I1941" s="17"/>
      <c r="J1941" s="17"/>
      <c r="K1941" s="17"/>
      <c r="L1941" s="17"/>
      <c r="M1941" s="43" t="s">
        <v>5637</v>
      </c>
      <c r="N1941" s="17"/>
      <c r="O1941" s="17"/>
      <c r="P1941" s="17"/>
      <c r="Q1941" s="17"/>
      <c r="R1941" s="17"/>
      <c r="S1941" s="17"/>
      <c r="T1941" s="17"/>
      <c r="U1941" s="17"/>
      <c r="V1941" s="17"/>
      <c r="W1941" s="17"/>
      <c r="X1941" s="17"/>
      <c r="Y1941" s="17"/>
      <c r="Z1941" s="17"/>
      <c r="AA1941" s="17"/>
      <c r="AB1941" s="17"/>
      <c r="AC1941" s="17"/>
      <c r="AD1941" s="17"/>
      <c r="AE1941" s="17"/>
      <c r="AF1941" s="17"/>
      <c r="AG1941" s="17"/>
      <c r="AH1941" s="17"/>
      <c r="AI1941" s="17"/>
      <c r="AJ1941" s="17"/>
      <c r="AK1941" s="17"/>
      <c r="AL1941" s="17"/>
      <c r="AM1941" s="17"/>
      <c r="AN1941" s="17"/>
      <c r="AO1941" s="17"/>
      <c r="AP1941" s="17"/>
      <c r="AQ1941" s="17"/>
      <c r="AR1941" s="17"/>
      <c r="AS1941" s="17"/>
      <c r="AT1941" s="17"/>
      <c r="AU1941" s="17"/>
    </row>
    <row r="1942" hidden="1">
      <c r="A1942" s="17">
        <v>1940</v>
      </c>
      <c r="B1942" s="17" t="s">
        <v>52</v>
      </c>
      <c r="C1942" s="25" t="s">
        <v>5638</v>
      </c>
      <c r="D1942" s="35" t="s">
        <v>5571</v>
      </c>
      <c r="E1942" s="17" t="s">
        <v>5639</v>
      </c>
      <c r="F1942" s="17" t="s">
        <v>5640</v>
      </c>
      <c r="G1942" s="17">
        <v>22.452584999999999</v>
      </c>
      <c r="H1942" s="17">
        <v>86.980593999999996</v>
      </c>
      <c r="I1942" s="17"/>
      <c r="J1942" s="17"/>
      <c r="K1942" s="17"/>
      <c r="L1942" s="17"/>
      <c r="M1942" s="43" t="s">
        <v>5637</v>
      </c>
      <c r="N1942" s="17"/>
      <c r="O1942" s="17"/>
      <c r="P1942" s="17"/>
      <c r="Q1942" s="17"/>
      <c r="R1942" s="17"/>
      <c r="S1942" s="17"/>
      <c r="T1942" s="17"/>
      <c r="U1942" s="17"/>
      <c r="V1942" s="17"/>
      <c r="W1942" s="17"/>
      <c r="X1942" s="17"/>
      <c r="Y1942" s="17"/>
      <c r="Z1942" s="17"/>
      <c r="AA1942" s="17"/>
      <c r="AB1942" s="17"/>
      <c r="AC1942" s="17"/>
      <c r="AD1942" s="17"/>
      <c r="AE1942" s="17"/>
      <c r="AF1942" s="17"/>
      <c r="AG1942" s="17"/>
      <c r="AH1942" s="17"/>
      <c r="AI1942" s="17"/>
      <c r="AJ1942" s="17"/>
      <c r="AK1942" s="17"/>
      <c r="AL1942" s="17"/>
      <c r="AM1942" s="17"/>
      <c r="AN1942" s="17"/>
      <c r="AO1942" s="17"/>
      <c r="AP1942" s="17"/>
      <c r="AQ1942" s="17"/>
      <c r="AR1942" s="17"/>
      <c r="AS1942" s="17"/>
      <c r="AT1942" s="17"/>
      <c r="AU1942" s="17"/>
    </row>
    <row r="1943" hidden="1">
      <c r="A1943" s="17">
        <v>1941</v>
      </c>
      <c r="B1943" s="17" t="s">
        <v>52</v>
      </c>
      <c r="C1943" s="25" t="s">
        <v>5641</v>
      </c>
      <c r="D1943" s="35" t="s">
        <v>5571</v>
      </c>
      <c r="E1943" s="17" t="s">
        <v>5642</v>
      </c>
      <c r="F1943" s="17" t="s">
        <v>5643</v>
      </c>
      <c r="G1943" s="17">
        <v>22.450512</v>
      </c>
      <c r="H1943" s="17">
        <v>87.010637000000003</v>
      </c>
      <c r="I1943" s="17"/>
      <c r="J1943" s="17"/>
      <c r="K1943" s="17"/>
      <c r="L1943" s="17"/>
      <c r="M1943" s="43" t="s">
        <v>5637</v>
      </c>
      <c r="N1943" s="17"/>
      <c r="O1943" s="17"/>
      <c r="P1943" s="17"/>
      <c r="Q1943" s="17"/>
      <c r="R1943" s="17"/>
      <c r="S1943" s="17"/>
      <c r="T1943" s="17"/>
      <c r="U1943" s="17"/>
      <c r="V1943" s="17"/>
      <c r="W1943" s="17"/>
      <c r="X1943" s="17"/>
      <c r="Y1943" s="17"/>
      <c r="Z1943" s="17"/>
      <c r="AA1943" s="17"/>
      <c r="AB1943" s="17"/>
      <c r="AC1943" s="17"/>
      <c r="AD1943" s="17"/>
      <c r="AE1943" s="17"/>
      <c r="AF1943" s="17"/>
      <c r="AG1943" s="17"/>
      <c r="AH1943" s="17"/>
      <c r="AI1943" s="17"/>
      <c r="AJ1943" s="17"/>
      <c r="AK1943" s="17"/>
      <c r="AL1943" s="17"/>
      <c r="AM1943" s="17"/>
      <c r="AN1943" s="17"/>
      <c r="AO1943" s="17"/>
      <c r="AP1943" s="17"/>
      <c r="AQ1943" s="17"/>
      <c r="AR1943" s="17"/>
      <c r="AS1943" s="17"/>
      <c r="AT1943" s="17"/>
      <c r="AU1943" s="17"/>
    </row>
    <row r="1944" hidden="1">
      <c r="A1944" s="17">
        <v>1942</v>
      </c>
      <c r="B1944" s="17" t="s">
        <v>52</v>
      </c>
      <c r="C1944" s="25" t="s">
        <v>5644</v>
      </c>
      <c r="D1944" s="35" t="s">
        <v>5571</v>
      </c>
      <c r="E1944" s="17" t="s">
        <v>5645</v>
      </c>
      <c r="F1944" s="17" t="s">
        <v>5646</v>
      </c>
      <c r="G1944" s="17">
        <v>22.584947</v>
      </c>
      <c r="H1944" s="17">
        <v>86.764404999999996</v>
      </c>
      <c r="I1944" s="17"/>
      <c r="J1944" s="17"/>
      <c r="K1944" s="17"/>
      <c r="L1944" s="17"/>
      <c r="M1944" s="43" t="s">
        <v>5647</v>
      </c>
      <c r="N1944" s="17"/>
      <c r="O1944" s="17"/>
      <c r="P1944" s="17"/>
      <c r="Q1944" s="17"/>
      <c r="R1944" s="17"/>
      <c r="S1944" s="17"/>
      <c r="T1944" s="17"/>
      <c r="U1944" s="17"/>
      <c r="V1944" s="17"/>
      <c r="W1944" s="17"/>
      <c r="X1944" s="17"/>
      <c r="Y1944" s="17"/>
      <c r="Z1944" s="17"/>
      <c r="AA1944" s="17"/>
      <c r="AB1944" s="17"/>
      <c r="AC1944" s="17"/>
      <c r="AD1944" s="17"/>
      <c r="AE1944" s="17"/>
      <c r="AF1944" s="17"/>
      <c r="AG1944" s="17"/>
      <c r="AH1944" s="17"/>
      <c r="AI1944" s="17"/>
      <c r="AJ1944" s="17"/>
      <c r="AK1944" s="17"/>
      <c r="AL1944" s="17"/>
      <c r="AM1944" s="17"/>
      <c r="AN1944" s="17"/>
      <c r="AO1944" s="17"/>
      <c r="AP1944" s="17"/>
      <c r="AQ1944" s="17"/>
      <c r="AR1944" s="17"/>
      <c r="AS1944" s="17"/>
      <c r="AT1944" s="17"/>
      <c r="AU1944" s="17"/>
    </row>
    <row r="1945" hidden="1">
      <c r="A1945" s="17">
        <v>1943</v>
      </c>
      <c r="B1945" s="17" t="s">
        <v>52</v>
      </c>
      <c r="C1945" s="25" t="s">
        <v>5648</v>
      </c>
      <c r="D1945" s="35" t="s">
        <v>5571</v>
      </c>
      <c r="E1945" s="17" t="s">
        <v>5649</v>
      </c>
      <c r="F1945" s="17" t="s">
        <v>5650</v>
      </c>
      <c r="G1945" s="17">
        <v>22.698217</v>
      </c>
      <c r="H1945" s="17">
        <v>86.696464000000006</v>
      </c>
      <c r="I1945" s="17"/>
      <c r="J1945" s="17"/>
      <c r="K1945" s="17"/>
      <c r="L1945" s="17"/>
      <c r="M1945" s="43" t="s">
        <v>5647</v>
      </c>
      <c r="N1945" s="17"/>
      <c r="O1945" s="17"/>
      <c r="P1945" s="17"/>
      <c r="Q1945" s="17"/>
      <c r="R1945" s="17"/>
      <c r="S1945" s="17"/>
      <c r="T1945" s="17"/>
      <c r="U1945" s="17"/>
      <c r="V1945" s="17"/>
      <c r="W1945" s="17"/>
      <c r="X1945" s="17"/>
      <c r="Y1945" s="17"/>
      <c r="Z1945" s="17"/>
      <c r="AA1945" s="17"/>
      <c r="AB1945" s="17"/>
      <c r="AC1945" s="17"/>
      <c r="AD1945" s="17"/>
      <c r="AE1945" s="17"/>
      <c r="AF1945" s="17"/>
      <c r="AG1945" s="17"/>
      <c r="AH1945" s="17"/>
      <c r="AI1945" s="17"/>
      <c r="AJ1945" s="17"/>
      <c r="AK1945" s="17"/>
      <c r="AL1945" s="17"/>
      <c r="AM1945" s="17"/>
      <c r="AN1945" s="17"/>
      <c r="AO1945" s="17"/>
      <c r="AP1945" s="17"/>
      <c r="AQ1945" s="17"/>
      <c r="AR1945" s="17"/>
      <c r="AS1945" s="17"/>
      <c r="AT1945" s="17"/>
      <c r="AU1945" s="17"/>
    </row>
    <row r="1946" hidden="1">
      <c r="A1946" s="17">
        <v>1944</v>
      </c>
      <c r="B1946" s="17" t="s">
        <v>52</v>
      </c>
      <c r="C1946" s="25" t="s">
        <v>5651</v>
      </c>
      <c r="D1946" s="35" t="s">
        <v>5571</v>
      </c>
      <c r="E1946" s="17" t="s">
        <v>5652</v>
      </c>
      <c r="F1946" s="17" t="s">
        <v>5653</v>
      </c>
      <c r="G1946" s="17">
        <v>22.63815</v>
      </c>
      <c r="H1946" s="17">
        <v>86.806376999999998</v>
      </c>
      <c r="I1946" s="17"/>
      <c r="J1946" s="17"/>
      <c r="K1946" s="17"/>
      <c r="L1946" s="17"/>
      <c r="M1946" s="43" t="s">
        <v>5647</v>
      </c>
      <c r="N1946" s="17"/>
      <c r="O1946" s="17"/>
      <c r="P1946" s="17"/>
      <c r="Q1946" s="17"/>
      <c r="R1946" s="17"/>
      <c r="S1946" s="17"/>
      <c r="T1946" s="17"/>
      <c r="U1946" s="17"/>
      <c r="V1946" s="17"/>
      <c r="W1946" s="17"/>
      <c r="X1946" s="17"/>
      <c r="Y1946" s="17"/>
      <c r="Z1946" s="17"/>
      <c r="AA1946" s="17"/>
      <c r="AB1946" s="17"/>
      <c r="AC1946" s="17"/>
      <c r="AD1946" s="17"/>
      <c r="AE1946" s="17"/>
      <c r="AF1946" s="17"/>
      <c r="AG1946" s="17"/>
      <c r="AH1946" s="17"/>
      <c r="AI1946" s="17"/>
      <c r="AJ1946" s="17"/>
      <c r="AK1946" s="17"/>
      <c r="AL1946" s="17"/>
      <c r="AM1946" s="17"/>
      <c r="AN1946" s="17"/>
      <c r="AO1946" s="17"/>
      <c r="AP1946" s="17"/>
      <c r="AQ1946" s="17"/>
      <c r="AR1946" s="17"/>
      <c r="AS1946" s="17"/>
      <c r="AT1946" s="17"/>
      <c r="AU1946" s="17"/>
    </row>
    <row r="1947" hidden="1">
      <c r="A1947" s="17">
        <v>1945</v>
      </c>
      <c r="B1947" s="17" t="s">
        <v>52</v>
      </c>
      <c r="C1947" s="25" t="s">
        <v>5654</v>
      </c>
      <c r="D1947" s="35" t="s">
        <v>5571</v>
      </c>
      <c r="E1947" s="17" t="s">
        <v>5655</v>
      </c>
      <c r="F1947" s="17" t="s">
        <v>5656</v>
      </c>
      <c r="G1947" s="17">
        <v>22.674647</v>
      </c>
      <c r="H1947" s="17">
        <v>86.836031000000006</v>
      </c>
      <c r="I1947" s="17"/>
      <c r="J1947" s="17"/>
      <c r="K1947" s="17"/>
      <c r="L1947" s="17"/>
      <c r="M1947" s="43" t="s">
        <v>5647</v>
      </c>
      <c r="N1947" s="17"/>
      <c r="O1947" s="17"/>
      <c r="P1947" s="17"/>
      <c r="Q1947" s="17"/>
      <c r="R1947" s="17"/>
      <c r="S1947" s="17"/>
      <c r="T1947" s="17"/>
      <c r="U1947" s="17"/>
      <c r="V1947" s="17"/>
      <c r="W1947" s="17"/>
      <c r="X1947" s="17"/>
      <c r="Y1947" s="17"/>
      <c r="Z1947" s="17"/>
      <c r="AA1947" s="17"/>
      <c r="AB1947" s="17"/>
      <c r="AC1947" s="17"/>
      <c r="AD1947" s="17"/>
      <c r="AE1947" s="17"/>
      <c r="AF1947" s="17"/>
      <c r="AG1947" s="17"/>
      <c r="AH1947" s="17"/>
      <c r="AI1947" s="17"/>
      <c r="AJ1947" s="17"/>
      <c r="AK1947" s="17"/>
      <c r="AL1947" s="17"/>
      <c r="AM1947" s="17"/>
      <c r="AN1947" s="17"/>
      <c r="AO1947" s="17"/>
      <c r="AP1947" s="17"/>
      <c r="AQ1947" s="17"/>
      <c r="AR1947" s="17"/>
      <c r="AS1947" s="17"/>
      <c r="AT1947" s="17"/>
      <c r="AU1947" s="17"/>
    </row>
    <row r="1948" hidden="1">
      <c r="A1948" s="17">
        <v>1946</v>
      </c>
      <c r="B1948" s="17" t="s">
        <v>52</v>
      </c>
      <c r="C1948" s="25" t="s">
        <v>5657</v>
      </c>
      <c r="D1948" s="35" t="s">
        <v>5571</v>
      </c>
      <c r="E1948" s="17" t="s">
        <v>5658</v>
      </c>
      <c r="F1948" s="17" t="s">
        <v>5659</v>
      </c>
      <c r="G1948" s="17">
        <v>22.586293999999999</v>
      </c>
      <c r="H1948" s="17">
        <v>86.802432999999994</v>
      </c>
      <c r="I1948" s="17"/>
      <c r="J1948" s="17"/>
      <c r="K1948" s="17"/>
      <c r="L1948" s="17"/>
      <c r="M1948" s="43" t="s">
        <v>5647</v>
      </c>
      <c r="N1948" s="17"/>
      <c r="O1948" s="17"/>
      <c r="P1948" s="17"/>
      <c r="Q1948" s="17"/>
      <c r="R1948" s="17"/>
      <c r="S1948" s="17"/>
      <c r="T1948" s="17"/>
      <c r="U1948" s="17"/>
      <c r="V1948" s="17"/>
      <c r="W1948" s="17"/>
      <c r="X1948" s="17"/>
      <c r="Y1948" s="17"/>
      <c r="Z1948" s="17"/>
      <c r="AA1948" s="17"/>
      <c r="AB1948" s="17"/>
      <c r="AC1948" s="17"/>
      <c r="AD1948" s="17"/>
      <c r="AE1948" s="17"/>
      <c r="AF1948" s="17"/>
      <c r="AG1948" s="17"/>
      <c r="AH1948" s="17"/>
      <c r="AI1948" s="17"/>
      <c r="AJ1948" s="17"/>
      <c r="AK1948" s="17"/>
      <c r="AL1948" s="17"/>
      <c r="AM1948" s="17"/>
      <c r="AN1948" s="17"/>
      <c r="AO1948" s="17"/>
      <c r="AP1948" s="17"/>
      <c r="AQ1948" s="17"/>
      <c r="AR1948" s="17"/>
      <c r="AS1948" s="17"/>
      <c r="AT1948" s="17"/>
      <c r="AU1948" s="17"/>
    </row>
    <row r="1949" hidden="1">
      <c r="A1949" s="17">
        <v>1947</v>
      </c>
      <c r="B1949" s="17" t="s">
        <v>52</v>
      </c>
      <c r="C1949" s="25" t="s">
        <v>5660</v>
      </c>
      <c r="D1949" s="35" t="s">
        <v>5571</v>
      </c>
      <c r="E1949" s="17" t="s">
        <v>5661</v>
      </c>
      <c r="F1949" s="17" t="s">
        <v>5662</v>
      </c>
      <c r="G1949" s="17">
        <v>22.598193999999999</v>
      </c>
      <c r="H1949" s="17">
        <v>86.867903999999996</v>
      </c>
      <c r="I1949" s="17"/>
      <c r="J1949" s="17"/>
      <c r="K1949" s="17"/>
      <c r="L1949" s="17"/>
      <c r="M1949" s="43" t="s">
        <v>5647</v>
      </c>
      <c r="N1949" s="17"/>
      <c r="O1949" s="17"/>
      <c r="P1949" s="17"/>
      <c r="Q1949" s="17"/>
      <c r="R1949" s="17"/>
      <c r="S1949" s="17"/>
      <c r="T1949" s="17"/>
      <c r="U1949" s="17"/>
      <c r="V1949" s="17"/>
      <c r="W1949" s="17"/>
      <c r="X1949" s="17"/>
      <c r="Y1949" s="17"/>
      <c r="Z1949" s="17"/>
      <c r="AA1949" s="17"/>
      <c r="AB1949" s="17"/>
      <c r="AC1949" s="17"/>
      <c r="AD1949" s="17"/>
      <c r="AE1949" s="17"/>
      <c r="AF1949" s="17"/>
      <c r="AG1949" s="17"/>
      <c r="AH1949" s="17"/>
      <c r="AI1949" s="17"/>
      <c r="AJ1949" s="17"/>
      <c r="AK1949" s="17"/>
      <c r="AL1949" s="17"/>
      <c r="AM1949" s="17"/>
      <c r="AN1949" s="17"/>
      <c r="AO1949" s="17"/>
      <c r="AP1949" s="17"/>
      <c r="AQ1949" s="17"/>
      <c r="AR1949" s="17"/>
      <c r="AS1949" s="17"/>
      <c r="AT1949" s="17"/>
      <c r="AU1949" s="17"/>
    </row>
    <row r="1950" hidden="1">
      <c r="A1950" s="17">
        <v>1948</v>
      </c>
      <c r="B1950" s="17" t="s">
        <v>52</v>
      </c>
      <c r="C1950" s="25" t="s">
        <v>5663</v>
      </c>
      <c r="D1950" s="35" t="s">
        <v>5571</v>
      </c>
      <c r="E1950" s="17" t="s">
        <v>5664</v>
      </c>
      <c r="F1950" s="17" t="s">
        <v>5665</v>
      </c>
      <c r="G1950" s="17">
        <v>22.630782</v>
      </c>
      <c r="H1950" s="17">
        <v>86.704537000000002</v>
      </c>
      <c r="I1950" s="17"/>
      <c r="J1950" s="17"/>
      <c r="K1950" s="17"/>
      <c r="L1950" s="17"/>
      <c r="M1950" s="43" t="s">
        <v>5647</v>
      </c>
      <c r="N1950" s="17"/>
      <c r="O1950" s="17"/>
      <c r="P1950" s="17"/>
      <c r="Q1950" s="17"/>
      <c r="R1950" s="17"/>
      <c r="S1950" s="17"/>
      <c r="T1950" s="17"/>
      <c r="U1950" s="17"/>
      <c r="V1950" s="17"/>
      <c r="W1950" s="17"/>
      <c r="X1950" s="17"/>
      <c r="Y1950" s="17"/>
      <c r="Z1950" s="17"/>
      <c r="AA1950" s="17"/>
      <c r="AB1950" s="17"/>
      <c r="AC1950" s="17"/>
      <c r="AD1950" s="17"/>
      <c r="AE1950" s="17"/>
      <c r="AF1950" s="17"/>
      <c r="AG1950" s="17"/>
      <c r="AH1950" s="17"/>
      <c r="AI1950" s="17"/>
      <c r="AJ1950" s="17"/>
      <c r="AK1950" s="17"/>
      <c r="AL1950" s="17"/>
      <c r="AM1950" s="17"/>
      <c r="AN1950" s="17"/>
      <c r="AO1950" s="17"/>
      <c r="AP1950" s="17"/>
      <c r="AQ1950" s="17"/>
      <c r="AR1950" s="17"/>
      <c r="AS1950" s="17"/>
      <c r="AT1950" s="17"/>
      <c r="AU1950" s="17"/>
    </row>
    <row r="1951" hidden="1">
      <c r="A1951" s="17">
        <v>1949</v>
      </c>
      <c r="B1951" s="17" t="s">
        <v>52</v>
      </c>
      <c r="C1951" s="25" t="s">
        <v>5666</v>
      </c>
      <c r="D1951" s="35" t="s">
        <v>5571</v>
      </c>
      <c r="E1951" s="17" t="s">
        <v>5667</v>
      </c>
      <c r="F1951" s="17" t="s">
        <v>5668</v>
      </c>
      <c r="G1951" s="17">
        <v>22.786221000000001</v>
      </c>
      <c r="H1951" s="17">
        <v>86.641717</v>
      </c>
      <c r="I1951" s="17"/>
      <c r="J1951" s="17"/>
      <c r="K1951" s="17"/>
      <c r="L1951" s="17"/>
      <c r="M1951" s="43" t="s">
        <v>5647</v>
      </c>
      <c r="N1951" s="17"/>
      <c r="O1951" s="17"/>
      <c r="P1951" s="17"/>
      <c r="Q1951" s="17"/>
      <c r="R1951" s="17"/>
      <c r="S1951" s="17"/>
      <c r="T1951" s="17"/>
      <c r="U1951" s="17"/>
      <c r="V1951" s="17"/>
      <c r="W1951" s="17"/>
      <c r="X1951" s="17"/>
      <c r="Y1951" s="17"/>
      <c r="Z1951" s="17"/>
      <c r="AA1951" s="17"/>
      <c r="AB1951" s="17"/>
      <c r="AC1951" s="17"/>
      <c r="AD1951" s="17"/>
      <c r="AE1951" s="17"/>
      <c r="AF1951" s="17"/>
      <c r="AG1951" s="17"/>
      <c r="AH1951" s="17"/>
      <c r="AI1951" s="17"/>
      <c r="AJ1951" s="17"/>
      <c r="AK1951" s="17"/>
      <c r="AL1951" s="17"/>
      <c r="AM1951" s="17"/>
      <c r="AN1951" s="17"/>
      <c r="AO1951" s="17"/>
      <c r="AP1951" s="17"/>
      <c r="AQ1951" s="17"/>
      <c r="AR1951" s="17"/>
      <c r="AS1951" s="17"/>
      <c r="AT1951" s="17"/>
      <c r="AU1951" s="17"/>
    </row>
    <row r="1952" hidden="1">
      <c r="A1952" s="17">
        <v>1950</v>
      </c>
      <c r="B1952" s="17" t="s">
        <v>52</v>
      </c>
      <c r="C1952" s="25" t="s">
        <v>5669</v>
      </c>
      <c r="D1952" s="35" t="s">
        <v>5571</v>
      </c>
      <c r="E1952" s="17" t="s">
        <v>5667</v>
      </c>
      <c r="F1952" s="17" t="s">
        <v>5670</v>
      </c>
      <c r="G1952" s="17">
        <v>22.763043</v>
      </c>
      <c r="H1952" s="17">
        <v>86.647681000000006</v>
      </c>
      <c r="I1952" s="17"/>
      <c r="J1952" s="17"/>
      <c r="K1952" s="17"/>
      <c r="L1952" s="17"/>
      <c r="M1952" s="43" t="s">
        <v>5647</v>
      </c>
      <c r="N1952" s="17"/>
      <c r="O1952" s="17"/>
      <c r="P1952" s="17"/>
      <c r="Q1952" s="17"/>
      <c r="R1952" s="17"/>
      <c r="S1952" s="17"/>
      <c r="T1952" s="17"/>
      <c r="U1952" s="17"/>
      <c r="V1952" s="17"/>
      <c r="W1952" s="17"/>
      <c r="X1952" s="17"/>
      <c r="Y1952" s="17"/>
      <c r="Z1952" s="17"/>
      <c r="AA1952" s="17"/>
      <c r="AB1952" s="17"/>
      <c r="AC1952" s="17"/>
      <c r="AD1952" s="17"/>
      <c r="AE1952" s="17"/>
      <c r="AF1952" s="17"/>
      <c r="AG1952" s="17"/>
      <c r="AH1952" s="17"/>
      <c r="AI1952" s="17"/>
      <c r="AJ1952" s="17"/>
      <c r="AK1952" s="17"/>
      <c r="AL1952" s="17"/>
      <c r="AM1952" s="17"/>
      <c r="AN1952" s="17"/>
      <c r="AO1952" s="17"/>
      <c r="AP1952" s="17"/>
      <c r="AQ1952" s="17"/>
      <c r="AR1952" s="17"/>
      <c r="AS1952" s="17"/>
      <c r="AT1952" s="17"/>
      <c r="AU1952" s="17"/>
    </row>
    <row r="1953" hidden="1">
      <c r="A1953" s="17">
        <v>1951</v>
      </c>
      <c r="B1953" s="17" t="s">
        <v>52</v>
      </c>
      <c r="C1953" s="25" t="s">
        <v>5671</v>
      </c>
      <c r="D1953" s="35" t="s">
        <v>5571</v>
      </c>
      <c r="E1953" s="17" t="s">
        <v>5672</v>
      </c>
      <c r="F1953" s="17" t="s">
        <v>5673</v>
      </c>
      <c r="G1953" s="17">
        <v>22.605115000000001</v>
      </c>
      <c r="H1953" s="17">
        <v>86.844037</v>
      </c>
      <c r="I1953" s="17"/>
      <c r="J1953" s="17"/>
      <c r="K1953" s="17"/>
      <c r="L1953" s="17"/>
      <c r="M1953" s="43" t="s">
        <v>5647</v>
      </c>
      <c r="N1953" s="17"/>
      <c r="O1953" s="17"/>
      <c r="P1953" s="17"/>
      <c r="Q1953" s="17"/>
      <c r="R1953" s="17"/>
      <c r="S1953" s="17"/>
      <c r="T1953" s="17"/>
      <c r="U1953" s="17"/>
      <c r="V1953" s="17"/>
      <c r="W1953" s="17"/>
      <c r="X1953" s="17"/>
      <c r="Y1953" s="17"/>
      <c r="Z1953" s="17"/>
      <c r="AA1953" s="17"/>
      <c r="AB1953" s="17"/>
      <c r="AC1953" s="17"/>
      <c r="AD1953" s="17"/>
      <c r="AE1953" s="17"/>
      <c r="AF1953" s="17"/>
      <c r="AG1953" s="17"/>
      <c r="AH1953" s="17"/>
      <c r="AI1953" s="17"/>
      <c r="AJ1953" s="17"/>
      <c r="AK1953" s="17"/>
      <c r="AL1953" s="17"/>
      <c r="AM1953" s="17"/>
      <c r="AN1953" s="17"/>
      <c r="AO1953" s="17"/>
      <c r="AP1953" s="17"/>
      <c r="AQ1953" s="17"/>
      <c r="AR1953" s="17"/>
      <c r="AS1953" s="17"/>
      <c r="AT1953" s="17"/>
      <c r="AU1953" s="17"/>
    </row>
    <row r="1954" hidden="1">
      <c r="A1954" s="17">
        <v>1952</v>
      </c>
      <c r="B1954" s="17" t="s">
        <v>52</v>
      </c>
      <c r="C1954" s="25" t="s">
        <v>5674</v>
      </c>
      <c r="D1954" s="35" t="s">
        <v>5571</v>
      </c>
      <c r="E1954" s="17" t="s">
        <v>5675</v>
      </c>
      <c r="F1954" s="17" t="s">
        <v>5676</v>
      </c>
      <c r="G1954" s="17">
        <v>21.883023999999999</v>
      </c>
      <c r="H1954" s="17">
        <v>87.038488999999998</v>
      </c>
      <c r="I1954" s="17"/>
      <c r="J1954" s="17"/>
      <c r="K1954" s="17"/>
      <c r="L1954" s="17"/>
      <c r="M1954" s="43" t="s">
        <v>5677</v>
      </c>
      <c r="N1954" s="17"/>
      <c r="O1954" s="17"/>
      <c r="P1954" s="17"/>
      <c r="Q1954" s="17"/>
      <c r="R1954" s="17"/>
      <c r="S1954" s="17"/>
      <c r="T1954" s="17"/>
      <c r="U1954" s="17"/>
      <c r="V1954" s="17"/>
      <c r="W1954" s="17"/>
      <c r="X1954" s="17"/>
      <c r="Y1954" s="17"/>
      <c r="Z1954" s="17"/>
      <c r="AA1954" s="17"/>
      <c r="AB1954" s="17"/>
      <c r="AC1954" s="17"/>
      <c r="AD1954" s="17"/>
      <c r="AE1954" s="17"/>
      <c r="AF1954" s="17"/>
      <c r="AG1954" s="17"/>
      <c r="AH1954" s="17"/>
      <c r="AI1954" s="17"/>
      <c r="AJ1954" s="17"/>
      <c r="AK1954" s="17"/>
      <c r="AL1954" s="17"/>
      <c r="AM1954" s="17"/>
      <c r="AN1954" s="17"/>
      <c r="AO1954" s="17"/>
      <c r="AP1954" s="17"/>
      <c r="AQ1954" s="17"/>
      <c r="AR1954" s="17"/>
      <c r="AS1954" s="17"/>
      <c r="AT1954" s="17"/>
      <c r="AU1954" s="17"/>
    </row>
    <row r="1955" hidden="1">
      <c r="A1955" s="17">
        <v>1953</v>
      </c>
      <c r="B1955" s="17" t="s">
        <v>52</v>
      </c>
      <c r="C1955" s="25" t="s">
        <v>5678</v>
      </c>
      <c r="D1955" s="35" t="s">
        <v>5571</v>
      </c>
      <c r="E1955" s="17" t="s">
        <v>5679</v>
      </c>
      <c r="F1955" s="17" t="s">
        <v>5680</v>
      </c>
      <c r="G1955" s="17">
        <v>22.054271</v>
      </c>
      <c r="H1955" s="17">
        <v>87.048743000000002</v>
      </c>
      <c r="I1955" s="17"/>
      <c r="J1955" s="17"/>
      <c r="K1955" s="17"/>
      <c r="L1955" s="17"/>
      <c r="M1955" s="43" t="s">
        <v>5677</v>
      </c>
      <c r="N1955" s="17"/>
      <c r="O1955" s="17"/>
      <c r="P1955" s="17"/>
      <c r="Q1955" s="17"/>
      <c r="R1955" s="17"/>
      <c r="S1955" s="17"/>
      <c r="T1955" s="17"/>
      <c r="U1955" s="17"/>
      <c r="V1955" s="17"/>
      <c r="W1955" s="17"/>
      <c r="X1955" s="17"/>
      <c r="Y1955" s="17"/>
      <c r="Z1955" s="17"/>
      <c r="AA1955" s="17"/>
      <c r="AB1955" s="17"/>
      <c r="AC1955" s="17"/>
      <c r="AD1955" s="17"/>
      <c r="AE1955" s="17"/>
      <c r="AF1955" s="17"/>
      <c r="AG1955" s="17"/>
      <c r="AH1955" s="17"/>
      <c r="AI1955" s="17"/>
      <c r="AJ1955" s="17"/>
      <c r="AK1955" s="17"/>
      <c r="AL1955" s="17"/>
      <c r="AM1955" s="17"/>
      <c r="AN1955" s="17"/>
      <c r="AO1955" s="17"/>
      <c r="AP1955" s="17"/>
      <c r="AQ1955" s="17"/>
      <c r="AR1955" s="17"/>
      <c r="AS1955" s="17"/>
      <c r="AT1955" s="17"/>
      <c r="AU1955" s="17"/>
    </row>
    <row r="1956" hidden="1">
      <c r="A1956" s="17">
        <v>1954</v>
      </c>
      <c r="B1956" s="17" t="s">
        <v>52</v>
      </c>
      <c r="C1956" s="25" t="s">
        <v>5681</v>
      </c>
      <c r="D1956" s="35" t="s">
        <v>5571</v>
      </c>
      <c r="E1956" s="17" t="s">
        <v>5682</v>
      </c>
      <c r="F1956" s="17" t="s">
        <v>5683</v>
      </c>
      <c r="G1956" s="17">
        <v>22.086984999999999</v>
      </c>
      <c r="H1956" s="17">
        <v>87.017645999999999</v>
      </c>
      <c r="I1956" s="17"/>
      <c r="J1956" s="17"/>
      <c r="K1956" s="17"/>
      <c r="L1956" s="17"/>
      <c r="M1956" s="43" t="s">
        <v>5677</v>
      </c>
      <c r="N1956" s="17"/>
      <c r="O1956" s="17"/>
      <c r="P1956" s="17"/>
      <c r="Q1956" s="17"/>
      <c r="R1956" s="17"/>
      <c r="S1956" s="17"/>
      <c r="T1956" s="17"/>
      <c r="U1956" s="17"/>
      <c r="V1956" s="17"/>
      <c r="W1956" s="17"/>
      <c r="X1956" s="17"/>
      <c r="Y1956" s="17"/>
      <c r="Z1956" s="17"/>
      <c r="AA1956" s="17"/>
      <c r="AB1956" s="17"/>
      <c r="AC1956" s="17"/>
      <c r="AD1956" s="17"/>
      <c r="AE1956" s="17"/>
      <c r="AF1956" s="17"/>
      <c r="AG1956" s="17"/>
      <c r="AH1956" s="17"/>
      <c r="AI1956" s="17"/>
      <c r="AJ1956" s="17"/>
      <c r="AK1956" s="17"/>
      <c r="AL1956" s="17"/>
      <c r="AM1956" s="17"/>
      <c r="AN1956" s="17"/>
      <c r="AO1956" s="17"/>
      <c r="AP1956" s="17"/>
      <c r="AQ1956" s="17"/>
      <c r="AR1956" s="17"/>
      <c r="AS1956" s="17"/>
      <c r="AT1956" s="17"/>
      <c r="AU1956" s="17"/>
    </row>
    <row r="1957" hidden="1">
      <c r="A1957" s="17">
        <v>1955</v>
      </c>
      <c r="B1957" s="17" t="s">
        <v>52</v>
      </c>
      <c r="C1957" s="25" t="s">
        <v>5684</v>
      </c>
      <c r="D1957" s="35" t="s">
        <v>5571</v>
      </c>
      <c r="E1957" s="17" t="s">
        <v>5685</v>
      </c>
      <c r="F1957" s="17" t="s">
        <v>5686</v>
      </c>
      <c r="G1957" s="17">
        <v>22.006418</v>
      </c>
      <c r="H1957" s="17">
        <v>87.188457</v>
      </c>
      <c r="I1957" s="17"/>
      <c r="J1957" s="17"/>
      <c r="K1957" s="17"/>
      <c r="L1957" s="17"/>
      <c r="M1957" s="43" t="s">
        <v>5677</v>
      </c>
      <c r="N1957" s="17"/>
      <c r="O1957" s="17"/>
      <c r="P1957" s="17"/>
      <c r="Q1957" s="17"/>
      <c r="R1957" s="17"/>
      <c r="S1957" s="17"/>
      <c r="T1957" s="17"/>
      <c r="U1957" s="17"/>
      <c r="V1957" s="17"/>
      <c r="W1957" s="17"/>
      <c r="X1957" s="17"/>
      <c r="Y1957" s="17"/>
      <c r="Z1957" s="17"/>
      <c r="AA1957" s="17"/>
      <c r="AB1957" s="17"/>
      <c r="AC1957" s="17"/>
      <c r="AD1957" s="17"/>
      <c r="AE1957" s="17"/>
      <c r="AF1957" s="17"/>
      <c r="AG1957" s="17"/>
      <c r="AH1957" s="17"/>
      <c r="AI1957" s="17"/>
      <c r="AJ1957" s="17"/>
      <c r="AK1957" s="17"/>
      <c r="AL1957" s="17"/>
      <c r="AM1957" s="17"/>
      <c r="AN1957" s="17"/>
      <c r="AO1957" s="17"/>
      <c r="AP1957" s="17"/>
      <c r="AQ1957" s="17"/>
      <c r="AR1957" s="17"/>
      <c r="AS1957" s="17"/>
      <c r="AT1957" s="17"/>
      <c r="AU1957" s="17"/>
    </row>
    <row r="1958" hidden="1">
      <c r="A1958" s="17">
        <v>1956</v>
      </c>
      <c r="B1958" s="17" t="s">
        <v>52</v>
      </c>
      <c r="C1958" s="25" t="s">
        <v>5687</v>
      </c>
      <c r="D1958" s="35" t="s">
        <v>5571</v>
      </c>
      <c r="E1958" s="17" t="s">
        <v>5688</v>
      </c>
      <c r="F1958" s="17" t="s">
        <v>5689</v>
      </c>
      <c r="G1958" s="17">
        <v>21.941628999999999</v>
      </c>
      <c r="H1958" s="17">
        <v>87.053483999999997</v>
      </c>
      <c r="I1958" s="17"/>
      <c r="J1958" s="17"/>
      <c r="K1958" s="17"/>
      <c r="L1958" s="17"/>
      <c r="M1958" s="43" t="s">
        <v>5677</v>
      </c>
      <c r="N1958" s="17"/>
      <c r="O1958" s="17"/>
      <c r="P1958" s="17"/>
      <c r="Q1958" s="17"/>
      <c r="R1958" s="17"/>
      <c r="S1958" s="17"/>
      <c r="T1958" s="17"/>
      <c r="U1958" s="17"/>
      <c r="V1958" s="17"/>
      <c r="W1958" s="17"/>
      <c r="X1958" s="17"/>
      <c r="Y1958" s="17"/>
      <c r="Z1958" s="17"/>
      <c r="AA1958" s="17"/>
      <c r="AB1958" s="17"/>
      <c r="AC1958" s="17"/>
      <c r="AD1958" s="17"/>
      <c r="AE1958" s="17"/>
      <c r="AF1958" s="17"/>
      <c r="AG1958" s="17"/>
      <c r="AH1958" s="17"/>
      <c r="AI1958" s="17"/>
      <c r="AJ1958" s="17"/>
      <c r="AK1958" s="17"/>
      <c r="AL1958" s="17"/>
      <c r="AM1958" s="17"/>
      <c r="AN1958" s="17"/>
      <c r="AO1958" s="17"/>
      <c r="AP1958" s="17"/>
      <c r="AQ1958" s="17"/>
      <c r="AR1958" s="17"/>
      <c r="AS1958" s="17"/>
      <c r="AT1958" s="17"/>
      <c r="AU1958" s="17"/>
    </row>
    <row r="1959" hidden="1">
      <c r="A1959" s="17">
        <v>1957</v>
      </c>
      <c r="B1959" s="17" t="s">
        <v>52</v>
      </c>
      <c r="C1959" s="25" t="s">
        <v>5690</v>
      </c>
      <c r="D1959" s="35" t="s">
        <v>5571</v>
      </c>
      <c r="E1959" s="17" t="s">
        <v>5691</v>
      </c>
      <c r="F1959" s="17" t="s">
        <v>5692</v>
      </c>
      <c r="G1959" s="17">
        <v>21.907935999999999</v>
      </c>
      <c r="H1959" s="17">
        <v>87.089366999999996</v>
      </c>
      <c r="I1959" s="17"/>
      <c r="J1959" s="17"/>
      <c r="K1959" s="17"/>
      <c r="L1959" s="17"/>
      <c r="M1959" s="43" t="s">
        <v>5677</v>
      </c>
      <c r="N1959" s="17"/>
      <c r="O1959" s="17"/>
      <c r="P1959" s="17"/>
      <c r="Q1959" s="17"/>
      <c r="R1959" s="17"/>
      <c r="S1959" s="17"/>
      <c r="T1959" s="17"/>
      <c r="U1959" s="17"/>
      <c r="V1959" s="17"/>
      <c r="W1959" s="17"/>
      <c r="X1959" s="17"/>
      <c r="Y1959" s="17"/>
      <c r="Z1959" s="17"/>
      <c r="AA1959" s="17"/>
      <c r="AB1959" s="17"/>
      <c r="AC1959" s="17"/>
      <c r="AD1959" s="17"/>
      <c r="AE1959" s="17"/>
      <c r="AF1959" s="17"/>
      <c r="AG1959" s="17"/>
      <c r="AH1959" s="17"/>
      <c r="AI1959" s="17"/>
      <c r="AJ1959" s="17"/>
      <c r="AK1959" s="17"/>
      <c r="AL1959" s="17"/>
      <c r="AM1959" s="17"/>
      <c r="AN1959" s="17"/>
      <c r="AO1959" s="17"/>
      <c r="AP1959" s="17"/>
      <c r="AQ1959" s="17"/>
      <c r="AR1959" s="17"/>
      <c r="AS1959" s="17"/>
      <c r="AT1959" s="17"/>
      <c r="AU1959" s="17"/>
    </row>
    <row r="1960" hidden="1">
      <c r="A1960" s="17">
        <v>1958</v>
      </c>
      <c r="B1960" s="17" t="s">
        <v>52</v>
      </c>
      <c r="C1960" s="25" t="s">
        <v>5693</v>
      </c>
      <c r="D1960" s="35" t="s">
        <v>5571</v>
      </c>
      <c r="E1960" s="17" t="s">
        <v>5694</v>
      </c>
      <c r="F1960" s="17" t="s">
        <v>5695</v>
      </c>
      <c r="G1960" s="17">
        <v>21.975892000000002</v>
      </c>
      <c r="H1960" s="17">
        <v>87.101229000000004</v>
      </c>
      <c r="I1960" s="17"/>
      <c r="J1960" s="17"/>
      <c r="K1960" s="17"/>
      <c r="L1960" s="17"/>
      <c r="M1960" s="43" t="s">
        <v>5677</v>
      </c>
      <c r="N1960" s="17"/>
      <c r="O1960" s="17"/>
      <c r="P1960" s="17"/>
      <c r="Q1960" s="17"/>
      <c r="R1960" s="17"/>
      <c r="S1960" s="17"/>
      <c r="T1960" s="17"/>
      <c r="U1960" s="17"/>
      <c r="V1960" s="17"/>
      <c r="W1960" s="17"/>
      <c r="X1960" s="17"/>
      <c r="Y1960" s="17"/>
      <c r="Z1960" s="17"/>
      <c r="AA1960" s="17"/>
      <c r="AB1960" s="17"/>
      <c r="AC1960" s="17"/>
      <c r="AD1960" s="17"/>
      <c r="AE1960" s="17"/>
      <c r="AF1960" s="17"/>
      <c r="AG1960" s="17"/>
      <c r="AH1960" s="17"/>
      <c r="AI1960" s="17"/>
      <c r="AJ1960" s="17"/>
      <c r="AK1960" s="17"/>
      <c r="AL1960" s="17"/>
      <c r="AM1960" s="17"/>
      <c r="AN1960" s="17"/>
      <c r="AO1960" s="17"/>
      <c r="AP1960" s="17"/>
      <c r="AQ1960" s="17"/>
      <c r="AR1960" s="17"/>
      <c r="AS1960" s="17"/>
      <c r="AT1960" s="17"/>
      <c r="AU1960" s="17"/>
    </row>
    <row r="1961" hidden="1">
      <c r="A1961" s="17">
        <v>1959</v>
      </c>
      <c r="B1961" s="17" t="s">
        <v>52</v>
      </c>
      <c r="C1961" s="25" t="s">
        <v>5696</v>
      </c>
      <c r="D1961" s="35" t="s">
        <v>5571</v>
      </c>
      <c r="E1961" s="17" t="s">
        <v>5697</v>
      </c>
      <c r="F1961" s="17" t="s">
        <v>5698</v>
      </c>
      <c r="G1961" s="17">
        <v>22.105246000000001</v>
      </c>
      <c r="H1961" s="17">
        <v>87.0989</v>
      </c>
      <c r="I1961" s="17"/>
      <c r="J1961" s="17"/>
      <c r="K1961" s="17"/>
      <c r="L1961" s="17"/>
      <c r="M1961" s="43" t="s">
        <v>5677</v>
      </c>
      <c r="N1961" s="17"/>
      <c r="O1961" s="17"/>
      <c r="P1961" s="17"/>
      <c r="Q1961" s="17"/>
      <c r="R1961" s="17"/>
      <c r="S1961" s="17"/>
      <c r="T1961" s="17"/>
      <c r="U1961" s="17"/>
      <c r="V1961" s="17"/>
      <c r="W1961" s="17"/>
      <c r="X1961" s="17"/>
      <c r="Y1961" s="17"/>
      <c r="Z1961" s="17"/>
      <c r="AA1961" s="17"/>
      <c r="AB1961" s="17"/>
      <c r="AC1961" s="17"/>
      <c r="AD1961" s="17"/>
      <c r="AE1961" s="17"/>
      <c r="AF1961" s="17"/>
      <c r="AG1961" s="17"/>
      <c r="AH1961" s="17"/>
      <c r="AI1961" s="17"/>
      <c r="AJ1961" s="17"/>
      <c r="AK1961" s="17"/>
      <c r="AL1961" s="17"/>
      <c r="AM1961" s="17"/>
      <c r="AN1961" s="17"/>
      <c r="AO1961" s="17"/>
      <c r="AP1961" s="17"/>
      <c r="AQ1961" s="17"/>
      <c r="AR1961" s="17"/>
      <c r="AS1961" s="17"/>
      <c r="AT1961" s="17"/>
      <c r="AU1961" s="17"/>
    </row>
    <row r="1962" hidden="1">
      <c r="A1962" s="17">
        <v>1960</v>
      </c>
      <c r="B1962" s="17" t="s">
        <v>52</v>
      </c>
      <c r="C1962" s="25" t="s">
        <v>5699</v>
      </c>
      <c r="D1962" s="35" t="s">
        <v>5571</v>
      </c>
      <c r="E1962" s="17" t="s">
        <v>5700</v>
      </c>
      <c r="F1962" s="17" t="s">
        <v>5701</v>
      </c>
      <c r="G1962" s="17">
        <v>21.964116000000001</v>
      </c>
      <c r="H1962" s="17">
        <v>87.132277999999999</v>
      </c>
      <c r="I1962" s="17"/>
      <c r="J1962" s="17"/>
      <c r="K1962" s="17"/>
      <c r="L1962" s="17"/>
      <c r="M1962" s="43" t="s">
        <v>5677</v>
      </c>
      <c r="N1962" s="17"/>
      <c r="O1962" s="17"/>
      <c r="P1962" s="17"/>
      <c r="Q1962" s="17"/>
      <c r="R1962" s="17"/>
      <c r="S1962" s="17"/>
      <c r="T1962" s="17"/>
      <c r="U1962" s="17"/>
      <c r="V1962" s="17"/>
      <c r="W1962" s="17"/>
      <c r="X1962" s="17"/>
      <c r="Y1962" s="17"/>
      <c r="Z1962" s="17"/>
      <c r="AA1962" s="17"/>
      <c r="AB1962" s="17"/>
      <c r="AC1962" s="17"/>
      <c r="AD1962" s="17"/>
      <c r="AE1962" s="17"/>
      <c r="AF1962" s="17"/>
      <c r="AG1962" s="17"/>
      <c r="AH1962" s="17"/>
      <c r="AI1962" s="17"/>
      <c r="AJ1962" s="17"/>
      <c r="AK1962" s="17"/>
      <c r="AL1962" s="17"/>
      <c r="AM1962" s="17"/>
      <c r="AN1962" s="17"/>
      <c r="AO1962" s="17"/>
      <c r="AP1962" s="17"/>
      <c r="AQ1962" s="17"/>
      <c r="AR1962" s="17"/>
      <c r="AS1962" s="17"/>
      <c r="AT1962" s="17"/>
      <c r="AU1962" s="17"/>
    </row>
    <row r="1963" hidden="1">
      <c r="A1963" s="17">
        <v>1961</v>
      </c>
      <c r="B1963" s="17" t="s">
        <v>52</v>
      </c>
      <c r="C1963" s="25" t="s">
        <v>5702</v>
      </c>
      <c r="D1963" s="35" t="s">
        <v>5571</v>
      </c>
      <c r="E1963" s="17" t="s">
        <v>5703</v>
      </c>
      <c r="F1963" s="17" t="s">
        <v>5704</v>
      </c>
      <c r="G1963" s="17">
        <v>22.026910999999998</v>
      </c>
      <c r="H1963" s="17">
        <v>87.120498999999995</v>
      </c>
      <c r="I1963" s="17"/>
      <c r="J1963" s="17"/>
      <c r="K1963" s="17"/>
      <c r="L1963" s="17"/>
      <c r="M1963" s="43" t="s">
        <v>5677</v>
      </c>
      <c r="N1963" s="17"/>
      <c r="O1963" s="17"/>
      <c r="P1963" s="17"/>
      <c r="Q1963" s="17"/>
      <c r="R1963" s="17"/>
      <c r="S1963" s="17"/>
      <c r="T1963" s="17"/>
      <c r="U1963" s="17"/>
      <c r="V1963" s="17"/>
      <c r="W1963" s="17"/>
      <c r="X1963" s="17"/>
      <c r="Y1963" s="17"/>
      <c r="Z1963" s="17"/>
      <c r="AA1963" s="17"/>
      <c r="AB1963" s="17"/>
      <c r="AC1963" s="17"/>
      <c r="AD1963" s="17"/>
      <c r="AE1963" s="17"/>
      <c r="AF1963" s="17"/>
      <c r="AG1963" s="17"/>
      <c r="AH1963" s="17"/>
      <c r="AI1963" s="17"/>
      <c r="AJ1963" s="17"/>
      <c r="AK1963" s="17"/>
      <c r="AL1963" s="17"/>
      <c r="AM1963" s="17"/>
      <c r="AN1963" s="17"/>
      <c r="AO1963" s="17"/>
      <c r="AP1963" s="17"/>
      <c r="AQ1963" s="17"/>
      <c r="AR1963" s="17"/>
      <c r="AS1963" s="17"/>
      <c r="AT1963" s="17"/>
      <c r="AU1963" s="17"/>
    </row>
    <row r="1964" hidden="1">
      <c r="A1964" s="17">
        <v>1962</v>
      </c>
      <c r="B1964" s="17" t="s">
        <v>52</v>
      </c>
      <c r="C1964" s="25" t="s">
        <v>5705</v>
      </c>
      <c r="D1964" s="35" t="s">
        <v>5571</v>
      </c>
      <c r="E1964" s="17" t="s">
        <v>5706</v>
      </c>
      <c r="F1964" s="17" t="s">
        <v>5707</v>
      </c>
      <c r="G1964" s="17">
        <v>22.526976000000001</v>
      </c>
      <c r="H1964" s="17">
        <v>87.058701999999997</v>
      </c>
      <c r="I1964" s="17"/>
      <c r="J1964" s="17"/>
      <c r="K1964" s="17"/>
      <c r="L1964" s="17"/>
      <c r="M1964" s="43" t="s">
        <v>4347</v>
      </c>
      <c r="N1964" s="17"/>
      <c r="O1964" s="17"/>
      <c r="P1964" s="17"/>
      <c r="Q1964" s="17"/>
      <c r="R1964" s="17"/>
      <c r="S1964" s="17"/>
      <c r="T1964" s="17"/>
      <c r="U1964" s="17"/>
      <c r="V1964" s="17"/>
      <c r="W1964" s="17"/>
      <c r="X1964" s="17"/>
      <c r="Y1964" s="17"/>
      <c r="Z1964" s="17"/>
      <c r="AA1964" s="17"/>
      <c r="AB1964" s="17"/>
      <c r="AC1964" s="17"/>
      <c r="AD1964" s="17"/>
      <c r="AE1964" s="17"/>
      <c r="AF1964" s="17"/>
      <c r="AG1964" s="17"/>
      <c r="AH1964" s="17"/>
      <c r="AI1964" s="17"/>
      <c r="AJ1964" s="17"/>
      <c r="AK1964" s="17"/>
      <c r="AL1964" s="17"/>
      <c r="AM1964" s="17"/>
      <c r="AN1964" s="17"/>
      <c r="AO1964" s="17"/>
      <c r="AP1964" s="17"/>
      <c r="AQ1964" s="17"/>
      <c r="AR1964" s="17"/>
      <c r="AS1964" s="17"/>
      <c r="AT1964" s="17"/>
      <c r="AU1964" s="17"/>
    </row>
    <row r="1965" hidden="1">
      <c r="A1965" s="17">
        <v>1963</v>
      </c>
      <c r="B1965" s="17" t="s">
        <v>52</v>
      </c>
      <c r="C1965" s="25" t="s">
        <v>5708</v>
      </c>
      <c r="D1965" s="35" t="s">
        <v>5571</v>
      </c>
      <c r="E1965" s="17" t="s">
        <v>5709</v>
      </c>
      <c r="F1965" s="17" t="s">
        <v>5710</v>
      </c>
      <c r="G1965" s="17">
        <v>22.610417999999999</v>
      </c>
      <c r="H1965" s="17">
        <v>87.037110999999996</v>
      </c>
      <c r="I1965" s="17"/>
      <c r="J1965" s="17"/>
      <c r="K1965" s="17"/>
      <c r="L1965" s="17"/>
      <c r="M1965" s="43" t="s">
        <v>4347</v>
      </c>
      <c r="N1965" s="17"/>
      <c r="O1965" s="17"/>
      <c r="P1965" s="17"/>
      <c r="Q1965" s="17"/>
      <c r="R1965" s="17"/>
      <c r="S1965" s="17"/>
      <c r="T1965" s="17"/>
      <c r="U1965" s="17"/>
      <c r="V1965" s="17"/>
      <c r="W1965" s="17"/>
      <c r="X1965" s="17"/>
      <c r="Y1965" s="17"/>
      <c r="Z1965" s="17"/>
      <c r="AA1965" s="17"/>
      <c r="AB1965" s="17"/>
      <c r="AC1965" s="17"/>
      <c r="AD1965" s="17"/>
      <c r="AE1965" s="17"/>
      <c r="AF1965" s="17"/>
      <c r="AG1965" s="17"/>
      <c r="AH1965" s="17"/>
      <c r="AI1965" s="17"/>
      <c r="AJ1965" s="17"/>
      <c r="AK1965" s="17"/>
      <c r="AL1965" s="17"/>
      <c r="AM1965" s="17"/>
      <c r="AN1965" s="17"/>
      <c r="AO1965" s="17"/>
      <c r="AP1965" s="17"/>
      <c r="AQ1965" s="17"/>
      <c r="AR1965" s="17"/>
      <c r="AS1965" s="17"/>
      <c r="AT1965" s="17"/>
      <c r="AU1965" s="17"/>
    </row>
    <row r="1966" hidden="1">
      <c r="A1966" s="17">
        <v>1964</v>
      </c>
      <c r="B1966" s="17" t="s">
        <v>52</v>
      </c>
      <c r="C1966" s="25" t="s">
        <v>5711</v>
      </c>
      <c r="D1966" s="35" t="s">
        <v>5571</v>
      </c>
      <c r="E1966" s="17" t="s">
        <v>5712</v>
      </c>
      <c r="F1966" s="17" t="s">
        <v>5713</v>
      </c>
      <c r="G1966" s="17">
        <v>22.553965999999999</v>
      </c>
      <c r="H1966" s="17">
        <v>87.043734000000001</v>
      </c>
      <c r="I1966" s="17"/>
      <c r="J1966" s="17"/>
      <c r="K1966" s="17"/>
      <c r="L1966" s="17"/>
      <c r="M1966" s="43" t="s">
        <v>4347</v>
      </c>
      <c r="N1966" s="17"/>
      <c r="O1966" s="17"/>
      <c r="P1966" s="17"/>
      <c r="Q1966" s="17"/>
      <c r="R1966" s="17"/>
      <c r="S1966" s="17"/>
      <c r="T1966" s="17"/>
      <c r="U1966" s="17"/>
      <c r="V1966" s="17"/>
      <c r="W1966" s="17"/>
      <c r="X1966" s="17"/>
      <c r="Y1966" s="17"/>
      <c r="Z1966" s="17"/>
      <c r="AA1966" s="17"/>
      <c r="AB1966" s="17"/>
      <c r="AC1966" s="17"/>
      <c r="AD1966" s="17"/>
      <c r="AE1966" s="17"/>
      <c r="AF1966" s="17"/>
      <c r="AG1966" s="17"/>
      <c r="AH1966" s="17"/>
      <c r="AI1966" s="17"/>
      <c r="AJ1966" s="17"/>
      <c r="AK1966" s="17"/>
      <c r="AL1966" s="17"/>
      <c r="AM1966" s="17"/>
      <c r="AN1966" s="17"/>
      <c r="AO1966" s="17"/>
      <c r="AP1966" s="17"/>
      <c r="AQ1966" s="17"/>
      <c r="AR1966" s="17"/>
      <c r="AS1966" s="17"/>
      <c r="AT1966" s="17"/>
      <c r="AU1966" s="17"/>
    </row>
    <row r="1967" hidden="1">
      <c r="A1967" s="17">
        <v>1965</v>
      </c>
      <c r="B1967" s="17" t="s">
        <v>52</v>
      </c>
      <c r="C1967" s="25" t="s">
        <v>5714</v>
      </c>
      <c r="D1967" s="35" t="s">
        <v>5571</v>
      </c>
      <c r="E1967" s="17" t="s">
        <v>5715</v>
      </c>
      <c r="F1967" s="17" t="s">
        <v>5716</v>
      </c>
      <c r="G1967" s="17">
        <v>22.692616000000001</v>
      </c>
      <c r="H1967" s="17">
        <v>87.056607999999997</v>
      </c>
      <c r="I1967" s="17"/>
      <c r="J1967" s="17"/>
      <c r="K1967" s="17"/>
      <c r="L1967" s="17"/>
      <c r="M1967" s="43" t="s">
        <v>4347</v>
      </c>
      <c r="N1967" s="17"/>
      <c r="O1967" s="17"/>
      <c r="P1967" s="17"/>
      <c r="Q1967" s="17"/>
      <c r="R1967" s="17"/>
      <c r="S1967" s="17"/>
      <c r="T1967" s="17"/>
      <c r="U1967" s="17"/>
      <c r="V1967" s="17"/>
      <c r="W1967" s="17"/>
      <c r="X1967" s="17"/>
      <c r="Y1967" s="17"/>
      <c r="Z1967" s="17"/>
      <c r="AA1967" s="17"/>
      <c r="AB1967" s="17"/>
      <c r="AC1967" s="17"/>
      <c r="AD1967" s="17"/>
      <c r="AE1967" s="17"/>
      <c r="AF1967" s="17"/>
      <c r="AG1967" s="17"/>
      <c r="AH1967" s="17"/>
      <c r="AI1967" s="17"/>
      <c r="AJ1967" s="17"/>
      <c r="AK1967" s="17"/>
      <c r="AL1967" s="17"/>
      <c r="AM1967" s="17"/>
      <c r="AN1967" s="17"/>
      <c r="AO1967" s="17"/>
      <c r="AP1967" s="17"/>
      <c r="AQ1967" s="17"/>
      <c r="AR1967" s="17"/>
      <c r="AS1967" s="17"/>
      <c r="AT1967" s="17"/>
      <c r="AU1967" s="17"/>
    </row>
    <row r="1968" hidden="1">
      <c r="A1968" s="17">
        <v>1966</v>
      </c>
      <c r="B1968" s="17" t="s">
        <v>52</v>
      </c>
      <c r="C1968" s="25" t="s">
        <v>5717</v>
      </c>
      <c r="D1968" s="35" t="s">
        <v>5571</v>
      </c>
      <c r="E1968" s="17" t="s">
        <v>5718</v>
      </c>
      <c r="F1968" s="17" t="s">
        <v>5719</v>
      </c>
      <c r="G1968" s="17">
        <v>22.642935000000001</v>
      </c>
      <c r="H1968" s="17">
        <v>87.037146000000007</v>
      </c>
      <c r="I1968" s="17"/>
      <c r="J1968" s="17"/>
      <c r="K1968" s="17"/>
      <c r="L1968" s="17"/>
      <c r="M1968" s="43" t="s">
        <v>4347</v>
      </c>
      <c r="N1968" s="17"/>
      <c r="O1968" s="17"/>
      <c r="P1968" s="17"/>
      <c r="Q1968" s="17"/>
      <c r="R1968" s="17"/>
      <c r="S1968" s="17"/>
      <c r="T1968" s="17"/>
      <c r="U1968" s="17"/>
      <c r="V1968" s="17"/>
      <c r="W1968" s="17"/>
      <c r="X1968" s="17"/>
      <c r="Y1968" s="17"/>
      <c r="Z1968" s="17"/>
      <c r="AA1968" s="17"/>
      <c r="AB1968" s="17"/>
      <c r="AC1968" s="17"/>
      <c r="AD1968" s="17"/>
      <c r="AE1968" s="17"/>
      <c r="AF1968" s="17"/>
      <c r="AG1968" s="17"/>
      <c r="AH1968" s="17"/>
      <c r="AI1968" s="17"/>
      <c r="AJ1968" s="17"/>
      <c r="AK1968" s="17"/>
      <c r="AL1968" s="17"/>
      <c r="AM1968" s="17"/>
      <c r="AN1968" s="17"/>
      <c r="AO1968" s="17"/>
      <c r="AP1968" s="17"/>
      <c r="AQ1968" s="17"/>
      <c r="AR1968" s="17"/>
      <c r="AS1968" s="17"/>
      <c r="AT1968" s="17"/>
      <c r="AU1968" s="17"/>
    </row>
    <row r="1969" hidden="1">
      <c r="A1969" s="17">
        <v>1967</v>
      </c>
      <c r="B1969" s="17" t="s">
        <v>52</v>
      </c>
      <c r="C1969" s="25" t="s">
        <v>5720</v>
      </c>
      <c r="D1969" s="35" t="s">
        <v>5571</v>
      </c>
      <c r="E1969" s="17" t="s">
        <v>5721</v>
      </c>
      <c r="F1969" s="17" t="s">
        <v>5722</v>
      </c>
      <c r="G1969" s="17">
        <v>22.350733000000002</v>
      </c>
      <c r="H1969" s="17">
        <v>87.086708000000002</v>
      </c>
      <c r="I1969" s="17"/>
      <c r="J1969" s="17"/>
      <c r="K1969" s="17"/>
      <c r="L1969" s="17"/>
      <c r="M1969" s="43" t="s">
        <v>5723</v>
      </c>
      <c r="N1969" s="17" t="s">
        <v>5724</v>
      </c>
      <c r="O1969" s="17"/>
      <c r="P1969" s="17"/>
      <c r="Q1969" s="17"/>
      <c r="R1969" s="17"/>
      <c r="S1969" s="17"/>
      <c r="T1969" s="17"/>
      <c r="U1969" s="17"/>
      <c r="V1969" s="17"/>
      <c r="W1969" s="17"/>
      <c r="X1969" s="17"/>
      <c r="Y1969" s="17"/>
      <c r="Z1969" s="17"/>
      <c r="AA1969" s="17"/>
      <c r="AB1969" s="17"/>
      <c r="AC1969" s="17"/>
      <c r="AD1969" s="17"/>
      <c r="AE1969" s="17"/>
      <c r="AF1969" s="17"/>
      <c r="AG1969" s="17"/>
      <c r="AH1969" s="17"/>
      <c r="AI1969" s="17"/>
      <c r="AJ1969" s="17"/>
      <c r="AK1969" s="17"/>
      <c r="AL1969" s="17"/>
      <c r="AM1969" s="17"/>
      <c r="AN1969" s="17"/>
      <c r="AO1969" s="17"/>
      <c r="AP1969" s="17"/>
      <c r="AQ1969" s="17"/>
      <c r="AR1969" s="17"/>
      <c r="AS1969" s="17"/>
      <c r="AT1969" s="17"/>
      <c r="AU1969" s="17"/>
    </row>
    <row r="1970" hidden="1">
      <c r="A1970" s="17">
        <v>1968</v>
      </c>
      <c r="B1970" s="17" t="s">
        <v>52</v>
      </c>
      <c r="C1970" s="25" t="s">
        <v>5725</v>
      </c>
      <c r="D1970" s="35" t="s">
        <v>5571</v>
      </c>
      <c r="E1970" s="17" t="s">
        <v>5726</v>
      </c>
      <c r="F1970" s="17" t="s">
        <v>5727</v>
      </c>
      <c r="G1970" s="17">
        <v>22.297771000000001</v>
      </c>
      <c r="H1970" s="17">
        <v>87.075490000000002</v>
      </c>
      <c r="I1970" s="17"/>
      <c r="J1970" s="17"/>
      <c r="K1970" s="17"/>
      <c r="L1970" s="17"/>
      <c r="M1970" s="43" t="s">
        <v>5723</v>
      </c>
      <c r="N1970" s="17"/>
      <c r="O1970" s="17"/>
      <c r="P1970" s="17"/>
      <c r="Q1970" s="17"/>
      <c r="R1970" s="17"/>
      <c r="S1970" s="17"/>
      <c r="T1970" s="17"/>
      <c r="U1970" s="17"/>
      <c r="V1970" s="17"/>
      <c r="W1970" s="17"/>
      <c r="X1970" s="17"/>
      <c r="Y1970" s="17"/>
      <c r="Z1970" s="17"/>
      <c r="AA1970" s="17"/>
      <c r="AB1970" s="17"/>
      <c r="AC1970" s="17"/>
      <c r="AD1970" s="17"/>
      <c r="AE1970" s="17"/>
      <c r="AF1970" s="17"/>
      <c r="AG1970" s="17"/>
      <c r="AH1970" s="17"/>
      <c r="AI1970" s="17"/>
      <c r="AJ1970" s="17"/>
      <c r="AK1970" s="17"/>
      <c r="AL1970" s="17"/>
      <c r="AM1970" s="17"/>
      <c r="AN1970" s="17"/>
      <c r="AO1970" s="17"/>
      <c r="AP1970" s="17"/>
      <c r="AQ1970" s="17"/>
      <c r="AR1970" s="17"/>
      <c r="AS1970" s="17"/>
      <c r="AT1970" s="17"/>
      <c r="AU1970" s="17"/>
    </row>
    <row r="1971" hidden="1">
      <c r="A1971" s="17">
        <v>1969</v>
      </c>
      <c r="B1971" s="17" t="s">
        <v>52</v>
      </c>
      <c r="C1971" s="25" t="s">
        <v>5728</v>
      </c>
      <c r="D1971" s="35" t="s">
        <v>5571</v>
      </c>
      <c r="E1971" s="17" t="s">
        <v>5729</v>
      </c>
      <c r="F1971" s="17" t="s">
        <v>5730</v>
      </c>
      <c r="G1971" s="17">
        <v>22.54119</v>
      </c>
      <c r="H1971" s="17">
        <v>86.951933999999994</v>
      </c>
      <c r="I1971" s="17"/>
      <c r="J1971" s="17"/>
      <c r="K1971" s="17"/>
      <c r="L1971" s="17"/>
      <c r="M1971" s="43" t="s">
        <v>5731</v>
      </c>
      <c r="N1971" s="17">
        <v>6290820993</v>
      </c>
      <c r="O1971" s="17"/>
      <c r="P1971" s="17"/>
      <c r="Q1971" s="17"/>
      <c r="R1971" s="17"/>
      <c r="S1971" s="17"/>
      <c r="T1971" s="17"/>
      <c r="U1971" s="17"/>
      <c r="V1971" s="17"/>
      <c r="W1971" s="17"/>
      <c r="X1971" s="17"/>
      <c r="Y1971" s="17"/>
      <c r="Z1971" s="17"/>
      <c r="AA1971" s="17"/>
      <c r="AB1971" s="17"/>
      <c r="AC1971" s="17"/>
      <c r="AD1971" s="17"/>
      <c r="AE1971" s="17"/>
      <c r="AF1971" s="17"/>
      <c r="AG1971" s="17"/>
      <c r="AH1971" s="17"/>
      <c r="AI1971" s="17"/>
      <c r="AJ1971" s="17"/>
      <c r="AK1971" s="17"/>
      <c r="AL1971" s="17"/>
      <c r="AM1971" s="17"/>
      <c r="AN1971" s="17"/>
      <c r="AO1971" s="17"/>
      <c r="AP1971" s="17"/>
      <c r="AQ1971" s="17"/>
      <c r="AR1971" s="17"/>
      <c r="AS1971" s="17"/>
      <c r="AT1971" s="17"/>
      <c r="AU1971" s="17"/>
    </row>
    <row r="1972" hidden="1">
      <c r="A1972" s="17">
        <v>1970</v>
      </c>
      <c r="B1972" s="17" t="s">
        <v>52</v>
      </c>
      <c r="C1972" s="25" t="s">
        <v>5732</v>
      </c>
      <c r="D1972" s="35" t="s">
        <v>5571</v>
      </c>
      <c r="E1972" s="17" t="s">
        <v>5733</v>
      </c>
      <c r="F1972" s="17" t="s">
        <v>5734</v>
      </c>
      <c r="G1972" s="17">
        <v>22.599088999999999</v>
      </c>
      <c r="H1972" s="17">
        <v>86.907207</v>
      </c>
      <c r="I1972" s="17"/>
      <c r="J1972" s="17"/>
      <c r="K1972" s="17"/>
      <c r="L1972" s="17"/>
      <c r="M1972" s="43" t="s">
        <v>5731</v>
      </c>
      <c r="N1972" s="17"/>
      <c r="O1972" s="17"/>
      <c r="P1972" s="17"/>
      <c r="Q1972" s="17"/>
      <c r="R1972" s="17"/>
      <c r="S1972" s="17"/>
      <c r="T1972" s="17"/>
      <c r="U1972" s="17"/>
      <c r="V1972" s="17"/>
      <c r="W1972" s="17"/>
      <c r="X1972" s="17"/>
      <c r="Y1972" s="17"/>
      <c r="Z1972" s="17"/>
      <c r="AA1972" s="17"/>
      <c r="AB1972" s="17"/>
      <c r="AC1972" s="17"/>
      <c r="AD1972" s="17"/>
      <c r="AE1972" s="17"/>
      <c r="AF1972" s="17"/>
      <c r="AG1972" s="17"/>
      <c r="AH1972" s="17"/>
      <c r="AI1972" s="17"/>
      <c r="AJ1972" s="17"/>
      <c r="AK1972" s="17"/>
      <c r="AL1972" s="17"/>
      <c r="AM1972" s="17"/>
      <c r="AN1972" s="17"/>
      <c r="AO1972" s="17"/>
      <c r="AP1972" s="17"/>
      <c r="AQ1972" s="17"/>
      <c r="AR1972" s="17"/>
      <c r="AS1972" s="17"/>
      <c r="AT1972" s="17"/>
      <c r="AU1972" s="17"/>
    </row>
    <row r="1973" hidden="1">
      <c r="A1973" s="17">
        <v>1971</v>
      </c>
      <c r="B1973" s="17" t="s">
        <v>52</v>
      </c>
      <c r="C1973" s="25" t="s">
        <v>5735</v>
      </c>
      <c r="D1973" s="35" t="s">
        <v>5571</v>
      </c>
      <c r="E1973" s="17" t="s">
        <v>5736</v>
      </c>
      <c r="F1973" s="17" t="s">
        <v>5737</v>
      </c>
      <c r="G1973" s="17">
        <v>22.520104</v>
      </c>
      <c r="H1973" s="17">
        <v>86.87473</v>
      </c>
      <c r="I1973" s="17"/>
      <c r="J1973" s="17"/>
      <c r="K1973" s="17"/>
      <c r="L1973" s="17"/>
      <c r="M1973" s="43" t="s">
        <v>5731</v>
      </c>
      <c r="N1973" s="17"/>
      <c r="O1973" s="17"/>
      <c r="P1973" s="17"/>
      <c r="Q1973" s="17"/>
      <c r="R1973" s="17"/>
      <c r="S1973" s="17"/>
      <c r="T1973" s="17"/>
      <c r="U1973" s="17"/>
      <c r="V1973" s="17"/>
      <c r="W1973" s="17"/>
      <c r="X1973" s="17"/>
      <c r="Y1973" s="17"/>
      <c r="Z1973" s="17"/>
      <c r="AA1973" s="17"/>
      <c r="AB1973" s="17"/>
      <c r="AC1973" s="17"/>
      <c r="AD1973" s="17"/>
      <c r="AE1973" s="17"/>
      <c r="AF1973" s="17"/>
      <c r="AG1973" s="17"/>
      <c r="AH1973" s="17"/>
      <c r="AI1973" s="17"/>
      <c r="AJ1973" s="17"/>
      <c r="AK1973" s="17"/>
      <c r="AL1973" s="17"/>
      <c r="AM1973" s="17"/>
      <c r="AN1973" s="17"/>
      <c r="AO1973" s="17"/>
      <c r="AP1973" s="17"/>
      <c r="AQ1973" s="17"/>
      <c r="AR1973" s="17"/>
      <c r="AS1973" s="17"/>
      <c r="AT1973" s="17"/>
      <c r="AU1973" s="17"/>
    </row>
    <row r="1974" hidden="1">
      <c r="A1974" s="17">
        <v>1972</v>
      </c>
      <c r="B1974" s="17" t="s">
        <v>52</v>
      </c>
      <c r="C1974" s="25" t="s">
        <v>5738</v>
      </c>
      <c r="D1974" s="35" t="s">
        <v>5571</v>
      </c>
      <c r="E1974" s="17" t="s">
        <v>5739</v>
      </c>
      <c r="F1974" s="17" t="s">
        <v>5740</v>
      </c>
      <c r="G1974" s="17">
        <v>22.610592</v>
      </c>
      <c r="H1974" s="17">
        <v>86.942317000000003</v>
      </c>
      <c r="I1974" s="17"/>
      <c r="J1974" s="17"/>
      <c r="K1974" s="17"/>
      <c r="L1974" s="17"/>
      <c r="M1974" s="43" t="s">
        <v>5731</v>
      </c>
      <c r="N1974" s="17"/>
      <c r="O1974" s="17"/>
      <c r="P1974" s="17"/>
      <c r="Q1974" s="17"/>
      <c r="R1974" s="17"/>
      <c r="S1974" s="17"/>
      <c r="T1974" s="17"/>
      <c r="U1974" s="17"/>
      <c r="V1974" s="17"/>
      <c r="W1974" s="17"/>
      <c r="X1974" s="17"/>
      <c r="Y1974" s="17"/>
      <c r="Z1974" s="17"/>
      <c r="AA1974" s="17"/>
      <c r="AB1974" s="17"/>
      <c r="AC1974" s="17"/>
      <c r="AD1974" s="17"/>
      <c r="AE1974" s="17"/>
      <c r="AF1974" s="17"/>
      <c r="AG1974" s="17"/>
      <c r="AH1974" s="17"/>
      <c r="AI1974" s="17"/>
      <c r="AJ1974" s="17"/>
      <c r="AK1974" s="17"/>
      <c r="AL1974" s="17"/>
      <c r="AM1974" s="17"/>
      <c r="AN1974" s="17"/>
      <c r="AO1974" s="17"/>
      <c r="AP1974" s="17"/>
      <c r="AQ1974" s="17"/>
      <c r="AR1974" s="17"/>
      <c r="AS1974" s="17"/>
      <c r="AT1974" s="17"/>
      <c r="AU1974" s="17"/>
    </row>
    <row r="1975" hidden="1">
      <c r="A1975" s="17">
        <v>1973</v>
      </c>
      <c r="B1975" s="17" t="s">
        <v>52</v>
      </c>
      <c r="C1975" s="25" t="s">
        <v>5741</v>
      </c>
      <c r="D1975" s="35" t="s">
        <v>5571</v>
      </c>
      <c r="E1975" s="17" t="s">
        <v>5742</v>
      </c>
      <c r="F1975" s="17" t="s">
        <v>5743</v>
      </c>
      <c r="G1975" s="17">
        <v>22.580897</v>
      </c>
      <c r="H1975" s="17">
        <v>86.964900999999998</v>
      </c>
      <c r="I1975" s="17"/>
      <c r="J1975" s="17"/>
      <c r="K1975" s="17"/>
      <c r="L1975" s="17"/>
      <c r="M1975" s="43" t="s">
        <v>5731</v>
      </c>
      <c r="N1975" s="17"/>
      <c r="O1975" s="17"/>
      <c r="P1975" s="17"/>
      <c r="Q1975" s="17"/>
      <c r="R1975" s="17"/>
      <c r="S1975" s="17"/>
      <c r="T1975" s="17"/>
      <c r="U1975" s="17"/>
      <c r="V1975" s="17"/>
      <c r="W1975" s="17"/>
      <c r="X1975" s="17"/>
      <c r="Y1975" s="17"/>
      <c r="Z1975" s="17"/>
      <c r="AA1975" s="17"/>
      <c r="AB1975" s="17"/>
      <c r="AC1975" s="17"/>
      <c r="AD1975" s="17"/>
      <c r="AE1975" s="17"/>
      <c r="AF1975" s="17"/>
      <c r="AG1975" s="17"/>
      <c r="AH1975" s="17"/>
      <c r="AI1975" s="17"/>
      <c r="AJ1975" s="17"/>
      <c r="AK1975" s="17"/>
      <c r="AL1975" s="17"/>
      <c r="AM1975" s="17"/>
      <c r="AN1975" s="17"/>
      <c r="AO1975" s="17"/>
      <c r="AP1975" s="17"/>
      <c r="AQ1975" s="17"/>
      <c r="AR1975" s="17"/>
      <c r="AS1975" s="17"/>
      <c r="AT1975" s="17"/>
      <c r="AU1975" s="17"/>
    </row>
    <row r="1976" hidden="1">
      <c r="A1976" s="17">
        <v>1974</v>
      </c>
      <c r="B1976" s="17" t="s">
        <v>52</v>
      </c>
      <c r="C1976" s="25" t="s">
        <v>5744</v>
      </c>
      <c r="D1976" s="35" t="s">
        <v>5571</v>
      </c>
      <c r="E1976" s="17" t="s">
        <v>5745</v>
      </c>
      <c r="F1976" s="17" t="s">
        <v>5746</v>
      </c>
      <c r="G1976" s="17">
        <v>22.544809000000001</v>
      </c>
      <c r="H1976" s="17">
        <v>86.998531</v>
      </c>
      <c r="I1976" s="17"/>
      <c r="J1976" s="17"/>
      <c r="K1976" s="17"/>
      <c r="L1976" s="17"/>
      <c r="M1976" s="43" t="s">
        <v>5731</v>
      </c>
      <c r="N1976" s="17"/>
      <c r="O1976" s="17"/>
      <c r="P1976" s="17"/>
      <c r="Q1976" s="17"/>
      <c r="R1976" s="17"/>
      <c r="S1976" s="17"/>
      <c r="T1976" s="17"/>
      <c r="U1976" s="17"/>
      <c r="V1976" s="17"/>
      <c r="W1976" s="17"/>
      <c r="X1976" s="17"/>
      <c r="Y1976" s="17"/>
      <c r="Z1976" s="17"/>
      <c r="AA1976" s="17"/>
      <c r="AB1976" s="17"/>
      <c r="AC1976" s="17"/>
      <c r="AD1976" s="17"/>
      <c r="AE1976" s="17"/>
      <c r="AF1976" s="17"/>
      <c r="AG1976" s="17"/>
      <c r="AH1976" s="17"/>
      <c r="AI1976" s="17"/>
      <c r="AJ1976" s="17"/>
      <c r="AK1976" s="17"/>
      <c r="AL1976" s="17"/>
      <c r="AM1976" s="17"/>
      <c r="AN1976" s="17"/>
      <c r="AO1976" s="17"/>
      <c r="AP1976" s="17"/>
      <c r="AQ1976" s="17"/>
      <c r="AR1976" s="17"/>
      <c r="AS1976" s="17"/>
      <c r="AT1976" s="17"/>
      <c r="AU1976" s="17"/>
    </row>
    <row r="1977" hidden="1">
      <c r="A1977" s="17">
        <v>1975</v>
      </c>
      <c r="B1977" s="17" t="s">
        <v>52</v>
      </c>
      <c r="C1977" s="25" t="s">
        <v>5747</v>
      </c>
      <c r="D1977" s="35" t="s">
        <v>5571</v>
      </c>
      <c r="E1977" s="17" t="s">
        <v>5748</v>
      </c>
      <c r="F1977" s="17" t="s">
        <v>5749</v>
      </c>
      <c r="G1977" s="17">
        <v>22.579073000000001</v>
      </c>
      <c r="H1977" s="17">
        <v>87.014139999999998</v>
      </c>
      <c r="I1977" s="17"/>
      <c r="J1977" s="17"/>
      <c r="K1977" s="17"/>
      <c r="L1977" s="17"/>
      <c r="M1977" s="43" t="s">
        <v>5731</v>
      </c>
      <c r="N1977" s="17"/>
      <c r="O1977" s="17"/>
      <c r="P1977" s="17"/>
      <c r="Q1977" s="17"/>
      <c r="R1977" s="17"/>
      <c r="S1977" s="17"/>
      <c r="T1977" s="17"/>
      <c r="U1977" s="17"/>
      <c r="V1977" s="17"/>
      <c r="W1977" s="17"/>
      <c r="X1977" s="17"/>
      <c r="Y1977" s="17"/>
      <c r="Z1977" s="17"/>
      <c r="AA1977" s="17"/>
      <c r="AB1977" s="17"/>
      <c r="AC1977" s="17"/>
      <c r="AD1977" s="17"/>
      <c r="AE1977" s="17"/>
      <c r="AF1977" s="17"/>
      <c r="AG1977" s="17"/>
      <c r="AH1977" s="17"/>
      <c r="AI1977" s="17"/>
      <c r="AJ1977" s="17"/>
      <c r="AK1977" s="17"/>
      <c r="AL1977" s="17"/>
      <c r="AM1977" s="17"/>
      <c r="AN1977" s="17"/>
      <c r="AO1977" s="17"/>
      <c r="AP1977" s="17"/>
      <c r="AQ1977" s="17"/>
      <c r="AR1977" s="17"/>
      <c r="AS1977" s="17"/>
      <c r="AT1977" s="17"/>
      <c r="AU1977" s="17"/>
    </row>
    <row r="1978" hidden="1">
      <c r="A1978" s="17">
        <v>1976</v>
      </c>
      <c r="B1978" s="17" t="s">
        <v>52</v>
      </c>
      <c r="C1978" s="25" t="s">
        <v>5750</v>
      </c>
      <c r="D1978" s="35" t="s">
        <v>5571</v>
      </c>
      <c r="E1978" s="17" t="s">
        <v>5751</v>
      </c>
      <c r="F1978" s="17" t="s">
        <v>5752</v>
      </c>
      <c r="G1978" s="17">
        <v>22.604787999999999</v>
      </c>
      <c r="H1978" s="17">
        <v>86.982864000000006</v>
      </c>
      <c r="I1978" s="17"/>
      <c r="J1978" s="17"/>
      <c r="K1978" s="17"/>
      <c r="L1978" s="17"/>
      <c r="M1978" s="43" t="s">
        <v>5731</v>
      </c>
      <c r="N1978" s="17"/>
      <c r="O1978" s="17"/>
      <c r="P1978" s="17"/>
      <c r="Q1978" s="17"/>
      <c r="R1978" s="17"/>
      <c r="S1978" s="17"/>
      <c r="T1978" s="17"/>
      <c r="U1978" s="17"/>
      <c r="V1978" s="17"/>
      <c r="W1978" s="17"/>
      <c r="X1978" s="17"/>
      <c r="Y1978" s="17"/>
      <c r="Z1978" s="17"/>
      <c r="AA1978" s="17"/>
      <c r="AB1978" s="17"/>
      <c r="AC1978" s="17"/>
      <c r="AD1978" s="17"/>
      <c r="AE1978" s="17"/>
      <c r="AF1978" s="17"/>
      <c r="AG1978" s="17"/>
      <c r="AH1978" s="17"/>
      <c r="AI1978" s="17"/>
      <c r="AJ1978" s="17"/>
      <c r="AK1978" s="17"/>
      <c r="AL1978" s="17"/>
      <c r="AM1978" s="17"/>
      <c r="AN1978" s="17"/>
      <c r="AO1978" s="17"/>
      <c r="AP1978" s="17"/>
      <c r="AQ1978" s="17"/>
      <c r="AR1978" s="17"/>
      <c r="AS1978" s="17"/>
      <c r="AT1978" s="17"/>
      <c r="AU1978" s="17"/>
    </row>
    <row r="1979" hidden="1">
      <c r="A1979" s="17">
        <v>1977</v>
      </c>
      <c r="B1979" s="17" t="s">
        <v>52</v>
      </c>
      <c r="C1979" s="25" t="s">
        <v>5753</v>
      </c>
      <c r="D1979" s="35" t="s">
        <v>5571</v>
      </c>
      <c r="E1979" s="17" t="s">
        <v>5754</v>
      </c>
      <c r="F1979" s="17" t="s">
        <v>5755</v>
      </c>
      <c r="G1979" s="17">
        <v>22.491436</v>
      </c>
      <c r="H1979" s="17">
        <v>86.816158000000001</v>
      </c>
      <c r="I1979" s="17"/>
      <c r="J1979" s="17"/>
      <c r="K1979" s="17"/>
      <c r="L1979" s="17"/>
      <c r="M1979" s="43" t="s">
        <v>5731</v>
      </c>
      <c r="N1979" s="17"/>
      <c r="O1979" s="17"/>
      <c r="P1979" s="17"/>
      <c r="Q1979" s="17"/>
      <c r="R1979" s="17"/>
      <c r="S1979" s="17"/>
      <c r="T1979" s="17"/>
      <c r="U1979" s="17"/>
      <c r="V1979" s="17"/>
      <c r="W1979" s="17"/>
      <c r="X1979" s="17"/>
      <c r="Y1979" s="17"/>
      <c r="Z1979" s="17"/>
      <c r="AA1979" s="17"/>
      <c r="AB1979" s="17"/>
      <c r="AC1979" s="17"/>
      <c r="AD1979" s="17"/>
      <c r="AE1979" s="17"/>
      <c r="AF1979" s="17"/>
      <c r="AG1979" s="17"/>
      <c r="AH1979" s="17"/>
      <c r="AI1979" s="17"/>
      <c r="AJ1979" s="17"/>
      <c r="AK1979" s="17"/>
      <c r="AL1979" s="17"/>
      <c r="AM1979" s="17"/>
      <c r="AN1979" s="17"/>
      <c r="AO1979" s="17"/>
      <c r="AP1979" s="17"/>
      <c r="AQ1979" s="17"/>
      <c r="AR1979" s="17"/>
      <c r="AS1979" s="17"/>
      <c r="AT1979" s="17"/>
      <c r="AU1979" s="17"/>
    </row>
    <row r="1980" hidden="1">
      <c r="A1980" s="17">
        <v>1978</v>
      </c>
      <c r="B1980" s="17" t="s">
        <v>52</v>
      </c>
      <c r="C1980" s="25" t="s">
        <v>5756</v>
      </c>
      <c r="D1980" s="35" t="s">
        <v>5571</v>
      </c>
      <c r="E1980" s="17" t="s">
        <v>5757</v>
      </c>
      <c r="F1980" s="17" t="s">
        <v>5758</v>
      </c>
      <c r="G1980" s="17">
        <v>22.431550000000001</v>
      </c>
      <c r="H1980" s="17">
        <v>86.863369000000006</v>
      </c>
      <c r="I1980" s="17"/>
      <c r="J1980" s="17"/>
      <c r="K1980" s="17"/>
      <c r="L1980" s="17"/>
      <c r="M1980" s="43" t="s">
        <v>5731</v>
      </c>
      <c r="N1980" s="17"/>
      <c r="O1980" s="17"/>
      <c r="P1980" s="17"/>
      <c r="Q1980" s="17"/>
      <c r="R1980" s="17"/>
      <c r="S1980" s="17"/>
      <c r="T1980" s="17"/>
      <c r="U1980" s="17"/>
      <c r="V1980" s="17"/>
      <c r="W1980" s="17"/>
      <c r="X1980" s="17"/>
      <c r="Y1980" s="17"/>
      <c r="Z1980" s="17"/>
      <c r="AA1980" s="17"/>
      <c r="AB1980" s="17"/>
      <c r="AC1980" s="17"/>
      <c r="AD1980" s="17"/>
      <c r="AE1980" s="17"/>
      <c r="AF1980" s="17"/>
      <c r="AG1980" s="17"/>
      <c r="AH1980" s="17"/>
      <c r="AI1980" s="17"/>
      <c r="AJ1980" s="17"/>
      <c r="AK1980" s="17"/>
      <c r="AL1980" s="17"/>
      <c r="AM1980" s="17"/>
      <c r="AN1980" s="17"/>
      <c r="AO1980" s="17"/>
      <c r="AP1980" s="17"/>
      <c r="AQ1980" s="17"/>
      <c r="AR1980" s="17"/>
      <c r="AS1980" s="17"/>
      <c r="AT1980" s="17"/>
      <c r="AU1980" s="17"/>
    </row>
    <row r="1981" hidden="1">
      <c r="A1981" s="17">
        <v>1979</v>
      </c>
      <c r="B1981" s="17" t="s">
        <v>52</v>
      </c>
      <c r="C1981" s="25" t="s">
        <v>5759</v>
      </c>
      <c r="D1981" s="35" t="s">
        <v>5571</v>
      </c>
      <c r="E1981" s="17"/>
      <c r="F1981" s="17"/>
      <c r="G1981" s="17"/>
      <c r="H1981" s="17"/>
      <c r="I1981" s="17"/>
      <c r="J1981" s="17"/>
      <c r="K1981" s="17"/>
      <c r="L1981" s="17"/>
      <c r="M1981" s="43" t="s">
        <v>5760</v>
      </c>
      <c r="N1981" s="17"/>
      <c r="O1981" s="17"/>
      <c r="P1981" s="17"/>
      <c r="Q1981" s="17"/>
      <c r="R1981" s="17"/>
      <c r="S1981" s="17"/>
      <c r="T1981" s="17"/>
      <c r="U1981" s="17"/>
      <c r="V1981" s="17"/>
      <c r="W1981" s="17"/>
      <c r="X1981" s="17"/>
      <c r="Y1981" s="17"/>
      <c r="Z1981" s="17"/>
      <c r="AA1981" s="17"/>
      <c r="AB1981" s="17"/>
      <c r="AC1981" s="17"/>
      <c r="AD1981" s="17"/>
      <c r="AE1981" s="17"/>
      <c r="AF1981" s="17"/>
      <c r="AG1981" s="17"/>
      <c r="AH1981" s="17"/>
      <c r="AI1981" s="17"/>
      <c r="AJ1981" s="17"/>
      <c r="AK1981" s="17"/>
      <c r="AL1981" s="17"/>
      <c r="AM1981" s="17"/>
      <c r="AN1981" s="17"/>
      <c r="AO1981" s="17"/>
      <c r="AP1981" s="17"/>
      <c r="AQ1981" s="17"/>
      <c r="AR1981" s="17"/>
      <c r="AS1981" s="17"/>
      <c r="AT1981" s="17"/>
      <c r="AU1981" s="17"/>
    </row>
    <row r="1982" hidden="1">
      <c r="A1982" s="17">
        <v>1980</v>
      </c>
      <c r="B1982" s="17" t="s">
        <v>52</v>
      </c>
      <c r="C1982" s="25" t="s">
        <v>5761</v>
      </c>
      <c r="D1982" s="35" t="s">
        <v>5571</v>
      </c>
      <c r="E1982" s="17" t="s">
        <v>5762</v>
      </c>
      <c r="F1982" s="17" t="s">
        <v>5763</v>
      </c>
      <c r="G1982" s="17">
        <v>22.203054999999999</v>
      </c>
      <c r="H1982" s="17">
        <v>87.010633999999996</v>
      </c>
      <c r="I1982" s="17"/>
      <c r="J1982" s="17"/>
      <c r="K1982" s="17"/>
      <c r="L1982" s="17"/>
      <c r="M1982" s="43" t="s">
        <v>5764</v>
      </c>
      <c r="N1982" s="17"/>
      <c r="O1982" s="17"/>
      <c r="P1982" s="17"/>
      <c r="Q1982" s="17"/>
      <c r="R1982" s="17"/>
      <c r="S1982" s="17"/>
      <c r="T1982" s="17"/>
      <c r="U1982" s="17"/>
      <c r="V1982" s="17"/>
      <c r="W1982" s="17"/>
      <c r="X1982" s="17"/>
      <c r="Y1982" s="17"/>
      <c r="Z1982" s="17"/>
      <c r="AA1982" s="17"/>
      <c r="AB1982" s="17"/>
      <c r="AC1982" s="17"/>
      <c r="AD1982" s="17"/>
      <c r="AE1982" s="17"/>
      <c r="AF1982" s="17"/>
      <c r="AG1982" s="17"/>
      <c r="AH1982" s="17"/>
      <c r="AI1982" s="17"/>
      <c r="AJ1982" s="17"/>
      <c r="AK1982" s="17"/>
      <c r="AL1982" s="17"/>
      <c r="AM1982" s="17"/>
      <c r="AN1982" s="17"/>
      <c r="AO1982" s="17"/>
      <c r="AP1982" s="17"/>
      <c r="AQ1982" s="17"/>
      <c r="AR1982" s="17"/>
      <c r="AS1982" s="17"/>
      <c r="AT1982" s="17"/>
      <c r="AU1982" s="17"/>
    </row>
    <row r="1983" hidden="1">
      <c r="A1983" s="17">
        <v>1981</v>
      </c>
      <c r="B1983" s="17" t="s">
        <v>52</v>
      </c>
      <c r="C1983" s="25" t="s">
        <v>5765</v>
      </c>
      <c r="D1983" s="35" t="s">
        <v>5571</v>
      </c>
      <c r="E1983" s="17" t="s">
        <v>5766</v>
      </c>
      <c r="F1983" s="17" t="s">
        <v>5767</v>
      </c>
      <c r="G1983" s="17">
        <v>22.276627000000001</v>
      </c>
      <c r="H1983" s="17">
        <v>87.169908000000007</v>
      </c>
      <c r="I1983" s="17"/>
      <c r="J1983" s="17"/>
      <c r="K1983" s="17"/>
      <c r="L1983" s="17"/>
      <c r="M1983" s="43" t="s">
        <v>5764</v>
      </c>
      <c r="N1983" s="17"/>
      <c r="O1983" s="17"/>
      <c r="P1983" s="17"/>
      <c r="Q1983" s="17"/>
      <c r="R1983" s="17"/>
      <c r="S1983" s="17"/>
      <c r="T1983" s="17"/>
      <c r="U1983" s="17"/>
      <c r="V1983" s="17"/>
      <c r="W1983" s="17"/>
      <c r="X1983" s="17"/>
      <c r="Y1983" s="17"/>
      <c r="Z1983" s="17"/>
      <c r="AA1983" s="17"/>
      <c r="AB1983" s="17"/>
      <c r="AC1983" s="17"/>
      <c r="AD1983" s="17"/>
      <c r="AE1983" s="17"/>
      <c r="AF1983" s="17"/>
      <c r="AG1983" s="17"/>
      <c r="AH1983" s="17"/>
      <c r="AI1983" s="17"/>
      <c r="AJ1983" s="17"/>
      <c r="AK1983" s="17"/>
      <c r="AL1983" s="17"/>
      <c r="AM1983" s="17"/>
      <c r="AN1983" s="17"/>
      <c r="AO1983" s="17"/>
      <c r="AP1983" s="17"/>
      <c r="AQ1983" s="17"/>
      <c r="AR1983" s="17"/>
      <c r="AS1983" s="17"/>
      <c r="AT1983" s="17"/>
      <c r="AU1983" s="17"/>
    </row>
    <row r="1984" hidden="1">
      <c r="A1984" s="17">
        <v>1982</v>
      </c>
      <c r="B1984" s="17" t="s">
        <v>52</v>
      </c>
      <c r="C1984" s="25" t="s">
        <v>5768</v>
      </c>
      <c r="D1984" s="35" t="s">
        <v>5571</v>
      </c>
      <c r="E1984" s="17" t="s">
        <v>5769</v>
      </c>
      <c r="F1984" s="17" t="s">
        <v>5770</v>
      </c>
      <c r="G1984" s="17">
        <v>22.208012</v>
      </c>
      <c r="H1984" s="17">
        <v>87.076541000000006</v>
      </c>
      <c r="I1984" s="17"/>
      <c r="J1984" s="17"/>
      <c r="K1984" s="17"/>
      <c r="L1984" s="17"/>
      <c r="M1984" s="43" t="s">
        <v>5764</v>
      </c>
      <c r="N1984" s="17"/>
      <c r="O1984" s="17"/>
      <c r="P1984" s="17"/>
      <c r="Q1984" s="17"/>
      <c r="R1984" s="17"/>
      <c r="S1984" s="17"/>
      <c r="T1984" s="17"/>
      <c r="U1984" s="17"/>
      <c r="V1984" s="17"/>
      <c r="W1984" s="17"/>
      <c r="X1984" s="17"/>
      <c r="Y1984" s="17"/>
      <c r="Z1984" s="17"/>
      <c r="AA1984" s="17"/>
      <c r="AB1984" s="17"/>
      <c r="AC1984" s="17"/>
      <c r="AD1984" s="17"/>
      <c r="AE1984" s="17"/>
      <c r="AF1984" s="17"/>
      <c r="AG1984" s="17"/>
      <c r="AH1984" s="17"/>
      <c r="AI1984" s="17"/>
      <c r="AJ1984" s="17"/>
      <c r="AK1984" s="17"/>
      <c r="AL1984" s="17"/>
      <c r="AM1984" s="17"/>
      <c r="AN1984" s="17"/>
      <c r="AO1984" s="17"/>
      <c r="AP1984" s="17"/>
      <c r="AQ1984" s="17"/>
      <c r="AR1984" s="17"/>
      <c r="AS1984" s="17"/>
      <c r="AT1984" s="17"/>
      <c r="AU1984" s="17"/>
    </row>
    <row r="1985" hidden="1">
      <c r="A1985" s="17">
        <v>1983</v>
      </c>
      <c r="B1985" s="17" t="s">
        <v>52</v>
      </c>
      <c r="C1985" s="25" t="s">
        <v>5771</v>
      </c>
      <c r="D1985" s="35" t="s">
        <v>5571</v>
      </c>
      <c r="E1985" s="17" t="s">
        <v>5772</v>
      </c>
      <c r="F1985" s="17" t="s">
        <v>5773</v>
      </c>
      <c r="G1985" s="17">
        <v>22.233452</v>
      </c>
      <c r="H1985" s="17">
        <v>87.101629000000003</v>
      </c>
      <c r="I1985" s="17"/>
      <c r="J1985" s="17"/>
      <c r="K1985" s="17"/>
      <c r="L1985" s="17"/>
      <c r="M1985" s="43" t="s">
        <v>5764</v>
      </c>
      <c r="N1985" s="17"/>
      <c r="O1985" s="17"/>
      <c r="P1985" s="17"/>
      <c r="Q1985" s="17"/>
      <c r="R1985" s="17"/>
      <c r="S1985" s="17"/>
      <c r="T1985" s="17"/>
      <c r="U1985" s="17"/>
      <c r="V1985" s="17"/>
      <c r="W1985" s="17"/>
      <c r="X1985" s="17"/>
      <c r="Y1985" s="17"/>
      <c r="Z1985" s="17"/>
      <c r="AA1985" s="17"/>
      <c r="AB1985" s="17"/>
      <c r="AC1985" s="17"/>
      <c r="AD1985" s="17"/>
      <c r="AE1985" s="17"/>
      <c r="AF1985" s="17"/>
      <c r="AG1985" s="17"/>
      <c r="AH1985" s="17"/>
      <c r="AI1985" s="17"/>
      <c r="AJ1985" s="17"/>
      <c r="AK1985" s="17"/>
      <c r="AL1985" s="17"/>
      <c r="AM1985" s="17"/>
      <c r="AN1985" s="17"/>
      <c r="AO1985" s="17"/>
      <c r="AP1985" s="17"/>
      <c r="AQ1985" s="17"/>
      <c r="AR1985" s="17"/>
      <c r="AS1985" s="17"/>
      <c r="AT1985" s="17"/>
      <c r="AU1985" s="17"/>
    </row>
    <row r="1986" hidden="1">
      <c r="A1986" s="17">
        <v>1984</v>
      </c>
      <c r="B1986" s="17" t="s">
        <v>52</v>
      </c>
      <c r="C1986" s="44" t="s">
        <v>5774</v>
      </c>
      <c r="D1986" s="35" t="s">
        <v>5571</v>
      </c>
      <c r="E1986" s="17" t="s">
        <v>5642</v>
      </c>
      <c r="F1986" s="17" t="s">
        <v>5775</v>
      </c>
      <c r="G1986" s="17">
        <v>22.199736999999999</v>
      </c>
      <c r="H1986" s="17">
        <v>87.142495999999994</v>
      </c>
      <c r="I1986" s="17"/>
      <c r="J1986" s="17"/>
      <c r="K1986" s="17"/>
      <c r="L1986" s="17"/>
      <c r="M1986" s="43" t="s">
        <v>5764</v>
      </c>
      <c r="N1986" s="17"/>
      <c r="O1986" s="17"/>
      <c r="P1986" s="17"/>
      <c r="Q1986" s="17"/>
      <c r="R1986" s="17"/>
      <c r="S1986" s="17"/>
      <c r="T1986" s="17"/>
      <c r="U1986" s="17"/>
      <c r="V1986" s="17"/>
      <c r="W1986" s="17"/>
      <c r="X1986" s="17"/>
      <c r="Y1986" s="17"/>
      <c r="Z1986" s="17"/>
      <c r="AA1986" s="17"/>
      <c r="AB1986" s="17"/>
      <c r="AC1986" s="17"/>
      <c r="AD1986" s="17"/>
      <c r="AE1986" s="17"/>
      <c r="AF1986" s="17"/>
      <c r="AG1986" s="17"/>
      <c r="AH1986" s="17"/>
      <c r="AI1986" s="17"/>
      <c r="AJ1986" s="17"/>
      <c r="AK1986" s="17"/>
      <c r="AL1986" s="17"/>
      <c r="AM1986" s="17"/>
      <c r="AN1986" s="17"/>
      <c r="AO1986" s="17"/>
      <c r="AP1986" s="17"/>
      <c r="AQ1986" s="17"/>
      <c r="AR1986" s="17"/>
      <c r="AS1986" s="17"/>
      <c r="AT1986" s="17"/>
      <c r="AU1986" s="17"/>
    </row>
    <row r="1987" hidden="1">
      <c r="A1987" s="17">
        <v>1985</v>
      </c>
      <c r="B1987" s="17" t="s">
        <v>52</v>
      </c>
      <c r="C1987" s="25" t="s">
        <v>5776</v>
      </c>
      <c r="D1987" s="35" t="s">
        <v>5571</v>
      </c>
      <c r="E1987" s="17" t="s">
        <v>5777</v>
      </c>
      <c r="F1987" s="17" t="s">
        <v>5778</v>
      </c>
      <c r="G1987" s="17">
        <v>22.204827999999999</v>
      </c>
      <c r="H1987" s="17">
        <v>87.027170999999996</v>
      </c>
      <c r="I1987" s="17"/>
      <c r="J1987" s="17"/>
      <c r="K1987" s="17"/>
      <c r="L1987" s="17"/>
      <c r="M1987" s="43" t="s">
        <v>5764</v>
      </c>
      <c r="N1987" s="17"/>
      <c r="O1987" s="17"/>
      <c r="P1987" s="17"/>
      <c r="Q1987" s="17"/>
      <c r="R1987" s="17"/>
      <c r="S1987" s="17"/>
      <c r="T1987" s="17"/>
      <c r="U1987" s="17"/>
      <c r="V1987" s="17"/>
      <c r="W1987" s="17"/>
      <c r="X1987" s="17"/>
      <c r="Y1987" s="17"/>
      <c r="Z1987" s="17"/>
      <c r="AA1987" s="17"/>
      <c r="AB1987" s="17"/>
      <c r="AC1987" s="17"/>
      <c r="AD1987" s="17"/>
      <c r="AE1987" s="17"/>
      <c r="AF1987" s="17"/>
      <c r="AG1987" s="17"/>
      <c r="AH1987" s="17"/>
      <c r="AI1987" s="17"/>
      <c r="AJ1987" s="17"/>
      <c r="AK1987" s="17"/>
      <c r="AL1987" s="17"/>
      <c r="AM1987" s="17"/>
      <c r="AN1987" s="17"/>
      <c r="AO1987" s="17"/>
      <c r="AP1987" s="17"/>
      <c r="AQ1987" s="17"/>
      <c r="AR1987" s="17"/>
      <c r="AS1987" s="17"/>
      <c r="AT1987" s="17"/>
      <c r="AU1987" s="17"/>
    </row>
    <row r="1988" hidden="1">
      <c r="A1988" s="17">
        <v>1986</v>
      </c>
      <c r="B1988" s="17" t="s">
        <v>52</v>
      </c>
      <c r="C1988" s="25" t="s">
        <v>5779</v>
      </c>
      <c r="D1988" s="35" t="s">
        <v>5571</v>
      </c>
      <c r="E1988" s="17" t="s">
        <v>5780</v>
      </c>
      <c r="F1988" s="17" t="s">
        <v>5781</v>
      </c>
      <c r="G1988" s="17">
        <v>22.130520000000001</v>
      </c>
      <c r="H1988" s="17">
        <v>87.133133000000001</v>
      </c>
      <c r="I1988" s="17"/>
      <c r="J1988" s="17"/>
      <c r="K1988" s="17"/>
      <c r="L1988" s="17"/>
      <c r="M1988" s="43" t="s">
        <v>5764</v>
      </c>
      <c r="N1988" s="17"/>
      <c r="O1988" s="17"/>
      <c r="P1988" s="17"/>
      <c r="Q1988" s="17"/>
      <c r="R1988" s="17"/>
      <c r="S1988" s="17"/>
      <c r="T1988" s="17"/>
      <c r="U1988" s="17"/>
      <c r="V1988" s="17"/>
      <c r="W1988" s="17"/>
      <c r="X1988" s="17"/>
      <c r="Y1988" s="17"/>
      <c r="Z1988" s="17"/>
      <c r="AA1988" s="17"/>
      <c r="AB1988" s="17"/>
      <c r="AC1988" s="17"/>
      <c r="AD1988" s="17"/>
      <c r="AE1988" s="17"/>
      <c r="AF1988" s="17"/>
      <c r="AG1988" s="17"/>
      <c r="AH1988" s="17"/>
      <c r="AI1988" s="17"/>
      <c r="AJ1988" s="17"/>
      <c r="AK1988" s="17"/>
      <c r="AL1988" s="17"/>
      <c r="AM1988" s="17"/>
      <c r="AN1988" s="17"/>
      <c r="AO1988" s="17"/>
      <c r="AP1988" s="17"/>
      <c r="AQ1988" s="17"/>
      <c r="AR1988" s="17"/>
      <c r="AS1988" s="17"/>
      <c r="AT1988" s="17"/>
      <c r="AU1988" s="17"/>
    </row>
    <row r="1989" hidden="1">
      <c r="A1989" s="17">
        <v>1987</v>
      </c>
      <c r="B1989" s="17" t="s">
        <v>52</v>
      </c>
      <c r="C1989" s="25" t="s">
        <v>5782</v>
      </c>
      <c r="D1989" s="35" t="s">
        <v>5571</v>
      </c>
      <c r="E1989" s="17" t="s">
        <v>5783</v>
      </c>
      <c r="F1989" s="17" t="s">
        <v>5784</v>
      </c>
      <c r="G1989" s="17">
        <v>22.210379</v>
      </c>
      <c r="H1989" s="17">
        <v>87.135171</v>
      </c>
      <c r="I1989" s="17"/>
      <c r="J1989" s="17"/>
      <c r="K1989" s="17"/>
      <c r="L1989" s="17"/>
      <c r="M1989" s="43" t="s">
        <v>5764</v>
      </c>
      <c r="N1989" s="17"/>
      <c r="O1989" s="17"/>
      <c r="P1989" s="17"/>
      <c r="Q1989" s="17"/>
      <c r="R1989" s="17"/>
      <c r="S1989" s="17"/>
      <c r="T1989" s="17"/>
      <c r="U1989" s="17"/>
      <c r="V1989" s="17"/>
      <c r="W1989" s="17"/>
      <c r="X1989" s="17"/>
      <c r="Y1989" s="17"/>
      <c r="Z1989" s="17"/>
      <c r="AA1989" s="17"/>
      <c r="AB1989" s="17"/>
      <c r="AC1989" s="17"/>
      <c r="AD1989" s="17"/>
      <c r="AE1989" s="17"/>
      <c r="AF1989" s="17"/>
      <c r="AG1989" s="17"/>
      <c r="AH1989" s="17"/>
      <c r="AI1989" s="17"/>
      <c r="AJ1989" s="17"/>
      <c r="AK1989" s="17"/>
      <c r="AL1989" s="17"/>
      <c r="AM1989" s="17"/>
      <c r="AN1989" s="17"/>
      <c r="AO1989" s="17"/>
      <c r="AP1989" s="17"/>
      <c r="AQ1989" s="17"/>
      <c r="AR1989" s="17"/>
      <c r="AS1989" s="17"/>
      <c r="AT1989" s="17"/>
      <c r="AU1989" s="17"/>
    </row>
    <row r="1990" hidden="1">
      <c r="A1990" s="17">
        <v>1988</v>
      </c>
      <c r="B1990" s="17" t="s">
        <v>52</v>
      </c>
      <c r="C1990" s="25" t="s">
        <v>5785</v>
      </c>
      <c r="D1990" s="35" t="s">
        <v>5571</v>
      </c>
      <c r="E1990" s="17" t="s">
        <v>5786</v>
      </c>
      <c r="F1990" s="17" t="s">
        <v>5787</v>
      </c>
      <c r="G1990" s="17">
        <v>22.164206</v>
      </c>
      <c r="H1990" s="17">
        <v>87.092085999999995</v>
      </c>
      <c r="I1990" s="17"/>
      <c r="J1990" s="17"/>
      <c r="K1990" s="17"/>
      <c r="L1990" s="17"/>
      <c r="M1990" s="43" t="s">
        <v>5764</v>
      </c>
      <c r="N1990" s="17"/>
      <c r="O1990" s="17"/>
      <c r="P1990" s="17"/>
      <c r="Q1990" s="17"/>
      <c r="R1990" s="17"/>
      <c r="S1990" s="17"/>
      <c r="T1990" s="17"/>
      <c r="U1990" s="17"/>
      <c r="V1990" s="17"/>
      <c r="W1990" s="17"/>
      <c r="X1990" s="17"/>
      <c r="Y1990" s="17"/>
      <c r="Z1990" s="17"/>
      <c r="AA1990" s="17"/>
      <c r="AB1990" s="17"/>
      <c r="AC1990" s="17"/>
      <c r="AD1990" s="17"/>
      <c r="AE1990" s="17"/>
      <c r="AF1990" s="17"/>
      <c r="AG1990" s="17"/>
      <c r="AH1990" s="17"/>
      <c r="AI1990" s="17"/>
      <c r="AJ1990" s="17"/>
      <c r="AK1990" s="17"/>
      <c r="AL1990" s="17"/>
      <c r="AM1990" s="17"/>
      <c r="AN1990" s="17"/>
      <c r="AO1990" s="17"/>
      <c r="AP1990" s="17"/>
      <c r="AQ1990" s="17"/>
      <c r="AR1990" s="17"/>
      <c r="AS1990" s="17"/>
      <c r="AT1990" s="17"/>
      <c r="AU1990" s="17"/>
    </row>
    <row r="1991" hidden="1">
      <c r="A1991" s="17">
        <v>1989</v>
      </c>
      <c r="B1991" s="17" t="s">
        <v>52</v>
      </c>
      <c r="C1991" s="25" t="s">
        <v>5788</v>
      </c>
      <c r="D1991" s="35" t="s">
        <v>5571</v>
      </c>
      <c r="E1991" s="17" t="s">
        <v>5789</v>
      </c>
      <c r="F1991" s="17" t="s">
        <v>5790</v>
      </c>
      <c r="G1991" s="17">
        <v>22.372765999999999</v>
      </c>
      <c r="H1991" s="17">
        <v>86.924828000000005</v>
      </c>
      <c r="I1991" s="17"/>
      <c r="J1991" s="17"/>
      <c r="K1991" s="17"/>
      <c r="L1991" s="17"/>
      <c r="M1991" s="43" t="s">
        <v>5574</v>
      </c>
      <c r="N1991" s="17">
        <v>9064976097</v>
      </c>
      <c r="O1991" s="17"/>
      <c r="P1991" s="17">
        <v>60</v>
      </c>
      <c r="Q1991" s="17" t="s">
        <v>73</v>
      </c>
      <c r="R1991" s="17" t="s">
        <v>74</v>
      </c>
      <c r="S1991" s="17" t="s">
        <v>75</v>
      </c>
      <c r="T1991" s="17"/>
      <c r="U1991" s="17" t="s">
        <v>160</v>
      </c>
      <c r="V1991" s="17" t="s">
        <v>77</v>
      </c>
      <c r="W1991" s="17" t="s">
        <v>330</v>
      </c>
      <c r="X1991" s="17">
        <v>3</v>
      </c>
      <c r="Y1991" s="17">
        <v>0</v>
      </c>
      <c r="Z1991" s="17"/>
      <c r="AA1991" s="17" t="s">
        <v>73</v>
      </c>
      <c r="AB1991" s="17" t="s">
        <v>79</v>
      </c>
      <c r="AC1991" s="17">
        <v>2</v>
      </c>
      <c r="AD1991" s="17">
        <v>0</v>
      </c>
      <c r="AE1991" s="17">
        <v>0</v>
      </c>
      <c r="AF1991" s="17"/>
      <c r="AG1991" s="17" t="s">
        <v>124</v>
      </c>
      <c r="AH1991" s="17" t="s">
        <v>82</v>
      </c>
      <c r="AI1991" s="17" t="s">
        <v>83</v>
      </c>
      <c r="AJ1991" s="17" t="s">
        <v>1453</v>
      </c>
      <c r="AK1991" s="17" t="s">
        <v>75</v>
      </c>
      <c r="AL1991" s="17" t="s">
        <v>75</v>
      </c>
      <c r="AM1991" s="17" t="s">
        <v>75</v>
      </c>
      <c r="AN1991" s="17" t="s">
        <v>125</v>
      </c>
      <c r="AO1991" s="17" t="s">
        <v>75</v>
      </c>
      <c r="AP1991" s="17"/>
      <c r="AQ1991" s="17"/>
      <c r="AR1991" s="17"/>
      <c r="AS1991" s="17"/>
      <c r="AT1991" s="17"/>
      <c r="AU1991" s="17" t="s">
        <v>127</v>
      </c>
    </row>
    <row r="1992" hidden="1">
      <c r="A1992" s="17">
        <v>1990</v>
      </c>
      <c r="B1992" s="17" t="s">
        <v>52</v>
      </c>
      <c r="C1992" s="25" t="s">
        <v>5791</v>
      </c>
      <c r="D1992" s="35" t="s">
        <v>5571</v>
      </c>
      <c r="E1992" s="17" t="s">
        <v>5792</v>
      </c>
      <c r="F1992" s="17" t="s">
        <v>5793</v>
      </c>
      <c r="G1992" s="17">
        <v>22.264354999999998</v>
      </c>
      <c r="H1992" s="17">
        <v>86.939451000000005</v>
      </c>
      <c r="I1992" s="17"/>
      <c r="J1992" s="17"/>
      <c r="K1992" s="17"/>
      <c r="L1992" s="17"/>
      <c r="M1992" s="43" t="s">
        <v>5574</v>
      </c>
      <c r="N1992" s="17">
        <v>9064976097</v>
      </c>
      <c r="O1992" s="17"/>
      <c r="P1992" s="17">
        <v>55</v>
      </c>
      <c r="Q1992" s="17" t="s">
        <v>73</v>
      </c>
      <c r="R1992" s="17" t="s">
        <v>74</v>
      </c>
      <c r="S1992" s="17" t="s">
        <v>5794</v>
      </c>
      <c r="T1992" s="17" t="s">
        <v>5795</v>
      </c>
      <c r="U1992" s="17" t="s">
        <v>76</v>
      </c>
      <c r="V1992" s="17" t="s">
        <v>77</v>
      </c>
      <c r="W1992" s="17" t="s">
        <v>78</v>
      </c>
      <c r="X1992" s="17">
        <v>3</v>
      </c>
      <c r="Y1992" s="17">
        <v>3</v>
      </c>
      <c r="Z1992" s="17" t="s">
        <v>5796</v>
      </c>
      <c r="AA1992" s="17" t="s">
        <v>73</v>
      </c>
      <c r="AB1992" s="17" t="s">
        <v>79</v>
      </c>
      <c r="AC1992" s="17">
        <v>2</v>
      </c>
      <c r="AD1992" s="17">
        <v>0</v>
      </c>
      <c r="AE1992" s="17">
        <v>0</v>
      </c>
      <c r="AF1992" s="17"/>
      <c r="AG1992" s="17" t="s">
        <v>81</v>
      </c>
      <c r="AH1992" s="17" t="s">
        <v>82</v>
      </c>
      <c r="AI1992" s="17" t="s">
        <v>107</v>
      </c>
      <c r="AJ1992" s="17" t="s">
        <v>195</v>
      </c>
      <c r="AK1992" s="17" t="s">
        <v>75</v>
      </c>
      <c r="AL1992" s="17" t="s">
        <v>75</v>
      </c>
      <c r="AM1992" s="17" t="s">
        <v>75</v>
      </c>
      <c r="AN1992" s="17" t="s">
        <v>125</v>
      </c>
      <c r="AO1992" s="17" t="s">
        <v>75</v>
      </c>
      <c r="AP1992" s="17"/>
      <c r="AQ1992" s="17"/>
      <c r="AR1992" s="17"/>
      <c r="AS1992" s="17"/>
      <c r="AT1992" s="17" t="s">
        <v>5797</v>
      </c>
      <c r="AU1992" s="17" t="s">
        <v>127</v>
      </c>
    </row>
    <row r="1993" hidden="1">
      <c r="A1993" s="17">
        <v>1991</v>
      </c>
      <c r="B1993" s="17" t="s">
        <v>52</v>
      </c>
      <c r="C1993" s="25" t="s">
        <v>5798</v>
      </c>
      <c r="D1993" s="35" t="s">
        <v>5571</v>
      </c>
      <c r="E1993" s="17" t="s">
        <v>5799</v>
      </c>
      <c r="F1993" s="17" t="s">
        <v>5800</v>
      </c>
      <c r="G1993" s="17">
        <v>22.253557000000001</v>
      </c>
      <c r="H1993" s="17">
        <v>86.794146999999995</v>
      </c>
      <c r="I1993" s="17"/>
      <c r="J1993" s="17"/>
      <c r="K1993" s="17"/>
      <c r="L1993" s="17"/>
      <c r="M1993" s="43" t="s">
        <v>5574</v>
      </c>
      <c r="N1993" s="17">
        <v>9064976097</v>
      </c>
      <c r="O1993" s="17"/>
      <c r="P1993" s="17">
        <v>100</v>
      </c>
      <c r="Q1993" s="17" t="s">
        <v>187</v>
      </c>
      <c r="R1993" s="17" t="s">
        <v>74</v>
      </c>
      <c r="S1993" s="17" t="s">
        <v>75</v>
      </c>
      <c r="T1993" s="17"/>
      <c r="U1993" s="17" t="s">
        <v>76</v>
      </c>
      <c r="V1993" s="17" t="s">
        <v>77</v>
      </c>
      <c r="W1993" s="17" t="s">
        <v>252</v>
      </c>
      <c r="X1993" s="17">
        <v>5</v>
      </c>
      <c r="Y1993" s="17">
        <v>0</v>
      </c>
      <c r="Z1993" s="17"/>
      <c r="AA1993" s="17" t="s">
        <v>187</v>
      </c>
      <c r="AB1993" s="17" t="s">
        <v>79</v>
      </c>
      <c r="AC1993" s="17">
        <v>5</v>
      </c>
      <c r="AD1993" s="17">
        <v>0</v>
      </c>
      <c r="AE1993" s="17">
        <v>0</v>
      </c>
      <c r="AF1993" s="17"/>
      <c r="AG1993" s="17" t="s">
        <v>81</v>
      </c>
      <c r="AH1993" s="17" t="s">
        <v>82</v>
      </c>
      <c r="AI1993" s="17" t="s">
        <v>83</v>
      </c>
      <c r="AJ1993" s="17" t="s">
        <v>341</v>
      </c>
      <c r="AK1993" s="17" t="s">
        <v>75</v>
      </c>
      <c r="AL1993" s="17" t="s">
        <v>75</v>
      </c>
      <c r="AM1993" s="17" t="s">
        <v>75</v>
      </c>
      <c r="AN1993" s="17" t="s">
        <v>84</v>
      </c>
      <c r="AO1993" s="17" t="s">
        <v>75</v>
      </c>
      <c r="AP1993" s="17"/>
      <c r="AQ1993" s="17"/>
      <c r="AR1993" s="17"/>
      <c r="AS1993" s="17"/>
      <c r="AT1993" s="17"/>
      <c r="AU1993" s="17" t="s">
        <v>111</v>
      </c>
    </row>
    <row r="1994" hidden="1">
      <c r="A1994" s="17">
        <v>1992</v>
      </c>
      <c r="B1994" s="17" t="s">
        <v>52</v>
      </c>
      <c r="C1994" s="25" t="s">
        <v>5801</v>
      </c>
      <c r="D1994" s="35" t="s">
        <v>5571</v>
      </c>
      <c r="E1994" s="17" t="s">
        <v>5802</v>
      </c>
      <c r="F1994" s="17" t="s">
        <v>5803</v>
      </c>
      <c r="G1994" s="17">
        <v>22.231741</v>
      </c>
      <c r="H1994" s="17">
        <v>86.954571000000001</v>
      </c>
      <c r="I1994" s="17"/>
      <c r="J1994" s="17"/>
      <c r="K1994" s="17"/>
      <c r="L1994" s="17"/>
      <c r="M1994" s="43" t="s">
        <v>5574</v>
      </c>
      <c r="N1994" s="17">
        <v>9064976097</v>
      </c>
      <c r="O1994" s="17"/>
      <c r="P1994" s="17">
        <v>70</v>
      </c>
      <c r="Q1994" s="17" t="s">
        <v>105</v>
      </c>
      <c r="R1994" s="17" t="s">
        <v>154</v>
      </c>
      <c r="S1994" s="17" t="s">
        <v>947</v>
      </c>
      <c r="T1994" s="17"/>
      <c r="U1994" s="17" t="s">
        <v>441</v>
      </c>
      <c r="V1994" s="17" t="s">
        <v>442</v>
      </c>
      <c r="W1994" s="17" t="s">
        <v>454</v>
      </c>
      <c r="X1994" s="17">
        <v>5</v>
      </c>
      <c r="Y1994" s="17">
        <v>1</v>
      </c>
      <c r="Z1994" s="17"/>
      <c r="AA1994" s="17" t="s">
        <v>105</v>
      </c>
      <c r="AB1994" s="17" t="s">
        <v>239</v>
      </c>
      <c r="AC1994" s="17">
        <v>3</v>
      </c>
      <c r="AD1994" s="17">
        <v>0</v>
      </c>
      <c r="AE1994" s="17">
        <v>1</v>
      </c>
      <c r="AF1994" s="17" t="s">
        <v>5804</v>
      </c>
      <c r="AG1994" s="17" t="s">
        <v>81</v>
      </c>
      <c r="AH1994" s="17" t="s">
        <v>82</v>
      </c>
      <c r="AI1994" s="17" t="s">
        <v>83</v>
      </c>
      <c r="AJ1994" s="17" t="s">
        <v>341</v>
      </c>
      <c r="AK1994" s="17" t="s">
        <v>137</v>
      </c>
      <c r="AL1994" s="17" t="s">
        <v>75</v>
      </c>
      <c r="AM1994" s="17" t="s">
        <v>137</v>
      </c>
      <c r="AN1994" s="17" t="s">
        <v>84</v>
      </c>
      <c r="AO1994" s="17" t="s">
        <v>137</v>
      </c>
      <c r="AP1994" s="17"/>
      <c r="AQ1994" s="17"/>
      <c r="AR1994" s="17"/>
      <c r="AS1994" s="17"/>
      <c r="AT1994" s="17" t="s">
        <v>5805</v>
      </c>
      <c r="AU1994" s="17" t="s">
        <v>111</v>
      </c>
    </row>
    <row r="1995" hidden="1">
      <c r="A1995" s="17">
        <v>1993</v>
      </c>
      <c r="B1995" s="17" t="s">
        <v>52</v>
      </c>
      <c r="C1995" s="25" t="s">
        <v>5806</v>
      </c>
      <c r="D1995" s="35" t="s">
        <v>5571</v>
      </c>
      <c r="E1995" s="17" t="s">
        <v>5807</v>
      </c>
      <c r="F1995" s="17" t="s">
        <v>5808</v>
      </c>
      <c r="G1995" s="17">
        <v>22.229362999999999</v>
      </c>
      <c r="H1995" s="17">
        <v>86.935216999999994</v>
      </c>
      <c r="I1995" s="17"/>
      <c r="J1995" s="17"/>
      <c r="K1995" s="17"/>
      <c r="L1995" s="17"/>
      <c r="M1995" s="43" t="s">
        <v>5574</v>
      </c>
      <c r="N1995" s="17">
        <v>9064976097</v>
      </c>
      <c r="O1995" s="17"/>
      <c r="P1995" s="17">
        <v>50</v>
      </c>
      <c r="Q1995" s="17" t="s">
        <v>105</v>
      </c>
      <c r="R1995" s="17" t="s">
        <v>142</v>
      </c>
      <c r="S1995" s="17" t="s">
        <v>75</v>
      </c>
      <c r="T1995" s="17"/>
      <c r="U1995" s="17" t="s">
        <v>503</v>
      </c>
      <c r="V1995" s="17" t="s">
        <v>504</v>
      </c>
      <c r="W1995" s="17" t="s">
        <v>151</v>
      </c>
      <c r="X1995" s="17">
        <v>2</v>
      </c>
      <c r="Y1995" s="17">
        <v>0</v>
      </c>
      <c r="Z1995" s="17"/>
      <c r="AA1995" s="17" t="s">
        <v>105</v>
      </c>
      <c r="AB1995" s="17" t="s">
        <v>79</v>
      </c>
      <c r="AC1995" s="17">
        <v>5</v>
      </c>
      <c r="AD1995" s="17">
        <v>0</v>
      </c>
      <c r="AE1995" s="17">
        <v>0</v>
      </c>
      <c r="AF1995" s="17"/>
      <c r="AG1995" s="17" t="s">
        <v>124</v>
      </c>
      <c r="AH1995" s="17" t="s">
        <v>82</v>
      </c>
      <c r="AI1995" s="17" t="s">
        <v>83</v>
      </c>
      <c r="AJ1995" s="17" t="s">
        <v>341</v>
      </c>
      <c r="AK1995" s="17" t="s">
        <v>137</v>
      </c>
      <c r="AL1995" s="17" t="s">
        <v>75</v>
      </c>
      <c r="AM1995" s="17" t="s">
        <v>137</v>
      </c>
      <c r="AN1995" s="17" t="s">
        <v>125</v>
      </c>
      <c r="AO1995" s="17" t="s">
        <v>75</v>
      </c>
      <c r="AP1995" s="17"/>
      <c r="AQ1995" s="17"/>
      <c r="AR1995" s="17"/>
      <c r="AS1995" s="17"/>
      <c r="AT1995" s="17"/>
      <c r="AU1995" s="17" t="s">
        <v>127</v>
      </c>
    </row>
    <row r="1996" hidden="1">
      <c r="A1996" s="17">
        <v>1994</v>
      </c>
      <c r="B1996" s="17" t="s">
        <v>52</v>
      </c>
      <c r="C1996" s="25" t="s">
        <v>5809</v>
      </c>
      <c r="D1996" s="35" t="s">
        <v>5571</v>
      </c>
      <c r="E1996" s="17" t="s">
        <v>5799</v>
      </c>
      <c r="F1996" s="17" t="s">
        <v>5810</v>
      </c>
      <c r="G1996" s="17">
        <v>22.276382999999999</v>
      </c>
      <c r="H1996" s="17">
        <v>86.912957000000006</v>
      </c>
      <c r="I1996" s="17"/>
      <c r="J1996" s="17"/>
      <c r="K1996" s="17"/>
      <c r="L1996" s="17"/>
      <c r="M1996" s="43" t="s">
        <v>5574</v>
      </c>
      <c r="N1996" s="17">
        <v>9064976097</v>
      </c>
      <c r="O1996" s="17"/>
      <c r="P1996" s="17">
        <v>60</v>
      </c>
      <c r="Q1996" s="17" t="s">
        <v>105</v>
      </c>
      <c r="R1996" s="17" t="s">
        <v>142</v>
      </c>
      <c r="S1996" s="17" t="s">
        <v>75</v>
      </c>
      <c r="T1996" s="17"/>
      <c r="U1996" s="17" t="s">
        <v>160</v>
      </c>
      <c r="V1996" s="17" t="s">
        <v>77</v>
      </c>
      <c r="W1996" s="17" t="s">
        <v>252</v>
      </c>
      <c r="X1996" s="17">
        <v>3</v>
      </c>
      <c r="Y1996" s="17">
        <v>0</v>
      </c>
      <c r="Z1996" s="17"/>
      <c r="AA1996" s="17" t="s">
        <v>105</v>
      </c>
      <c r="AB1996" s="17" t="s">
        <v>79</v>
      </c>
      <c r="AC1996" s="17">
        <v>5</v>
      </c>
      <c r="AD1996" s="17">
        <v>0</v>
      </c>
      <c r="AE1996" s="17">
        <v>0</v>
      </c>
      <c r="AF1996" s="17"/>
      <c r="AG1996" s="17" t="s">
        <v>124</v>
      </c>
      <c r="AH1996" s="17" t="s">
        <v>82</v>
      </c>
      <c r="AI1996" s="17" t="s">
        <v>83</v>
      </c>
      <c r="AJ1996" s="17" t="s">
        <v>1453</v>
      </c>
      <c r="AK1996" s="17" t="s">
        <v>75</v>
      </c>
      <c r="AL1996" s="17" t="s">
        <v>75</v>
      </c>
      <c r="AM1996" s="17" t="s">
        <v>75</v>
      </c>
      <c r="AN1996" s="17" t="s">
        <v>125</v>
      </c>
      <c r="AO1996" s="17" t="s">
        <v>75</v>
      </c>
      <c r="AP1996" s="17"/>
      <c r="AQ1996" s="17"/>
      <c r="AR1996" s="17"/>
      <c r="AS1996" s="17"/>
      <c r="AT1996" s="17"/>
      <c r="AU1996" s="17" t="s">
        <v>111</v>
      </c>
    </row>
    <row r="1997" hidden="1">
      <c r="A1997" s="17">
        <v>1995</v>
      </c>
      <c r="B1997" s="17" t="s">
        <v>52</v>
      </c>
      <c r="C1997" s="25" t="s">
        <v>5811</v>
      </c>
      <c r="D1997" s="35" t="s">
        <v>5571</v>
      </c>
      <c r="E1997" s="17" t="s">
        <v>5812</v>
      </c>
      <c r="F1997" s="17" t="s">
        <v>5813</v>
      </c>
      <c r="G1997" s="17">
        <v>22.319220000000001</v>
      </c>
      <c r="H1997" s="17">
        <v>86.931560000000005</v>
      </c>
      <c r="I1997" s="17"/>
      <c r="J1997" s="17"/>
      <c r="K1997" s="17"/>
      <c r="L1997" s="17"/>
      <c r="M1997" s="43" t="s">
        <v>5574</v>
      </c>
      <c r="N1997" s="17">
        <v>9064976097</v>
      </c>
      <c r="O1997" s="17"/>
      <c r="P1997" s="17">
        <v>110</v>
      </c>
      <c r="Q1997" s="17" t="s">
        <v>73</v>
      </c>
      <c r="R1997" s="17" t="s">
        <v>74</v>
      </c>
      <c r="S1997" s="17" t="s">
        <v>75</v>
      </c>
      <c r="T1997" s="17"/>
      <c r="U1997" s="17" t="s">
        <v>160</v>
      </c>
      <c r="V1997" s="17" t="s">
        <v>77</v>
      </c>
      <c r="W1997" s="17" t="s">
        <v>454</v>
      </c>
      <c r="X1997" s="17">
        <v>3</v>
      </c>
      <c r="Y1997" s="17">
        <v>0</v>
      </c>
      <c r="Z1997" s="17"/>
      <c r="AA1997" s="17" t="s">
        <v>73</v>
      </c>
      <c r="AB1997" s="17" t="s">
        <v>79</v>
      </c>
      <c r="AC1997" s="17">
        <v>3</v>
      </c>
      <c r="AD1997" s="17">
        <v>0</v>
      </c>
      <c r="AE1997" s="17">
        <v>0</v>
      </c>
      <c r="AF1997" s="17"/>
      <c r="AG1997" s="17" t="s">
        <v>124</v>
      </c>
      <c r="AH1997" s="17" t="s">
        <v>82</v>
      </c>
      <c r="AI1997" s="17" t="s">
        <v>83</v>
      </c>
      <c r="AJ1997" s="17" t="s">
        <v>1453</v>
      </c>
      <c r="AK1997" s="17" t="s">
        <v>137</v>
      </c>
      <c r="AL1997" s="17" t="s">
        <v>75</v>
      </c>
      <c r="AM1997" s="17" t="s">
        <v>137</v>
      </c>
      <c r="AN1997" s="17" t="s">
        <v>84</v>
      </c>
      <c r="AO1997" s="17" t="s">
        <v>75</v>
      </c>
      <c r="AP1997" s="17"/>
      <c r="AQ1997" s="17"/>
      <c r="AR1997" s="17"/>
      <c r="AS1997" s="17"/>
      <c r="AT1997" s="17"/>
      <c r="AU1997" s="17" t="s">
        <v>111</v>
      </c>
    </row>
    <row r="1998" hidden="1">
      <c r="A1998" s="17">
        <v>1996</v>
      </c>
      <c r="B1998" s="17" t="s">
        <v>52</v>
      </c>
      <c r="C1998" s="25" t="s">
        <v>5814</v>
      </c>
      <c r="D1998" s="35" t="s">
        <v>5571</v>
      </c>
      <c r="E1998" s="17" t="s">
        <v>5815</v>
      </c>
      <c r="F1998" s="17" t="s">
        <v>5816</v>
      </c>
      <c r="G1998" s="17">
        <v>22.351303999999999</v>
      </c>
      <c r="H1998" s="17">
        <v>86.853943999999998</v>
      </c>
      <c r="I1998" s="17"/>
      <c r="J1998" s="17"/>
      <c r="K1998" s="17"/>
      <c r="L1998" s="17"/>
      <c r="M1998" s="43" t="s">
        <v>5574</v>
      </c>
      <c r="N1998" s="17">
        <v>9064976097</v>
      </c>
      <c r="O1998" s="17"/>
      <c r="P1998" s="17">
        <v>90</v>
      </c>
      <c r="Q1998" s="17" t="s">
        <v>73</v>
      </c>
      <c r="R1998" s="17" t="s">
        <v>74</v>
      </c>
      <c r="S1998" s="17" t="s">
        <v>3496</v>
      </c>
      <c r="T1998" s="17"/>
      <c r="U1998" s="17" t="s">
        <v>76</v>
      </c>
      <c r="V1998" s="17" t="s">
        <v>77</v>
      </c>
      <c r="W1998" s="17" t="s">
        <v>330</v>
      </c>
      <c r="X1998" s="17">
        <v>5</v>
      </c>
      <c r="Y1998" s="17">
        <v>2</v>
      </c>
      <c r="Z1998" s="17"/>
      <c r="AA1998" s="17" t="s">
        <v>73</v>
      </c>
      <c r="AB1998" s="17" t="s">
        <v>79</v>
      </c>
      <c r="AC1998" s="17">
        <v>3</v>
      </c>
      <c r="AD1998" s="17">
        <v>0</v>
      </c>
      <c r="AE1998" s="17">
        <v>0</v>
      </c>
      <c r="AF1998" s="17"/>
      <c r="AG1998" s="17" t="s">
        <v>124</v>
      </c>
      <c r="AH1998" s="17" t="s">
        <v>82</v>
      </c>
      <c r="AI1998" s="17" t="s">
        <v>83</v>
      </c>
      <c r="AJ1998" s="17" t="s">
        <v>341</v>
      </c>
      <c r="AK1998" s="17" t="s">
        <v>75</v>
      </c>
      <c r="AL1998" s="17" t="s">
        <v>75</v>
      </c>
      <c r="AM1998" s="17" t="s">
        <v>75</v>
      </c>
      <c r="AN1998" s="17" t="s">
        <v>84</v>
      </c>
      <c r="AO1998" s="17" t="s">
        <v>75</v>
      </c>
      <c r="AP1998" s="17"/>
      <c r="AQ1998" s="17"/>
      <c r="AR1998" s="17"/>
      <c r="AS1998" s="17"/>
      <c r="AT1998" s="17" t="s">
        <v>5817</v>
      </c>
      <c r="AU1998" s="17" t="s">
        <v>127</v>
      </c>
    </row>
    <row r="1999" hidden="1">
      <c r="A1999" s="17">
        <v>1997</v>
      </c>
      <c r="B1999" s="17" t="s">
        <v>52</v>
      </c>
      <c r="C1999" s="25" t="s">
        <v>5818</v>
      </c>
      <c r="D1999" s="35" t="s">
        <v>5571</v>
      </c>
      <c r="E1999" s="17" t="s">
        <v>5819</v>
      </c>
      <c r="F1999" s="17" t="s">
        <v>5820</v>
      </c>
      <c r="G1999" s="17">
        <v>22.268001000000002</v>
      </c>
      <c r="H1999" s="17">
        <v>86.913559000000006</v>
      </c>
      <c r="I1999" s="17"/>
      <c r="J1999" s="17"/>
      <c r="K1999" s="17"/>
      <c r="L1999" s="17"/>
      <c r="M1999" s="43" t="s">
        <v>5574</v>
      </c>
      <c r="N1999" s="17">
        <v>9064976097</v>
      </c>
      <c r="O1999" s="17"/>
      <c r="P1999" s="17">
        <v>65</v>
      </c>
      <c r="Q1999" s="17" t="s">
        <v>105</v>
      </c>
      <c r="R1999" s="17" t="s">
        <v>142</v>
      </c>
      <c r="S1999" s="17" t="s">
        <v>75</v>
      </c>
      <c r="T1999" s="17"/>
      <c r="U1999" s="17" t="s">
        <v>755</v>
      </c>
      <c r="V1999" s="17" t="s">
        <v>504</v>
      </c>
      <c r="W1999" s="17" t="s">
        <v>151</v>
      </c>
      <c r="X1999" s="17">
        <v>2</v>
      </c>
      <c r="Y1999" s="17">
        <v>0</v>
      </c>
      <c r="Z1999" s="17"/>
      <c r="AA1999" s="17" t="s">
        <v>105</v>
      </c>
      <c r="AB1999" s="17" t="s">
        <v>79</v>
      </c>
      <c r="AC1999" s="17">
        <v>5</v>
      </c>
      <c r="AD1999" s="17">
        <v>0</v>
      </c>
      <c r="AE1999" s="17">
        <v>0</v>
      </c>
      <c r="AF1999" s="17"/>
      <c r="AG1999" s="17" t="s">
        <v>124</v>
      </c>
      <c r="AH1999" s="17" t="s">
        <v>82</v>
      </c>
      <c r="AI1999" s="17" t="s">
        <v>83</v>
      </c>
      <c r="AJ1999" s="17" t="s">
        <v>341</v>
      </c>
      <c r="AK1999" s="17" t="s">
        <v>137</v>
      </c>
      <c r="AL1999" s="17" t="s">
        <v>75</v>
      </c>
      <c r="AM1999" s="17" t="s">
        <v>137</v>
      </c>
      <c r="AN1999" s="17" t="s">
        <v>125</v>
      </c>
      <c r="AO1999" s="17" t="s">
        <v>75</v>
      </c>
      <c r="AP1999" s="17"/>
      <c r="AQ1999" s="17"/>
      <c r="AR1999" s="17"/>
      <c r="AS1999" s="17"/>
      <c r="AT1999" s="17" t="s">
        <v>5821</v>
      </c>
      <c r="AU1999" s="17" t="s">
        <v>111</v>
      </c>
    </row>
    <row r="2000" hidden="1">
      <c r="A2000" s="17">
        <v>1998</v>
      </c>
      <c r="B2000" s="17" t="s">
        <v>52</v>
      </c>
      <c r="C2000" s="44" t="s">
        <v>5822</v>
      </c>
      <c r="D2000" s="35" t="s">
        <v>5571</v>
      </c>
      <c r="E2000" s="17" t="s">
        <v>5823</v>
      </c>
      <c r="F2000" s="17" t="s">
        <v>5824</v>
      </c>
      <c r="G2000" s="17">
        <v>22.347144</v>
      </c>
      <c r="H2000" s="17">
        <v>86.877478999999994</v>
      </c>
      <c r="I2000" s="17"/>
      <c r="J2000" s="17"/>
      <c r="K2000" s="17"/>
      <c r="L2000" s="17"/>
      <c r="M2000" s="43" t="s">
        <v>5574</v>
      </c>
      <c r="N2000" s="17">
        <v>9064976097</v>
      </c>
      <c r="O2000" s="17"/>
      <c r="P2000" s="17">
        <v>65</v>
      </c>
      <c r="Q2000" s="17" t="s">
        <v>105</v>
      </c>
      <c r="R2000" s="17" t="s">
        <v>142</v>
      </c>
      <c r="S2000" s="17" t="s">
        <v>75</v>
      </c>
      <c r="T2000" s="17"/>
      <c r="U2000" s="17" t="s">
        <v>105</v>
      </c>
      <c r="V2000" s="17" t="s">
        <v>340</v>
      </c>
      <c r="W2000" s="17" t="s">
        <v>443</v>
      </c>
      <c r="X2000" s="17">
        <v>3</v>
      </c>
      <c r="Y2000" s="17">
        <v>0</v>
      </c>
      <c r="Z2000" s="17" t="s">
        <v>5825</v>
      </c>
      <c r="AA2000" s="17" t="s">
        <v>105</v>
      </c>
      <c r="AB2000" s="17" t="s">
        <v>79</v>
      </c>
      <c r="AC2000" s="17">
        <v>5</v>
      </c>
      <c r="AD2000" s="17">
        <v>0</v>
      </c>
      <c r="AE2000" s="17">
        <v>0</v>
      </c>
      <c r="AF2000" s="17"/>
      <c r="AG2000" s="17" t="s">
        <v>414</v>
      </c>
      <c r="AH2000" s="17" t="s">
        <v>415</v>
      </c>
      <c r="AI2000" s="17" t="s">
        <v>414</v>
      </c>
      <c r="AJ2000" s="17" t="s">
        <v>5826</v>
      </c>
      <c r="AK2000" s="17" t="s">
        <v>137</v>
      </c>
      <c r="AL2000" s="17" t="s">
        <v>137</v>
      </c>
      <c r="AM2000" s="17" t="s">
        <v>137</v>
      </c>
      <c r="AN2000" s="17" t="s">
        <v>84</v>
      </c>
      <c r="AO2000" s="17" t="s">
        <v>75</v>
      </c>
      <c r="AP2000" s="17"/>
      <c r="AQ2000" s="17"/>
      <c r="AR2000" s="17"/>
      <c r="AS2000" s="17"/>
      <c r="AT2000" s="17"/>
      <c r="AU2000" s="17" t="s">
        <v>127</v>
      </c>
    </row>
    <row r="2001" hidden="1">
      <c r="A2001" s="17">
        <v>1999</v>
      </c>
      <c r="B2001" s="17" t="s">
        <v>52</v>
      </c>
      <c r="C2001" s="25" t="s">
        <v>5827</v>
      </c>
      <c r="D2001" s="35" t="s">
        <v>5571</v>
      </c>
      <c r="E2001" s="17" t="s">
        <v>5642</v>
      </c>
      <c r="F2001" s="17" t="s">
        <v>5828</v>
      </c>
      <c r="G2001" s="17">
        <v>22.271052999999998</v>
      </c>
      <c r="H2001" s="17">
        <v>86.954393999999994</v>
      </c>
      <c r="I2001" s="17"/>
      <c r="J2001" s="17"/>
      <c r="K2001" s="17"/>
      <c r="L2001" s="17"/>
      <c r="M2001" s="43" t="s">
        <v>5574</v>
      </c>
      <c r="N2001" s="17">
        <v>9064976097</v>
      </c>
      <c r="O2001" s="17"/>
      <c r="P2001" s="17">
        <v>110</v>
      </c>
      <c r="Q2001" s="17" t="s">
        <v>448</v>
      </c>
      <c r="R2001" s="17" t="s">
        <v>74</v>
      </c>
      <c r="S2001" s="17" t="s">
        <v>75</v>
      </c>
      <c r="T2001" s="17"/>
      <c r="U2001" s="17" t="s">
        <v>76</v>
      </c>
      <c r="V2001" s="17" t="s">
        <v>77</v>
      </c>
      <c r="W2001" s="17" t="s">
        <v>454</v>
      </c>
      <c r="X2001" s="17">
        <v>5</v>
      </c>
      <c r="Y2001" s="17">
        <v>2</v>
      </c>
      <c r="Z2001" s="17"/>
      <c r="AA2001" s="17" t="s">
        <v>448</v>
      </c>
      <c r="AB2001" s="17" t="s">
        <v>79</v>
      </c>
      <c r="AC2001" s="17">
        <v>5</v>
      </c>
      <c r="AD2001" s="17">
        <v>0</v>
      </c>
      <c r="AE2001" s="17">
        <v>0</v>
      </c>
      <c r="AF2001" s="17"/>
      <c r="AG2001" s="17" t="s">
        <v>414</v>
      </c>
      <c r="AH2001" s="17" t="s">
        <v>415</v>
      </c>
      <c r="AI2001" s="17" t="s">
        <v>83</v>
      </c>
      <c r="AJ2001" s="17" t="s">
        <v>5829</v>
      </c>
      <c r="AK2001" s="17" t="s">
        <v>75</v>
      </c>
      <c r="AL2001" s="17" t="s">
        <v>75</v>
      </c>
      <c r="AM2001" s="17" t="s">
        <v>137</v>
      </c>
      <c r="AN2001" s="17" t="s">
        <v>84</v>
      </c>
      <c r="AO2001" s="17" t="s">
        <v>137</v>
      </c>
      <c r="AP2001" s="17"/>
      <c r="AQ2001" s="17"/>
      <c r="AR2001" s="17"/>
      <c r="AS2001" s="17"/>
      <c r="AT2001" s="17"/>
      <c r="AU2001" s="17" t="s">
        <v>111</v>
      </c>
    </row>
    <row r="2002" hidden="1">
      <c r="A2002" s="17">
        <v>2000</v>
      </c>
      <c r="B2002" s="17" t="s">
        <v>52</v>
      </c>
      <c r="C2002" s="25" t="s">
        <v>5830</v>
      </c>
      <c r="D2002" s="35" t="s">
        <v>5571</v>
      </c>
      <c r="E2002" s="17" t="s">
        <v>5831</v>
      </c>
      <c r="F2002" s="17" t="s">
        <v>5832</v>
      </c>
      <c r="G2002" s="17">
        <v>22.311406000000002</v>
      </c>
      <c r="H2002" s="17">
        <v>86.898015000000001</v>
      </c>
      <c r="I2002" s="17"/>
      <c r="J2002" s="17"/>
      <c r="K2002" s="17"/>
      <c r="L2002" s="17"/>
      <c r="M2002" s="43" t="s">
        <v>5574</v>
      </c>
      <c r="N2002" s="17">
        <v>9064976097</v>
      </c>
      <c r="O2002" s="17"/>
      <c r="P2002" s="17">
        <v>100</v>
      </c>
      <c r="Q2002" s="17" t="s">
        <v>105</v>
      </c>
      <c r="R2002" s="17" t="s">
        <v>74</v>
      </c>
      <c r="S2002" s="17" t="s">
        <v>75</v>
      </c>
      <c r="T2002" s="17"/>
      <c r="U2002" s="17" t="s">
        <v>76</v>
      </c>
      <c r="V2002" s="17" t="s">
        <v>77</v>
      </c>
      <c r="W2002" s="17" t="s">
        <v>330</v>
      </c>
      <c r="X2002" s="17">
        <v>5</v>
      </c>
      <c r="Y2002" s="17">
        <v>1</v>
      </c>
      <c r="Z2002" s="17"/>
      <c r="AA2002" s="17" t="s">
        <v>105</v>
      </c>
      <c r="AB2002" s="17" t="s">
        <v>79</v>
      </c>
      <c r="AC2002" s="17">
        <v>5</v>
      </c>
      <c r="AD2002" s="17">
        <v>0</v>
      </c>
      <c r="AE2002" s="17">
        <v>0</v>
      </c>
      <c r="AF2002" s="17"/>
      <c r="AG2002" s="17" t="s">
        <v>81</v>
      </c>
      <c r="AH2002" s="17" t="s">
        <v>82</v>
      </c>
      <c r="AI2002" s="17" t="s">
        <v>83</v>
      </c>
      <c r="AJ2002" s="17" t="s">
        <v>341</v>
      </c>
      <c r="AK2002" s="17" t="s">
        <v>75</v>
      </c>
      <c r="AL2002" s="17" t="s">
        <v>75</v>
      </c>
      <c r="AM2002" s="17" t="s">
        <v>75</v>
      </c>
      <c r="AN2002" s="17" t="s">
        <v>84</v>
      </c>
      <c r="AO2002" s="17" t="s">
        <v>75</v>
      </c>
      <c r="AP2002" s="17"/>
      <c r="AQ2002" s="17"/>
      <c r="AR2002" s="17"/>
      <c r="AS2002" s="17"/>
      <c r="AT2002" s="17"/>
      <c r="AU2002" s="17" t="s">
        <v>127</v>
      </c>
    </row>
    <row r="2003" hidden="1">
      <c r="A2003" s="17">
        <v>2001</v>
      </c>
      <c r="B2003" s="17" t="s">
        <v>52</v>
      </c>
      <c r="C2003" s="25" t="s">
        <v>5833</v>
      </c>
      <c r="D2003" s="35" t="s">
        <v>5571</v>
      </c>
      <c r="E2003" s="17" t="s">
        <v>5834</v>
      </c>
      <c r="F2003" s="17" t="s">
        <v>5835</v>
      </c>
      <c r="G2003" s="17">
        <v>22.248784000000001</v>
      </c>
      <c r="H2003" s="17">
        <v>86.843890999999999</v>
      </c>
      <c r="I2003" s="17"/>
      <c r="J2003" s="17"/>
      <c r="K2003" s="17"/>
      <c r="L2003" s="17"/>
      <c r="M2003" s="43" t="s">
        <v>5574</v>
      </c>
      <c r="N2003" s="17">
        <v>9064976097</v>
      </c>
      <c r="O2003" s="17"/>
      <c r="P2003" s="17">
        <v>95</v>
      </c>
      <c r="Q2003" s="17" t="s">
        <v>187</v>
      </c>
      <c r="R2003" s="17" t="s">
        <v>74</v>
      </c>
      <c r="S2003" s="17" t="s">
        <v>947</v>
      </c>
      <c r="T2003" s="17"/>
      <c r="U2003" s="17" t="s">
        <v>76</v>
      </c>
      <c r="V2003" s="17" t="s">
        <v>77</v>
      </c>
      <c r="W2003" s="17" t="s">
        <v>252</v>
      </c>
      <c r="X2003" s="17">
        <v>5</v>
      </c>
      <c r="Y2003" s="17">
        <v>0</v>
      </c>
      <c r="Z2003" s="17"/>
      <c r="AA2003" s="17" t="s">
        <v>187</v>
      </c>
      <c r="AB2003" s="17" t="s">
        <v>79</v>
      </c>
      <c r="AC2003" s="17">
        <v>5</v>
      </c>
      <c r="AD2003" s="17">
        <v>0</v>
      </c>
      <c r="AE2003" s="17">
        <v>0</v>
      </c>
      <c r="AF2003" s="17"/>
      <c r="AG2003" s="17" t="s">
        <v>81</v>
      </c>
      <c r="AH2003" s="17" t="s">
        <v>82</v>
      </c>
      <c r="AI2003" s="17" t="s">
        <v>107</v>
      </c>
      <c r="AJ2003" s="17" t="s">
        <v>261</v>
      </c>
      <c r="AK2003" s="17" t="s">
        <v>75</v>
      </c>
      <c r="AL2003" s="17" t="s">
        <v>75</v>
      </c>
      <c r="AM2003" s="17" t="s">
        <v>75</v>
      </c>
      <c r="AN2003" s="17" t="s">
        <v>125</v>
      </c>
      <c r="AO2003" s="17" t="s">
        <v>75</v>
      </c>
      <c r="AP2003" s="17"/>
      <c r="AQ2003" s="17"/>
      <c r="AR2003" s="17"/>
      <c r="AS2003" s="17"/>
      <c r="AT2003" s="17"/>
      <c r="AU2003" s="17" t="s">
        <v>127</v>
      </c>
    </row>
    <row r="2004" hidden="1">
      <c r="A2004" s="17">
        <v>2002</v>
      </c>
      <c r="B2004" s="17" t="s">
        <v>52</v>
      </c>
      <c r="C2004" s="25" t="s">
        <v>5836</v>
      </c>
      <c r="D2004" s="35" t="s">
        <v>5571</v>
      </c>
      <c r="E2004" s="17" t="s">
        <v>5837</v>
      </c>
      <c r="F2004" s="17" t="s">
        <v>5838</v>
      </c>
      <c r="G2004" s="17">
        <v>22.250288999999999</v>
      </c>
      <c r="H2004" s="17">
        <v>86.94659</v>
      </c>
      <c r="I2004" s="17"/>
      <c r="J2004" s="17"/>
      <c r="K2004" s="17"/>
      <c r="L2004" s="17"/>
      <c r="M2004" s="43" t="s">
        <v>5574</v>
      </c>
      <c r="N2004" s="17">
        <v>9064976097</v>
      </c>
      <c r="O2004" s="17"/>
      <c r="P2004" s="17">
        <v>60</v>
      </c>
      <c r="Q2004" s="17" t="s">
        <v>73</v>
      </c>
      <c r="R2004" s="17" t="s">
        <v>104</v>
      </c>
      <c r="S2004" s="17" t="s">
        <v>75</v>
      </c>
      <c r="T2004" s="17"/>
      <c r="U2004" s="17" t="s">
        <v>160</v>
      </c>
      <c r="V2004" s="17" t="s">
        <v>77</v>
      </c>
      <c r="W2004" s="17" t="s">
        <v>252</v>
      </c>
      <c r="X2004" s="17">
        <v>3</v>
      </c>
      <c r="Y2004" s="17">
        <v>0</v>
      </c>
      <c r="Z2004" s="17"/>
      <c r="AA2004" s="17" t="s">
        <v>73</v>
      </c>
      <c r="AB2004" s="17" t="s">
        <v>79</v>
      </c>
      <c r="AC2004" s="17">
        <v>2</v>
      </c>
      <c r="AD2004" s="17">
        <v>0</v>
      </c>
      <c r="AE2004" s="17">
        <v>0</v>
      </c>
      <c r="AF2004" s="17"/>
      <c r="AG2004" s="17" t="s">
        <v>81</v>
      </c>
      <c r="AH2004" s="17" t="s">
        <v>82</v>
      </c>
      <c r="AI2004" s="17" t="s">
        <v>83</v>
      </c>
      <c r="AJ2004" s="17" t="s">
        <v>1453</v>
      </c>
      <c r="AK2004" s="17" t="s">
        <v>75</v>
      </c>
      <c r="AL2004" s="17" t="s">
        <v>75</v>
      </c>
      <c r="AM2004" s="17" t="s">
        <v>75</v>
      </c>
      <c r="AN2004" s="17" t="s">
        <v>84</v>
      </c>
      <c r="AO2004" s="17" t="s">
        <v>75</v>
      </c>
      <c r="AP2004" s="17"/>
      <c r="AQ2004" s="17"/>
      <c r="AR2004" s="17"/>
      <c r="AS2004" s="17"/>
      <c r="AT2004" s="17" t="s">
        <v>5839</v>
      </c>
      <c r="AU2004" s="17" t="s">
        <v>127</v>
      </c>
    </row>
    <row r="2005" hidden="1">
      <c r="A2005" s="17">
        <v>2003</v>
      </c>
      <c r="B2005" s="17" t="s">
        <v>52</v>
      </c>
      <c r="C2005" s="44" t="s">
        <v>5840</v>
      </c>
      <c r="D2005" s="35" t="s">
        <v>5571</v>
      </c>
      <c r="E2005" s="17" t="s">
        <v>5841</v>
      </c>
      <c r="F2005" s="17" t="s">
        <v>5842</v>
      </c>
      <c r="G2005" s="17">
        <v>22.353964999999999</v>
      </c>
      <c r="H2005" s="17">
        <v>86.962688</v>
      </c>
      <c r="I2005" s="17"/>
      <c r="J2005" s="17"/>
      <c r="K2005" s="17"/>
      <c r="L2005" s="17"/>
      <c r="M2005" s="43" t="s">
        <v>5574</v>
      </c>
      <c r="N2005" s="17">
        <v>9064976097</v>
      </c>
      <c r="O2005" s="17"/>
      <c r="P2005" s="17">
        <v>70</v>
      </c>
      <c r="Q2005" s="17" t="s">
        <v>105</v>
      </c>
      <c r="R2005" s="17" t="s">
        <v>142</v>
      </c>
      <c r="S2005" s="17" t="s">
        <v>75</v>
      </c>
      <c r="T2005" s="17"/>
      <c r="U2005" s="17" t="s">
        <v>441</v>
      </c>
      <c r="V2005" s="17" t="s">
        <v>442</v>
      </c>
      <c r="W2005" s="17" t="s">
        <v>1699</v>
      </c>
      <c r="X2005" s="17">
        <v>3</v>
      </c>
      <c r="Y2005" s="17">
        <v>0</v>
      </c>
      <c r="Z2005" s="17"/>
      <c r="AA2005" s="17" t="s">
        <v>105</v>
      </c>
      <c r="AB2005" s="17" t="s">
        <v>79</v>
      </c>
      <c r="AC2005" s="17">
        <v>5</v>
      </c>
      <c r="AD2005" s="17">
        <v>0</v>
      </c>
      <c r="AE2005" s="17">
        <v>0</v>
      </c>
      <c r="AF2005" s="17"/>
      <c r="AG2005" s="17" t="s">
        <v>81</v>
      </c>
      <c r="AH2005" s="17" t="s">
        <v>82</v>
      </c>
      <c r="AI2005" s="17" t="s">
        <v>83</v>
      </c>
      <c r="AJ2005" s="17" t="s">
        <v>341</v>
      </c>
      <c r="AK2005" s="17" t="s">
        <v>75</v>
      </c>
      <c r="AL2005" s="17" t="s">
        <v>75</v>
      </c>
      <c r="AM2005" s="17" t="s">
        <v>75</v>
      </c>
      <c r="AN2005" s="17" t="s">
        <v>84</v>
      </c>
      <c r="AO2005" s="17" t="s">
        <v>75</v>
      </c>
      <c r="AP2005" s="17"/>
      <c r="AQ2005" s="17"/>
      <c r="AR2005" s="17"/>
      <c r="AS2005" s="17"/>
      <c r="AT2005" s="17"/>
      <c r="AU2005" s="17" t="s">
        <v>127</v>
      </c>
    </row>
    <row r="2006" hidden="1">
      <c r="A2006" s="17">
        <v>2004</v>
      </c>
      <c r="B2006" s="17" t="s">
        <v>52</v>
      </c>
      <c r="C2006" s="25" t="s">
        <v>5843</v>
      </c>
      <c r="D2006" s="35" t="s">
        <v>5571</v>
      </c>
      <c r="E2006" s="17" t="s">
        <v>5844</v>
      </c>
      <c r="F2006" s="17" t="s">
        <v>5845</v>
      </c>
      <c r="G2006" s="17">
        <v>22.317575999999999</v>
      </c>
      <c r="H2006" s="17">
        <v>86.973067</v>
      </c>
      <c r="I2006" s="17"/>
      <c r="J2006" s="17"/>
      <c r="K2006" s="17"/>
      <c r="L2006" s="17"/>
      <c r="M2006" s="43" t="s">
        <v>5574</v>
      </c>
      <c r="N2006" s="17">
        <v>9064976097</v>
      </c>
      <c r="O2006" s="17"/>
      <c r="P2006" s="17">
        <v>90</v>
      </c>
      <c r="Q2006" s="17" t="s">
        <v>105</v>
      </c>
      <c r="R2006" s="17" t="s">
        <v>74</v>
      </c>
      <c r="S2006" s="17" t="s">
        <v>3748</v>
      </c>
      <c r="T2006" s="17"/>
      <c r="U2006" s="17" t="s">
        <v>105</v>
      </c>
      <c r="V2006" s="17" t="s">
        <v>77</v>
      </c>
      <c r="W2006" s="17" t="s">
        <v>330</v>
      </c>
      <c r="X2006" s="17">
        <v>5</v>
      </c>
      <c r="Y2006" s="17">
        <v>0</v>
      </c>
      <c r="Z2006" s="17"/>
      <c r="AA2006" s="17" t="s">
        <v>105</v>
      </c>
      <c r="AB2006" s="17" t="s">
        <v>79</v>
      </c>
      <c r="AC2006" s="17">
        <v>3</v>
      </c>
      <c r="AD2006" s="17">
        <v>0</v>
      </c>
      <c r="AE2006" s="17">
        <v>0</v>
      </c>
      <c r="AF2006" s="17" t="s">
        <v>5846</v>
      </c>
      <c r="AG2006" s="17" t="s">
        <v>124</v>
      </c>
      <c r="AH2006" s="17" t="s">
        <v>82</v>
      </c>
      <c r="AI2006" s="17" t="s">
        <v>83</v>
      </c>
      <c r="AJ2006" s="17" t="s">
        <v>341</v>
      </c>
      <c r="AK2006" s="17" t="s">
        <v>75</v>
      </c>
      <c r="AL2006" s="17" t="s">
        <v>75</v>
      </c>
      <c r="AM2006" s="17" t="s">
        <v>75</v>
      </c>
      <c r="AN2006" s="17" t="s">
        <v>125</v>
      </c>
      <c r="AO2006" s="17" t="s">
        <v>75</v>
      </c>
      <c r="AP2006" s="17"/>
      <c r="AQ2006" s="17"/>
      <c r="AR2006" s="17"/>
      <c r="AS2006" s="17"/>
      <c r="AT2006" s="17"/>
      <c r="AU2006" s="17" t="s">
        <v>111</v>
      </c>
    </row>
    <row r="2007" hidden="1">
      <c r="A2007" s="17">
        <v>2005</v>
      </c>
      <c r="B2007" s="17" t="s">
        <v>52</v>
      </c>
      <c r="C2007" s="25" t="s">
        <v>5847</v>
      </c>
      <c r="D2007" s="35" t="s">
        <v>5571</v>
      </c>
      <c r="E2007" s="17" t="s">
        <v>5848</v>
      </c>
      <c r="F2007" s="17" t="s">
        <v>5849</v>
      </c>
      <c r="G2007" s="17">
        <v>22.242184999999999</v>
      </c>
      <c r="H2007" s="17">
        <v>86.884079</v>
      </c>
      <c r="I2007" s="17"/>
      <c r="J2007" s="17"/>
      <c r="K2007" s="17"/>
      <c r="L2007" s="17"/>
      <c r="M2007" s="43" t="s">
        <v>5574</v>
      </c>
      <c r="N2007" s="17">
        <v>9064976097</v>
      </c>
      <c r="O2007" s="17"/>
      <c r="P2007" s="17">
        <v>85</v>
      </c>
      <c r="Q2007" s="17" t="s">
        <v>187</v>
      </c>
      <c r="R2007" s="17" t="s">
        <v>74</v>
      </c>
      <c r="S2007" s="17" t="s">
        <v>75</v>
      </c>
      <c r="T2007" s="17"/>
      <c r="U2007" s="17" t="s">
        <v>160</v>
      </c>
      <c r="V2007" s="17" t="s">
        <v>77</v>
      </c>
      <c r="W2007" s="17" t="s">
        <v>330</v>
      </c>
      <c r="X2007" s="17">
        <v>5</v>
      </c>
      <c r="Y2007" s="17">
        <v>1</v>
      </c>
      <c r="Z2007" s="17"/>
      <c r="AA2007" s="17" t="s">
        <v>187</v>
      </c>
      <c r="AB2007" s="17" t="s">
        <v>79</v>
      </c>
      <c r="AC2007" s="17">
        <v>5</v>
      </c>
      <c r="AD2007" s="17">
        <v>0</v>
      </c>
      <c r="AE2007" s="17">
        <v>0</v>
      </c>
      <c r="AF2007" s="17"/>
      <c r="AG2007" s="17" t="s">
        <v>124</v>
      </c>
      <c r="AH2007" s="17" t="s">
        <v>82</v>
      </c>
      <c r="AI2007" s="17" t="s">
        <v>83</v>
      </c>
      <c r="AJ2007" s="17" t="s">
        <v>341</v>
      </c>
      <c r="AK2007" s="17" t="s">
        <v>75</v>
      </c>
      <c r="AL2007" s="17" t="s">
        <v>75</v>
      </c>
      <c r="AM2007" s="17" t="s">
        <v>75</v>
      </c>
      <c r="AN2007" s="17" t="s">
        <v>125</v>
      </c>
      <c r="AO2007" s="17" t="s">
        <v>75</v>
      </c>
      <c r="AP2007" s="17"/>
      <c r="AQ2007" s="17"/>
      <c r="AR2007" s="17"/>
      <c r="AS2007" s="17"/>
      <c r="AT2007" s="17" t="s">
        <v>5850</v>
      </c>
      <c r="AU2007" s="17" t="s">
        <v>111</v>
      </c>
    </row>
    <row r="2008" hidden="1">
      <c r="A2008" s="17">
        <v>2006</v>
      </c>
      <c r="B2008" s="17" t="s">
        <v>52</v>
      </c>
      <c r="C2008" s="25" t="s">
        <v>5851</v>
      </c>
      <c r="D2008" s="35" t="s">
        <v>5571</v>
      </c>
      <c r="E2008" s="17" t="s">
        <v>5852</v>
      </c>
      <c r="F2008" s="17" t="s">
        <v>5853</v>
      </c>
      <c r="G2008" s="17">
        <v>22.321885999999999</v>
      </c>
      <c r="H2008" s="17">
        <v>86.994607999999999</v>
      </c>
      <c r="I2008" s="17"/>
      <c r="J2008" s="17"/>
      <c r="K2008" s="17"/>
      <c r="L2008" s="17"/>
      <c r="M2008" s="43" t="s">
        <v>5574</v>
      </c>
      <c r="N2008" s="17">
        <v>9064976097</v>
      </c>
      <c r="O2008" s="17"/>
      <c r="P2008" s="17">
        <v>90</v>
      </c>
      <c r="Q2008" s="17" t="s">
        <v>73</v>
      </c>
      <c r="R2008" s="17" t="s">
        <v>104</v>
      </c>
      <c r="S2008" s="17" t="s">
        <v>75</v>
      </c>
      <c r="T2008" s="17"/>
      <c r="U2008" s="17" t="s">
        <v>160</v>
      </c>
      <c r="V2008" s="17" t="s">
        <v>77</v>
      </c>
      <c r="W2008" s="17" t="s">
        <v>330</v>
      </c>
      <c r="X2008" s="17">
        <v>5</v>
      </c>
      <c r="Y2008" s="17">
        <v>1</v>
      </c>
      <c r="Z2008" s="17"/>
      <c r="AA2008" s="17" t="s">
        <v>73</v>
      </c>
      <c r="AB2008" s="17" t="s">
        <v>79</v>
      </c>
      <c r="AC2008" s="17">
        <v>3</v>
      </c>
      <c r="AD2008" s="17">
        <v>0</v>
      </c>
      <c r="AE2008" s="17">
        <v>1</v>
      </c>
      <c r="AF2008" s="17"/>
      <c r="AG2008" s="17" t="s">
        <v>124</v>
      </c>
      <c r="AH2008" s="17" t="s">
        <v>82</v>
      </c>
      <c r="AI2008" s="17" t="s">
        <v>83</v>
      </c>
      <c r="AJ2008" s="17" t="s">
        <v>341</v>
      </c>
      <c r="AK2008" s="17" t="s">
        <v>75</v>
      </c>
      <c r="AL2008" s="17" t="s">
        <v>75</v>
      </c>
      <c r="AM2008" s="17" t="s">
        <v>75</v>
      </c>
      <c r="AN2008" s="17" t="s">
        <v>125</v>
      </c>
      <c r="AO2008" s="17" t="s">
        <v>75</v>
      </c>
      <c r="AP2008" s="17"/>
      <c r="AQ2008" s="17"/>
      <c r="AR2008" s="17"/>
      <c r="AS2008" s="17"/>
      <c r="AT2008" s="17"/>
      <c r="AU2008" s="17" t="s">
        <v>127</v>
      </c>
    </row>
    <row r="2009" hidden="1">
      <c r="A2009" s="17">
        <v>2007</v>
      </c>
      <c r="B2009" s="17" t="s">
        <v>52</v>
      </c>
      <c r="C2009" s="25" t="s">
        <v>5854</v>
      </c>
      <c r="D2009" s="35" t="s">
        <v>5571</v>
      </c>
      <c r="E2009" s="17" t="s">
        <v>5855</v>
      </c>
      <c r="F2009" s="17" t="s">
        <v>5856</v>
      </c>
      <c r="G2009" s="17">
        <v>22.306242000000001</v>
      </c>
      <c r="H2009" s="17">
        <v>86.908512999999999</v>
      </c>
      <c r="I2009" s="17"/>
      <c r="J2009" s="17"/>
      <c r="K2009" s="17"/>
      <c r="L2009" s="17"/>
      <c r="M2009" s="43" t="s">
        <v>5574</v>
      </c>
      <c r="N2009" s="17">
        <v>9064976097</v>
      </c>
      <c r="O2009" s="17"/>
      <c r="P2009" s="17">
        <v>90</v>
      </c>
      <c r="Q2009" s="17" t="s">
        <v>187</v>
      </c>
      <c r="R2009" s="17" t="s">
        <v>74</v>
      </c>
      <c r="S2009" s="17" t="s">
        <v>75</v>
      </c>
      <c r="T2009" s="17"/>
      <c r="U2009" s="17" t="s">
        <v>160</v>
      </c>
      <c r="V2009" s="17" t="s">
        <v>77</v>
      </c>
      <c r="W2009" s="17" t="s">
        <v>252</v>
      </c>
      <c r="X2009" s="17">
        <v>5</v>
      </c>
      <c r="Y2009" s="17">
        <v>0</v>
      </c>
      <c r="Z2009" s="17"/>
      <c r="AA2009" s="17" t="s">
        <v>187</v>
      </c>
      <c r="AB2009" s="17" t="s">
        <v>79</v>
      </c>
      <c r="AC2009" s="17">
        <v>5</v>
      </c>
      <c r="AD2009" s="17">
        <v>0</v>
      </c>
      <c r="AE2009" s="17">
        <v>0</v>
      </c>
      <c r="AF2009" s="17"/>
      <c r="AG2009" s="17" t="s">
        <v>124</v>
      </c>
      <c r="AH2009" s="17" t="s">
        <v>82</v>
      </c>
      <c r="AI2009" s="17" t="s">
        <v>83</v>
      </c>
      <c r="AJ2009" s="17" t="s">
        <v>341</v>
      </c>
      <c r="AK2009" s="17" t="s">
        <v>75</v>
      </c>
      <c r="AL2009" s="17" t="s">
        <v>75</v>
      </c>
      <c r="AM2009" s="17" t="s">
        <v>137</v>
      </c>
      <c r="AN2009" s="17" t="s">
        <v>84</v>
      </c>
      <c r="AO2009" s="17" t="s">
        <v>75</v>
      </c>
      <c r="AP2009" s="17"/>
      <c r="AQ2009" s="17"/>
      <c r="AR2009" s="17"/>
      <c r="AS2009" s="17"/>
      <c r="AT2009" s="17" t="s">
        <v>666</v>
      </c>
      <c r="AU2009" s="17" t="s">
        <v>5857</v>
      </c>
    </row>
    <row r="2010" hidden="1">
      <c r="A2010" s="17">
        <v>2008</v>
      </c>
      <c r="B2010" s="17" t="s">
        <v>52</v>
      </c>
      <c r="C2010" s="25" t="s">
        <v>5858</v>
      </c>
      <c r="D2010" s="35" t="s">
        <v>5571</v>
      </c>
      <c r="E2010" s="17" t="s">
        <v>5859</v>
      </c>
      <c r="F2010" s="17" t="s">
        <v>5860</v>
      </c>
      <c r="G2010" s="17">
        <v>22.257583</v>
      </c>
      <c r="H2010" s="17">
        <v>86.918394000000006</v>
      </c>
      <c r="I2010" s="17"/>
      <c r="J2010" s="17"/>
      <c r="K2010" s="17"/>
      <c r="L2010" s="17"/>
      <c r="M2010" s="43" t="s">
        <v>5574</v>
      </c>
      <c r="N2010" s="17">
        <v>9064976097</v>
      </c>
      <c r="O2010" s="17"/>
      <c r="P2010" s="17">
        <v>95</v>
      </c>
      <c r="Q2010" s="17" t="s">
        <v>73</v>
      </c>
      <c r="R2010" s="17" t="s">
        <v>74</v>
      </c>
      <c r="S2010" s="17" t="s">
        <v>5861</v>
      </c>
      <c r="T2010" s="17"/>
      <c r="U2010" s="17" t="s">
        <v>5862</v>
      </c>
      <c r="V2010" s="17" t="s">
        <v>77</v>
      </c>
      <c r="W2010" s="17" t="s">
        <v>252</v>
      </c>
      <c r="X2010" s="17">
        <v>5</v>
      </c>
      <c r="Y2010" s="17">
        <v>0</v>
      </c>
      <c r="Z2010" s="17"/>
      <c r="AA2010" s="17" t="s">
        <v>73</v>
      </c>
      <c r="AB2010" s="17" t="s">
        <v>79</v>
      </c>
      <c r="AC2010" s="17">
        <v>3</v>
      </c>
      <c r="AD2010" s="17">
        <v>0</v>
      </c>
      <c r="AE2010" s="17">
        <v>0</v>
      </c>
      <c r="AF2010" s="17"/>
      <c r="AG2010" s="17" t="s">
        <v>573</v>
      </c>
      <c r="AH2010" s="17" t="s">
        <v>82</v>
      </c>
      <c r="AI2010" s="17" t="s">
        <v>3289</v>
      </c>
      <c r="AJ2010" s="17" t="s">
        <v>1453</v>
      </c>
      <c r="AK2010" s="17" t="s">
        <v>75</v>
      </c>
      <c r="AL2010" s="17" t="s">
        <v>75</v>
      </c>
      <c r="AM2010" s="17" t="s">
        <v>75</v>
      </c>
      <c r="AN2010" s="17" t="s">
        <v>84</v>
      </c>
      <c r="AO2010" s="17" t="s">
        <v>75</v>
      </c>
      <c r="AP2010" s="17"/>
      <c r="AQ2010" s="17"/>
      <c r="AR2010" s="17"/>
      <c r="AS2010" s="17"/>
      <c r="AT2010" s="17"/>
      <c r="AU2010" s="17" t="s">
        <v>75</v>
      </c>
    </row>
    <row r="2011" hidden="1">
      <c r="A2011" s="17">
        <v>2009</v>
      </c>
      <c r="B2011" s="17" t="s">
        <v>52</v>
      </c>
      <c r="C2011" s="25" t="s">
        <v>5863</v>
      </c>
      <c r="D2011" s="35" t="s">
        <v>5571</v>
      </c>
      <c r="E2011" s="17" t="s">
        <v>5864</v>
      </c>
      <c r="F2011" s="17" t="s">
        <v>5865</v>
      </c>
      <c r="G2011" s="17">
        <v>22.112286999999998</v>
      </c>
      <c r="H2011" s="17">
        <v>86.882794000000004</v>
      </c>
      <c r="I2011" s="17"/>
      <c r="J2011" s="17"/>
      <c r="K2011" s="17"/>
      <c r="L2011" s="17"/>
      <c r="M2011" s="43" t="s">
        <v>5608</v>
      </c>
      <c r="N2011" s="17">
        <v>7864978775</v>
      </c>
      <c r="O2011" s="17">
        <v>12</v>
      </c>
      <c r="P2011" s="17">
        <v>65</v>
      </c>
      <c r="Q2011" s="17" t="s">
        <v>73</v>
      </c>
      <c r="R2011" s="17" t="s">
        <v>74</v>
      </c>
      <c r="S2011" s="17"/>
      <c r="T2011" s="17" t="s">
        <v>5866</v>
      </c>
      <c r="U2011" s="17" t="s">
        <v>76</v>
      </c>
      <c r="V2011" s="17" t="s">
        <v>77</v>
      </c>
      <c r="W2011" s="17" t="s">
        <v>78</v>
      </c>
      <c r="X2011" s="17">
        <v>3</v>
      </c>
      <c r="Y2011" s="17">
        <v>1</v>
      </c>
      <c r="Z2011" s="17"/>
      <c r="AA2011" s="17" t="s">
        <v>5867</v>
      </c>
      <c r="AB2011" s="17" t="s">
        <v>79</v>
      </c>
      <c r="AC2011" s="17">
        <v>1</v>
      </c>
      <c r="AD2011" s="17">
        <v>0</v>
      </c>
      <c r="AE2011" s="17">
        <v>0</v>
      </c>
      <c r="AF2011" s="17"/>
      <c r="AG2011" s="17" t="s">
        <v>81</v>
      </c>
      <c r="AH2011" s="17" t="s">
        <v>82</v>
      </c>
      <c r="AI2011" s="17" t="s">
        <v>107</v>
      </c>
      <c r="AJ2011" s="17"/>
      <c r="AK2011" s="17" t="s">
        <v>137</v>
      </c>
      <c r="AL2011" s="17" t="s">
        <v>137</v>
      </c>
      <c r="AM2011" s="17" t="s">
        <v>137</v>
      </c>
      <c r="AN2011" s="17" t="s">
        <v>84</v>
      </c>
      <c r="AO2011" s="17"/>
      <c r="AP2011" s="17"/>
      <c r="AQ2011" s="17"/>
      <c r="AR2011" s="17"/>
      <c r="AS2011" s="17"/>
      <c r="AT2011" s="17" t="s">
        <v>5868</v>
      </c>
      <c r="AU2011" s="17" t="s">
        <v>127</v>
      </c>
    </row>
    <row r="2012" hidden="1">
      <c r="A2012" s="17">
        <v>2010</v>
      </c>
      <c r="B2012" s="17" t="s">
        <v>52</v>
      </c>
      <c r="C2012" s="25" t="s">
        <v>5869</v>
      </c>
      <c r="D2012" s="35" t="s">
        <v>5571</v>
      </c>
      <c r="E2012" s="17" t="s">
        <v>5870</v>
      </c>
      <c r="F2012" s="17" t="s">
        <v>5871</v>
      </c>
      <c r="G2012" s="17">
        <v>22.134981</v>
      </c>
      <c r="H2012" s="17">
        <v>86.926401999999996</v>
      </c>
      <c r="I2012" s="17"/>
      <c r="J2012" s="17"/>
      <c r="K2012" s="17"/>
      <c r="L2012" s="17"/>
      <c r="M2012" s="43" t="s">
        <v>5608</v>
      </c>
      <c r="N2012" s="17">
        <v>7864978775</v>
      </c>
      <c r="O2012" s="17">
        <v>14</v>
      </c>
      <c r="P2012" s="17">
        <v>60</v>
      </c>
      <c r="Q2012" s="17" t="s">
        <v>105</v>
      </c>
      <c r="R2012" s="17" t="s">
        <v>142</v>
      </c>
      <c r="S2012" s="17" t="s">
        <v>75</v>
      </c>
      <c r="T2012" s="17"/>
      <c r="U2012" s="17" t="s">
        <v>145</v>
      </c>
      <c r="V2012" s="17" t="s">
        <v>77</v>
      </c>
      <c r="W2012" s="17" t="s">
        <v>443</v>
      </c>
      <c r="X2012" s="17">
        <v>2</v>
      </c>
      <c r="Y2012" s="17">
        <v>1</v>
      </c>
      <c r="Z2012" s="17"/>
      <c r="AA2012" s="17" t="s">
        <v>105</v>
      </c>
      <c r="AB2012" s="17" t="s">
        <v>79</v>
      </c>
      <c r="AC2012" s="17">
        <v>5</v>
      </c>
      <c r="AD2012" s="17">
        <v>0</v>
      </c>
      <c r="AE2012" s="17">
        <v>0</v>
      </c>
      <c r="AF2012" s="17" t="s">
        <v>75</v>
      </c>
      <c r="AG2012" s="17" t="s">
        <v>5872</v>
      </c>
      <c r="AH2012" s="17" t="s">
        <v>82</v>
      </c>
      <c r="AI2012" s="17" t="s">
        <v>3289</v>
      </c>
      <c r="AJ2012" s="17">
        <v>2111</v>
      </c>
      <c r="AK2012" s="17" t="s">
        <v>189</v>
      </c>
      <c r="AL2012" s="17" t="s">
        <v>75</v>
      </c>
      <c r="AM2012" s="17" t="s">
        <v>75</v>
      </c>
      <c r="AN2012" s="17" t="s">
        <v>125</v>
      </c>
      <c r="AO2012" s="17"/>
      <c r="AP2012" s="17"/>
      <c r="AQ2012" s="17"/>
      <c r="AR2012" s="17"/>
      <c r="AS2012" s="17"/>
      <c r="AT2012" s="17"/>
      <c r="AU2012" s="17" t="s">
        <v>127</v>
      </c>
    </row>
    <row r="2013" hidden="1">
      <c r="A2013" s="17">
        <v>2011</v>
      </c>
      <c r="B2013" s="17" t="s">
        <v>52</v>
      </c>
      <c r="C2013" s="25" t="s">
        <v>5873</v>
      </c>
      <c r="D2013" s="35" t="s">
        <v>5571</v>
      </c>
      <c r="E2013" s="17" t="s">
        <v>5874</v>
      </c>
      <c r="F2013" s="17" t="s">
        <v>5875</v>
      </c>
      <c r="G2013" s="17">
        <v>22.166917999999999</v>
      </c>
      <c r="H2013" s="17">
        <v>86.941647000000003</v>
      </c>
      <c r="I2013" s="17"/>
      <c r="J2013" s="17"/>
      <c r="K2013" s="17"/>
      <c r="L2013" s="17"/>
      <c r="M2013" s="43" t="s">
        <v>5608</v>
      </c>
      <c r="N2013" s="17">
        <v>7864978775</v>
      </c>
      <c r="O2013" s="17">
        <v>14</v>
      </c>
      <c r="P2013" s="17">
        <v>70</v>
      </c>
      <c r="Q2013" s="17" t="s">
        <v>145</v>
      </c>
      <c r="R2013" s="17" t="s">
        <v>142</v>
      </c>
      <c r="S2013" s="17" t="s">
        <v>75</v>
      </c>
      <c r="T2013" s="17"/>
      <c r="U2013" s="17" t="s">
        <v>503</v>
      </c>
      <c r="V2013" s="17" t="s">
        <v>504</v>
      </c>
      <c r="W2013" s="17" t="s">
        <v>5876</v>
      </c>
      <c r="X2013" s="17">
        <v>2</v>
      </c>
      <c r="Y2013" s="17">
        <v>0</v>
      </c>
      <c r="Z2013" s="17"/>
      <c r="AA2013" s="17" t="s">
        <v>105</v>
      </c>
      <c r="AB2013" s="17" t="s">
        <v>79</v>
      </c>
      <c r="AC2013" s="17">
        <v>5</v>
      </c>
      <c r="AD2013" s="17">
        <v>0</v>
      </c>
      <c r="AE2013" s="17">
        <v>0</v>
      </c>
      <c r="AF2013" s="17" t="s">
        <v>75</v>
      </c>
      <c r="AG2013" s="17" t="s">
        <v>5872</v>
      </c>
      <c r="AH2013" s="17" t="s">
        <v>82</v>
      </c>
      <c r="AI2013" s="17" t="s">
        <v>3289</v>
      </c>
      <c r="AJ2013" s="17">
        <v>2111</v>
      </c>
      <c r="AK2013" s="17" t="s">
        <v>5877</v>
      </c>
      <c r="AL2013" s="17" t="s">
        <v>75</v>
      </c>
      <c r="AM2013" s="17" t="s">
        <v>75</v>
      </c>
      <c r="AN2013" s="17" t="s">
        <v>125</v>
      </c>
      <c r="AO2013" s="17"/>
      <c r="AP2013" s="17"/>
      <c r="AQ2013" s="17"/>
      <c r="AR2013" s="17"/>
      <c r="AS2013" s="17"/>
      <c r="AT2013" s="17" t="s">
        <v>5878</v>
      </c>
      <c r="AU2013" s="17" t="s">
        <v>111</v>
      </c>
    </row>
    <row r="2014" hidden="1">
      <c r="A2014" s="17">
        <v>2012</v>
      </c>
      <c r="B2014" s="17" t="s">
        <v>52</v>
      </c>
      <c r="C2014" s="25" t="s">
        <v>5879</v>
      </c>
      <c r="D2014" s="35" t="s">
        <v>5571</v>
      </c>
      <c r="E2014" s="17" t="s">
        <v>5880</v>
      </c>
      <c r="F2014" s="17" t="s">
        <v>5881</v>
      </c>
      <c r="G2014" s="17">
        <v>22.169763</v>
      </c>
      <c r="H2014" s="17">
        <v>86.750013999999993</v>
      </c>
      <c r="I2014" s="17"/>
      <c r="J2014" s="17"/>
      <c r="K2014" s="17"/>
      <c r="L2014" s="17"/>
      <c r="M2014" s="43" t="s">
        <v>5608</v>
      </c>
      <c r="N2014" s="17">
        <v>7864978775</v>
      </c>
      <c r="O2014" s="17">
        <v>14</v>
      </c>
      <c r="P2014" s="17">
        <v>85</v>
      </c>
      <c r="Q2014" s="17" t="s">
        <v>5882</v>
      </c>
      <c r="R2014" s="17" t="s">
        <v>74</v>
      </c>
      <c r="S2014" s="17" t="s">
        <v>5883</v>
      </c>
      <c r="T2014" s="17"/>
      <c r="U2014" s="17" t="s">
        <v>5862</v>
      </c>
      <c r="V2014" s="17" t="s">
        <v>77</v>
      </c>
      <c r="W2014" s="17" t="s">
        <v>78</v>
      </c>
      <c r="X2014" s="17">
        <v>5</v>
      </c>
      <c r="Y2014" s="17">
        <v>2</v>
      </c>
      <c r="Z2014" s="17"/>
      <c r="AA2014" s="17" t="s">
        <v>5882</v>
      </c>
      <c r="AB2014" s="17" t="s">
        <v>79</v>
      </c>
      <c r="AC2014" s="17">
        <v>3</v>
      </c>
      <c r="AD2014" s="17">
        <v>0</v>
      </c>
      <c r="AE2014" s="17">
        <v>0</v>
      </c>
      <c r="AF2014" s="17" t="s">
        <v>75</v>
      </c>
      <c r="AG2014" s="17" t="s">
        <v>915</v>
      </c>
      <c r="AH2014" s="17"/>
      <c r="AI2014" s="17"/>
      <c r="AJ2014" s="17"/>
      <c r="AK2014" s="17"/>
      <c r="AL2014" s="17"/>
      <c r="AM2014" s="17"/>
      <c r="AN2014" s="17"/>
      <c r="AO2014" s="17"/>
      <c r="AP2014" s="17"/>
      <c r="AQ2014" s="17"/>
      <c r="AR2014" s="17"/>
      <c r="AS2014" s="17"/>
      <c r="AT2014" s="17" t="s">
        <v>5884</v>
      </c>
      <c r="AU2014" s="17" t="s">
        <v>127</v>
      </c>
    </row>
    <row r="2015" hidden="1">
      <c r="A2015" s="17">
        <v>2013</v>
      </c>
      <c r="B2015" s="17" t="s">
        <v>52</v>
      </c>
      <c r="C2015" s="25" t="s">
        <v>5885</v>
      </c>
      <c r="D2015" s="35" t="s">
        <v>5571</v>
      </c>
      <c r="E2015" s="17" t="s">
        <v>5886</v>
      </c>
      <c r="F2015" s="17" t="s">
        <v>5887</v>
      </c>
      <c r="G2015" s="17">
        <v>22.127181</v>
      </c>
      <c r="H2015" s="17">
        <v>86.821969999999993</v>
      </c>
      <c r="I2015" s="17"/>
      <c r="J2015" s="17"/>
      <c r="K2015" s="17"/>
      <c r="L2015" s="17"/>
      <c r="M2015" s="43" t="s">
        <v>5608</v>
      </c>
      <c r="N2015" s="17">
        <v>7864978775</v>
      </c>
      <c r="O2015" s="17">
        <v>14</v>
      </c>
      <c r="P2015" s="17">
        <v>92</v>
      </c>
      <c r="Q2015" s="17" t="s">
        <v>145</v>
      </c>
      <c r="R2015" s="17" t="s">
        <v>74</v>
      </c>
      <c r="S2015" s="17" t="s">
        <v>5888</v>
      </c>
      <c r="T2015" s="17"/>
      <c r="U2015" s="17" t="s">
        <v>145</v>
      </c>
      <c r="V2015" s="17" t="s">
        <v>77</v>
      </c>
      <c r="W2015" s="17" t="s">
        <v>5889</v>
      </c>
      <c r="X2015" s="17">
        <v>8</v>
      </c>
      <c r="Y2015" s="17">
        <v>2</v>
      </c>
      <c r="Z2015" s="17"/>
      <c r="AA2015" s="17" t="s">
        <v>105</v>
      </c>
      <c r="AB2015" s="17" t="s">
        <v>79</v>
      </c>
      <c r="AC2015" s="17">
        <v>4</v>
      </c>
      <c r="AD2015" s="17">
        <v>0</v>
      </c>
      <c r="AE2015" s="17">
        <v>0</v>
      </c>
      <c r="AF2015" s="17" t="s">
        <v>75</v>
      </c>
      <c r="AG2015" s="17" t="s">
        <v>81</v>
      </c>
      <c r="AH2015" s="17" t="s">
        <v>82</v>
      </c>
      <c r="AI2015" s="17" t="s">
        <v>107</v>
      </c>
      <c r="AJ2015" s="17" t="s">
        <v>539</v>
      </c>
      <c r="AK2015" s="17" t="s">
        <v>189</v>
      </c>
      <c r="AL2015" s="17" t="s">
        <v>75</v>
      </c>
      <c r="AM2015" s="17" t="s">
        <v>75</v>
      </c>
      <c r="AN2015" s="17" t="s">
        <v>125</v>
      </c>
      <c r="AO2015" s="17" t="s">
        <v>137</v>
      </c>
      <c r="AP2015" s="17" t="s">
        <v>105</v>
      </c>
      <c r="AQ2015" s="17" t="s">
        <v>239</v>
      </c>
      <c r="AR2015" s="17">
        <v>3</v>
      </c>
      <c r="AS2015" s="17">
        <v>2</v>
      </c>
      <c r="AT2015" s="17" t="s">
        <v>5890</v>
      </c>
      <c r="AU2015" s="17" t="s">
        <v>127</v>
      </c>
    </row>
    <row r="2016" hidden="1">
      <c r="A2016" s="17">
        <v>2014</v>
      </c>
      <c r="B2016" s="17" t="s">
        <v>52</v>
      </c>
      <c r="C2016" s="25" t="s">
        <v>5891</v>
      </c>
      <c r="D2016" s="35" t="s">
        <v>5571</v>
      </c>
      <c r="E2016" s="17" t="s">
        <v>5892</v>
      </c>
      <c r="F2016" s="17" t="s">
        <v>5893</v>
      </c>
      <c r="G2016" s="17">
        <v>22.164376000000001</v>
      </c>
      <c r="H2016" s="17">
        <v>86.861200999999994</v>
      </c>
      <c r="I2016" s="17"/>
      <c r="J2016" s="17"/>
      <c r="K2016" s="17"/>
      <c r="L2016" s="17"/>
      <c r="M2016" s="43" t="s">
        <v>5608</v>
      </c>
      <c r="N2016" s="17">
        <v>7864978775</v>
      </c>
      <c r="O2016" s="17">
        <v>20</v>
      </c>
      <c r="P2016" s="17">
        <v>55</v>
      </c>
      <c r="Q2016" s="17" t="s">
        <v>145</v>
      </c>
      <c r="R2016" s="17" t="s">
        <v>154</v>
      </c>
      <c r="S2016" s="17" t="s">
        <v>5894</v>
      </c>
      <c r="T2016" s="17"/>
      <c r="U2016" s="17" t="s">
        <v>145</v>
      </c>
      <c r="V2016" s="17" t="s">
        <v>340</v>
      </c>
      <c r="W2016" s="17">
        <v>0</v>
      </c>
      <c r="X2016" s="17">
        <v>3</v>
      </c>
      <c r="Y2016" s="17">
        <v>3</v>
      </c>
      <c r="Z2016" s="17" t="s">
        <v>2243</v>
      </c>
      <c r="AA2016" s="17" t="s">
        <v>105</v>
      </c>
      <c r="AB2016" s="17" t="s">
        <v>239</v>
      </c>
      <c r="AC2016" s="17">
        <v>2</v>
      </c>
      <c r="AD2016" s="17">
        <v>0</v>
      </c>
      <c r="AE2016" s="17">
        <v>0</v>
      </c>
      <c r="AF2016" s="17"/>
      <c r="AG2016" s="17" t="s">
        <v>5872</v>
      </c>
      <c r="AH2016" s="17" t="s">
        <v>82</v>
      </c>
      <c r="AI2016" s="17" t="s">
        <v>3289</v>
      </c>
      <c r="AJ2016" s="17">
        <v>2111</v>
      </c>
      <c r="AK2016" s="17" t="s">
        <v>5877</v>
      </c>
      <c r="AL2016" s="17" t="s">
        <v>75</v>
      </c>
      <c r="AM2016" s="17" t="s">
        <v>75</v>
      </c>
      <c r="AN2016" s="17" t="s">
        <v>84</v>
      </c>
      <c r="AO2016" s="17" t="s">
        <v>75</v>
      </c>
      <c r="AP2016" s="17"/>
      <c r="AQ2016" s="17"/>
      <c r="AR2016" s="17"/>
      <c r="AS2016" s="17"/>
      <c r="AT2016" s="17" t="s">
        <v>5895</v>
      </c>
      <c r="AU2016" s="17" t="s">
        <v>127</v>
      </c>
    </row>
    <row r="2017" hidden="1">
      <c r="A2017" s="17">
        <v>2015</v>
      </c>
      <c r="B2017" s="17" t="s">
        <v>52</v>
      </c>
      <c r="C2017" s="25" t="s">
        <v>5896</v>
      </c>
      <c r="D2017" s="35" t="s">
        <v>5571</v>
      </c>
      <c r="E2017" s="17" t="s">
        <v>5897</v>
      </c>
      <c r="F2017" s="17" t="s">
        <v>5898</v>
      </c>
      <c r="G2017" s="17">
        <v>22.188189999999999</v>
      </c>
      <c r="H2017" s="17">
        <v>86.850459999999998</v>
      </c>
      <c r="I2017" s="17"/>
      <c r="J2017" s="17"/>
      <c r="K2017" s="17"/>
      <c r="L2017" s="17"/>
      <c r="M2017" s="43" t="s">
        <v>5608</v>
      </c>
      <c r="N2017" s="17">
        <v>7864978775</v>
      </c>
      <c r="O2017" s="17">
        <v>14</v>
      </c>
      <c r="P2017" s="17">
        <v>90</v>
      </c>
      <c r="Q2017" s="17" t="s">
        <v>73</v>
      </c>
      <c r="R2017" s="17" t="s">
        <v>74</v>
      </c>
      <c r="S2017" s="17" t="s">
        <v>75</v>
      </c>
      <c r="T2017" s="17"/>
      <c r="U2017" s="17" t="s">
        <v>160</v>
      </c>
      <c r="V2017" s="17" t="s">
        <v>77</v>
      </c>
      <c r="W2017" s="17" t="s">
        <v>5899</v>
      </c>
      <c r="X2017" s="17">
        <v>8</v>
      </c>
      <c r="Y2017" s="17">
        <v>0</v>
      </c>
      <c r="Z2017" s="17"/>
      <c r="AA2017" s="17" t="s">
        <v>73</v>
      </c>
      <c r="AB2017" s="17" t="s">
        <v>79</v>
      </c>
      <c r="AC2017" s="17">
        <v>2</v>
      </c>
      <c r="AD2017" s="17">
        <v>0</v>
      </c>
      <c r="AE2017" s="17">
        <v>1</v>
      </c>
      <c r="AF2017" s="17" t="s">
        <v>5900</v>
      </c>
      <c r="AG2017" s="17" t="s">
        <v>5872</v>
      </c>
      <c r="AH2017" s="17" t="s">
        <v>82</v>
      </c>
      <c r="AI2017" s="17" t="s">
        <v>3289</v>
      </c>
      <c r="AJ2017" s="17">
        <v>2111</v>
      </c>
      <c r="AK2017" s="17" t="s">
        <v>5877</v>
      </c>
      <c r="AL2017" s="17" t="s">
        <v>75</v>
      </c>
      <c r="AM2017" s="17" t="s">
        <v>75</v>
      </c>
      <c r="AN2017" s="17" t="s">
        <v>84</v>
      </c>
      <c r="AO2017" s="17" t="s">
        <v>109</v>
      </c>
      <c r="AP2017" s="17" t="s">
        <v>73</v>
      </c>
      <c r="AQ2017" s="17" t="s">
        <v>104</v>
      </c>
      <c r="AR2017" s="17">
        <v>4</v>
      </c>
      <c r="AS2017" s="17">
        <v>4</v>
      </c>
      <c r="AT2017" s="17" t="s">
        <v>5901</v>
      </c>
      <c r="AU2017" s="17" t="s">
        <v>127</v>
      </c>
    </row>
    <row r="2018" hidden="1">
      <c r="A2018" s="17">
        <v>2016</v>
      </c>
      <c r="B2018" s="17" t="s">
        <v>52</v>
      </c>
      <c r="C2018" s="25" t="s">
        <v>5902</v>
      </c>
      <c r="D2018" s="35" t="s">
        <v>5571</v>
      </c>
      <c r="E2018" s="17" t="s">
        <v>5903</v>
      </c>
      <c r="F2018" s="17" t="s">
        <v>5904</v>
      </c>
      <c r="G2018" s="17">
        <v>22.175367999999999</v>
      </c>
      <c r="H2018" s="17">
        <v>86.890917999999999</v>
      </c>
      <c r="I2018" s="17"/>
      <c r="J2018" s="17"/>
      <c r="K2018" s="17"/>
      <c r="L2018" s="17"/>
      <c r="M2018" s="43" t="s">
        <v>5608</v>
      </c>
      <c r="N2018" s="17">
        <v>7864978775</v>
      </c>
      <c r="O2018" s="17">
        <v>16</v>
      </c>
      <c r="P2018" s="17">
        <v>60</v>
      </c>
      <c r="Q2018" s="17" t="s">
        <v>145</v>
      </c>
      <c r="R2018" s="17" t="s">
        <v>142</v>
      </c>
      <c r="S2018" s="17" t="s">
        <v>75</v>
      </c>
      <c r="T2018" s="17"/>
      <c r="U2018" s="17" t="s">
        <v>503</v>
      </c>
      <c r="V2018" s="17" t="s">
        <v>504</v>
      </c>
      <c r="W2018" s="17" t="s">
        <v>5876</v>
      </c>
      <c r="X2018" s="17">
        <v>2</v>
      </c>
      <c r="Y2018" s="17">
        <v>0</v>
      </c>
      <c r="Z2018" s="17"/>
      <c r="AA2018" s="17" t="s">
        <v>105</v>
      </c>
      <c r="AB2018" s="17" t="s">
        <v>79</v>
      </c>
      <c r="AC2018" s="17">
        <v>5</v>
      </c>
      <c r="AD2018" s="17">
        <v>0</v>
      </c>
      <c r="AE2018" s="17">
        <v>0</v>
      </c>
      <c r="AF2018" s="17"/>
      <c r="AG2018" s="17" t="s">
        <v>573</v>
      </c>
      <c r="AH2018" s="17" t="s">
        <v>82</v>
      </c>
      <c r="AI2018" s="17" t="s">
        <v>3289</v>
      </c>
      <c r="AJ2018" s="17">
        <v>2111</v>
      </c>
      <c r="AK2018" s="17" t="s">
        <v>5877</v>
      </c>
      <c r="AL2018" s="17" t="s">
        <v>75</v>
      </c>
      <c r="AM2018" s="17" t="s">
        <v>75</v>
      </c>
      <c r="AN2018" s="17" t="s">
        <v>84</v>
      </c>
      <c r="AO2018" s="17" t="s">
        <v>75</v>
      </c>
      <c r="AP2018" s="17"/>
      <c r="AQ2018" s="17"/>
      <c r="AR2018" s="17"/>
      <c r="AS2018" s="17"/>
      <c r="AT2018" s="17" t="s">
        <v>585</v>
      </c>
      <c r="AU2018" s="17" t="s">
        <v>127</v>
      </c>
    </row>
    <row r="2019" hidden="1">
      <c r="A2019" s="17">
        <v>2017</v>
      </c>
      <c r="B2019" s="17" t="s">
        <v>52</v>
      </c>
      <c r="C2019" s="25" t="s">
        <v>5905</v>
      </c>
      <c r="D2019" s="35" t="s">
        <v>5571</v>
      </c>
      <c r="E2019" s="17" t="s">
        <v>5906</v>
      </c>
      <c r="F2019" s="17" t="s">
        <v>5907</v>
      </c>
      <c r="G2019" s="17">
        <v>22.200085999999999</v>
      </c>
      <c r="H2019" s="17">
        <v>86.902141</v>
      </c>
      <c r="I2019" s="17"/>
      <c r="J2019" s="17"/>
      <c r="K2019" s="17"/>
      <c r="L2019" s="17"/>
      <c r="M2019" s="43" t="s">
        <v>5608</v>
      </c>
      <c r="N2019" s="17">
        <v>7864978775</v>
      </c>
      <c r="O2019" s="17">
        <v>20</v>
      </c>
      <c r="P2019" s="17">
        <v>85</v>
      </c>
      <c r="Q2019" s="17" t="s">
        <v>73</v>
      </c>
      <c r="R2019" s="17" t="s">
        <v>74</v>
      </c>
      <c r="S2019" s="17" t="s">
        <v>75</v>
      </c>
      <c r="T2019" s="17"/>
      <c r="U2019" s="17" t="s">
        <v>145</v>
      </c>
      <c r="V2019" s="17" t="s">
        <v>77</v>
      </c>
      <c r="W2019" s="17" t="s">
        <v>330</v>
      </c>
      <c r="X2019" s="17">
        <v>4</v>
      </c>
      <c r="Y2019" s="17">
        <v>1</v>
      </c>
      <c r="Z2019" s="17"/>
      <c r="AA2019" s="17" t="s">
        <v>73</v>
      </c>
      <c r="AB2019" s="17" t="s">
        <v>79</v>
      </c>
      <c r="AC2019" s="17">
        <v>2</v>
      </c>
      <c r="AD2019" s="17">
        <v>0</v>
      </c>
      <c r="AE2019" s="17">
        <v>0</v>
      </c>
      <c r="AF2019" s="17"/>
      <c r="AG2019" s="17" t="s">
        <v>5872</v>
      </c>
      <c r="AH2019" s="17" t="s">
        <v>82</v>
      </c>
      <c r="AI2019" s="17" t="s">
        <v>3289</v>
      </c>
      <c r="AJ2019" s="17">
        <v>2111</v>
      </c>
      <c r="AK2019" s="17" t="s">
        <v>5908</v>
      </c>
      <c r="AL2019" s="17" t="s">
        <v>75</v>
      </c>
      <c r="AM2019" s="17" t="s">
        <v>137</v>
      </c>
      <c r="AN2019" s="17" t="s">
        <v>125</v>
      </c>
      <c r="AO2019" s="17" t="s">
        <v>75</v>
      </c>
      <c r="AP2019" s="17"/>
      <c r="AQ2019" s="17"/>
      <c r="AR2019" s="17"/>
      <c r="AS2019" s="17"/>
      <c r="AT2019" s="17"/>
      <c r="AU2019" s="17" t="s">
        <v>86</v>
      </c>
    </row>
    <row r="2020" hidden="1">
      <c r="A2020" s="17">
        <v>2018</v>
      </c>
      <c r="B2020" s="17" t="s">
        <v>52</v>
      </c>
      <c r="C2020" s="25" t="s">
        <v>5909</v>
      </c>
      <c r="D2020" s="35" t="s">
        <v>5571</v>
      </c>
      <c r="E2020" s="17" t="s">
        <v>5910</v>
      </c>
      <c r="F2020" s="17" t="s">
        <v>5911</v>
      </c>
      <c r="G2020" s="17">
        <v>22.172941000000002</v>
      </c>
      <c r="H2020" s="17">
        <v>86.831396999999996</v>
      </c>
      <c r="I2020" s="17"/>
      <c r="J2020" s="17"/>
      <c r="K2020" s="17"/>
      <c r="L2020" s="17"/>
      <c r="M2020" s="43" t="s">
        <v>5608</v>
      </c>
      <c r="N2020" s="17">
        <v>7864978775</v>
      </c>
      <c r="O2020" s="17">
        <v>15</v>
      </c>
      <c r="P2020" s="17">
        <v>56</v>
      </c>
      <c r="Q2020" s="17" t="s">
        <v>413</v>
      </c>
      <c r="R2020" s="17" t="s">
        <v>74</v>
      </c>
      <c r="S2020" s="17" t="s">
        <v>75</v>
      </c>
      <c r="T2020" s="17"/>
      <c r="U2020" s="17" t="s">
        <v>145</v>
      </c>
      <c r="V2020" s="17" t="s">
        <v>77</v>
      </c>
      <c r="W2020" s="17" t="s">
        <v>1094</v>
      </c>
      <c r="X2020" s="17">
        <v>3</v>
      </c>
      <c r="Y2020" s="17">
        <v>0</v>
      </c>
      <c r="Z2020" s="17"/>
      <c r="AA2020" s="17" t="s">
        <v>413</v>
      </c>
      <c r="AB2020" s="17" t="s">
        <v>79</v>
      </c>
      <c r="AC2020" s="17">
        <v>3</v>
      </c>
      <c r="AD2020" s="17">
        <v>0</v>
      </c>
      <c r="AE2020" s="17">
        <v>0</v>
      </c>
      <c r="AF2020" s="17"/>
      <c r="AG2020" s="17" t="s">
        <v>573</v>
      </c>
      <c r="AH2020" s="17" t="s">
        <v>82</v>
      </c>
      <c r="AI2020" s="17" t="s">
        <v>107</v>
      </c>
      <c r="AJ2020" s="17" t="s">
        <v>534</v>
      </c>
      <c r="AK2020" s="17" t="s">
        <v>189</v>
      </c>
      <c r="AL2020" s="17" t="s">
        <v>75</v>
      </c>
      <c r="AM2020" s="17" t="s">
        <v>75</v>
      </c>
      <c r="AN2020" s="17" t="s">
        <v>84</v>
      </c>
      <c r="AO2020" s="17" t="s">
        <v>75</v>
      </c>
      <c r="AP2020" s="17"/>
      <c r="AQ2020" s="17"/>
      <c r="AR2020" s="17"/>
      <c r="AS2020" s="17"/>
      <c r="AT2020" s="17" t="s">
        <v>127</v>
      </c>
      <c r="AU2020" s="17" t="s">
        <v>127</v>
      </c>
    </row>
    <row r="2021" hidden="1">
      <c r="A2021" s="17">
        <v>2019</v>
      </c>
      <c r="B2021" s="17" t="s">
        <v>52</v>
      </c>
      <c r="C2021" s="25" t="s">
        <v>5912</v>
      </c>
      <c r="D2021" s="35" t="s">
        <v>5571</v>
      </c>
      <c r="E2021" s="17" t="s">
        <v>5913</v>
      </c>
      <c r="F2021" s="17" t="s">
        <v>5914</v>
      </c>
      <c r="G2021" s="17">
        <v>22.219864000000001</v>
      </c>
      <c r="H2021" s="17">
        <v>86.795833999999999</v>
      </c>
      <c r="I2021" s="17"/>
      <c r="J2021" s="17"/>
      <c r="K2021" s="17"/>
      <c r="L2021" s="17"/>
      <c r="M2021" s="43" t="s">
        <v>5608</v>
      </c>
      <c r="N2021" s="17">
        <v>7864978775</v>
      </c>
      <c r="O2021" s="17">
        <v>14</v>
      </c>
      <c r="P2021" s="17">
        <v>80</v>
      </c>
      <c r="Q2021" s="17" t="s">
        <v>5882</v>
      </c>
      <c r="R2021" s="17" t="s">
        <v>74</v>
      </c>
      <c r="S2021" s="17" t="s">
        <v>75</v>
      </c>
      <c r="T2021" s="17"/>
      <c r="U2021" s="17" t="s">
        <v>145</v>
      </c>
      <c r="V2021" s="17" t="s">
        <v>77</v>
      </c>
      <c r="W2021" s="17" t="s">
        <v>123</v>
      </c>
      <c r="X2021" s="17">
        <v>4</v>
      </c>
      <c r="Y2021" s="17">
        <v>2</v>
      </c>
      <c r="Z2021" s="17"/>
      <c r="AA2021" s="17" t="s">
        <v>5882</v>
      </c>
      <c r="AB2021" s="17" t="s">
        <v>79</v>
      </c>
      <c r="AC2021" s="17">
        <v>5</v>
      </c>
      <c r="AD2021" s="17">
        <v>0</v>
      </c>
      <c r="AE2021" s="17">
        <v>0</v>
      </c>
      <c r="AF2021" s="17"/>
      <c r="AG2021" s="17" t="s">
        <v>573</v>
      </c>
      <c r="AH2021" s="17" t="s">
        <v>82</v>
      </c>
      <c r="AI2021" s="17" t="s">
        <v>107</v>
      </c>
      <c r="AJ2021" s="17" t="s">
        <v>539</v>
      </c>
      <c r="AK2021" s="17" t="s">
        <v>5877</v>
      </c>
      <c r="AL2021" s="17" t="s">
        <v>75</v>
      </c>
      <c r="AM2021" s="17" t="s">
        <v>75</v>
      </c>
      <c r="AN2021" s="17" t="s">
        <v>84</v>
      </c>
      <c r="AO2021" s="17" t="s">
        <v>109</v>
      </c>
      <c r="AP2021" s="17"/>
      <c r="AQ2021" s="17"/>
      <c r="AR2021" s="17"/>
      <c r="AS2021" s="17"/>
      <c r="AT2021" s="17" t="s">
        <v>5915</v>
      </c>
      <c r="AU2021" s="17" t="s">
        <v>429</v>
      </c>
    </row>
    <row r="2022" hidden="1">
      <c r="A2022" s="17">
        <v>2020</v>
      </c>
      <c r="B2022" s="17" t="s">
        <v>52</v>
      </c>
      <c r="C2022" s="25" t="s">
        <v>5916</v>
      </c>
      <c r="D2022" s="35" t="s">
        <v>5571</v>
      </c>
      <c r="E2022" s="17"/>
      <c r="F2022" s="17"/>
      <c r="G2022" s="17"/>
      <c r="H2022" s="17"/>
      <c r="I2022" s="17"/>
      <c r="J2022" s="17"/>
      <c r="K2022" s="17"/>
      <c r="L2022" s="17"/>
      <c r="M2022" s="43" t="s">
        <v>5608</v>
      </c>
      <c r="N2022" s="17"/>
      <c r="O2022" s="17"/>
      <c r="P2022" s="17"/>
      <c r="Q2022" s="17"/>
      <c r="R2022" s="17"/>
      <c r="S2022" s="17"/>
      <c r="T2022" s="17"/>
      <c r="U2022" s="17"/>
      <c r="V2022" s="17"/>
      <c r="W2022" s="17"/>
      <c r="X2022" s="17"/>
      <c r="Y2022" s="17"/>
      <c r="Z2022" s="17"/>
      <c r="AA2022" s="17"/>
      <c r="AB2022" s="17"/>
      <c r="AC2022" s="17"/>
      <c r="AD2022" s="17"/>
      <c r="AE2022" s="17"/>
      <c r="AF2022" s="17"/>
      <c r="AG2022" s="17"/>
      <c r="AH2022" s="17"/>
      <c r="AI2022" s="17"/>
      <c r="AJ2022" s="17"/>
      <c r="AK2022" s="17"/>
      <c r="AL2022" s="17"/>
      <c r="AM2022" s="17"/>
      <c r="AN2022" s="17"/>
      <c r="AO2022" s="17"/>
      <c r="AP2022" s="17"/>
      <c r="AQ2022" s="17"/>
      <c r="AR2022" s="17"/>
      <c r="AS2022" s="17"/>
      <c r="AT2022" s="17"/>
      <c r="AU2022" s="17"/>
    </row>
    <row r="2023" hidden="1">
      <c r="A2023" s="17">
        <v>2021</v>
      </c>
      <c r="B2023" s="17" t="s">
        <v>52</v>
      </c>
      <c r="C2023" s="25" t="s">
        <v>5917</v>
      </c>
      <c r="D2023" s="35" t="s">
        <v>5571</v>
      </c>
      <c r="E2023" s="17" t="s">
        <v>5918</v>
      </c>
      <c r="F2023" s="17" t="s">
        <v>5919</v>
      </c>
      <c r="G2023" s="17">
        <v>22.193937999999999</v>
      </c>
      <c r="H2023" s="17">
        <v>86.922160000000005</v>
      </c>
      <c r="I2023" s="17"/>
      <c r="J2023" s="17"/>
      <c r="K2023" s="17"/>
      <c r="L2023" s="17"/>
      <c r="M2023" s="43" t="s">
        <v>5608</v>
      </c>
      <c r="N2023" s="17">
        <v>7864978775</v>
      </c>
      <c r="O2023" s="17">
        <v>20</v>
      </c>
      <c r="P2023" s="17">
        <v>90</v>
      </c>
      <c r="Q2023" s="17" t="s">
        <v>413</v>
      </c>
      <c r="R2023" s="17" t="s">
        <v>74</v>
      </c>
      <c r="S2023" s="17" t="s">
        <v>5920</v>
      </c>
      <c r="T2023" s="17"/>
      <c r="U2023" s="17" t="s">
        <v>160</v>
      </c>
      <c r="V2023" s="17" t="s">
        <v>77</v>
      </c>
      <c r="W2023" s="17" t="s">
        <v>161</v>
      </c>
      <c r="X2023" s="17">
        <v>5</v>
      </c>
      <c r="Y2023" s="17">
        <v>0</v>
      </c>
      <c r="Z2023" s="17"/>
      <c r="AA2023" s="17" t="s">
        <v>413</v>
      </c>
      <c r="AB2023" s="17" t="s">
        <v>79</v>
      </c>
      <c r="AC2023" s="17">
        <v>5</v>
      </c>
      <c r="AD2023" s="17">
        <v>0</v>
      </c>
      <c r="AE2023" s="17">
        <v>0</v>
      </c>
      <c r="AF2023" s="17"/>
      <c r="AG2023" s="17" t="s">
        <v>124</v>
      </c>
      <c r="AH2023" s="17" t="s">
        <v>82</v>
      </c>
      <c r="AI2023" s="17" t="s">
        <v>83</v>
      </c>
      <c r="AJ2023" s="17">
        <v>2111</v>
      </c>
      <c r="AK2023" s="17" t="s">
        <v>189</v>
      </c>
      <c r="AL2023" s="17" t="s">
        <v>75</v>
      </c>
      <c r="AM2023" s="17" t="s">
        <v>137</v>
      </c>
      <c r="AN2023" s="17" t="s">
        <v>84</v>
      </c>
      <c r="AO2023" s="17" t="s">
        <v>137</v>
      </c>
      <c r="AP2023" s="17"/>
      <c r="AQ2023" s="17"/>
      <c r="AR2023" s="17"/>
      <c r="AS2023" s="17"/>
      <c r="AT2023" s="17" t="s">
        <v>5921</v>
      </c>
      <c r="AU2023" s="17" t="s">
        <v>5922</v>
      </c>
    </row>
    <row r="2024" hidden="1">
      <c r="A2024" s="17">
        <v>2022</v>
      </c>
      <c r="B2024" s="17" t="s">
        <v>52</v>
      </c>
      <c r="C2024" s="25" t="s">
        <v>5923</v>
      </c>
      <c r="D2024" s="35" t="s">
        <v>5571</v>
      </c>
      <c r="E2024" s="17" t="s">
        <v>5443</v>
      </c>
      <c r="F2024" s="17" t="s">
        <v>5924</v>
      </c>
      <c r="G2024" s="17">
        <v>22.197783999999999</v>
      </c>
      <c r="H2024" s="17">
        <v>86.911394999999999</v>
      </c>
      <c r="I2024" s="17"/>
      <c r="J2024" s="17"/>
      <c r="K2024" s="17"/>
      <c r="L2024" s="17"/>
      <c r="M2024" s="43" t="s">
        <v>5608</v>
      </c>
      <c r="N2024" s="17">
        <v>7864978775</v>
      </c>
      <c r="O2024" s="17">
        <v>18</v>
      </c>
      <c r="P2024" s="17">
        <v>56</v>
      </c>
      <c r="Q2024" s="17" t="s">
        <v>73</v>
      </c>
      <c r="R2024" s="17" t="s">
        <v>104</v>
      </c>
      <c r="S2024" s="17" t="s">
        <v>75</v>
      </c>
      <c r="T2024" s="17"/>
      <c r="U2024" s="17" t="s">
        <v>3303</v>
      </c>
      <c r="V2024" s="17" t="s">
        <v>442</v>
      </c>
      <c r="W2024" s="17" t="s">
        <v>454</v>
      </c>
      <c r="X2024" s="17">
        <v>4</v>
      </c>
      <c r="Y2024" s="17">
        <v>1</v>
      </c>
      <c r="Z2024" s="17"/>
      <c r="AA2024" s="17" t="s">
        <v>73</v>
      </c>
      <c r="AB2024" s="17" t="s">
        <v>79</v>
      </c>
      <c r="AC2024" s="17">
        <v>1</v>
      </c>
      <c r="AD2024" s="17">
        <v>0</v>
      </c>
      <c r="AE2024" s="17">
        <v>0</v>
      </c>
      <c r="AF2024" s="17" t="s">
        <v>5925</v>
      </c>
      <c r="AG2024" s="17" t="s">
        <v>124</v>
      </c>
      <c r="AH2024" s="17" t="s">
        <v>82</v>
      </c>
      <c r="AI2024" s="17" t="s">
        <v>83</v>
      </c>
      <c r="AJ2024" s="17">
        <v>2111</v>
      </c>
      <c r="AK2024" s="17" t="s">
        <v>189</v>
      </c>
      <c r="AL2024" s="17" t="s">
        <v>137</v>
      </c>
      <c r="AM2024" s="17" t="s">
        <v>75</v>
      </c>
      <c r="AN2024" s="17" t="s">
        <v>125</v>
      </c>
      <c r="AO2024" s="17" t="s">
        <v>75</v>
      </c>
      <c r="AP2024" s="17"/>
      <c r="AQ2024" s="17"/>
      <c r="AR2024" s="17"/>
      <c r="AS2024" s="17"/>
      <c r="AT2024" s="17" t="s">
        <v>5926</v>
      </c>
      <c r="AU2024" s="17" t="s">
        <v>5927</v>
      </c>
    </row>
    <row r="2025" hidden="1">
      <c r="A2025" s="17">
        <v>2023</v>
      </c>
      <c r="B2025" s="17" t="s">
        <v>52</v>
      </c>
      <c r="C2025" s="25" t="s">
        <v>5928</v>
      </c>
      <c r="D2025" s="35" t="s">
        <v>5571</v>
      </c>
      <c r="E2025" s="17" t="s">
        <v>5929</v>
      </c>
      <c r="F2025" s="17" t="s">
        <v>5930</v>
      </c>
      <c r="G2025" s="17">
        <v>22.104507999999999</v>
      </c>
      <c r="H2025" s="17">
        <v>86.914669000000004</v>
      </c>
      <c r="I2025" s="17"/>
      <c r="J2025" s="17"/>
      <c r="K2025" s="17"/>
      <c r="L2025" s="17"/>
      <c r="M2025" s="43" t="s">
        <v>5608</v>
      </c>
      <c r="N2025" s="17">
        <v>7864978775</v>
      </c>
      <c r="O2025" s="17">
        <v>14</v>
      </c>
      <c r="P2025" s="17">
        <v>80</v>
      </c>
      <c r="Q2025" s="17" t="s">
        <v>105</v>
      </c>
      <c r="R2025" s="17" t="s">
        <v>238</v>
      </c>
      <c r="S2025" s="17" t="s">
        <v>5931</v>
      </c>
      <c r="T2025" s="17"/>
      <c r="U2025" s="17" t="s">
        <v>105</v>
      </c>
      <c r="V2025" s="17" t="s">
        <v>340</v>
      </c>
      <c r="W2025" s="17" t="s">
        <v>78</v>
      </c>
      <c r="X2025" s="17">
        <v>6</v>
      </c>
      <c r="Y2025" s="17">
        <v>0</v>
      </c>
      <c r="Z2025" s="17"/>
      <c r="AA2025" s="17" t="s">
        <v>105</v>
      </c>
      <c r="AB2025" s="17" t="s">
        <v>239</v>
      </c>
      <c r="AC2025" s="17">
        <v>3</v>
      </c>
      <c r="AD2025" s="17">
        <v>0</v>
      </c>
      <c r="AE2025" s="17">
        <v>3</v>
      </c>
      <c r="AF2025" s="17" t="s">
        <v>919</v>
      </c>
      <c r="AG2025" s="17" t="s">
        <v>124</v>
      </c>
      <c r="AH2025" s="17" t="s">
        <v>82</v>
      </c>
      <c r="AI2025" s="17" t="s">
        <v>83</v>
      </c>
      <c r="AJ2025" s="17">
        <v>2111</v>
      </c>
      <c r="AK2025" s="17" t="s">
        <v>189</v>
      </c>
      <c r="AL2025" s="17" t="s">
        <v>75</v>
      </c>
      <c r="AM2025" s="17" t="s">
        <v>75</v>
      </c>
      <c r="AN2025" s="17" t="s">
        <v>84</v>
      </c>
      <c r="AO2025" s="17" t="s">
        <v>75</v>
      </c>
      <c r="AP2025" s="17"/>
      <c r="AQ2025" s="17"/>
      <c r="AR2025" s="17"/>
      <c r="AS2025" s="17"/>
      <c r="AT2025" s="17" t="s">
        <v>5921</v>
      </c>
      <c r="AU2025" s="17" t="s">
        <v>111</v>
      </c>
    </row>
    <row r="2026" hidden="1">
      <c r="A2026" s="17">
        <v>2024</v>
      </c>
      <c r="B2026" s="17" t="s">
        <v>52</v>
      </c>
      <c r="C2026" s="25" t="s">
        <v>5932</v>
      </c>
      <c r="D2026" s="35" t="s">
        <v>5571</v>
      </c>
      <c r="E2026" s="17" t="s">
        <v>5933</v>
      </c>
      <c r="F2026" s="17" t="s">
        <v>5934</v>
      </c>
      <c r="G2026" s="17">
        <v>22.141051000000001</v>
      </c>
      <c r="H2026" s="17">
        <v>86.972323000000003</v>
      </c>
      <c r="I2026" s="17"/>
      <c r="J2026" s="17"/>
      <c r="K2026" s="17"/>
      <c r="L2026" s="17"/>
      <c r="M2026" s="43" t="s">
        <v>5608</v>
      </c>
      <c r="N2026" s="17">
        <v>7864978775</v>
      </c>
      <c r="O2026" s="17">
        <v>14</v>
      </c>
      <c r="P2026" s="17">
        <v>60</v>
      </c>
      <c r="Q2026" s="17" t="s">
        <v>73</v>
      </c>
      <c r="R2026" s="17" t="s">
        <v>104</v>
      </c>
      <c r="S2026" s="17" t="s">
        <v>5935</v>
      </c>
      <c r="T2026" s="17"/>
      <c r="U2026" s="17" t="s">
        <v>105</v>
      </c>
      <c r="V2026" s="17" t="s">
        <v>77</v>
      </c>
      <c r="W2026" s="17" t="s">
        <v>78</v>
      </c>
      <c r="X2026" s="17">
        <v>3</v>
      </c>
      <c r="Y2026" s="17">
        <v>0</v>
      </c>
      <c r="Z2026" s="17"/>
      <c r="AA2026" s="17" t="s">
        <v>73</v>
      </c>
      <c r="AB2026" s="17" t="s">
        <v>5936</v>
      </c>
      <c r="AC2026" s="17">
        <v>2</v>
      </c>
      <c r="AD2026" s="17">
        <v>0</v>
      </c>
      <c r="AE2026" s="17">
        <v>2</v>
      </c>
      <c r="AF2026" s="17" t="s">
        <v>919</v>
      </c>
      <c r="AG2026" s="17" t="s">
        <v>124</v>
      </c>
      <c r="AH2026" s="17" t="s">
        <v>82</v>
      </c>
      <c r="AI2026" s="17" t="s">
        <v>83</v>
      </c>
      <c r="AJ2026" s="17" t="s">
        <v>568</v>
      </c>
      <c r="AK2026" s="17" t="s">
        <v>137</v>
      </c>
      <c r="AL2026" s="17" t="s">
        <v>75</v>
      </c>
      <c r="AM2026" s="17" t="s">
        <v>137</v>
      </c>
      <c r="AN2026" s="17" t="s">
        <v>84</v>
      </c>
      <c r="AO2026" s="17" t="s">
        <v>75</v>
      </c>
      <c r="AP2026" s="17"/>
      <c r="AQ2026" s="17"/>
      <c r="AR2026" s="17"/>
      <c r="AS2026" s="17"/>
      <c r="AT2026" s="17" t="s">
        <v>5937</v>
      </c>
      <c r="AU2026" s="17" t="s">
        <v>127</v>
      </c>
    </row>
    <row r="2027" hidden="1">
      <c r="A2027" s="17">
        <v>2025</v>
      </c>
      <c r="B2027" s="17" t="s">
        <v>52</v>
      </c>
      <c r="C2027" s="25" t="s">
        <v>5938</v>
      </c>
      <c r="D2027" s="35" t="s">
        <v>5571</v>
      </c>
      <c r="E2027" s="17" t="s">
        <v>5939</v>
      </c>
      <c r="F2027" s="17" t="s">
        <v>5940</v>
      </c>
      <c r="G2027" s="17">
        <v>22.167791999999999</v>
      </c>
      <c r="H2027" s="17">
        <v>86.994343999999998</v>
      </c>
      <c r="I2027" s="17"/>
      <c r="J2027" s="17"/>
      <c r="K2027" s="17"/>
      <c r="L2027" s="17"/>
      <c r="M2027" s="43" t="s">
        <v>5608</v>
      </c>
      <c r="N2027" s="17">
        <v>7864978775</v>
      </c>
      <c r="O2027" s="17">
        <v>12</v>
      </c>
      <c r="P2027" s="17">
        <v>60</v>
      </c>
      <c r="Q2027" s="17" t="s">
        <v>105</v>
      </c>
      <c r="R2027" s="17" t="s">
        <v>238</v>
      </c>
      <c r="S2027" s="17" t="s">
        <v>5941</v>
      </c>
      <c r="T2027" s="17" t="s">
        <v>5942</v>
      </c>
      <c r="U2027" s="17" t="s">
        <v>105</v>
      </c>
      <c r="V2027" s="17" t="s">
        <v>340</v>
      </c>
      <c r="W2027" s="17">
        <v>0</v>
      </c>
      <c r="X2027" s="17">
        <v>2</v>
      </c>
      <c r="Y2027" s="17">
        <v>2</v>
      </c>
      <c r="Z2027" s="17" t="s">
        <v>2243</v>
      </c>
      <c r="AA2027" s="17" t="s">
        <v>105</v>
      </c>
      <c r="AB2027" s="17" t="s">
        <v>239</v>
      </c>
      <c r="AC2027" s="17">
        <v>2</v>
      </c>
      <c r="AD2027" s="17">
        <v>0</v>
      </c>
      <c r="AE2027" s="17">
        <v>1</v>
      </c>
      <c r="AF2027" s="17" t="s">
        <v>919</v>
      </c>
      <c r="AG2027" s="17" t="s">
        <v>81</v>
      </c>
      <c r="AH2027" s="17" t="s">
        <v>82</v>
      </c>
      <c r="AI2027" s="17" t="s">
        <v>83</v>
      </c>
      <c r="AJ2027" s="17" t="s">
        <v>366</v>
      </c>
      <c r="AK2027" s="17" t="s">
        <v>75</v>
      </c>
      <c r="AL2027" s="17" t="s">
        <v>75</v>
      </c>
      <c r="AM2027" s="17" t="s">
        <v>75</v>
      </c>
      <c r="AN2027" s="17" t="s">
        <v>84</v>
      </c>
      <c r="AO2027" s="17" t="s">
        <v>75</v>
      </c>
      <c r="AP2027" s="17"/>
      <c r="AQ2027" s="17"/>
      <c r="AR2027" s="17"/>
      <c r="AS2027" s="17"/>
      <c r="AT2027" s="17" t="s">
        <v>5943</v>
      </c>
      <c r="AU2027" s="17" t="s">
        <v>111</v>
      </c>
    </row>
    <row r="2028" hidden="1">
      <c r="A2028" s="17">
        <v>2026</v>
      </c>
      <c r="B2028" s="17" t="s">
        <v>52</v>
      </c>
      <c r="C2028" s="25" t="s">
        <v>5944</v>
      </c>
      <c r="D2028" s="35" t="s">
        <v>5571</v>
      </c>
      <c r="E2028" s="17" t="s">
        <v>5945</v>
      </c>
      <c r="F2028" s="17" t="s">
        <v>5946</v>
      </c>
      <c r="G2028" s="17">
        <v>22.207701</v>
      </c>
      <c r="H2028" s="17">
        <v>86.731482999999997</v>
      </c>
      <c r="I2028" s="17"/>
      <c r="J2028" s="17"/>
      <c r="K2028" s="17"/>
      <c r="L2028" s="17"/>
      <c r="M2028" s="43" t="s">
        <v>5608</v>
      </c>
      <c r="N2028" s="17">
        <v>7864978775</v>
      </c>
      <c r="O2028" s="17">
        <v>14</v>
      </c>
      <c r="P2028" s="17">
        <v>75</v>
      </c>
      <c r="Q2028" s="17" t="s">
        <v>73</v>
      </c>
      <c r="R2028" s="17" t="s">
        <v>74</v>
      </c>
      <c r="S2028" s="17" t="s">
        <v>75</v>
      </c>
      <c r="T2028" s="17"/>
      <c r="U2028" s="17" t="s">
        <v>76</v>
      </c>
      <c r="V2028" s="17" t="s">
        <v>77</v>
      </c>
      <c r="W2028" s="17" t="s">
        <v>123</v>
      </c>
      <c r="X2028" s="17">
        <v>3</v>
      </c>
      <c r="Y2028" s="17">
        <v>0</v>
      </c>
      <c r="Z2028" s="17" t="s">
        <v>459</v>
      </c>
      <c r="AA2028" s="17" t="s">
        <v>73</v>
      </c>
      <c r="AB2028" s="17" t="s">
        <v>79</v>
      </c>
      <c r="AC2028" s="17">
        <v>2</v>
      </c>
      <c r="AD2028" s="17">
        <v>0</v>
      </c>
      <c r="AE2028" s="17">
        <v>0</v>
      </c>
      <c r="AF2028" s="17"/>
      <c r="AG2028" s="17" t="s">
        <v>124</v>
      </c>
      <c r="AH2028" s="17" t="s">
        <v>82</v>
      </c>
      <c r="AI2028" s="17" t="s">
        <v>83</v>
      </c>
      <c r="AJ2028" s="17" t="s">
        <v>366</v>
      </c>
      <c r="AK2028" s="17" t="s">
        <v>189</v>
      </c>
      <c r="AL2028" s="17" t="s">
        <v>75</v>
      </c>
      <c r="AM2028" s="17" t="s">
        <v>75</v>
      </c>
      <c r="AN2028" s="17" t="s">
        <v>84</v>
      </c>
      <c r="AO2028" s="17" t="s">
        <v>75</v>
      </c>
      <c r="AP2028" s="17"/>
      <c r="AQ2028" s="17"/>
      <c r="AR2028" s="17"/>
      <c r="AS2028" s="17"/>
      <c r="AT2028" s="17" t="s">
        <v>585</v>
      </c>
      <c r="AU2028" s="17" t="s">
        <v>127</v>
      </c>
    </row>
    <row r="2029" hidden="1">
      <c r="A2029" s="17">
        <v>2027</v>
      </c>
      <c r="B2029" s="17" t="s">
        <v>52</v>
      </c>
      <c r="C2029" s="25" t="s">
        <v>5947</v>
      </c>
      <c r="D2029" s="35" t="s">
        <v>5571</v>
      </c>
      <c r="E2029" s="17" t="s">
        <v>5948</v>
      </c>
      <c r="F2029" s="17" t="s">
        <v>5949</v>
      </c>
      <c r="G2029" s="17">
        <v>22.112088</v>
      </c>
      <c r="H2029" s="17">
        <v>86.850542000000004</v>
      </c>
      <c r="I2029" s="17"/>
      <c r="J2029" s="17"/>
      <c r="K2029" s="17"/>
      <c r="L2029" s="17"/>
      <c r="M2029" s="43" t="s">
        <v>5608</v>
      </c>
      <c r="N2029" s="17">
        <v>7864978775</v>
      </c>
      <c r="O2029" s="17">
        <v>14</v>
      </c>
      <c r="P2029" s="17">
        <v>70</v>
      </c>
      <c r="Q2029" s="17" t="s">
        <v>1370</v>
      </c>
      <c r="R2029" s="17" t="s">
        <v>74</v>
      </c>
      <c r="S2029" s="17" t="s">
        <v>75</v>
      </c>
      <c r="T2029" s="17"/>
      <c r="U2029" s="17" t="s">
        <v>160</v>
      </c>
      <c r="V2029" s="17" t="s">
        <v>77</v>
      </c>
      <c r="W2029" s="17" t="s">
        <v>252</v>
      </c>
      <c r="X2029" s="17">
        <v>5</v>
      </c>
      <c r="Y2029" s="17">
        <v>0</v>
      </c>
      <c r="Z2029" s="17"/>
      <c r="AA2029" s="17" t="s">
        <v>1370</v>
      </c>
      <c r="AB2029" s="17" t="s">
        <v>79</v>
      </c>
      <c r="AC2029" s="17">
        <v>5</v>
      </c>
      <c r="AD2029" s="17">
        <v>0</v>
      </c>
      <c r="AE2029" s="17">
        <v>1</v>
      </c>
      <c r="AF2029" s="17" t="s">
        <v>5950</v>
      </c>
      <c r="AG2029" s="17" t="s">
        <v>124</v>
      </c>
      <c r="AH2029" s="17" t="s">
        <v>82</v>
      </c>
      <c r="AI2029" s="17" t="s">
        <v>83</v>
      </c>
      <c r="AJ2029" s="17" t="s">
        <v>568</v>
      </c>
      <c r="AK2029" s="17" t="s">
        <v>189</v>
      </c>
      <c r="AL2029" s="17" t="s">
        <v>75</v>
      </c>
      <c r="AM2029" s="17" t="s">
        <v>75</v>
      </c>
      <c r="AN2029" s="17" t="s">
        <v>84</v>
      </c>
      <c r="AO2029" s="17" t="s">
        <v>75</v>
      </c>
      <c r="AP2029" s="17"/>
      <c r="AQ2029" s="17"/>
      <c r="AR2029" s="17"/>
      <c r="AS2029" s="17"/>
      <c r="AT2029" s="17" t="s">
        <v>585</v>
      </c>
      <c r="AU2029" s="17" t="s">
        <v>127</v>
      </c>
    </row>
    <row r="2030" hidden="1">
      <c r="A2030" s="17">
        <v>2028</v>
      </c>
      <c r="B2030" s="17" t="s">
        <v>52</v>
      </c>
      <c r="C2030" s="25" t="s">
        <v>5951</v>
      </c>
      <c r="D2030" s="35" t="s">
        <v>5571</v>
      </c>
      <c r="E2030" s="17" t="s">
        <v>5952</v>
      </c>
      <c r="F2030" s="17" t="s">
        <v>5953</v>
      </c>
      <c r="G2030" s="17">
        <v>22.201271999999999</v>
      </c>
      <c r="H2030" s="17">
        <v>86.873665000000003</v>
      </c>
      <c r="I2030" s="17"/>
      <c r="J2030" s="17"/>
      <c r="K2030" s="17"/>
      <c r="L2030" s="17"/>
      <c r="M2030" s="43" t="s">
        <v>5608</v>
      </c>
      <c r="N2030" s="17">
        <v>7864978775</v>
      </c>
      <c r="O2030" s="17">
        <v>20</v>
      </c>
      <c r="P2030" s="17">
        <v>130</v>
      </c>
      <c r="Q2030" s="17" t="s">
        <v>105</v>
      </c>
      <c r="R2030" s="17" t="s">
        <v>142</v>
      </c>
      <c r="S2030" s="17" t="s">
        <v>137</v>
      </c>
      <c r="T2030" s="17" t="s">
        <v>5954</v>
      </c>
      <c r="U2030" s="17" t="s">
        <v>503</v>
      </c>
      <c r="V2030" s="17" t="s">
        <v>504</v>
      </c>
      <c r="W2030" s="17" t="s">
        <v>5876</v>
      </c>
      <c r="X2030" s="17">
        <v>3</v>
      </c>
      <c r="Y2030" s="17">
        <v>0</v>
      </c>
      <c r="Z2030" s="17"/>
      <c r="AA2030" s="17" t="s">
        <v>105</v>
      </c>
      <c r="AB2030" s="17" t="s">
        <v>79</v>
      </c>
      <c r="AC2030" s="17">
        <v>5</v>
      </c>
      <c r="AD2030" s="17">
        <v>0</v>
      </c>
      <c r="AE2030" s="17">
        <v>1</v>
      </c>
      <c r="AF2030" s="17" t="s">
        <v>5955</v>
      </c>
      <c r="AG2030" s="17" t="s">
        <v>81</v>
      </c>
      <c r="AH2030" s="17" t="s">
        <v>82</v>
      </c>
      <c r="AI2030" s="17" t="s">
        <v>107</v>
      </c>
      <c r="AJ2030" s="17" t="s">
        <v>534</v>
      </c>
      <c r="AK2030" s="17" t="s">
        <v>189</v>
      </c>
      <c r="AL2030" s="17" t="s">
        <v>75</v>
      </c>
      <c r="AM2030" s="17" t="s">
        <v>75</v>
      </c>
      <c r="AN2030" s="17" t="s">
        <v>84</v>
      </c>
      <c r="AO2030" s="17" t="s">
        <v>75</v>
      </c>
      <c r="AP2030" s="17"/>
      <c r="AQ2030" s="17"/>
      <c r="AR2030" s="17"/>
      <c r="AS2030" s="17"/>
      <c r="AT2030" s="17" t="s">
        <v>5943</v>
      </c>
      <c r="AU2030" s="17" t="s">
        <v>5956</v>
      </c>
    </row>
    <row r="2031" hidden="1">
      <c r="A2031" s="17">
        <v>2029</v>
      </c>
      <c r="B2031" s="17" t="s">
        <v>52</v>
      </c>
      <c r="C2031" s="25" t="s">
        <v>5957</v>
      </c>
      <c r="D2031" s="35" t="s">
        <v>5571</v>
      </c>
      <c r="E2031" s="17" t="s">
        <v>5958</v>
      </c>
      <c r="F2031" s="17" t="s">
        <v>5959</v>
      </c>
      <c r="G2031" s="17">
        <v>22.396061</v>
      </c>
      <c r="H2031" s="17">
        <v>87.216652999999994</v>
      </c>
      <c r="I2031" s="17"/>
      <c r="J2031" s="17"/>
      <c r="K2031" s="17"/>
      <c r="L2031" s="17"/>
      <c r="M2031" s="43" t="s">
        <v>5633</v>
      </c>
      <c r="N2031" s="17">
        <v>8967046045</v>
      </c>
      <c r="O2031" s="17">
        <v>22</v>
      </c>
      <c r="P2031" s="17">
        <v>50</v>
      </c>
      <c r="Q2031" s="17" t="s">
        <v>73</v>
      </c>
      <c r="R2031" s="17" t="s">
        <v>74</v>
      </c>
      <c r="S2031" s="17" t="s">
        <v>75</v>
      </c>
      <c r="T2031" s="17"/>
      <c r="U2031" s="17" t="s">
        <v>145</v>
      </c>
      <c r="V2031" s="17" t="s">
        <v>77</v>
      </c>
      <c r="W2031" s="17" t="s">
        <v>330</v>
      </c>
      <c r="X2031" s="17">
        <v>3</v>
      </c>
      <c r="Y2031" s="17">
        <v>0</v>
      </c>
      <c r="Z2031" s="17"/>
      <c r="AA2031" s="17" t="s">
        <v>73</v>
      </c>
      <c r="AB2031" s="17" t="s">
        <v>79</v>
      </c>
      <c r="AC2031" s="17">
        <v>2</v>
      </c>
      <c r="AD2031" s="17">
        <v>0</v>
      </c>
      <c r="AE2031" s="17">
        <v>0</v>
      </c>
      <c r="AF2031" s="17"/>
      <c r="AG2031" s="17" t="s">
        <v>724</v>
      </c>
      <c r="AH2031" s="17"/>
      <c r="AI2031" s="17"/>
      <c r="AJ2031" s="17"/>
      <c r="AK2031" s="17"/>
      <c r="AL2031" s="17"/>
      <c r="AM2031" s="17"/>
      <c r="AN2031" s="17"/>
      <c r="AO2031" s="17"/>
      <c r="AP2031" s="17"/>
      <c r="AQ2031" s="17"/>
      <c r="AR2031" s="17"/>
      <c r="AS2031" s="17"/>
      <c r="AT2031" s="17"/>
      <c r="AU2031" s="17" t="s">
        <v>111</v>
      </c>
    </row>
    <row r="2032" hidden="1">
      <c r="A2032" s="17">
        <v>2030</v>
      </c>
      <c r="B2032" s="17" t="s">
        <v>52</v>
      </c>
      <c r="C2032" s="25" t="s">
        <v>5960</v>
      </c>
      <c r="D2032" s="35" t="s">
        <v>5571</v>
      </c>
      <c r="E2032" s="17" t="s">
        <v>5961</v>
      </c>
      <c r="F2032" s="17" t="s">
        <v>5962</v>
      </c>
      <c r="G2032" s="17">
        <v>22.450745999999999</v>
      </c>
      <c r="H2032" s="17">
        <v>87.106347</v>
      </c>
      <c r="I2032" s="17"/>
      <c r="J2032" s="17"/>
      <c r="K2032" s="17"/>
      <c r="L2032" s="17"/>
      <c r="M2032" s="43" t="s">
        <v>5633</v>
      </c>
      <c r="N2032" s="17">
        <v>8967046045</v>
      </c>
      <c r="O2032" s="17">
        <v>22</v>
      </c>
      <c r="P2032" s="17">
        <v>90</v>
      </c>
      <c r="Q2032" s="17" t="s">
        <v>105</v>
      </c>
      <c r="R2032" s="17" t="s">
        <v>142</v>
      </c>
      <c r="S2032" s="17" t="s">
        <v>75</v>
      </c>
      <c r="T2032" s="17"/>
      <c r="U2032" s="17" t="s">
        <v>160</v>
      </c>
      <c r="V2032" s="17" t="s">
        <v>77</v>
      </c>
      <c r="W2032" s="17" t="s">
        <v>1234</v>
      </c>
      <c r="X2032" s="17">
        <v>3</v>
      </c>
      <c r="Y2032" s="17">
        <v>1</v>
      </c>
      <c r="Z2032" s="17"/>
      <c r="AA2032" s="17" t="s">
        <v>105</v>
      </c>
      <c r="AB2032" s="17" t="s">
        <v>79</v>
      </c>
      <c r="AC2032" s="17">
        <v>6</v>
      </c>
      <c r="AD2032" s="17">
        <v>0</v>
      </c>
      <c r="AE2032" s="17">
        <v>0</v>
      </c>
      <c r="AF2032" s="17"/>
      <c r="AG2032" s="17" t="s">
        <v>81</v>
      </c>
      <c r="AH2032" s="17" t="s">
        <v>82</v>
      </c>
      <c r="AI2032" s="17" t="s">
        <v>107</v>
      </c>
      <c r="AJ2032" s="17"/>
      <c r="AK2032" s="17" t="s">
        <v>75</v>
      </c>
      <c r="AL2032" s="17" t="s">
        <v>75</v>
      </c>
      <c r="AM2032" s="17" t="s">
        <v>75</v>
      </c>
      <c r="AN2032" s="17" t="s">
        <v>84</v>
      </c>
      <c r="AO2032" s="17" t="s">
        <v>109</v>
      </c>
      <c r="AP2032" s="17"/>
      <c r="AQ2032" s="17"/>
      <c r="AR2032" s="17"/>
      <c r="AS2032" s="17"/>
      <c r="AT2032" s="17"/>
      <c r="AU2032" s="17" t="s">
        <v>111</v>
      </c>
    </row>
    <row r="2033" hidden="1">
      <c r="A2033" s="17">
        <v>2031</v>
      </c>
      <c r="B2033" s="17" t="s">
        <v>52</v>
      </c>
      <c r="C2033" s="44" t="s">
        <v>5963</v>
      </c>
      <c r="D2033" s="35" t="s">
        <v>5571</v>
      </c>
      <c r="E2033" s="17" t="s">
        <v>5964</v>
      </c>
      <c r="F2033" s="17" t="s">
        <v>5965</v>
      </c>
      <c r="G2033" s="17">
        <v>22.365600000000001</v>
      </c>
      <c r="H2033" s="17">
        <v>87.138568000000006</v>
      </c>
      <c r="I2033" s="17"/>
      <c r="J2033" s="17"/>
      <c r="K2033" s="17"/>
      <c r="L2033" s="17"/>
      <c r="M2033" s="43" t="s">
        <v>5633</v>
      </c>
      <c r="N2033" s="17">
        <v>8967046045</v>
      </c>
      <c r="O2033" s="17">
        <v>22</v>
      </c>
      <c r="P2033" s="17">
        <v>55</v>
      </c>
      <c r="Q2033" s="17" t="s">
        <v>413</v>
      </c>
      <c r="R2033" s="17" t="s">
        <v>74</v>
      </c>
      <c r="S2033" s="17" t="s">
        <v>75</v>
      </c>
      <c r="T2033" s="17"/>
      <c r="U2033" s="17" t="s">
        <v>76</v>
      </c>
      <c r="V2033" s="17" t="s">
        <v>77</v>
      </c>
      <c r="W2033" s="17" t="s">
        <v>78</v>
      </c>
      <c r="X2033" s="17">
        <v>3</v>
      </c>
      <c r="Y2033" s="17">
        <v>0</v>
      </c>
      <c r="Z2033" s="17"/>
      <c r="AA2033" s="17" t="s">
        <v>413</v>
      </c>
      <c r="AB2033" s="17" t="s">
        <v>79</v>
      </c>
      <c r="AC2033" s="17">
        <v>3</v>
      </c>
      <c r="AD2033" s="17">
        <v>0</v>
      </c>
      <c r="AE2033" s="17">
        <v>0</v>
      </c>
      <c r="AF2033" s="17"/>
      <c r="AG2033" s="17" t="s">
        <v>81</v>
      </c>
      <c r="AH2033" s="17" t="s">
        <v>82</v>
      </c>
      <c r="AI2033" s="17" t="s">
        <v>83</v>
      </c>
      <c r="AJ2033" s="17">
        <v>2111</v>
      </c>
      <c r="AK2033" s="17" t="s">
        <v>75</v>
      </c>
      <c r="AL2033" s="17" t="s">
        <v>75</v>
      </c>
      <c r="AM2033" s="17" t="s">
        <v>75</v>
      </c>
      <c r="AN2033" s="17" t="s">
        <v>125</v>
      </c>
      <c r="AO2033" s="17" t="s">
        <v>137</v>
      </c>
      <c r="AP2033" s="17"/>
      <c r="AQ2033" s="17"/>
      <c r="AR2033" s="17"/>
      <c r="AS2033" s="17"/>
      <c r="AT2033" s="17"/>
      <c r="AU2033" s="17" t="s">
        <v>111</v>
      </c>
    </row>
    <row r="2034" hidden="1">
      <c r="A2034" s="17">
        <v>2032</v>
      </c>
      <c r="B2034" s="17" t="s">
        <v>52</v>
      </c>
      <c r="C2034" s="25" t="s">
        <v>5966</v>
      </c>
      <c r="D2034" s="35" t="s">
        <v>5571</v>
      </c>
      <c r="E2034" s="17" t="s">
        <v>5967</v>
      </c>
      <c r="F2034" s="17" t="s">
        <v>5968</v>
      </c>
      <c r="G2034" s="17">
        <v>22.358927999999999</v>
      </c>
      <c r="H2034" s="17">
        <v>87.158978000000005</v>
      </c>
      <c r="I2034" s="17"/>
      <c r="J2034" s="17"/>
      <c r="K2034" s="17"/>
      <c r="L2034" s="17"/>
      <c r="M2034" s="43" t="s">
        <v>5633</v>
      </c>
      <c r="N2034" s="17">
        <v>8967046045</v>
      </c>
      <c r="O2034" s="17">
        <v>20</v>
      </c>
      <c r="P2034" s="17">
        <v>50</v>
      </c>
      <c r="Q2034" s="17" t="s">
        <v>73</v>
      </c>
      <c r="R2034" s="17" t="s">
        <v>104</v>
      </c>
      <c r="S2034" s="17" t="s">
        <v>75</v>
      </c>
      <c r="T2034" s="17"/>
      <c r="U2034" s="17" t="s">
        <v>105</v>
      </c>
      <c r="V2034" s="17" t="s">
        <v>77</v>
      </c>
      <c r="W2034" s="17" t="s">
        <v>78</v>
      </c>
      <c r="X2034" s="17">
        <v>3</v>
      </c>
      <c r="Y2034" s="17">
        <v>0</v>
      </c>
      <c r="Z2034" s="17"/>
      <c r="AA2034" s="17" t="s">
        <v>73</v>
      </c>
      <c r="AB2034" s="17" t="s">
        <v>79</v>
      </c>
      <c r="AC2034" s="17">
        <v>2</v>
      </c>
      <c r="AD2034" s="17">
        <v>0</v>
      </c>
      <c r="AE2034" s="17">
        <v>0</v>
      </c>
      <c r="AF2034" s="17"/>
      <c r="AG2034" s="17" t="s">
        <v>81</v>
      </c>
      <c r="AH2034" s="17" t="s">
        <v>82</v>
      </c>
      <c r="AI2034" s="17" t="s">
        <v>83</v>
      </c>
      <c r="AJ2034" s="17">
        <v>2111</v>
      </c>
      <c r="AK2034" s="17" t="s">
        <v>75</v>
      </c>
      <c r="AL2034" s="17" t="s">
        <v>75</v>
      </c>
      <c r="AM2034" s="17" t="s">
        <v>75</v>
      </c>
      <c r="AN2034" s="17" t="s">
        <v>84</v>
      </c>
      <c r="AO2034" s="17" t="s">
        <v>75</v>
      </c>
      <c r="AP2034" s="17"/>
      <c r="AQ2034" s="17"/>
      <c r="AR2034" s="17"/>
      <c r="AS2034" s="17"/>
      <c r="AT2034" s="17"/>
      <c r="AU2034" s="17" t="s">
        <v>127</v>
      </c>
    </row>
    <row r="2035" hidden="1">
      <c r="A2035" s="17">
        <v>2033</v>
      </c>
      <c r="B2035" s="17" t="s">
        <v>52</v>
      </c>
      <c r="C2035" s="25" t="s">
        <v>5969</v>
      </c>
      <c r="D2035" s="35" t="s">
        <v>5571</v>
      </c>
      <c r="E2035" s="17" t="s">
        <v>5970</v>
      </c>
      <c r="F2035" s="17" t="s">
        <v>5971</v>
      </c>
      <c r="G2035" s="17">
        <v>22.39188</v>
      </c>
      <c r="H2035" s="17">
        <v>87.145471999999998</v>
      </c>
      <c r="I2035" s="17"/>
      <c r="J2035" s="17"/>
      <c r="K2035" s="17"/>
      <c r="L2035" s="17"/>
      <c r="M2035" s="43" t="s">
        <v>5633</v>
      </c>
      <c r="N2035" s="17">
        <v>8967046045</v>
      </c>
      <c r="O2035" s="17">
        <v>22</v>
      </c>
      <c r="P2035" s="17">
        <v>60</v>
      </c>
      <c r="Q2035" s="17" t="s">
        <v>145</v>
      </c>
      <c r="R2035" s="17" t="s">
        <v>142</v>
      </c>
      <c r="S2035" s="17" t="s">
        <v>75</v>
      </c>
      <c r="T2035" s="17"/>
      <c r="U2035" s="17" t="s">
        <v>441</v>
      </c>
      <c r="V2035" s="17" t="s">
        <v>442</v>
      </c>
      <c r="W2035" s="17" t="s">
        <v>1234</v>
      </c>
      <c r="X2035" s="17">
        <v>4</v>
      </c>
      <c r="Y2035" s="17">
        <v>0</v>
      </c>
      <c r="Z2035" s="17"/>
      <c r="AA2035" s="17" t="s">
        <v>105</v>
      </c>
      <c r="AB2035" s="17" t="s">
        <v>79</v>
      </c>
      <c r="AC2035" s="17">
        <v>5</v>
      </c>
      <c r="AD2035" s="17">
        <v>0</v>
      </c>
      <c r="AE2035" s="17">
        <v>0</v>
      </c>
      <c r="AF2035" s="17"/>
      <c r="AG2035" s="17" t="s">
        <v>124</v>
      </c>
      <c r="AH2035" s="17" t="s">
        <v>82</v>
      </c>
      <c r="AI2035" s="17" t="s">
        <v>83</v>
      </c>
      <c r="AJ2035" s="17">
        <v>2111</v>
      </c>
      <c r="AK2035" s="17" t="s">
        <v>75</v>
      </c>
      <c r="AL2035" s="17" t="s">
        <v>75</v>
      </c>
      <c r="AM2035" s="17" t="s">
        <v>75</v>
      </c>
      <c r="AN2035" s="17" t="s">
        <v>84</v>
      </c>
      <c r="AO2035" s="17" t="s">
        <v>75</v>
      </c>
      <c r="AP2035" s="17"/>
      <c r="AQ2035" s="17"/>
      <c r="AR2035" s="17"/>
      <c r="AS2035" s="17"/>
      <c r="AT2035" s="17" t="s">
        <v>2676</v>
      </c>
      <c r="AU2035" s="17" t="s">
        <v>111</v>
      </c>
    </row>
    <row r="2036" hidden="1">
      <c r="A2036" s="17">
        <v>2034</v>
      </c>
      <c r="B2036" s="17" t="s">
        <v>52</v>
      </c>
      <c r="C2036" s="25" t="s">
        <v>5972</v>
      </c>
      <c r="D2036" s="35" t="s">
        <v>5571</v>
      </c>
      <c r="E2036" s="17" t="s">
        <v>5973</v>
      </c>
      <c r="F2036" s="17" t="s">
        <v>5974</v>
      </c>
      <c r="G2036" s="17">
        <v>22.3718</v>
      </c>
      <c r="H2036" s="17">
        <v>87.121799999999993</v>
      </c>
      <c r="I2036" s="17"/>
      <c r="J2036" s="17"/>
      <c r="K2036" s="17"/>
      <c r="L2036" s="17"/>
      <c r="M2036" s="43" t="s">
        <v>5633</v>
      </c>
      <c r="N2036" s="17">
        <v>8967046045</v>
      </c>
      <c r="O2036" s="17">
        <v>23</v>
      </c>
      <c r="P2036" s="17">
        <v>85</v>
      </c>
      <c r="Q2036" s="17" t="s">
        <v>73</v>
      </c>
      <c r="R2036" s="17" t="s">
        <v>104</v>
      </c>
      <c r="S2036" s="17" t="s">
        <v>75</v>
      </c>
      <c r="T2036" s="17"/>
      <c r="U2036" s="17" t="s">
        <v>755</v>
      </c>
      <c r="V2036" s="17" t="s">
        <v>504</v>
      </c>
      <c r="W2036" s="17" t="s">
        <v>593</v>
      </c>
      <c r="X2036" s="17">
        <v>2</v>
      </c>
      <c r="Y2036" s="17">
        <v>0</v>
      </c>
      <c r="Z2036" s="17"/>
      <c r="AA2036" s="17" t="s">
        <v>73</v>
      </c>
      <c r="AB2036" s="17" t="s">
        <v>79</v>
      </c>
      <c r="AC2036" s="17">
        <v>3</v>
      </c>
      <c r="AD2036" s="17">
        <v>0</v>
      </c>
      <c r="AE2036" s="17">
        <v>2</v>
      </c>
      <c r="AF2036" s="17" t="s">
        <v>5975</v>
      </c>
      <c r="AG2036" s="17" t="s">
        <v>724</v>
      </c>
      <c r="AH2036" s="17"/>
      <c r="AI2036" s="17"/>
      <c r="AJ2036" s="17"/>
      <c r="AK2036" s="17"/>
      <c r="AL2036" s="17"/>
      <c r="AM2036" s="17"/>
      <c r="AN2036" s="17"/>
      <c r="AO2036" s="17"/>
      <c r="AP2036" s="17"/>
      <c r="AQ2036" s="17"/>
      <c r="AR2036" s="17"/>
      <c r="AS2036" s="17"/>
      <c r="AT2036" s="17"/>
      <c r="AU2036" s="17" t="s">
        <v>127</v>
      </c>
    </row>
    <row r="2037" hidden="1">
      <c r="A2037" s="17">
        <v>2035</v>
      </c>
      <c r="B2037" s="17" t="s">
        <v>52</v>
      </c>
      <c r="C2037" s="25" t="s">
        <v>5976</v>
      </c>
      <c r="D2037" s="35" t="s">
        <v>5571</v>
      </c>
      <c r="E2037" s="17" t="s">
        <v>5977</v>
      </c>
      <c r="F2037" s="17" t="s">
        <v>5978</v>
      </c>
      <c r="G2037" s="17">
        <v>22.411069999999999</v>
      </c>
      <c r="H2037" s="17">
        <v>87.136939999999996</v>
      </c>
      <c r="I2037" s="17"/>
      <c r="J2037" s="17"/>
      <c r="K2037" s="17"/>
      <c r="L2037" s="17"/>
      <c r="M2037" s="43" t="s">
        <v>5633</v>
      </c>
      <c r="N2037" s="17">
        <v>8967046045</v>
      </c>
      <c r="O2037" s="17">
        <v>20</v>
      </c>
      <c r="P2037" s="17">
        <v>60</v>
      </c>
      <c r="Q2037" s="17" t="s">
        <v>73</v>
      </c>
      <c r="R2037" s="17" t="s">
        <v>104</v>
      </c>
      <c r="S2037" s="17" t="s">
        <v>75</v>
      </c>
      <c r="T2037" s="17"/>
      <c r="U2037" s="17" t="s">
        <v>160</v>
      </c>
      <c r="V2037" s="17" t="s">
        <v>77</v>
      </c>
      <c r="W2037" s="17" t="s">
        <v>330</v>
      </c>
      <c r="X2037" s="17">
        <v>3</v>
      </c>
      <c r="Y2037" s="17">
        <v>0</v>
      </c>
      <c r="Z2037" s="17"/>
      <c r="AA2037" s="17" t="s">
        <v>73</v>
      </c>
      <c r="AB2037" s="17" t="s">
        <v>79</v>
      </c>
      <c r="AC2037" s="17">
        <v>1</v>
      </c>
      <c r="AD2037" s="17">
        <v>0</v>
      </c>
      <c r="AE2037" s="17">
        <v>0</v>
      </c>
      <c r="AF2037" s="17"/>
      <c r="AG2037" s="17" t="s">
        <v>124</v>
      </c>
      <c r="AH2037" s="17" t="s">
        <v>82</v>
      </c>
      <c r="AI2037" s="17" t="s">
        <v>83</v>
      </c>
      <c r="AJ2037" s="17">
        <v>2111</v>
      </c>
      <c r="AK2037" s="17" t="s">
        <v>75</v>
      </c>
      <c r="AL2037" s="17" t="s">
        <v>75</v>
      </c>
      <c r="AM2037" s="17" t="s">
        <v>75</v>
      </c>
      <c r="AN2037" s="17" t="s">
        <v>125</v>
      </c>
      <c r="AO2037" s="17" t="s">
        <v>75</v>
      </c>
      <c r="AP2037" s="17"/>
      <c r="AQ2037" s="17"/>
      <c r="AR2037" s="17"/>
      <c r="AS2037" s="17"/>
      <c r="AT2037" s="17" t="s">
        <v>919</v>
      </c>
      <c r="AU2037" s="17" t="s">
        <v>127</v>
      </c>
    </row>
    <row r="2038" hidden="1">
      <c r="A2038" s="17">
        <v>2036</v>
      </c>
      <c r="B2038" s="17" t="s">
        <v>52</v>
      </c>
      <c r="C2038" s="25" t="s">
        <v>5979</v>
      </c>
      <c r="D2038" s="35" t="s">
        <v>5571</v>
      </c>
      <c r="E2038" s="17" t="s">
        <v>5980</v>
      </c>
      <c r="F2038" s="17" t="s">
        <v>5981</v>
      </c>
      <c r="G2038" s="17">
        <v>22.420182</v>
      </c>
      <c r="H2038" s="17">
        <v>87.063987999999995</v>
      </c>
      <c r="I2038" s="17"/>
      <c r="J2038" s="17"/>
      <c r="K2038" s="17"/>
      <c r="L2038" s="17"/>
      <c r="M2038" s="43" t="s">
        <v>5633</v>
      </c>
      <c r="N2038" s="17">
        <v>8967046045</v>
      </c>
      <c r="O2038" s="17">
        <v>20</v>
      </c>
      <c r="P2038" s="17">
        <v>50</v>
      </c>
      <c r="Q2038" s="17" t="s">
        <v>73</v>
      </c>
      <c r="R2038" s="17" t="s">
        <v>104</v>
      </c>
      <c r="S2038" s="17" t="s">
        <v>137</v>
      </c>
      <c r="T2038" s="17" t="s">
        <v>947</v>
      </c>
      <c r="U2038" s="17" t="s">
        <v>441</v>
      </c>
      <c r="V2038" s="17" t="s">
        <v>442</v>
      </c>
      <c r="W2038" s="17" t="s">
        <v>443</v>
      </c>
      <c r="X2038" s="17">
        <v>2</v>
      </c>
      <c r="Y2038" s="17">
        <v>0</v>
      </c>
      <c r="Z2038" s="17"/>
      <c r="AA2038" s="17" t="s">
        <v>73</v>
      </c>
      <c r="AB2038" s="17" t="s">
        <v>79</v>
      </c>
      <c r="AC2038" s="17">
        <v>2</v>
      </c>
      <c r="AD2038" s="17">
        <v>0</v>
      </c>
      <c r="AE2038" s="17">
        <v>0</v>
      </c>
      <c r="AF2038" s="17"/>
      <c r="AG2038" s="17" t="s">
        <v>124</v>
      </c>
      <c r="AH2038" s="17" t="s">
        <v>82</v>
      </c>
      <c r="AI2038" s="17" t="s">
        <v>83</v>
      </c>
      <c r="AJ2038" s="17">
        <v>2111</v>
      </c>
      <c r="AK2038" s="17" t="s">
        <v>75</v>
      </c>
      <c r="AL2038" s="17" t="s">
        <v>137</v>
      </c>
      <c r="AM2038" s="17" t="s">
        <v>75</v>
      </c>
      <c r="AN2038" s="17" t="s">
        <v>125</v>
      </c>
      <c r="AO2038" s="17" t="s">
        <v>75</v>
      </c>
      <c r="AP2038" s="17"/>
      <c r="AQ2038" s="17"/>
      <c r="AR2038" s="17"/>
      <c r="AS2038" s="17"/>
      <c r="AT2038" s="17" t="s">
        <v>5982</v>
      </c>
      <c r="AU2038" s="17" t="s">
        <v>127</v>
      </c>
    </row>
    <row r="2039" hidden="1">
      <c r="A2039" s="17">
        <v>2037</v>
      </c>
      <c r="B2039" s="17" t="s">
        <v>52</v>
      </c>
      <c r="C2039" s="25" t="s">
        <v>5983</v>
      </c>
      <c r="D2039" s="35" t="s">
        <v>5571</v>
      </c>
      <c r="E2039" s="17" t="s">
        <v>5984</v>
      </c>
      <c r="F2039" s="17" t="s">
        <v>5985</v>
      </c>
      <c r="G2039" s="17">
        <v>22.398976000000001</v>
      </c>
      <c r="H2039" s="17">
        <v>87.099603999999999</v>
      </c>
      <c r="I2039" s="17"/>
      <c r="J2039" s="17"/>
      <c r="K2039" s="17"/>
      <c r="L2039" s="17"/>
      <c r="M2039" s="43" t="s">
        <v>5633</v>
      </c>
      <c r="N2039" s="17">
        <v>8967046045</v>
      </c>
      <c r="O2039" s="17">
        <v>22</v>
      </c>
      <c r="P2039" s="17">
        <v>60</v>
      </c>
      <c r="Q2039" s="17" t="s">
        <v>73</v>
      </c>
      <c r="R2039" s="17" t="s">
        <v>104</v>
      </c>
      <c r="S2039" s="17" t="s">
        <v>75</v>
      </c>
      <c r="T2039" s="17"/>
      <c r="U2039" s="17" t="s">
        <v>145</v>
      </c>
      <c r="V2039" s="17" t="s">
        <v>77</v>
      </c>
      <c r="W2039" s="17" t="s">
        <v>78</v>
      </c>
      <c r="X2039" s="17">
        <v>3</v>
      </c>
      <c r="Y2039" s="17">
        <v>0</v>
      </c>
      <c r="Z2039" s="17"/>
      <c r="AA2039" s="17" t="s">
        <v>73</v>
      </c>
      <c r="AB2039" s="17" t="s">
        <v>79</v>
      </c>
      <c r="AC2039" s="17">
        <v>2</v>
      </c>
      <c r="AD2039" s="17">
        <v>0</v>
      </c>
      <c r="AE2039" s="17">
        <v>0</v>
      </c>
      <c r="AF2039" s="17"/>
      <c r="AG2039" s="17" t="s">
        <v>124</v>
      </c>
      <c r="AH2039" s="17" t="s">
        <v>82</v>
      </c>
      <c r="AI2039" s="17" t="s">
        <v>83</v>
      </c>
      <c r="AJ2039" s="17">
        <v>2111</v>
      </c>
      <c r="AK2039" s="17" t="s">
        <v>75</v>
      </c>
      <c r="AL2039" s="17" t="s">
        <v>75</v>
      </c>
      <c r="AM2039" s="17" t="s">
        <v>75</v>
      </c>
      <c r="AN2039" s="17" t="s">
        <v>125</v>
      </c>
      <c r="AO2039" s="17" t="s">
        <v>75</v>
      </c>
      <c r="AP2039" s="17"/>
      <c r="AQ2039" s="17"/>
      <c r="AR2039" s="17"/>
      <c r="AS2039" s="17"/>
      <c r="AT2039" s="17"/>
      <c r="AU2039" s="17" t="s">
        <v>111</v>
      </c>
    </row>
    <row r="2040" hidden="1">
      <c r="A2040" s="17">
        <v>2038</v>
      </c>
      <c r="B2040" s="17" t="s">
        <v>52</v>
      </c>
      <c r="C2040" s="25" t="s">
        <v>5986</v>
      </c>
      <c r="D2040" s="35" t="s">
        <v>5571</v>
      </c>
      <c r="E2040" s="17" t="s">
        <v>5987</v>
      </c>
      <c r="F2040" s="17" t="s">
        <v>5988</v>
      </c>
      <c r="G2040" s="17">
        <v>22.375814999999999</v>
      </c>
      <c r="H2040" s="17">
        <v>87.151090999999994</v>
      </c>
      <c r="I2040" s="17"/>
      <c r="J2040" s="17"/>
      <c r="K2040" s="17"/>
      <c r="L2040" s="17"/>
      <c r="M2040" s="43" t="s">
        <v>5633</v>
      </c>
      <c r="N2040" s="17">
        <v>8967046045</v>
      </c>
      <c r="O2040" s="17">
        <v>22</v>
      </c>
      <c r="P2040" s="17">
        <v>60</v>
      </c>
      <c r="Q2040" s="17" t="s">
        <v>187</v>
      </c>
      <c r="R2040" s="17" t="s">
        <v>142</v>
      </c>
      <c r="S2040" s="17" t="s">
        <v>75</v>
      </c>
      <c r="T2040" s="17"/>
      <c r="U2040" s="17" t="s">
        <v>145</v>
      </c>
      <c r="V2040" s="17" t="s">
        <v>77</v>
      </c>
      <c r="W2040" s="17" t="s">
        <v>252</v>
      </c>
      <c r="X2040" s="17">
        <v>4</v>
      </c>
      <c r="Y2040" s="17">
        <v>0</v>
      </c>
      <c r="Z2040" s="17"/>
      <c r="AA2040" s="17" t="s">
        <v>187</v>
      </c>
      <c r="AB2040" s="17" t="s">
        <v>79</v>
      </c>
      <c r="AC2040" s="17">
        <v>5</v>
      </c>
      <c r="AD2040" s="17">
        <v>0</v>
      </c>
      <c r="AE2040" s="17">
        <v>0</v>
      </c>
      <c r="AF2040" s="17"/>
      <c r="AG2040" s="17" t="s">
        <v>414</v>
      </c>
      <c r="AH2040" s="17" t="s">
        <v>415</v>
      </c>
      <c r="AI2040" s="17" t="s">
        <v>414</v>
      </c>
      <c r="AJ2040" s="17" t="s">
        <v>416</v>
      </c>
      <c r="AK2040" s="17" t="s">
        <v>137</v>
      </c>
      <c r="AL2040" s="17" t="s">
        <v>137</v>
      </c>
      <c r="AM2040" s="17" t="s">
        <v>137</v>
      </c>
      <c r="AN2040" s="17" t="s">
        <v>5989</v>
      </c>
      <c r="AO2040" s="17"/>
      <c r="AP2040" s="17"/>
      <c r="AQ2040" s="17"/>
      <c r="AR2040" s="17"/>
      <c r="AS2040" s="17"/>
      <c r="AT2040" s="17" t="s">
        <v>5990</v>
      </c>
      <c r="AU2040" s="17" t="s">
        <v>111</v>
      </c>
    </row>
    <row r="2041" hidden="1">
      <c r="A2041" s="17">
        <v>2039</v>
      </c>
      <c r="B2041" s="17" t="s">
        <v>52</v>
      </c>
      <c r="C2041" s="25" t="s">
        <v>5991</v>
      </c>
      <c r="D2041" s="35" t="s">
        <v>5571</v>
      </c>
      <c r="E2041" s="17" t="s">
        <v>5973</v>
      </c>
      <c r="F2041" s="17" t="s">
        <v>5992</v>
      </c>
      <c r="G2041" s="17">
        <v>22.363689999999998</v>
      </c>
      <c r="H2041" s="17">
        <v>87.120949999999993</v>
      </c>
      <c r="I2041" s="17"/>
      <c r="J2041" s="17"/>
      <c r="K2041" s="17"/>
      <c r="L2041" s="17"/>
      <c r="M2041" s="43" t="s">
        <v>5633</v>
      </c>
      <c r="N2041" s="17">
        <v>8967046045</v>
      </c>
      <c r="O2041" s="17">
        <v>22</v>
      </c>
      <c r="P2041" s="17">
        <v>70</v>
      </c>
      <c r="Q2041" s="17" t="s">
        <v>413</v>
      </c>
      <c r="R2041" s="17" t="s">
        <v>74</v>
      </c>
      <c r="S2041" s="17" t="s">
        <v>75</v>
      </c>
      <c r="T2041" s="17"/>
      <c r="U2041" s="17" t="s">
        <v>251</v>
      </c>
      <c r="V2041" s="17" t="s">
        <v>77</v>
      </c>
      <c r="W2041" s="17" t="s">
        <v>252</v>
      </c>
      <c r="X2041" s="17">
        <v>4</v>
      </c>
      <c r="Y2041" s="17">
        <v>0</v>
      </c>
      <c r="Z2041" s="17"/>
      <c r="AA2041" s="17" t="s">
        <v>413</v>
      </c>
      <c r="AB2041" s="17" t="s">
        <v>79</v>
      </c>
      <c r="AC2041" s="17">
        <v>3</v>
      </c>
      <c r="AD2041" s="17">
        <v>0</v>
      </c>
      <c r="AE2041" s="17">
        <v>0</v>
      </c>
      <c r="AF2041" s="17"/>
      <c r="AG2041" s="17" t="s">
        <v>414</v>
      </c>
      <c r="AH2041" s="17" t="s">
        <v>415</v>
      </c>
      <c r="AI2041" s="17" t="s">
        <v>414</v>
      </c>
      <c r="AJ2041" s="17" t="s">
        <v>416</v>
      </c>
      <c r="AK2041" s="17" t="s">
        <v>75</v>
      </c>
      <c r="AL2041" s="17" t="s">
        <v>137</v>
      </c>
      <c r="AM2041" s="17" t="s">
        <v>163</v>
      </c>
      <c r="AN2041" s="17" t="s">
        <v>125</v>
      </c>
      <c r="AO2041" s="17" t="s">
        <v>137</v>
      </c>
      <c r="AP2041" s="17"/>
      <c r="AQ2041" s="17"/>
      <c r="AR2041" s="17"/>
      <c r="AS2041" s="17"/>
      <c r="AT2041" s="17" t="s">
        <v>5993</v>
      </c>
      <c r="AU2041" s="17" t="s">
        <v>127</v>
      </c>
    </row>
    <row r="2042" hidden="1">
      <c r="A2042" s="17">
        <v>2040</v>
      </c>
      <c r="B2042" s="17" t="s">
        <v>52</v>
      </c>
      <c r="C2042" s="25" t="s">
        <v>5994</v>
      </c>
      <c r="D2042" s="35" t="s">
        <v>5571</v>
      </c>
      <c r="E2042" s="17" t="s">
        <v>5995</v>
      </c>
      <c r="F2042" s="17" t="s">
        <v>5996</v>
      </c>
      <c r="G2042" s="17">
        <v>22.380754</v>
      </c>
      <c r="H2042" s="17">
        <v>87.123037999999994</v>
      </c>
      <c r="I2042" s="17"/>
      <c r="J2042" s="17"/>
      <c r="K2042" s="17"/>
      <c r="L2042" s="17"/>
      <c r="M2042" s="43" t="s">
        <v>5633</v>
      </c>
      <c r="N2042" s="17">
        <v>8967046045</v>
      </c>
      <c r="O2042" s="17">
        <v>22</v>
      </c>
      <c r="P2042" s="17">
        <v>110</v>
      </c>
      <c r="Q2042" s="17" t="s">
        <v>145</v>
      </c>
      <c r="R2042" s="17" t="s">
        <v>74</v>
      </c>
      <c r="S2042" s="17" t="s">
        <v>75</v>
      </c>
      <c r="T2042" s="17"/>
      <c r="U2042" s="17" t="s">
        <v>145</v>
      </c>
      <c r="V2042" s="17" t="s">
        <v>77</v>
      </c>
      <c r="W2042" s="17" t="s">
        <v>1182</v>
      </c>
      <c r="X2042" s="17">
        <v>5</v>
      </c>
      <c r="Y2042" s="17">
        <v>0</v>
      </c>
      <c r="Z2042" s="17"/>
      <c r="AA2042" s="17" t="s">
        <v>105</v>
      </c>
      <c r="AB2042" s="17" t="s">
        <v>79</v>
      </c>
      <c r="AC2042" s="17">
        <v>4</v>
      </c>
      <c r="AD2042" s="17">
        <v>0</v>
      </c>
      <c r="AE2042" s="17">
        <v>0</v>
      </c>
      <c r="AF2042" s="17"/>
      <c r="AG2042" s="17" t="s">
        <v>124</v>
      </c>
      <c r="AH2042" s="17" t="s">
        <v>162</v>
      </c>
      <c r="AI2042" s="17" t="s">
        <v>83</v>
      </c>
      <c r="AJ2042" s="17">
        <v>2112</v>
      </c>
      <c r="AK2042" s="17" t="s">
        <v>75</v>
      </c>
      <c r="AL2042" s="17" t="s">
        <v>75</v>
      </c>
      <c r="AM2042" s="17" t="s">
        <v>75</v>
      </c>
      <c r="AN2042" s="17" t="s">
        <v>125</v>
      </c>
      <c r="AO2042" s="17" t="s">
        <v>75</v>
      </c>
      <c r="AP2042" s="17"/>
      <c r="AQ2042" s="17"/>
      <c r="AR2042" s="17"/>
      <c r="AS2042" s="17"/>
      <c r="AT2042" s="17"/>
      <c r="AU2042" s="17" t="s">
        <v>111</v>
      </c>
    </row>
    <row r="2043" hidden="1">
      <c r="A2043" s="17">
        <v>2041</v>
      </c>
      <c r="B2043" s="17" t="s">
        <v>52</v>
      </c>
      <c r="C2043" s="25" t="s">
        <v>5997</v>
      </c>
      <c r="D2043" s="35" t="s">
        <v>5571</v>
      </c>
      <c r="E2043" s="17" t="s">
        <v>5998</v>
      </c>
      <c r="F2043" s="17" t="s">
        <v>5999</v>
      </c>
      <c r="G2043" s="17">
        <v>22.458679</v>
      </c>
      <c r="H2043" s="17">
        <v>87.085158000000007</v>
      </c>
      <c r="I2043" s="17"/>
      <c r="J2043" s="17"/>
      <c r="K2043" s="17"/>
      <c r="L2043" s="17"/>
      <c r="M2043" s="43" t="s">
        <v>5633</v>
      </c>
      <c r="N2043" s="17">
        <v>8967046045</v>
      </c>
      <c r="O2043" s="17">
        <v>22</v>
      </c>
      <c r="P2043" s="17">
        <v>60</v>
      </c>
      <c r="Q2043" s="17" t="s">
        <v>105</v>
      </c>
      <c r="R2043" s="17" t="s">
        <v>142</v>
      </c>
      <c r="S2043" s="17" t="s">
        <v>75</v>
      </c>
      <c r="T2043" s="17"/>
      <c r="U2043" s="17" t="s">
        <v>145</v>
      </c>
      <c r="V2043" s="17" t="s">
        <v>340</v>
      </c>
      <c r="W2043" s="17" t="s">
        <v>443</v>
      </c>
      <c r="X2043" s="17">
        <v>5</v>
      </c>
      <c r="Y2043" s="17">
        <v>3</v>
      </c>
      <c r="Z2043" s="17"/>
      <c r="AA2043" s="17" t="s">
        <v>105</v>
      </c>
      <c r="AB2043" s="17" t="s">
        <v>79</v>
      </c>
      <c r="AC2043" s="17">
        <v>5</v>
      </c>
      <c r="AD2043" s="17">
        <v>0</v>
      </c>
      <c r="AE2043" s="17">
        <v>0</v>
      </c>
      <c r="AF2043" s="17"/>
      <c r="AG2043" s="17" t="s">
        <v>124</v>
      </c>
      <c r="AH2043" s="17" t="s">
        <v>82</v>
      </c>
      <c r="AI2043" s="17" t="s">
        <v>83</v>
      </c>
      <c r="AJ2043" s="17">
        <v>2111</v>
      </c>
      <c r="AK2043" s="17" t="s">
        <v>75</v>
      </c>
      <c r="AL2043" s="17" t="s">
        <v>75</v>
      </c>
      <c r="AM2043" s="17" t="s">
        <v>75</v>
      </c>
      <c r="AN2043" s="17" t="s">
        <v>125</v>
      </c>
      <c r="AO2043" s="17" t="s">
        <v>75</v>
      </c>
      <c r="AP2043" s="17"/>
      <c r="AQ2043" s="17"/>
      <c r="AR2043" s="17"/>
      <c r="AS2043" s="17"/>
      <c r="AT2043" s="17"/>
      <c r="AU2043" s="17" t="s">
        <v>127</v>
      </c>
    </row>
    <row r="2044" hidden="1">
      <c r="A2044" s="17">
        <v>2042</v>
      </c>
      <c r="B2044" s="17" t="s">
        <v>52</v>
      </c>
      <c r="C2044" s="25" t="s">
        <v>6000</v>
      </c>
      <c r="D2044" s="35" t="s">
        <v>5571</v>
      </c>
      <c r="E2044" s="17" t="s">
        <v>6001</v>
      </c>
      <c r="F2044" s="17" t="s">
        <v>6002</v>
      </c>
      <c r="G2044" s="17">
        <v>22.382328000000001</v>
      </c>
      <c r="H2044" s="17">
        <v>87.178545</v>
      </c>
      <c r="I2044" s="17"/>
      <c r="J2044" s="17"/>
      <c r="K2044" s="17"/>
      <c r="L2044" s="17"/>
      <c r="M2044" s="43" t="s">
        <v>5633</v>
      </c>
      <c r="N2044" s="17">
        <v>8967046045</v>
      </c>
      <c r="O2044" s="17">
        <v>20</v>
      </c>
      <c r="P2044" s="17">
        <v>90</v>
      </c>
      <c r="Q2044" s="17" t="s">
        <v>73</v>
      </c>
      <c r="R2044" s="17" t="s">
        <v>74</v>
      </c>
      <c r="S2044" s="17" t="s">
        <v>75</v>
      </c>
      <c r="T2044" s="17"/>
      <c r="U2044" s="17" t="s">
        <v>5862</v>
      </c>
      <c r="V2044" s="17" t="s">
        <v>77</v>
      </c>
      <c r="W2044" s="17" t="s">
        <v>454</v>
      </c>
      <c r="X2044" s="17">
        <v>4</v>
      </c>
      <c r="Y2044" s="17">
        <v>0</v>
      </c>
      <c r="Z2044" s="17"/>
      <c r="AA2044" s="17" t="s">
        <v>73</v>
      </c>
      <c r="AB2044" s="17" t="s">
        <v>79</v>
      </c>
      <c r="AC2044" s="17">
        <v>3</v>
      </c>
      <c r="AD2044" s="17">
        <v>0</v>
      </c>
      <c r="AE2044" s="17">
        <v>0</v>
      </c>
      <c r="AF2044" s="17"/>
      <c r="AG2044" s="17" t="s">
        <v>124</v>
      </c>
      <c r="AH2044" s="17" t="s">
        <v>162</v>
      </c>
      <c r="AI2044" s="17" t="s">
        <v>83</v>
      </c>
      <c r="AJ2044" s="17">
        <v>2112</v>
      </c>
      <c r="AK2044" s="17" t="s">
        <v>75</v>
      </c>
      <c r="AL2044" s="17" t="s">
        <v>75</v>
      </c>
      <c r="AM2044" s="17" t="s">
        <v>75</v>
      </c>
      <c r="AN2044" s="17" t="s">
        <v>84</v>
      </c>
      <c r="AO2044" s="17" t="s">
        <v>75</v>
      </c>
      <c r="AP2044" s="17"/>
      <c r="AQ2044" s="17"/>
      <c r="AR2044" s="17"/>
      <c r="AS2044" s="17"/>
      <c r="AT2044" s="17"/>
      <c r="AU2044" s="17" t="s">
        <v>111</v>
      </c>
    </row>
    <row r="2045" hidden="1">
      <c r="A2045" s="17">
        <v>2043</v>
      </c>
      <c r="B2045" s="17" t="s">
        <v>52</v>
      </c>
      <c r="C2045" s="25" t="s">
        <v>6003</v>
      </c>
      <c r="D2045" s="35" t="s">
        <v>5571</v>
      </c>
      <c r="E2045" s="17" t="s">
        <v>6004</v>
      </c>
      <c r="F2045" s="17" t="s">
        <v>6005</v>
      </c>
      <c r="G2045" s="17">
        <v>22.372820000000001</v>
      </c>
      <c r="H2045" s="17">
        <v>87.130090999999993</v>
      </c>
      <c r="I2045" s="17"/>
      <c r="J2045" s="17"/>
      <c r="K2045" s="17"/>
      <c r="L2045" s="17"/>
      <c r="M2045" s="43" t="s">
        <v>5633</v>
      </c>
      <c r="N2045" s="17">
        <v>8967046045</v>
      </c>
      <c r="O2045" s="17">
        <v>22</v>
      </c>
      <c r="P2045" s="17">
        <v>80</v>
      </c>
      <c r="Q2045" s="17" t="s">
        <v>413</v>
      </c>
      <c r="R2045" s="17" t="s">
        <v>74</v>
      </c>
      <c r="S2045" s="17" t="s">
        <v>75</v>
      </c>
      <c r="T2045" s="17"/>
      <c r="U2045" s="17" t="s">
        <v>5862</v>
      </c>
      <c r="V2045" s="17" t="s">
        <v>77</v>
      </c>
      <c r="W2045" s="17" t="s">
        <v>252</v>
      </c>
      <c r="X2045" s="17">
        <v>4</v>
      </c>
      <c r="Y2045" s="17">
        <v>0</v>
      </c>
      <c r="Z2045" s="17"/>
      <c r="AA2045" s="17" t="s">
        <v>413</v>
      </c>
      <c r="AB2045" s="17" t="s">
        <v>79</v>
      </c>
      <c r="AC2045" s="17">
        <v>4</v>
      </c>
      <c r="AD2045" s="17">
        <v>0</v>
      </c>
      <c r="AE2045" s="17">
        <v>0</v>
      </c>
      <c r="AF2045" s="17"/>
      <c r="AG2045" s="17" t="s">
        <v>124</v>
      </c>
      <c r="AH2045" s="17" t="s">
        <v>82</v>
      </c>
      <c r="AI2045" s="17" t="s">
        <v>83</v>
      </c>
      <c r="AJ2045" s="17">
        <v>2111</v>
      </c>
      <c r="AK2045" s="17" t="s">
        <v>1613</v>
      </c>
      <c r="AL2045" s="17" t="s">
        <v>75</v>
      </c>
      <c r="AM2045" s="17" t="s">
        <v>137</v>
      </c>
      <c r="AN2045" s="17" t="s">
        <v>84</v>
      </c>
      <c r="AO2045" s="17" t="s">
        <v>1060</v>
      </c>
      <c r="AP2045" s="17"/>
      <c r="AQ2045" s="17"/>
      <c r="AR2045" s="17"/>
      <c r="AS2045" s="17"/>
      <c r="AT2045" s="17" t="s">
        <v>6006</v>
      </c>
      <c r="AU2045" s="17" t="s">
        <v>111</v>
      </c>
    </row>
    <row r="2046" hidden="1">
      <c r="A2046" s="17">
        <v>2044</v>
      </c>
      <c r="B2046" s="17" t="s">
        <v>52</v>
      </c>
      <c r="C2046" s="25" t="s">
        <v>6007</v>
      </c>
      <c r="D2046" s="35" t="s">
        <v>5571</v>
      </c>
      <c r="E2046" s="17" t="s">
        <v>6008</v>
      </c>
      <c r="F2046" s="17" t="s">
        <v>6009</v>
      </c>
      <c r="G2046" s="17">
        <v>22.387381999999999</v>
      </c>
      <c r="H2046" s="17">
        <v>87.231206</v>
      </c>
      <c r="I2046" s="17"/>
      <c r="J2046" s="17"/>
      <c r="K2046" s="17"/>
      <c r="L2046" s="17"/>
      <c r="M2046" s="43" t="s">
        <v>5633</v>
      </c>
      <c r="N2046" s="17">
        <v>8967046045</v>
      </c>
      <c r="O2046" s="17">
        <v>20</v>
      </c>
      <c r="P2046" s="17">
        <v>140</v>
      </c>
      <c r="Q2046" s="17" t="s">
        <v>145</v>
      </c>
      <c r="R2046" s="17" t="s">
        <v>142</v>
      </c>
      <c r="S2046" s="17" t="s">
        <v>75</v>
      </c>
      <c r="T2046" s="17" t="s">
        <v>2254</v>
      </c>
      <c r="U2046" s="17" t="s">
        <v>160</v>
      </c>
      <c r="V2046" s="17" t="s">
        <v>77</v>
      </c>
      <c r="W2046" s="17" t="s">
        <v>123</v>
      </c>
      <c r="X2046" s="17">
        <v>5</v>
      </c>
      <c r="Y2046" s="17">
        <v>2</v>
      </c>
      <c r="Z2046" s="17"/>
      <c r="AA2046" s="17" t="s">
        <v>105</v>
      </c>
      <c r="AB2046" s="17" t="s">
        <v>79</v>
      </c>
      <c r="AC2046" s="17">
        <v>4</v>
      </c>
      <c r="AD2046" s="17">
        <v>0</v>
      </c>
      <c r="AE2046" s="17">
        <v>0</v>
      </c>
      <c r="AF2046" s="17"/>
      <c r="AG2046" s="17" t="s">
        <v>81</v>
      </c>
      <c r="AH2046" s="17" t="s">
        <v>162</v>
      </c>
      <c r="AI2046" s="17" t="s">
        <v>107</v>
      </c>
      <c r="AJ2046" s="17"/>
      <c r="AK2046" s="17" t="s">
        <v>75</v>
      </c>
      <c r="AL2046" s="17" t="s">
        <v>75</v>
      </c>
      <c r="AM2046" s="17" t="s">
        <v>75</v>
      </c>
      <c r="AN2046" s="17" t="s">
        <v>84</v>
      </c>
      <c r="AO2046" s="17" t="s">
        <v>75</v>
      </c>
      <c r="AP2046" s="17"/>
      <c r="AQ2046" s="17"/>
      <c r="AR2046" s="17"/>
      <c r="AS2046" s="17"/>
      <c r="AT2046" s="17"/>
      <c r="AU2046" s="17" t="s">
        <v>111</v>
      </c>
    </row>
    <row r="2047" hidden="1">
      <c r="A2047" s="17">
        <v>2045</v>
      </c>
      <c r="B2047" s="17" t="s">
        <v>52</v>
      </c>
      <c r="C2047" s="25" t="s">
        <v>6010</v>
      </c>
      <c r="D2047" s="35" t="s">
        <v>5571</v>
      </c>
      <c r="E2047" s="17" t="s">
        <v>4658</v>
      </c>
      <c r="F2047" s="17" t="s">
        <v>6011</v>
      </c>
      <c r="G2047" s="17">
        <v>22.441520000000001</v>
      </c>
      <c r="H2047" s="17">
        <v>87.028571999999997</v>
      </c>
      <c r="I2047" s="17"/>
      <c r="J2047" s="17"/>
      <c r="K2047" s="17"/>
      <c r="L2047" s="17"/>
      <c r="M2047" s="43" t="s">
        <v>5637</v>
      </c>
      <c r="N2047" s="17"/>
      <c r="O2047" s="17"/>
      <c r="P2047" s="17"/>
      <c r="Q2047" s="17"/>
      <c r="R2047" s="17"/>
      <c r="S2047" s="17"/>
      <c r="T2047" s="17"/>
      <c r="U2047" s="17"/>
      <c r="V2047" s="17"/>
      <c r="W2047" s="17"/>
      <c r="X2047" s="17"/>
      <c r="Y2047" s="17"/>
      <c r="Z2047" s="17"/>
      <c r="AA2047" s="17"/>
      <c r="AB2047" s="17"/>
      <c r="AC2047" s="17"/>
      <c r="AD2047" s="17"/>
      <c r="AE2047" s="17"/>
      <c r="AF2047" s="17"/>
      <c r="AG2047" s="17"/>
      <c r="AH2047" s="17"/>
      <c r="AI2047" s="17"/>
      <c r="AJ2047" s="17"/>
      <c r="AK2047" s="17"/>
      <c r="AL2047" s="17"/>
      <c r="AM2047" s="17"/>
      <c r="AN2047" s="17"/>
      <c r="AO2047" s="17"/>
      <c r="AP2047" s="17"/>
      <c r="AQ2047" s="17"/>
      <c r="AR2047" s="17"/>
      <c r="AS2047" s="17"/>
      <c r="AT2047" s="17"/>
      <c r="AU2047" s="17"/>
    </row>
    <row r="2048" hidden="1">
      <c r="A2048" s="17">
        <v>2046</v>
      </c>
      <c r="B2048" s="17" t="s">
        <v>52</v>
      </c>
      <c r="C2048" s="25" t="s">
        <v>6012</v>
      </c>
      <c r="D2048" s="35" t="s">
        <v>5571</v>
      </c>
      <c r="E2048" s="17" t="s">
        <v>6013</v>
      </c>
      <c r="F2048" s="17" t="s">
        <v>6014</v>
      </c>
      <c r="G2048" s="17">
        <v>22.468615</v>
      </c>
      <c r="H2048" s="17">
        <v>86.960519000000005</v>
      </c>
      <c r="I2048" s="17"/>
      <c r="J2048" s="17"/>
      <c r="K2048" s="17"/>
      <c r="L2048" s="17"/>
      <c r="M2048" s="43" t="s">
        <v>5637</v>
      </c>
      <c r="N2048" s="17"/>
      <c r="O2048" s="17"/>
      <c r="P2048" s="17"/>
      <c r="Q2048" s="17"/>
      <c r="R2048" s="17"/>
      <c r="S2048" s="17"/>
      <c r="T2048" s="17"/>
      <c r="U2048" s="17"/>
      <c r="V2048" s="17"/>
      <c r="W2048" s="17"/>
      <c r="X2048" s="17"/>
      <c r="Y2048" s="17"/>
      <c r="Z2048" s="17"/>
      <c r="AA2048" s="17"/>
      <c r="AB2048" s="17"/>
      <c r="AC2048" s="17"/>
      <c r="AD2048" s="17"/>
      <c r="AE2048" s="17"/>
      <c r="AF2048" s="17"/>
      <c r="AG2048" s="17"/>
      <c r="AH2048" s="17"/>
      <c r="AI2048" s="17"/>
      <c r="AJ2048" s="17"/>
      <c r="AK2048" s="17"/>
      <c r="AL2048" s="17"/>
      <c r="AM2048" s="17"/>
      <c r="AN2048" s="17"/>
      <c r="AO2048" s="17"/>
      <c r="AP2048" s="17"/>
      <c r="AQ2048" s="17"/>
      <c r="AR2048" s="17"/>
      <c r="AS2048" s="17"/>
      <c r="AT2048" s="17"/>
      <c r="AU2048" s="17"/>
    </row>
    <row r="2049" hidden="1">
      <c r="A2049" s="17">
        <v>2047</v>
      </c>
      <c r="B2049" s="17" t="s">
        <v>52</v>
      </c>
      <c r="C2049" s="25" t="s">
        <v>6015</v>
      </c>
      <c r="D2049" s="35" t="s">
        <v>5571</v>
      </c>
      <c r="E2049" s="17" t="s">
        <v>6016</v>
      </c>
      <c r="F2049" s="17" t="s">
        <v>6017</v>
      </c>
      <c r="G2049" s="17">
        <v>22.432648</v>
      </c>
      <c r="H2049" s="17">
        <v>87.013019</v>
      </c>
      <c r="I2049" s="17"/>
      <c r="J2049" s="17"/>
      <c r="K2049" s="17"/>
      <c r="L2049" s="17"/>
      <c r="M2049" s="43" t="s">
        <v>5637</v>
      </c>
      <c r="N2049" s="17"/>
      <c r="O2049" s="17"/>
      <c r="P2049" s="17"/>
      <c r="Q2049" s="17"/>
      <c r="R2049" s="17"/>
      <c r="S2049" s="17"/>
      <c r="T2049" s="17"/>
      <c r="U2049" s="17"/>
      <c r="V2049" s="17"/>
      <c r="W2049" s="17"/>
      <c r="X2049" s="17"/>
      <c r="Y2049" s="17"/>
      <c r="Z2049" s="17"/>
      <c r="AA2049" s="17"/>
      <c r="AB2049" s="17"/>
      <c r="AC2049" s="17"/>
      <c r="AD2049" s="17"/>
      <c r="AE2049" s="17"/>
      <c r="AF2049" s="17"/>
      <c r="AG2049" s="17"/>
      <c r="AH2049" s="17"/>
      <c r="AI2049" s="17"/>
      <c r="AJ2049" s="17"/>
      <c r="AK2049" s="17"/>
      <c r="AL2049" s="17"/>
      <c r="AM2049" s="17"/>
      <c r="AN2049" s="17"/>
      <c r="AO2049" s="17"/>
      <c r="AP2049" s="17"/>
      <c r="AQ2049" s="17"/>
      <c r="AR2049" s="17"/>
      <c r="AS2049" s="17"/>
      <c r="AT2049" s="17"/>
      <c r="AU2049" s="17"/>
    </row>
    <row r="2050" hidden="1">
      <c r="A2050" s="17">
        <v>2048</v>
      </c>
      <c r="B2050" s="17" t="s">
        <v>52</v>
      </c>
      <c r="C2050" s="25" t="s">
        <v>6018</v>
      </c>
      <c r="D2050" s="35" t="s">
        <v>5571</v>
      </c>
      <c r="E2050" s="17" t="s">
        <v>6019</v>
      </c>
      <c r="F2050" s="17" t="s">
        <v>6020</v>
      </c>
      <c r="G2050" s="17">
        <v>22.385726999999999</v>
      </c>
      <c r="H2050" s="17">
        <v>86.965483000000006</v>
      </c>
      <c r="I2050" s="17"/>
      <c r="J2050" s="17"/>
      <c r="K2050" s="17"/>
      <c r="L2050" s="17"/>
      <c r="M2050" s="43" t="s">
        <v>5637</v>
      </c>
      <c r="N2050" s="17"/>
      <c r="O2050" s="17"/>
      <c r="P2050" s="17"/>
      <c r="Q2050" s="17"/>
      <c r="R2050" s="17"/>
      <c r="S2050" s="17"/>
      <c r="T2050" s="17"/>
      <c r="U2050" s="17"/>
      <c r="V2050" s="17"/>
      <c r="W2050" s="17"/>
      <c r="X2050" s="17"/>
      <c r="Y2050" s="17"/>
      <c r="Z2050" s="17"/>
      <c r="AA2050" s="17"/>
      <c r="AB2050" s="17"/>
      <c r="AC2050" s="17"/>
      <c r="AD2050" s="17"/>
      <c r="AE2050" s="17"/>
      <c r="AF2050" s="17"/>
      <c r="AG2050" s="17"/>
      <c r="AH2050" s="17"/>
      <c r="AI2050" s="17"/>
      <c r="AJ2050" s="17"/>
      <c r="AK2050" s="17"/>
      <c r="AL2050" s="17"/>
      <c r="AM2050" s="17"/>
      <c r="AN2050" s="17"/>
      <c r="AO2050" s="17"/>
      <c r="AP2050" s="17"/>
      <c r="AQ2050" s="17"/>
      <c r="AR2050" s="17"/>
      <c r="AS2050" s="17"/>
      <c r="AT2050" s="17"/>
      <c r="AU2050" s="17"/>
    </row>
    <row r="2051" hidden="1">
      <c r="A2051" s="17">
        <v>2049</v>
      </c>
      <c r="B2051" s="17" t="s">
        <v>52</v>
      </c>
      <c r="C2051" s="25" t="s">
        <v>6021</v>
      </c>
      <c r="D2051" s="35" t="s">
        <v>5571</v>
      </c>
      <c r="E2051" s="17" t="s">
        <v>6022</v>
      </c>
      <c r="F2051" s="17" t="s">
        <v>6023</v>
      </c>
      <c r="G2051" s="17">
        <v>22.41583</v>
      </c>
      <c r="H2051" s="17">
        <v>86.958071000000004</v>
      </c>
      <c r="I2051" s="17"/>
      <c r="J2051" s="17"/>
      <c r="K2051" s="17"/>
      <c r="L2051" s="17"/>
      <c r="M2051" s="43" t="s">
        <v>5637</v>
      </c>
      <c r="N2051" s="17"/>
      <c r="O2051" s="17"/>
      <c r="P2051" s="17"/>
      <c r="Q2051" s="17"/>
      <c r="R2051" s="17"/>
      <c r="S2051" s="17"/>
      <c r="T2051" s="17"/>
      <c r="U2051" s="17"/>
      <c r="V2051" s="17"/>
      <c r="W2051" s="17"/>
      <c r="X2051" s="17"/>
      <c r="Y2051" s="17"/>
      <c r="Z2051" s="17"/>
      <c r="AA2051" s="17"/>
      <c r="AB2051" s="17"/>
      <c r="AC2051" s="17"/>
      <c r="AD2051" s="17"/>
      <c r="AE2051" s="17"/>
      <c r="AF2051" s="17"/>
      <c r="AG2051" s="17"/>
      <c r="AH2051" s="17"/>
      <c r="AI2051" s="17"/>
      <c r="AJ2051" s="17"/>
      <c r="AK2051" s="17"/>
      <c r="AL2051" s="17"/>
      <c r="AM2051" s="17"/>
      <c r="AN2051" s="17"/>
      <c r="AO2051" s="17"/>
      <c r="AP2051" s="17"/>
      <c r="AQ2051" s="17"/>
      <c r="AR2051" s="17"/>
      <c r="AS2051" s="17"/>
      <c r="AT2051" s="17"/>
      <c r="AU2051" s="17"/>
    </row>
    <row r="2052" hidden="1">
      <c r="A2052" s="17">
        <v>2050</v>
      </c>
      <c r="B2052" s="17" t="s">
        <v>52</v>
      </c>
      <c r="C2052" s="25" t="s">
        <v>6024</v>
      </c>
      <c r="D2052" s="35" t="s">
        <v>5571</v>
      </c>
      <c r="E2052" s="17" t="s">
        <v>6025</v>
      </c>
      <c r="F2052" s="17" t="s">
        <v>6026</v>
      </c>
      <c r="G2052" s="17">
        <v>22.455663999999999</v>
      </c>
      <c r="H2052" s="17">
        <v>87.051500000000004</v>
      </c>
      <c r="I2052" s="17"/>
      <c r="J2052" s="17"/>
      <c r="K2052" s="17"/>
      <c r="L2052" s="17"/>
      <c r="M2052" s="43" t="s">
        <v>5637</v>
      </c>
      <c r="N2052" s="17"/>
      <c r="O2052" s="17"/>
      <c r="P2052" s="17"/>
      <c r="Q2052" s="17"/>
      <c r="R2052" s="17"/>
      <c r="S2052" s="17"/>
      <c r="T2052" s="17"/>
      <c r="U2052" s="17"/>
      <c r="V2052" s="17"/>
      <c r="W2052" s="17"/>
      <c r="X2052" s="17"/>
      <c r="Y2052" s="17"/>
      <c r="Z2052" s="17"/>
      <c r="AA2052" s="17"/>
      <c r="AB2052" s="17"/>
      <c r="AC2052" s="17"/>
      <c r="AD2052" s="17"/>
      <c r="AE2052" s="17"/>
      <c r="AF2052" s="17"/>
      <c r="AG2052" s="17"/>
      <c r="AH2052" s="17"/>
      <c r="AI2052" s="17"/>
      <c r="AJ2052" s="17"/>
      <c r="AK2052" s="17"/>
      <c r="AL2052" s="17"/>
      <c r="AM2052" s="17"/>
      <c r="AN2052" s="17"/>
      <c r="AO2052" s="17"/>
      <c r="AP2052" s="17"/>
      <c r="AQ2052" s="17"/>
      <c r="AR2052" s="17"/>
      <c r="AS2052" s="17"/>
      <c r="AT2052" s="17"/>
      <c r="AU2052" s="17"/>
    </row>
    <row r="2053" hidden="1">
      <c r="A2053" s="17">
        <v>2051</v>
      </c>
      <c r="B2053" s="17" t="s">
        <v>52</v>
      </c>
      <c r="C2053" s="25" t="s">
        <v>6027</v>
      </c>
      <c r="D2053" s="35" t="s">
        <v>5571</v>
      </c>
      <c r="E2053" s="17" t="s">
        <v>6028</v>
      </c>
      <c r="F2053" s="17" t="s">
        <v>6029</v>
      </c>
      <c r="G2053" s="17">
        <v>22.449006000000001</v>
      </c>
      <c r="H2053" s="17">
        <v>86.995486</v>
      </c>
      <c r="I2053" s="17"/>
      <c r="J2053" s="17"/>
      <c r="K2053" s="17"/>
      <c r="L2053" s="17"/>
      <c r="M2053" s="43" t="s">
        <v>5637</v>
      </c>
      <c r="N2053" s="17"/>
      <c r="O2053" s="17"/>
      <c r="P2053" s="17"/>
      <c r="Q2053" s="17"/>
      <c r="R2053" s="17"/>
      <c r="S2053" s="17"/>
      <c r="T2053" s="17"/>
      <c r="U2053" s="17"/>
      <c r="V2053" s="17"/>
      <c r="W2053" s="17"/>
      <c r="X2053" s="17"/>
      <c r="Y2053" s="17"/>
      <c r="Z2053" s="17"/>
      <c r="AA2053" s="17"/>
      <c r="AB2053" s="17"/>
      <c r="AC2053" s="17"/>
      <c r="AD2053" s="17"/>
      <c r="AE2053" s="17"/>
      <c r="AF2053" s="17"/>
      <c r="AG2053" s="17"/>
      <c r="AH2053" s="17"/>
      <c r="AI2053" s="17"/>
      <c r="AJ2053" s="17"/>
      <c r="AK2053" s="17"/>
      <c r="AL2053" s="17"/>
      <c r="AM2053" s="17"/>
      <c r="AN2053" s="17"/>
      <c r="AO2053" s="17"/>
      <c r="AP2053" s="17"/>
      <c r="AQ2053" s="17"/>
      <c r="AR2053" s="17"/>
      <c r="AS2053" s="17"/>
      <c r="AT2053" s="17"/>
      <c r="AU2053" s="17"/>
    </row>
    <row r="2054" hidden="1">
      <c r="A2054" s="17">
        <v>2052</v>
      </c>
      <c r="B2054" s="17" t="s">
        <v>52</v>
      </c>
      <c r="C2054" s="25" t="s">
        <v>6030</v>
      </c>
      <c r="D2054" s="35" t="s">
        <v>5571</v>
      </c>
      <c r="E2054" s="17" t="s">
        <v>6031</v>
      </c>
      <c r="F2054" s="17" t="s">
        <v>6032</v>
      </c>
      <c r="G2054" s="17">
        <v>22.389185999999999</v>
      </c>
      <c r="H2054" s="17">
        <v>86.933926999999997</v>
      </c>
      <c r="I2054" s="17"/>
      <c r="J2054" s="17"/>
      <c r="K2054" s="17"/>
      <c r="L2054" s="17"/>
      <c r="M2054" s="43" t="s">
        <v>5637</v>
      </c>
      <c r="N2054" s="17"/>
      <c r="O2054" s="17"/>
      <c r="P2054" s="17"/>
      <c r="Q2054" s="17"/>
      <c r="R2054" s="17"/>
      <c r="S2054" s="17"/>
      <c r="T2054" s="17"/>
      <c r="U2054" s="17"/>
      <c r="V2054" s="17"/>
      <c r="W2054" s="17"/>
      <c r="X2054" s="17"/>
      <c r="Y2054" s="17"/>
      <c r="Z2054" s="17"/>
      <c r="AA2054" s="17"/>
      <c r="AB2054" s="17"/>
      <c r="AC2054" s="17"/>
      <c r="AD2054" s="17"/>
      <c r="AE2054" s="17"/>
      <c r="AF2054" s="17"/>
      <c r="AG2054" s="17"/>
      <c r="AH2054" s="17"/>
      <c r="AI2054" s="17"/>
      <c r="AJ2054" s="17"/>
      <c r="AK2054" s="17"/>
      <c r="AL2054" s="17"/>
      <c r="AM2054" s="17"/>
      <c r="AN2054" s="17"/>
      <c r="AO2054" s="17"/>
      <c r="AP2054" s="17"/>
      <c r="AQ2054" s="17"/>
      <c r="AR2054" s="17"/>
      <c r="AS2054" s="17"/>
      <c r="AT2054" s="17"/>
      <c r="AU2054" s="17"/>
    </row>
    <row r="2055" hidden="1">
      <c r="A2055" s="17">
        <v>2053</v>
      </c>
      <c r="B2055" s="17" t="s">
        <v>52</v>
      </c>
      <c r="C2055" s="25" t="s">
        <v>6033</v>
      </c>
      <c r="D2055" s="35" t="s">
        <v>5571</v>
      </c>
      <c r="E2055" s="17"/>
      <c r="F2055" s="17"/>
      <c r="G2055" s="17"/>
      <c r="H2055" s="17"/>
      <c r="I2055" s="17"/>
      <c r="J2055" s="17"/>
      <c r="K2055" s="17"/>
      <c r="L2055" s="17"/>
      <c r="M2055" s="43" t="s">
        <v>5637</v>
      </c>
      <c r="N2055" s="17"/>
      <c r="O2055" s="17"/>
      <c r="P2055" s="17"/>
      <c r="Q2055" s="17"/>
      <c r="R2055" s="17"/>
      <c r="S2055" s="17"/>
      <c r="T2055" s="17"/>
      <c r="U2055" s="17"/>
      <c r="V2055" s="17"/>
      <c r="W2055" s="17"/>
      <c r="X2055" s="17"/>
      <c r="Y2055" s="17"/>
      <c r="Z2055" s="17"/>
      <c r="AA2055" s="17"/>
      <c r="AB2055" s="17"/>
      <c r="AC2055" s="17"/>
      <c r="AD2055" s="17"/>
      <c r="AE2055" s="17"/>
      <c r="AF2055" s="17"/>
      <c r="AG2055" s="17"/>
      <c r="AH2055" s="17"/>
      <c r="AI2055" s="17"/>
      <c r="AJ2055" s="17"/>
      <c r="AK2055" s="17"/>
      <c r="AL2055" s="17"/>
      <c r="AM2055" s="17"/>
      <c r="AN2055" s="17"/>
      <c r="AO2055" s="17"/>
      <c r="AP2055" s="17"/>
      <c r="AQ2055" s="17"/>
      <c r="AR2055" s="17"/>
      <c r="AS2055" s="17"/>
      <c r="AT2055" s="17"/>
      <c r="AU2055" s="17"/>
    </row>
    <row r="2056" hidden="1">
      <c r="A2056" s="17">
        <v>2054</v>
      </c>
      <c r="B2056" s="17" t="s">
        <v>52</v>
      </c>
      <c r="C2056" s="25" t="s">
        <v>6034</v>
      </c>
      <c r="D2056" s="35" t="s">
        <v>5571</v>
      </c>
      <c r="E2056" s="17" t="s">
        <v>6035</v>
      </c>
      <c r="F2056" s="17" t="s">
        <v>6036</v>
      </c>
      <c r="G2056" s="17">
        <v>22.436437000000002</v>
      </c>
      <c r="H2056" s="17">
        <v>86.965036999999995</v>
      </c>
      <c r="I2056" s="17"/>
      <c r="J2056" s="17"/>
      <c r="K2056" s="17"/>
      <c r="L2056" s="17"/>
      <c r="M2056" s="43" t="s">
        <v>5637</v>
      </c>
      <c r="N2056" s="17"/>
      <c r="O2056" s="17"/>
      <c r="P2056" s="17"/>
      <c r="Q2056" s="17"/>
      <c r="R2056" s="17"/>
      <c r="S2056" s="17"/>
      <c r="T2056" s="17"/>
      <c r="U2056" s="17"/>
      <c r="V2056" s="17"/>
      <c r="W2056" s="17"/>
      <c r="X2056" s="17"/>
      <c r="Y2056" s="17"/>
      <c r="Z2056" s="17"/>
      <c r="AA2056" s="17"/>
      <c r="AB2056" s="17"/>
      <c r="AC2056" s="17"/>
      <c r="AD2056" s="17"/>
      <c r="AE2056" s="17"/>
      <c r="AF2056" s="17"/>
      <c r="AG2056" s="17"/>
      <c r="AH2056" s="17"/>
      <c r="AI2056" s="17"/>
      <c r="AJ2056" s="17"/>
      <c r="AK2056" s="17"/>
      <c r="AL2056" s="17"/>
      <c r="AM2056" s="17"/>
      <c r="AN2056" s="17"/>
      <c r="AO2056" s="17"/>
      <c r="AP2056" s="17"/>
      <c r="AQ2056" s="17"/>
      <c r="AR2056" s="17"/>
      <c r="AS2056" s="17"/>
      <c r="AT2056" s="17"/>
      <c r="AU2056" s="17"/>
    </row>
    <row r="2057" hidden="1">
      <c r="A2057" s="17">
        <v>2055</v>
      </c>
      <c r="B2057" s="17" t="s">
        <v>52</v>
      </c>
      <c r="C2057" s="25" t="s">
        <v>6037</v>
      </c>
      <c r="D2057" s="35" t="s">
        <v>5571</v>
      </c>
      <c r="E2057" s="17" t="s">
        <v>6038</v>
      </c>
      <c r="F2057" s="17" t="s">
        <v>6039</v>
      </c>
      <c r="G2057" s="17">
        <v>22.454785000000001</v>
      </c>
      <c r="H2057" s="17">
        <v>87.006917999999999</v>
      </c>
      <c r="I2057" s="17"/>
      <c r="J2057" s="17"/>
      <c r="K2057" s="17"/>
      <c r="L2057" s="17"/>
      <c r="M2057" s="43" t="s">
        <v>5637</v>
      </c>
      <c r="N2057" s="17"/>
      <c r="O2057" s="17"/>
      <c r="P2057" s="17"/>
      <c r="Q2057" s="17"/>
      <c r="R2057" s="17"/>
      <c r="S2057" s="17"/>
      <c r="T2057" s="17"/>
      <c r="U2057" s="17"/>
      <c r="V2057" s="17"/>
      <c r="W2057" s="17"/>
      <c r="X2057" s="17"/>
      <c r="Y2057" s="17"/>
      <c r="Z2057" s="17"/>
      <c r="AA2057" s="17"/>
      <c r="AB2057" s="17"/>
      <c r="AC2057" s="17"/>
      <c r="AD2057" s="17"/>
      <c r="AE2057" s="17"/>
      <c r="AF2057" s="17"/>
      <c r="AG2057" s="17"/>
      <c r="AH2057" s="17"/>
      <c r="AI2057" s="17"/>
      <c r="AJ2057" s="17"/>
      <c r="AK2057" s="17"/>
      <c r="AL2057" s="17"/>
      <c r="AM2057" s="17"/>
      <c r="AN2057" s="17"/>
      <c r="AO2057" s="17"/>
      <c r="AP2057" s="17"/>
      <c r="AQ2057" s="17"/>
      <c r="AR2057" s="17"/>
      <c r="AS2057" s="17"/>
      <c r="AT2057" s="17"/>
      <c r="AU2057" s="17"/>
    </row>
    <row r="2058" hidden="1">
      <c r="A2058" s="17">
        <v>2056</v>
      </c>
      <c r="B2058" s="17" t="s">
        <v>52</v>
      </c>
      <c r="C2058" s="25" t="s">
        <v>6040</v>
      </c>
      <c r="D2058" s="35" t="s">
        <v>5571</v>
      </c>
      <c r="E2058" s="17" t="s">
        <v>6041</v>
      </c>
      <c r="F2058" s="17" t="s">
        <v>6042</v>
      </c>
      <c r="G2058" s="17">
        <v>22.46095</v>
      </c>
      <c r="H2058" s="17">
        <v>87.001087999999996</v>
      </c>
      <c r="I2058" s="17"/>
      <c r="J2058" s="17"/>
      <c r="K2058" s="17"/>
      <c r="L2058" s="17"/>
      <c r="M2058" s="43" t="s">
        <v>5637</v>
      </c>
      <c r="N2058" s="17"/>
      <c r="O2058" s="17"/>
      <c r="P2058" s="17"/>
      <c r="Q2058" s="17"/>
      <c r="R2058" s="17"/>
      <c r="S2058" s="17"/>
      <c r="T2058" s="17"/>
      <c r="U2058" s="17"/>
      <c r="V2058" s="17"/>
      <c r="W2058" s="17"/>
      <c r="X2058" s="17"/>
      <c r="Y2058" s="17"/>
      <c r="Z2058" s="17"/>
      <c r="AA2058" s="17"/>
      <c r="AB2058" s="17"/>
      <c r="AC2058" s="17"/>
      <c r="AD2058" s="17"/>
      <c r="AE2058" s="17"/>
      <c r="AF2058" s="17"/>
      <c r="AG2058" s="17"/>
      <c r="AH2058" s="17"/>
      <c r="AI2058" s="17"/>
      <c r="AJ2058" s="17"/>
      <c r="AK2058" s="17"/>
      <c r="AL2058" s="17"/>
      <c r="AM2058" s="17"/>
      <c r="AN2058" s="17"/>
      <c r="AO2058" s="17"/>
      <c r="AP2058" s="17"/>
      <c r="AQ2058" s="17"/>
      <c r="AR2058" s="17"/>
      <c r="AS2058" s="17"/>
      <c r="AT2058" s="17"/>
      <c r="AU2058" s="17"/>
    </row>
    <row r="2059" hidden="1">
      <c r="A2059" s="17">
        <v>2057</v>
      </c>
      <c r="B2059" s="17" t="s">
        <v>52</v>
      </c>
      <c r="C2059" s="25" t="s">
        <v>6043</v>
      </c>
      <c r="D2059" s="35" t="s">
        <v>5571</v>
      </c>
      <c r="E2059" s="17" t="s">
        <v>6044</v>
      </c>
      <c r="F2059" s="17" t="s">
        <v>6045</v>
      </c>
      <c r="G2059" s="17">
        <v>22.461829000000002</v>
      </c>
      <c r="H2059" s="17">
        <v>86.987792999999996</v>
      </c>
      <c r="I2059" s="17"/>
      <c r="J2059" s="17"/>
      <c r="K2059" s="17"/>
      <c r="L2059" s="17"/>
      <c r="M2059" s="43" t="s">
        <v>5637</v>
      </c>
      <c r="N2059" s="17"/>
      <c r="O2059" s="17"/>
      <c r="P2059" s="17"/>
      <c r="Q2059" s="17"/>
      <c r="R2059" s="17"/>
      <c r="S2059" s="17"/>
      <c r="T2059" s="17"/>
      <c r="U2059" s="17"/>
      <c r="V2059" s="17"/>
      <c r="W2059" s="17"/>
      <c r="X2059" s="17"/>
      <c r="Y2059" s="17"/>
      <c r="Z2059" s="17"/>
      <c r="AA2059" s="17"/>
      <c r="AB2059" s="17"/>
      <c r="AC2059" s="17"/>
      <c r="AD2059" s="17"/>
      <c r="AE2059" s="17"/>
      <c r="AF2059" s="17"/>
      <c r="AG2059" s="17"/>
      <c r="AH2059" s="17"/>
      <c r="AI2059" s="17"/>
      <c r="AJ2059" s="17"/>
      <c r="AK2059" s="17"/>
      <c r="AL2059" s="17"/>
      <c r="AM2059" s="17"/>
      <c r="AN2059" s="17"/>
      <c r="AO2059" s="17"/>
      <c r="AP2059" s="17"/>
      <c r="AQ2059" s="17"/>
      <c r="AR2059" s="17"/>
      <c r="AS2059" s="17"/>
      <c r="AT2059" s="17"/>
      <c r="AU2059" s="17"/>
    </row>
    <row r="2060" hidden="1">
      <c r="A2060" s="17">
        <v>2058</v>
      </c>
      <c r="B2060" s="17" t="s">
        <v>52</v>
      </c>
      <c r="C2060" s="25" t="s">
        <v>6046</v>
      </c>
      <c r="D2060" s="35" t="s">
        <v>5571</v>
      </c>
      <c r="E2060" s="17" t="s">
        <v>6047</v>
      </c>
      <c r="F2060" s="17" t="s">
        <v>6048</v>
      </c>
      <c r="G2060" s="17">
        <v>22.438642000000002</v>
      </c>
      <c r="H2060" s="17">
        <v>86.990373000000005</v>
      </c>
      <c r="I2060" s="17"/>
      <c r="J2060" s="17"/>
      <c r="K2060" s="17"/>
      <c r="L2060" s="17"/>
      <c r="M2060" s="43" t="s">
        <v>5637</v>
      </c>
      <c r="N2060" s="17"/>
      <c r="O2060" s="17"/>
      <c r="P2060" s="17"/>
      <c r="Q2060" s="17"/>
      <c r="R2060" s="17"/>
      <c r="S2060" s="17"/>
      <c r="T2060" s="17"/>
      <c r="U2060" s="17"/>
      <c r="V2060" s="17"/>
      <c r="W2060" s="17"/>
      <c r="X2060" s="17"/>
      <c r="Y2060" s="17"/>
      <c r="Z2060" s="17"/>
      <c r="AA2060" s="17"/>
      <c r="AB2060" s="17"/>
      <c r="AC2060" s="17"/>
      <c r="AD2060" s="17"/>
      <c r="AE2060" s="17"/>
      <c r="AF2060" s="17"/>
      <c r="AG2060" s="17"/>
      <c r="AH2060" s="17"/>
      <c r="AI2060" s="17"/>
      <c r="AJ2060" s="17"/>
      <c r="AK2060" s="17"/>
      <c r="AL2060" s="17"/>
      <c r="AM2060" s="17"/>
      <c r="AN2060" s="17"/>
      <c r="AO2060" s="17"/>
      <c r="AP2060" s="17"/>
      <c r="AQ2060" s="17"/>
      <c r="AR2060" s="17"/>
      <c r="AS2060" s="17"/>
      <c r="AT2060" s="17"/>
      <c r="AU2060" s="17"/>
    </row>
    <row r="2061" hidden="1">
      <c r="A2061" s="17">
        <v>2059</v>
      </c>
      <c r="B2061" s="17" t="s">
        <v>52</v>
      </c>
      <c r="C2061" s="25" t="s">
        <v>6049</v>
      </c>
      <c r="D2061" s="35" t="s">
        <v>5571</v>
      </c>
      <c r="E2061" s="17" t="s">
        <v>6050</v>
      </c>
      <c r="F2061" s="17" t="s">
        <v>6051</v>
      </c>
      <c r="G2061" s="17">
        <v>22.448148</v>
      </c>
      <c r="H2061" s="17">
        <v>87.002923999999993</v>
      </c>
      <c r="I2061" s="17"/>
      <c r="J2061" s="17"/>
      <c r="K2061" s="17"/>
      <c r="L2061" s="17"/>
      <c r="M2061" s="43" t="s">
        <v>5637</v>
      </c>
      <c r="N2061" s="17"/>
      <c r="O2061" s="17"/>
      <c r="P2061" s="17"/>
      <c r="Q2061" s="17"/>
      <c r="R2061" s="17"/>
      <c r="S2061" s="17"/>
      <c r="T2061" s="17"/>
      <c r="U2061" s="17"/>
      <c r="V2061" s="17"/>
      <c r="W2061" s="17"/>
      <c r="X2061" s="17"/>
      <c r="Y2061" s="17"/>
      <c r="Z2061" s="17"/>
      <c r="AA2061" s="17"/>
      <c r="AB2061" s="17"/>
      <c r="AC2061" s="17"/>
      <c r="AD2061" s="17"/>
      <c r="AE2061" s="17"/>
      <c r="AF2061" s="17"/>
      <c r="AG2061" s="17"/>
      <c r="AH2061" s="17"/>
      <c r="AI2061" s="17"/>
      <c r="AJ2061" s="17"/>
      <c r="AK2061" s="17"/>
      <c r="AL2061" s="17"/>
      <c r="AM2061" s="17"/>
      <c r="AN2061" s="17"/>
      <c r="AO2061" s="17"/>
      <c r="AP2061" s="17"/>
      <c r="AQ2061" s="17"/>
      <c r="AR2061" s="17"/>
      <c r="AS2061" s="17"/>
      <c r="AT2061" s="17"/>
      <c r="AU2061" s="17"/>
    </row>
    <row r="2062" hidden="1">
      <c r="A2062" s="17">
        <v>2060</v>
      </c>
      <c r="B2062" s="17" t="s">
        <v>52</v>
      </c>
      <c r="C2062" s="25" t="s">
        <v>6052</v>
      </c>
      <c r="D2062" s="35" t="s">
        <v>5571</v>
      </c>
      <c r="E2062" s="17" t="s">
        <v>6053</v>
      </c>
      <c r="F2062" s="17" t="s">
        <v>6054</v>
      </c>
      <c r="G2062" s="17">
        <v>22.470044999999999</v>
      </c>
      <c r="H2062" s="17">
        <v>86.994253</v>
      </c>
      <c r="I2062" s="17"/>
      <c r="J2062" s="17"/>
      <c r="K2062" s="17"/>
      <c r="L2062" s="17"/>
      <c r="M2062" s="43" t="s">
        <v>5637</v>
      </c>
      <c r="N2062" s="17"/>
      <c r="O2062" s="17"/>
      <c r="P2062" s="17"/>
      <c r="Q2062" s="17"/>
      <c r="R2062" s="17"/>
      <c r="S2062" s="17"/>
      <c r="T2062" s="17"/>
      <c r="U2062" s="17"/>
      <c r="V2062" s="17"/>
      <c r="W2062" s="17"/>
      <c r="X2062" s="17"/>
      <c r="Y2062" s="17"/>
      <c r="Z2062" s="17"/>
      <c r="AA2062" s="17"/>
      <c r="AB2062" s="17"/>
      <c r="AC2062" s="17"/>
      <c r="AD2062" s="17"/>
      <c r="AE2062" s="17"/>
      <c r="AF2062" s="17"/>
      <c r="AG2062" s="17"/>
      <c r="AH2062" s="17"/>
      <c r="AI2062" s="17"/>
      <c r="AJ2062" s="17"/>
      <c r="AK2062" s="17"/>
      <c r="AL2062" s="17"/>
      <c r="AM2062" s="17"/>
      <c r="AN2062" s="17"/>
      <c r="AO2062" s="17"/>
      <c r="AP2062" s="17"/>
      <c r="AQ2062" s="17"/>
      <c r="AR2062" s="17"/>
      <c r="AS2062" s="17"/>
      <c r="AT2062" s="17"/>
      <c r="AU2062" s="17"/>
    </row>
    <row r="2063" hidden="1">
      <c r="A2063" s="17">
        <v>2061</v>
      </c>
      <c r="B2063" s="17" t="s">
        <v>52</v>
      </c>
      <c r="C2063" s="25" t="s">
        <v>6055</v>
      </c>
      <c r="D2063" s="35" t="s">
        <v>5571</v>
      </c>
      <c r="E2063" s="17" t="s">
        <v>6056</v>
      </c>
      <c r="F2063" s="17" t="s">
        <v>6057</v>
      </c>
      <c r="G2063" s="17">
        <v>22.464174</v>
      </c>
      <c r="H2063" s="17">
        <v>86.995469999999997</v>
      </c>
      <c r="I2063" s="17"/>
      <c r="J2063" s="17"/>
      <c r="K2063" s="17"/>
      <c r="L2063" s="17"/>
      <c r="M2063" s="43" t="s">
        <v>5637</v>
      </c>
      <c r="N2063" s="17"/>
      <c r="O2063" s="17"/>
      <c r="P2063" s="17"/>
      <c r="Q2063" s="17"/>
      <c r="R2063" s="17"/>
      <c r="S2063" s="17"/>
      <c r="T2063" s="17"/>
      <c r="U2063" s="17"/>
      <c r="V2063" s="17"/>
      <c r="W2063" s="17"/>
      <c r="X2063" s="17"/>
      <c r="Y2063" s="17"/>
      <c r="Z2063" s="17"/>
      <c r="AA2063" s="17"/>
      <c r="AB2063" s="17"/>
      <c r="AC2063" s="17"/>
      <c r="AD2063" s="17"/>
      <c r="AE2063" s="17"/>
      <c r="AF2063" s="17"/>
      <c r="AG2063" s="17"/>
      <c r="AH2063" s="17"/>
      <c r="AI2063" s="17"/>
      <c r="AJ2063" s="17"/>
      <c r="AK2063" s="17"/>
      <c r="AL2063" s="17"/>
      <c r="AM2063" s="17"/>
      <c r="AN2063" s="17"/>
      <c r="AO2063" s="17"/>
      <c r="AP2063" s="17"/>
      <c r="AQ2063" s="17"/>
      <c r="AR2063" s="17"/>
      <c r="AS2063" s="17"/>
      <c r="AT2063" s="17"/>
      <c r="AU2063" s="17"/>
    </row>
    <row r="2064" hidden="1">
      <c r="A2064" s="17">
        <v>2062</v>
      </c>
      <c r="B2064" s="17" t="s">
        <v>52</v>
      </c>
      <c r="C2064" s="25" t="s">
        <v>6058</v>
      </c>
      <c r="D2064" s="35" t="s">
        <v>5571</v>
      </c>
      <c r="E2064" s="17" t="s">
        <v>6059</v>
      </c>
      <c r="F2064" s="17" t="s">
        <v>6060</v>
      </c>
      <c r="G2064" s="17">
        <v>22.45215</v>
      </c>
      <c r="H2064" s="17">
        <v>86.990870000000001</v>
      </c>
      <c r="I2064" s="17"/>
      <c r="J2064" s="17"/>
      <c r="K2064" s="17"/>
      <c r="L2064" s="17"/>
      <c r="M2064" s="43" t="s">
        <v>5637</v>
      </c>
      <c r="N2064" s="17"/>
      <c r="O2064" s="17"/>
      <c r="P2064" s="17"/>
      <c r="Q2064" s="17"/>
      <c r="R2064" s="17"/>
      <c r="S2064" s="17"/>
      <c r="T2064" s="17"/>
      <c r="U2064" s="17"/>
      <c r="V2064" s="17"/>
      <c r="W2064" s="17"/>
      <c r="X2064" s="17"/>
      <c r="Y2064" s="17"/>
      <c r="Z2064" s="17"/>
      <c r="AA2064" s="17"/>
      <c r="AB2064" s="17"/>
      <c r="AC2064" s="17"/>
      <c r="AD2064" s="17"/>
      <c r="AE2064" s="17"/>
      <c r="AF2064" s="17"/>
      <c r="AG2064" s="17"/>
      <c r="AH2064" s="17"/>
      <c r="AI2064" s="17"/>
      <c r="AJ2064" s="17"/>
      <c r="AK2064" s="17"/>
      <c r="AL2064" s="17"/>
      <c r="AM2064" s="17"/>
      <c r="AN2064" s="17"/>
      <c r="AO2064" s="17"/>
      <c r="AP2064" s="17"/>
      <c r="AQ2064" s="17"/>
      <c r="AR2064" s="17"/>
      <c r="AS2064" s="17"/>
      <c r="AT2064" s="17"/>
      <c r="AU2064" s="17"/>
    </row>
    <row r="2065" hidden="1">
      <c r="A2065" s="17">
        <v>2063</v>
      </c>
      <c r="B2065" s="17" t="s">
        <v>52</v>
      </c>
      <c r="C2065" s="25" t="s">
        <v>6061</v>
      </c>
      <c r="D2065" s="35" t="s">
        <v>5571</v>
      </c>
      <c r="E2065" s="17" t="s">
        <v>6062</v>
      </c>
      <c r="F2065" s="17" t="s">
        <v>6063</v>
      </c>
      <c r="G2065" s="17">
        <v>22.437835</v>
      </c>
      <c r="H2065" s="17">
        <v>86.997300999999993</v>
      </c>
      <c r="I2065" s="17"/>
      <c r="J2065" s="17"/>
      <c r="K2065" s="17"/>
      <c r="L2065" s="17"/>
      <c r="M2065" s="43" t="s">
        <v>5637</v>
      </c>
      <c r="N2065" s="17"/>
      <c r="O2065" s="17"/>
      <c r="P2065" s="17"/>
      <c r="Q2065" s="17"/>
      <c r="R2065" s="17"/>
      <c r="S2065" s="17"/>
      <c r="T2065" s="17"/>
      <c r="U2065" s="17"/>
      <c r="V2065" s="17"/>
      <c r="W2065" s="17"/>
      <c r="X2065" s="17"/>
      <c r="Y2065" s="17"/>
      <c r="Z2065" s="17"/>
      <c r="AA2065" s="17"/>
      <c r="AB2065" s="17"/>
      <c r="AC2065" s="17"/>
      <c r="AD2065" s="17"/>
      <c r="AE2065" s="17"/>
      <c r="AF2065" s="17"/>
      <c r="AG2065" s="17"/>
      <c r="AH2065" s="17"/>
      <c r="AI2065" s="17"/>
      <c r="AJ2065" s="17"/>
      <c r="AK2065" s="17"/>
      <c r="AL2065" s="17"/>
      <c r="AM2065" s="17"/>
      <c r="AN2065" s="17"/>
      <c r="AO2065" s="17"/>
      <c r="AP2065" s="17"/>
      <c r="AQ2065" s="17"/>
      <c r="AR2065" s="17"/>
      <c r="AS2065" s="17"/>
      <c r="AT2065" s="17"/>
      <c r="AU2065" s="17"/>
    </row>
    <row r="2066" hidden="1">
      <c r="A2066" s="17">
        <v>2064</v>
      </c>
      <c r="B2066" s="17" t="s">
        <v>52</v>
      </c>
      <c r="C2066" s="25" t="s">
        <v>6064</v>
      </c>
      <c r="D2066" s="35" t="s">
        <v>5571</v>
      </c>
      <c r="E2066" s="17" t="s">
        <v>5642</v>
      </c>
      <c r="F2066" s="17" t="s">
        <v>6065</v>
      </c>
      <c r="G2066" s="17">
        <v>22.435860000000002</v>
      </c>
      <c r="H2066" s="17">
        <v>86.993290000000002</v>
      </c>
      <c r="I2066" s="17"/>
      <c r="J2066" s="17"/>
      <c r="K2066" s="17"/>
      <c r="L2066" s="17"/>
      <c r="M2066" s="43" t="s">
        <v>5637</v>
      </c>
      <c r="N2066" s="17"/>
      <c r="O2066" s="17"/>
      <c r="P2066" s="17"/>
      <c r="Q2066" s="17"/>
      <c r="R2066" s="17"/>
      <c r="S2066" s="17"/>
      <c r="T2066" s="17"/>
      <c r="U2066" s="17"/>
      <c r="V2066" s="17"/>
      <c r="W2066" s="17"/>
      <c r="X2066" s="17"/>
      <c r="Y2066" s="17"/>
      <c r="Z2066" s="17"/>
      <c r="AA2066" s="17"/>
      <c r="AB2066" s="17"/>
      <c r="AC2066" s="17"/>
      <c r="AD2066" s="17"/>
      <c r="AE2066" s="17"/>
      <c r="AF2066" s="17"/>
      <c r="AG2066" s="17"/>
      <c r="AH2066" s="17"/>
      <c r="AI2066" s="17"/>
      <c r="AJ2066" s="17"/>
      <c r="AK2066" s="17"/>
      <c r="AL2066" s="17"/>
      <c r="AM2066" s="17"/>
      <c r="AN2066" s="17"/>
      <c r="AO2066" s="17"/>
      <c r="AP2066" s="17"/>
      <c r="AQ2066" s="17"/>
      <c r="AR2066" s="17"/>
      <c r="AS2066" s="17"/>
      <c r="AT2066" s="17"/>
      <c r="AU2066" s="17"/>
    </row>
    <row r="2067" hidden="1">
      <c r="A2067" s="17">
        <v>2065</v>
      </c>
      <c r="B2067" s="17" t="s">
        <v>52</v>
      </c>
      <c r="C2067" s="25" t="s">
        <v>6066</v>
      </c>
      <c r="D2067" s="35" t="s">
        <v>5571</v>
      </c>
      <c r="E2067" s="17" t="s">
        <v>4684</v>
      </c>
      <c r="F2067" s="17" t="s">
        <v>6067</v>
      </c>
      <c r="G2067" s="17">
        <v>22.453289999999999</v>
      </c>
      <c r="H2067" s="17">
        <v>86.995109999999997</v>
      </c>
      <c r="I2067" s="17"/>
      <c r="J2067" s="17"/>
      <c r="K2067" s="17"/>
      <c r="L2067" s="17"/>
      <c r="M2067" s="43" t="s">
        <v>5637</v>
      </c>
      <c r="N2067" s="17"/>
      <c r="O2067" s="17"/>
      <c r="P2067" s="17"/>
      <c r="Q2067" s="17"/>
      <c r="R2067" s="17"/>
      <c r="S2067" s="17"/>
      <c r="T2067" s="17"/>
      <c r="U2067" s="17"/>
      <c r="V2067" s="17"/>
      <c r="W2067" s="17"/>
      <c r="X2067" s="17"/>
      <c r="Y2067" s="17"/>
      <c r="Z2067" s="17"/>
      <c r="AA2067" s="17"/>
      <c r="AB2067" s="17"/>
      <c r="AC2067" s="17"/>
      <c r="AD2067" s="17"/>
      <c r="AE2067" s="17"/>
      <c r="AF2067" s="17"/>
      <c r="AG2067" s="17"/>
      <c r="AH2067" s="17"/>
      <c r="AI2067" s="17"/>
      <c r="AJ2067" s="17"/>
      <c r="AK2067" s="17"/>
      <c r="AL2067" s="17"/>
      <c r="AM2067" s="17"/>
      <c r="AN2067" s="17"/>
      <c r="AO2067" s="17"/>
      <c r="AP2067" s="17"/>
      <c r="AQ2067" s="17"/>
      <c r="AR2067" s="17"/>
      <c r="AS2067" s="17"/>
      <c r="AT2067" s="17"/>
      <c r="AU2067" s="17"/>
    </row>
    <row r="2068" hidden="1">
      <c r="A2068" s="17">
        <v>2066</v>
      </c>
      <c r="B2068" s="17" t="s">
        <v>52</v>
      </c>
      <c r="C2068" s="25" t="s">
        <v>6068</v>
      </c>
      <c r="D2068" s="35" t="s">
        <v>5571</v>
      </c>
      <c r="E2068" s="17" t="s">
        <v>6069</v>
      </c>
      <c r="F2068" s="17" t="s">
        <v>6070</v>
      </c>
      <c r="G2068" s="17">
        <v>22.440484999999999</v>
      </c>
      <c r="H2068" s="17">
        <v>87.000957999999997</v>
      </c>
      <c r="I2068" s="17"/>
      <c r="J2068" s="17"/>
      <c r="K2068" s="17"/>
      <c r="L2068" s="17"/>
      <c r="M2068" s="43" t="s">
        <v>5637</v>
      </c>
      <c r="N2068" s="17"/>
      <c r="O2068" s="17"/>
      <c r="P2068" s="17"/>
      <c r="Q2068" s="17"/>
      <c r="R2068" s="17"/>
      <c r="S2068" s="17"/>
      <c r="T2068" s="17"/>
      <c r="U2068" s="17"/>
      <c r="V2068" s="17"/>
      <c r="W2068" s="17"/>
      <c r="X2068" s="17"/>
      <c r="Y2068" s="17"/>
      <c r="Z2068" s="17"/>
      <c r="AA2068" s="17"/>
      <c r="AB2068" s="17"/>
      <c r="AC2068" s="17"/>
      <c r="AD2068" s="17"/>
      <c r="AE2068" s="17"/>
      <c r="AF2068" s="17"/>
      <c r="AG2068" s="17"/>
      <c r="AH2068" s="17"/>
      <c r="AI2068" s="17"/>
      <c r="AJ2068" s="17"/>
      <c r="AK2068" s="17"/>
      <c r="AL2068" s="17"/>
      <c r="AM2068" s="17"/>
      <c r="AN2068" s="17"/>
      <c r="AO2068" s="17"/>
      <c r="AP2068" s="17"/>
      <c r="AQ2068" s="17"/>
      <c r="AR2068" s="17"/>
      <c r="AS2068" s="17"/>
      <c r="AT2068" s="17"/>
      <c r="AU2068" s="17"/>
    </row>
    <row r="2069" hidden="1">
      <c r="A2069" s="17">
        <v>2067</v>
      </c>
      <c r="B2069" s="17" t="s">
        <v>52</v>
      </c>
      <c r="C2069" s="25" t="s">
        <v>6071</v>
      </c>
      <c r="D2069" s="35" t="s">
        <v>5571</v>
      </c>
      <c r="E2069" s="17" t="s">
        <v>6072</v>
      </c>
      <c r="F2069" s="17" t="s">
        <v>6073</v>
      </c>
      <c r="G2069" s="17">
        <v>22.452242999999999</v>
      </c>
      <c r="H2069" s="17">
        <v>87.000966000000005</v>
      </c>
      <c r="I2069" s="17"/>
      <c r="J2069" s="17"/>
      <c r="K2069" s="17"/>
      <c r="L2069" s="17"/>
      <c r="M2069" s="43" t="s">
        <v>5637</v>
      </c>
      <c r="N2069" s="17"/>
      <c r="O2069" s="17"/>
      <c r="P2069" s="17"/>
      <c r="Q2069" s="17"/>
      <c r="R2069" s="17"/>
      <c r="S2069" s="17"/>
      <c r="T2069" s="17"/>
      <c r="U2069" s="17"/>
      <c r="V2069" s="17"/>
      <c r="W2069" s="17"/>
      <c r="X2069" s="17"/>
      <c r="Y2069" s="17"/>
      <c r="Z2069" s="17"/>
      <c r="AA2069" s="17"/>
      <c r="AB2069" s="17"/>
      <c r="AC2069" s="17"/>
      <c r="AD2069" s="17"/>
      <c r="AE2069" s="17"/>
      <c r="AF2069" s="17"/>
      <c r="AG2069" s="17"/>
      <c r="AH2069" s="17"/>
      <c r="AI2069" s="17"/>
      <c r="AJ2069" s="17"/>
      <c r="AK2069" s="17"/>
      <c r="AL2069" s="17"/>
      <c r="AM2069" s="17"/>
      <c r="AN2069" s="17"/>
      <c r="AO2069" s="17"/>
      <c r="AP2069" s="17"/>
      <c r="AQ2069" s="17"/>
      <c r="AR2069" s="17"/>
      <c r="AS2069" s="17"/>
      <c r="AT2069" s="17"/>
      <c r="AU2069" s="17"/>
    </row>
    <row r="2070" hidden="1">
      <c r="A2070" s="17">
        <v>2068</v>
      </c>
      <c r="B2070" s="17" t="s">
        <v>52</v>
      </c>
      <c r="C2070" s="25" t="s">
        <v>6074</v>
      </c>
      <c r="D2070" s="35" t="s">
        <v>5571</v>
      </c>
      <c r="E2070" s="17" t="s">
        <v>6075</v>
      </c>
      <c r="F2070" s="17" t="s">
        <v>6076</v>
      </c>
      <c r="G2070" s="17">
        <v>22.442261999999999</v>
      </c>
      <c r="H2070" s="17">
        <v>86.987741</v>
      </c>
      <c r="I2070" s="17"/>
      <c r="J2070" s="17"/>
      <c r="K2070" s="17"/>
      <c r="L2070" s="17"/>
      <c r="M2070" s="43" t="s">
        <v>5637</v>
      </c>
      <c r="N2070" s="17"/>
      <c r="O2070" s="17"/>
      <c r="P2070" s="17"/>
      <c r="Q2070" s="17"/>
      <c r="R2070" s="17"/>
      <c r="S2070" s="17"/>
      <c r="T2070" s="17"/>
      <c r="U2070" s="17"/>
      <c r="V2070" s="17"/>
      <c r="W2070" s="17"/>
      <c r="X2070" s="17"/>
      <c r="Y2070" s="17"/>
      <c r="Z2070" s="17"/>
      <c r="AA2070" s="17"/>
      <c r="AB2070" s="17"/>
      <c r="AC2070" s="17"/>
      <c r="AD2070" s="17"/>
      <c r="AE2070" s="17"/>
      <c r="AF2070" s="17"/>
      <c r="AG2070" s="17"/>
      <c r="AH2070" s="17"/>
      <c r="AI2070" s="17"/>
      <c r="AJ2070" s="17"/>
      <c r="AK2070" s="17"/>
      <c r="AL2070" s="17"/>
      <c r="AM2070" s="17"/>
      <c r="AN2070" s="17"/>
      <c r="AO2070" s="17"/>
      <c r="AP2070" s="17"/>
      <c r="AQ2070" s="17"/>
      <c r="AR2070" s="17"/>
      <c r="AS2070" s="17"/>
      <c r="AT2070" s="17"/>
      <c r="AU2070" s="17"/>
    </row>
    <row r="2071" hidden="1">
      <c r="A2071" s="17">
        <v>2069</v>
      </c>
      <c r="B2071" s="17" t="s">
        <v>52</v>
      </c>
      <c r="C2071" s="25" t="s">
        <v>6077</v>
      </c>
      <c r="D2071" s="35" t="s">
        <v>5571</v>
      </c>
      <c r="E2071" s="17" t="s">
        <v>6078</v>
      </c>
      <c r="F2071" s="17" t="s">
        <v>6079</v>
      </c>
      <c r="G2071" s="17">
        <v>22.422820000000002</v>
      </c>
      <c r="H2071" s="17">
        <v>87.044409000000002</v>
      </c>
      <c r="I2071" s="17"/>
      <c r="J2071" s="17"/>
      <c r="K2071" s="17"/>
      <c r="L2071" s="17"/>
      <c r="M2071" s="43" t="s">
        <v>5637</v>
      </c>
      <c r="N2071" s="17"/>
      <c r="O2071" s="17"/>
      <c r="P2071" s="17"/>
      <c r="Q2071" s="17"/>
      <c r="R2071" s="17"/>
      <c r="S2071" s="17"/>
      <c r="T2071" s="17"/>
      <c r="U2071" s="17"/>
      <c r="V2071" s="17"/>
      <c r="W2071" s="17"/>
      <c r="X2071" s="17"/>
      <c r="Y2071" s="17"/>
      <c r="Z2071" s="17"/>
      <c r="AA2071" s="17"/>
      <c r="AB2071" s="17"/>
      <c r="AC2071" s="17"/>
      <c r="AD2071" s="17"/>
      <c r="AE2071" s="17"/>
      <c r="AF2071" s="17"/>
      <c r="AG2071" s="17"/>
      <c r="AH2071" s="17"/>
      <c r="AI2071" s="17"/>
      <c r="AJ2071" s="17"/>
      <c r="AK2071" s="17"/>
      <c r="AL2071" s="17"/>
      <c r="AM2071" s="17"/>
      <c r="AN2071" s="17"/>
      <c r="AO2071" s="17"/>
      <c r="AP2071" s="17"/>
      <c r="AQ2071" s="17"/>
      <c r="AR2071" s="17"/>
      <c r="AS2071" s="17"/>
      <c r="AT2071" s="17"/>
      <c r="AU2071" s="17"/>
    </row>
    <row r="2072" hidden="1">
      <c r="A2072" s="17">
        <v>2070</v>
      </c>
      <c r="B2072" s="17" t="s">
        <v>52</v>
      </c>
      <c r="C2072" s="25" t="s">
        <v>6080</v>
      </c>
      <c r="D2072" s="35" t="s">
        <v>5571</v>
      </c>
      <c r="E2072" s="17" t="s">
        <v>6081</v>
      </c>
      <c r="F2072" s="17" t="s">
        <v>6082</v>
      </c>
      <c r="G2072" s="17">
        <v>22.466564999999999</v>
      </c>
      <c r="H2072" s="17">
        <v>87.000991999999997</v>
      </c>
      <c r="I2072" s="17"/>
      <c r="J2072" s="17"/>
      <c r="K2072" s="17"/>
      <c r="L2072" s="17"/>
      <c r="M2072" s="43" t="s">
        <v>5637</v>
      </c>
      <c r="N2072" s="17"/>
      <c r="O2072" s="17"/>
      <c r="P2072" s="17"/>
      <c r="Q2072" s="17"/>
      <c r="R2072" s="17"/>
      <c r="S2072" s="17"/>
      <c r="T2072" s="17"/>
      <c r="U2072" s="17"/>
      <c r="V2072" s="17"/>
      <c r="W2072" s="17"/>
      <c r="X2072" s="17"/>
      <c r="Y2072" s="17"/>
      <c r="Z2072" s="17"/>
      <c r="AA2072" s="17"/>
      <c r="AB2072" s="17"/>
      <c r="AC2072" s="17"/>
      <c r="AD2072" s="17"/>
      <c r="AE2072" s="17"/>
      <c r="AF2072" s="17"/>
      <c r="AG2072" s="17"/>
      <c r="AH2072" s="17"/>
      <c r="AI2072" s="17"/>
      <c r="AJ2072" s="17"/>
      <c r="AK2072" s="17"/>
      <c r="AL2072" s="17"/>
      <c r="AM2072" s="17"/>
      <c r="AN2072" s="17"/>
      <c r="AO2072" s="17"/>
      <c r="AP2072" s="17"/>
      <c r="AQ2072" s="17"/>
      <c r="AR2072" s="17"/>
      <c r="AS2072" s="17"/>
      <c r="AT2072" s="17"/>
      <c r="AU2072" s="17"/>
    </row>
    <row r="2073" hidden="1">
      <c r="A2073" s="17">
        <v>2071</v>
      </c>
      <c r="B2073" s="17" t="s">
        <v>52</v>
      </c>
      <c r="C2073" s="44" t="s">
        <v>6083</v>
      </c>
      <c r="D2073" s="35" t="s">
        <v>5571</v>
      </c>
      <c r="E2073" s="17" t="s">
        <v>6084</v>
      </c>
      <c r="F2073" s="17" t="s">
        <v>6085</v>
      </c>
      <c r="G2073" s="17">
        <v>22.381888</v>
      </c>
      <c r="H2073" s="17">
        <v>86.997454000000005</v>
      </c>
      <c r="I2073" s="17"/>
      <c r="J2073" s="17"/>
      <c r="K2073" s="17"/>
      <c r="L2073" s="17"/>
      <c r="M2073" s="43" t="s">
        <v>5637</v>
      </c>
      <c r="N2073" s="17"/>
      <c r="O2073" s="17"/>
      <c r="P2073" s="17"/>
      <c r="Q2073" s="17"/>
      <c r="R2073" s="17"/>
      <c r="S2073" s="17"/>
      <c r="T2073" s="17"/>
      <c r="U2073" s="17"/>
      <c r="V2073" s="17"/>
      <c r="W2073" s="17"/>
      <c r="X2073" s="17"/>
      <c r="Y2073" s="17"/>
      <c r="Z2073" s="17"/>
      <c r="AA2073" s="17"/>
      <c r="AB2073" s="17"/>
      <c r="AC2073" s="17"/>
      <c r="AD2073" s="17"/>
      <c r="AE2073" s="17"/>
      <c r="AF2073" s="17"/>
      <c r="AG2073" s="17"/>
      <c r="AH2073" s="17"/>
      <c r="AI2073" s="17"/>
      <c r="AJ2073" s="17"/>
      <c r="AK2073" s="17"/>
      <c r="AL2073" s="17"/>
      <c r="AM2073" s="17"/>
      <c r="AN2073" s="17"/>
      <c r="AO2073" s="17"/>
      <c r="AP2073" s="17"/>
      <c r="AQ2073" s="17"/>
      <c r="AR2073" s="17"/>
      <c r="AS2073" s="17"/>
      <c r="AT2073" s="17"/>
      <c r="AU2073" s="17"/>
    </row>
    <row r="2074" hidden="1">
      <c r="A2074" s="17">
        <v>2072</v>
      </c>
      <c r="B2074" s="17" t="s">
        <v>52</v>
      </c>
      <c r="C2074" s="25" t="s">
        <v>6086</v>
      </c>
      <c r="D2074" s="35" t="s">
        <v>5571</v>
      </c>
      <c r="E2074" s="17" t="s">
        <v>6087</v>
      </c>
      <c r="F2074" s="17" t="s">
        <v>6088</v>
      </c>
      <c r="G2074" s="17">
        <v>22.404972000000001</v>
      </c>
      <c r="H2074" s="17">
        <v>87.003501999999997</v>
      </c>
      <c r="I2074" s="17"/>
      <c r="J2074" s="17"/>
      <c r="K2074" s="17"/>
      <c r="L2074" s="17"/>
      <c r="M2074" s="43" t="s">
        <v>5637</v>
      </c>
      <c r="N2074" s="17"/>
      <c r="O2074" s="17"/>
      <c r="P2074" s="17"/>
      <c r="Q2074" s="17"/>
      <c r="R2074" s="17"/>
      <c r="S2074" s="17"/>
      <c r="T2074" s="17"/>
      <c r="U2074" s="17"/>
      <c r="V2074" s="17"/>
      <c r="W2074" s="17"/>
      <c r="X2074" s="17"/>
      <c r="Y2074" s="17"/>
      <c r="Z2074" s="17"/>
      <c r="AA2074" s="17"/>
      <c r="AB2074" s="17"/>
      <c r="AC2074" s="17"/>
      <c r="AD2074" s="17"/>
      <c r="AE2074" s="17"/>
      <c r="AF2074" s="17"/>
      <c r="AG2074" s="17"/>
      <c r="AH2074" s="17"/>
      <c r="AI2074" s="17"/>
      <c r="AJ2074" s="17"/>
      <c r="AK2074" s="17"/>
      <c r="AL2074" s="17"/>
      <c r="AM2074" s="17"/>
      <c r="AN2074" s="17"/>
      <c r="AO2074" s="17"/>
      <c r="AP2074" s="17"/>
      <c r="AQ2074" s="17"/>
      <c r="AR2074" s="17"/>
      <c r="AS2074" s="17"/>
      <c r="AT2074" s="17"/>
      <c r="AU2074" s="17"/>
    </row>
    <row r="2075" hidden="1">
      <c r="A2075" s="17">
        <v>2073</v>
      </c>
      <c r="B2075" s="17" t="s">
        <v>52</v>
      </c>
      <c r="C2075" s="25" t="s">
        <v>6089</v>
      </c>
      <c r="D2075" s="35" t="s">
        <v>5571</v>
      </c>
      <c r="E2075" s="17" t="s">
        <v>6090</v>
      </c>
      <c r="F2075" s="17" t="s">
        <v>6091</v>
      </c>
      <c r="G2075" s="17">
        <v>22.442461000000002</v>
      </c>
      <c r="H2075" s="17">
        <v>86.992807999999997</v>
      </c>
      <c r="I2075" s="17"/>
      <c r="J2075" s="17"/>
      <c r="K2075" s="17"/>
      <c r="L2075" s="17"/>
      <c r="M2075" s="43" t="s">
        <v>5637</v>
      </c>
      <c r="N2075" s="17"/>
      <c r="O2075" s="17"/>
      <c r="P2075" s="17"/>
      <c r="Q2075" s="17"/>
      <c r="R2075" s="17"/>
      <c r="S2075" s="17"/>
      <c r="T2075" s="17"/>
      <c r="U2075" s="17"/>
      <c r="V2075" s="17"/>
      <c r="W2075" s="17"/>
      <c r="X2075" s="17"/>
      <c r="Y2075" s="17"/>
      <c r="Z2075" s="17"/>
      <c r="AA2075" s="17"/>
      <c r="AB2075" s="17"/>
      <c r="AC2075" s="17"/>
      <c r="AD2075" s="17"/>
      <c r="AE2075" s="17"/>
      <c r="AF2075" s="17"/>
      <c r="AG2075" s="17"/>
      <c r="AH2075" s="17"/>
      <c r="AI2075" s="17"/>
      <c r="AJ2075" s="17"/>
      <c r="AK2075" s="17"/>
      <c r="AL2075" s="17"/>
      <c r="AM2075" s="17"/>
      <c r="AN2075" s="17"/>
      <c r="AO2075" s="17"/>
      <c r="AP2075" s="17"/>
      <c r="AQ2075" s="17"/>
      <c r="AR2075" s="17"/>
      <c r="AS2075" s="17"/>
      <c r="AT2075" s="17"/>
      <c r="AU2075" s="17"/>
    </row>
    <row r="2076" hidden="1">
      <c r="A2076" s="17">
        <v>2074</v>
      </c>
      <c r="B2076" s="17" t="s">
        <v>52</v>
      </c>
      <c r="C2076" s="25" t="s">
        <v>6092</v>
      </c>
      <c r="D2076" s="35" t="s">
        <v>5571</v>
      </c>
      <c r="E2076" s="17" t="s">
        <v>6093</v>
      </c>
      <c r="F2076" s="17" t="s">
        <v>6094</v>
      </c>
      <c r="G2076" s="17">
        <v>22.435157</v>
      </c>
      <c r="H2076" s="17">
        <v>86.999426</v>
      </c>
      <c r="I2076" s="17"/>
      <c r="J2076" s="17"/>
      <c r="K2076" s="17"/>
      <c r="L2076" s="17"/>
      <c r="M2076" s="43" t="s">
        <v>5637</v>
      </c>
      <c r="N2076" s="17"/>
      <c r="O2076" s="17"/>
      <c r="P2076" s="17"/>
      <c r="Q2076" s="17"/>
      <c r="R2076" s="17"/>
      <c r="S2076" s="17"/>
      <c r="T2076" s="17"/>
      <c r="U2076" s="17"/>
      <c r="V2076" s="17"/>
      <c r="W2076" s="17"/>
      <c r="X2076" s="17"/>
      <c r="Y2076" s="17"/>
      <c r="Z2076" s="17"/>
      <c r="AA2076" s="17"/>
      <c r="AB2076" s="17"/>
      <c r="AC2076" s="17"/>
      <c r="AD2076" s="17"/>
      <c r="AE2076" s="17"/>
      <c r="AF2076" s="17"/>
      <c r="AG2076" s="17"/>
      <c r="AH2076" s="17"/>
      <c r="AI2076" s="17"/>
      <c r="AJ2076" s="17"/>
      <c r="AK2076" s="17"/>
      <c r="AL2076" s="17"/>
      <c r="AM2076" s="17"/>
      <c r="AN2076" s="17"/>
      <c r="AO2076" s="17"/>
      <c r="AP2076" s="17"/>
      <c r="AQ2076" s="17"/>
      <c r="AR2076" s="17"/>
      <c r="AS2076" s="17"/>
      <c r="AT2076" s="17"/>
      <c r="AU2076" s="17"/>
    </row>
    <row r="2077" hidden="1">
      <c r="A2077" s="17">
        <v>2075</v>
      </c>
      <c r="B2077" s="17" t="s">
        <v>52</v>
      </c>
      <c r="C2077" s="25" t="s">
        <v>6095</v>
      </c>
      <c r="D2077" s="35" t="s">
        <v>5571</v>
      </c>
      <c r="E2077" s="17" t="s">
        <v>6096</v>
      </c>
      <c r="F2077" s="17" t="s">
        <v>6042</v>
      </c>
      <c r="G2077" s="17">
        <v>22.459741000000001</v>
      </c>
      <c r="H2077" s="17">
        <v>86.994731000000002</v>
      </c>
      <c r="I2077" s="17"/>
      <c r="J2077" s="17"/>
      <c r="K2077" s="17"/>
      <c r="L2077" s="17"/>
      <c r="M2077" s="43" t="s">
        <v>5637</v>
      </c>
      <c r="N2077" s="17"/>
      <c r="O2077" s="17"/>
      <c r="P2077" s="17"/>
      <c r="Q2077" s="17"/>
      <c r="R2077" s="17"/>
      <c r="S2077" s="17"/>
      <c r="T2077" s="17"/>
      <c r="U2077" s="17"/>
      <c r="V2077" s="17"/>
      <c r="W2077" s="17"/>
      <c r="X2077" s="17"/>
      <c r="Y2077" s="17"/>
      <c r="Z2077" s="17"/>
      <c r="AA2077" s="17"/>
      <c r="AB2077" s="17"/>
      <c r="AC2077" s="17"/>
      <c r="AD2077" s="17"/>
      <c r="AE2077" s="17"/>
      <c r="AF2077" s="17"/>
      <c r="AG2077" s="17"/>
      <c r="AH2077" s="17"/>
      <c r="AI2077" s="17"/>
      <c r="AJ2077" s="17"/>
      <c r="AK2077" s="17"/>
      <c r="AL2077" s="17"/>
      <c r="AM2077" s="17"/>
      <c r="AN2077" s="17"/>
      <c r="AO2077" s="17"/>
      <c r="AP2077" s="17"/>
      <c r="AQ2077" s="17"/>
      <c r="AR2077" s="17"/>
      <c r="AS2077" s="17"/>
      <c r="AT2077" s="17"/>
      <c r="AU2077" s="17"/>
    </row>
    <row r="2078" hidden="1">
      <c r="A2078" s="17">
        <v>2076</v>
      </c>
      <c r="B2078" s="17" t="s">
        <v>52</v>
      </c>
      <c r="C2078" s="25" t="s">
        <v>6097</v>
      </c>
      <c r="D2078" s="35" t="s">
        <v>5571</v>
      </c>
      <c r="E2078" s="17" t="s">
        <v>6098</v>
      </c>
      <c r="F2078" s="17" t="s">
        <v>6099</v>
      </c>
      <c r="G2078" s="17">
        <v>22.430889000000001</v>
      </c>
      <c r="H2078" s="17">
        <v>86.987108000000006</v>
      </c>
      <c r="I2078" s="17"/>
      <c r="J2078" s="17"/>
      <c r="K2078" s="17"/>
      <c r="L2078" s="17"/>
      <c r="M2078" s="43" t="s">
        <v>5637</v>
      </c>
      <c r="N2078" s="17"/>
      <c r="O2078" s="17"/>
      <c r="P2078" s="17"/>
      <c r="Q2078" s="17"/>
      <c r="R2078" s="17"/>
      <c r="S2078" s="17"/>
      <c r="T2078" s="17"/>
      <c r="U2078" s="17"/>
      <c r="V2078" s="17"/>
      <c r="W2078" s="17"/>
      <c r="X2078" s="17"/>
      <c r="Y2078" s="17"/>
      <c r="Z2078" s="17"/>
      <c r="AA2078" s="17"/>
      <c r="AB2078" s="17"/>
      <c r="AC2078" s="17"/>
      <c r="AD2078" s="17"/>
      <c r="AE2078" s="17"/>
      <c r="AF2078" s="17"/>
      <c r="AG2078" s="17"/>
      <c r="AH2078" s="17"/>
      <c r="AI2078" s="17"/>
      <c r="AJ2078" s="17"/>
      <c r="AK2078" s="17"/>
      <c r="AL2078" s="17"/>
      <c r="AM2078" s="17"/>
      <c r="AN2078" s="17"/>
      <c r="AO2078" s="17"/>
      <c r="AP2078" s="17"/>
      <c r="AQ2078" s="17"/>
      <c r="AR2078" s="17"/>
      <c r="AS2078" s="17"/>
      <c r="AT2078" s="17"/>
      <c r="AU2078" s="17"/>
    </row>
    <row r="2079" hidden="1">
      <c r="A2079" s="17">
        <v>2077</v>
      </c>
      <c r="B2079" s="17" t="s">
        <v>52</v>
      </c>
      <c r="C2079" s="25" t="s">
        <v>6100</v>
      </c>
      <c r="D2079" s="35" t="s">
        <v>5571</v>
      </c>
      <c r="E2079" s="17" t="s">
        <v>6101</v>
      </c>
      <c r="F2079" s="17" t="s">
        <v>6102</v>
      </c>
      <c r="G2079" s="17">
        <v>22.454953</v>
      </c>
      <c r="H2079" s="17">
        <v>86.999556999999996</v>
      </c>
      <c r="I2079" s="17"/>
      <c r="J2079" s="17"/>
      <c r="K2079" s="17"/>
      <c r="L2079" s="17"/>
      <c r="M2079" s="43" t="s">
        <v>5637</v>
      </c>
      <c r="N2079" s="17"/>
      <c r="O2079" s="17"/>
      <c r="P2079" s="17"/>
      <c r="Q2079" s="17"/>
      <c r="R2079" s="17"/>
      <c r="S2079" s="17"/>
      <c r="T2079" s="17"/>
      <c r="U2079" s="17"/>
      <c r="V2079" s="17"/>
      <c r="W2079" s="17"/>
      <c r="X2079" s="17"/>
      <c r="Y2079" s="17"/>
      <c r="Z2079" s="17"/>
      <c r="AA2079" s="17"/>
      <c r="AB2079" s="17"/>
      <c r="AC2079" s="17"/>
      <c r="AD2079" s="17"/>
      <c r="AE2079" s="17"/>
      <c r="AF2079" s="17"/>
      <c r="AG2079" s="17"/>
      <c r="AH2079" s="17"/>
      <c r="AI2079" s="17"/>
      <c r="AJ2079" s="17"/>
      <c r="AK2079" s="17"/>
      <c r="AL2079" s="17"/>
      <c r="AM2079" s="17"/>
      <c r="AN2079" s="17"/>
      <c r="AO2079" s="17"/>
      <c r="AP2079" s="17"/>
      <c r="AQ2079" s="17"/>
      <c r="AR2079" s="17"/>
      <c r="AS2079" s="17"/>
      <c r="AT2079" s="17"/>
      <c r="AU2079" s="17"/>
    </row>
    <row r="2080" hidden="1">
      <c r="A2080" s="17">
        <v>2078</v>
      </c>
      <c r="B2080" s="17" t="s">
        <v>52</v>
      </c>
      <c r="C2080" s="25" t="s">
        <v>6103</v>
      </c>
      <c r="D2080" s="35" t="s">
        <v>5571</v>
      </c>
      <c r="E2080" s="17" t="s">
        <v>6104</v>
      </c>
      <c r="F2080" s="17" t="s">
        <v>6105</v>
      </c>
      <c r="G2080" s="17">
        <v>22.448180000000001</v>
      </c>
      <c r="H2080" s="17">
        <v>86.988919999999993</v>
      </c>
      <c r="I2080" s="17"/>
      <c r="J2080" s="17"/>
      <c r="K2080" s="17"/>
      <c r="L2080" s="17"/>
      <c r="M2080" s="43" t="s">
        <v>5637</v>
      </c>
      <c r="N2080" s="17"/>
      <c r="O2080" s="17"/>
      <c r="P2080" s="17"/>
      <c r="Q2080" s="17"/>
      <c r="R2080" s="17"/>
      <c r="S2080" s="17"/>
      <c r="T2080" s="17"/>
      <c r="U2080" s="17"/>
      <c r="V2080" s="17"/>
      <c r="W2080" s="17"/>
      <c r="X2080" s="17"/>
      <c r="Y2080" s="17"/>
      <c r="Z2080" s="17"/>
      <c r="AA2080" s="17"/>
      <c r="AB2080" s="17"/>
      <c r="AC2080" s="17"/>
      <c r="AD2080" s="17"/>
      <c r="AE2080" s="17"/>
      <c r="AF2080" s="17"/>
      <c r="AG2080" s="17"/>
      <c r="AH2080" s="17"/>
      <c r="AI2080" s="17"/>
      <c r="AJ2080" s="17"/>
      <c r="AK2080" s="17"/>
      <c r="AL2080" s="17"/>
      <c r="AM2080" s="17"/>
      <c r="AN2080" s="17"/>
      <c r="AO2080" s="17"/>
      <c r="AP2080" s="17"/>
      <c r="AQ2080" s="17"/>
      <c r="AR2080" s="17"/>
      <c r="AS2080" s="17"/>
      <c r="AT2080" s="17"/>
      <c r="AU2080" s="17"/>
    </row>
    <row r="2081" hidden="1">
      <c r="A2081" s="17">
        <v>2079</v>
      </c>
      <c r="B2081" s="17" t="s">
        <v>52</v>
      </c>
      <c r="C2081" s="25" t="s">
        <v>6106</v>
      </c>
      <c r="D2081" s="35" t="s">
        <v>5571</v>
      </c>
      <c r="E2081" s="17" t="s">
        <v>5642</v>
      </c>
      <c r="F2081" s="17" t="s">
        <v>6107</v>
      </c>
      <c r="G2081" s="17">
        <v>22.455179000000001</v>
      </c>
      <c r="H2081" s="17">
        <v>86.992558000000002</v>
      </c>
      <c r="I2081" s="17"/>
      <c r="J2081" s="17"/>
      <c r="K2081" s="17"/>
      <c r="L2081" s="17"/>
      <c r="M2081" s="43" t="s">
        <v>5637</v>
      </c>
      <c r="N2081" s="17"/>
      <c r="O2081" s="17"/>
      <c r="P2081" s="17"/>
      <c r="Q2081" s="17"/>
      <c r="R2081" s="17"/>
      <c r="S2081" s="17"/>
      <c r="T2081" s="17"/>
      <c r="U2081" s="17"/>
      <c r="V2081" s="17"/>
      <c r="W2081" s="17"/>
      <c r="X2081" s="17"/>
      <c r="Y2081" s="17"/>
      <c r="Z2081" s="17"/>
      <c r="AA2081" s="17"/>
      <c r="AB2081" s="17"/>
      <c r="AC2081" s="17"/>
      <c r="AD2081" s="17"/>
      <c r="AE2081" s="17"/>
      <c r="AF2081" s="17"/>
      <c r="AG2081" s="17"/>
      <c r="AH2081" s="17"/>
      <c r="AI2081" s="17"/>
      <c r="AJ2081" s="17"/>
      <c r="AK2081" s="17"/>
      <c r="AL2081" s="17"/>
      <c r="AM2081" s="17"/>
      <c r="AN2081" s="17"/>
      <c r="AO2081" s="17"/>
      <c r="AP2081" s="17"/>
      <c r="AQ2081" s="17"/>
      <c r="AR2081" s="17"/>
      <c r="AS2081" s="17"/>
      <c r="AT2081" s="17"/>
      <c r="AU2081" s="17"/>
    </row>
    <row r="2082" hidden="1">
      <c r="A2082" s="17">
        <v>2080</v>
      </c>
      <c r="B2082" s="17" t="s">
        <v>52</v>
      </c>
      <c r="C2082" s="25" t="s">
        <v>6108</v>
      </c>
      <c r="D2082" s="35" t="s">
        <v>5571</v>
      </c>
      <c r="E2082" s="17" t="s">
        <v>6109</v>
      </c>
      <c r="F2082" s="17" t="s">
        <v>6110</v>
      </c>
      <c r="G2082" s="17">
        <v>22.427305</v>
      </c>
      <c r="H2082" s="17">
        <v>86.997737999999998</v>
      </c>
      <c r="I2082" s="17"/>
      <c r="J2082" s="17"/>
      <c r="K2082" s="17"/>
      <c r="L2082" s="17"/>
      <c r="M2082" s="43" t="s">
        <v>5637</v>
      </c>
      <c r="N2082" s="17"/>
      <c r="O2082" s="17"/>
      <c r="P2082" s="17"/>
      <c r="Q2082" s="17"/>
      <c r="R2082" s="17"/>
      <c r="S2082" s="17"/>
      <c r="T2082" s="17"/>
      <c r="U2082" s="17"/>
      <c r="V2082" s="17"/>
      <c r="W2082" s="17"/>
      <c r="X2082" s="17"/>
      <c r="Y2082" s="17"/>
      <c r="Z2082" s="17"/>
      <c r="AA2082" s="17"/>
      <c r="AB2082" s="17"/>
      <c r="AC2082" s="17"/>
      <c r="AD2082" s="17"/>
      <c r="AE2082" s="17"/>
      <c r="AF2082" s="17"/>
      <c r="AG2082" s="17"/>
      <c r="AH2082" s="17"/>
      <c r="AI2082" s="17"/>
      <c r="AJ2082" s="17"/>
      <c r="AK2082" s="17"/>
      <c r="AL2082" s="17"/>
      <c r="AM2082" s="17"/>
      <c r="AN2082" s="17"/>
      <c r="AO2082" s="17"/>
      <c r="AP2082" s="17"/>
      <c r="AQ2082" s="17"/>
      <c r="AR2082" s="17"/>
      <c r="AS2082" s="17"/>
      <c r="AT2082" s="17"/>
      <c r="AU2082" s="17"/>
    </row>
    <row r="2083" hidden="1">
      <c r="A2083" s="17">
        <v>2081</v>
      </c>
      <c r="B2083" s="17" t="s">
        <v>52</v>
      </c>
      <c r="C2083" s="25" t="s">
        <v>6111</v>
      </c>
      <c r="D2083" s="35" t="s">
        <v>5571</v>
      </c>
      <c r="E2083" s="17" t="s">
        <v>6112</v>
      </c>
      <c r="F2083" s="17" t="s">
        <v>6113</v>
      </c>
      <c r="G2083" s="17">
        <v>22.699784999999999</v>
      </c>
      <c r="H2083" s="17">
        <v>87.094910999999996</v>
      </c>
      <c r="I2083" s="17"/>
      <c r="J2083" s="17"/>
      <c r="K2083" s="17"/>
      <c r="L2083" s="17"/>
      <c r="M2083" s="43" t="s">
        <v>4210</v>
      </c>
      <c r="N2083" s="17">
        <v>8670320302</v>
      </c>
      <c r="O2083" s="17"/>
      <c r="P2083" s="17"/>
      <c r="Q2083" s="17"/>
      <c r="R2083" s="17"/>
      <c r="S2083" s="17"/>
      <c r="T2083" s="17"/>
      <c r="U2083" s="17"/>
      <c r="V2083" s="17"/>
      <c r="W2083" s="17"/>
      <c r="X2083" s="17"/>
      <c r="Y2083" s="17"/>
      <c r="Z2083" s="17"/>
      <c r="AA2083" s="17"/>
      <c r="AB2083" s="17"/>
      <c r="AC2083" s="17"/>
      <c r="AD2083" s="17"/>
      <c r="AE2083" s="17"/>
      <c r="AF2083" s="17"/>
      <c r="AG2083" s="17"/>
      <c r="AH2083" s="17"/>
      <c r="AI2083" s="17"/>
      <c r="AJ2083" s="17"/>
      <c r="AK2083" s="17"/>
      <c r="AL2083" s="17"/>
      <c r="AM2083" s="17"/>
      <c r="AN2083" s="17"/>
      <c r="AO2083" s="17"/>
      <c r="AP2083" s="17"/>
      <c r="AQ2083" s="17"/>
      <c r="AR2083" s="17"/>
      <c r="AS2083" s="17"/>
      <c r="AT2083" s="17"/>
      <c r="AU2083" s="17"/>
    </row>
    <row r="2084" hidden="1">
      <c r="A2084" s="17">
        <v>2082</v>
      </c>
      <c r="B2084" s="17" t="s">
        <v>52</v>
      </c>
      <c r="C2084" s="44" t="s">
        <v>6114</v>
      </c>
      <c r="D2084" s="35" t="s">
        <v>5571</v>
      </c>
      <c r="E2084" s="17" t="s">
        <v>6115</v>
      </c>
      <c r="F2084" s="17" t="s">
        <v>6116</v>
      </c>
      <c r="G2084" s="17">
        <v>22.516804</v>
      </c>
      <c r="H2084" s="17">
        <v>86.815734000000006</v>
      </c>
      <c r="I2084" s="17"/>
      <c r="J2084" s="17"/>
      <c r="K2084" s="17"/>
      <c r="L2084" s="17"/>
      <c r="M2084" s="43" t="s">
        <v>5647</v>
      </c>
      <c r="N2084" s="17"/>
      <c r="O2084" s="17"/>
      <c r="P2084" s="17"/>
      <c r="Q2084" s="17"/>
      <c r="R2084" s="17"/>
      <c r="S2084" s="17"/>
      <c r="T2084" s="17"/>
      <c r="U2084" s="17"/>
      <c r="V2084" s="17"/>
      <c r="W2084" s="17"/>
      <c r="X2084" s="17"/>
      <c r="Y2084" s="17"/>
      <c r="Z2084" s="17"/>
      <c r="AA2084" s="17"/>
      <c r="AB2084" s="17"/>
      <c r="AC2084" s="17"/>
      <c r="AD2084" s="17"/>
      <c r="AE2084" s="17"/>
      <c r="AF2084" s="17"/>
      <c r="AG2084" s="17"/>
      <c r="AH2084" s="17"/>
      <c r="AI2084" s="17"/>
      <c r="AJ2084" s="17"/>
      <c r="AK2084" s="17"/>
      <c r="AL2084" s="17"/>
      <c r="AM2084" s="17"/>
      <c r="AN2084" s="17"/>
      <c r="AO2084" s="17"/>
      <c r="AP2084" s="17"/>
      <c r="AQ2084" s="17"/>
      <c r="AR2084" s="17"/>
      <c r="AS2084" s="17"/>
      <c r="AT2084" s="17"/>
      <c r="AU2084" s="17"/>
    </row>
    <row r="2085" hidden="1">
      <c r="A2085" s="17">
        <v>2083</v>
      </c>
      <c r="B2085" s="17" t="s">
        <v>52</v>
      </c>
      <c r="C2085" s="25" t="s">
        <v>6117</v>
      </c>
      <c r="D2085" s="35" t="s">
        <v>5571</v>
      </c>
      <c r="E2085" s="17" t="s">
        <v>6118</v>
      </c>
      <c r="F2085" s="17" t="s">
        <v>6119</v>
      </c>
      <c r="G2085" s="17">
        <v>22.63298</v>
      </c>
      <c r="H2085" s="17">
        <v>86.763147000000004</v>
      </c>
      <c r="I2085" s="17"/>
      <c r="J2085" s="17"/>
      <c r="K2085" s="17"/>
      <c r="L2085" s="17"/>
      <c r="M2085" s="43" t="s">
        <v>5647</v>
      </c>
      <c r="N2085" s="17"/>
      <c r="O2085" s="17"/>
      <c r="P2085" s="17"/>
      <c r="Q2085" s="17"/>
      <c r="R2085" s="17"/>
      <c r="S2085" s="17"/>
      <c r="T2085" s="17"/>
      <c r="U2085" s="17"/>
      <c r="V2085" s="17"/>
      <c r="W2085" s="17"/>
      <c r="X2085" s="17"/>
      <c r="Y2085" s="17"/>
      <c r="Z2085" s="17"/>
      <c r="AA2085" s="17"/>
      <c r="AB2085" s="17"/>
      <c r="AC2085" s="17"/>
      <c r="AD2085" s="17"/>
      <c r="AE2085" s="17"/>
      <c r="AF2085" s="17"/>
      <c r="AG2085" s="17"/>
      <c r="AH2085" s="17"/>
      <c r="AI2085" s="17"/>
      <c r="AJ2085" s="17"/>
      <c r="AK2085" s="17"/>
      <c r="AL2085" s="17"/>
      <c r="AM2085" s="17"/>
      <c r="AN2085" s="17"/>
      <c r="AO2085" s="17"/>
      <c r="AP2085" s="17"/>
      <c r="AQ2085" s="17"/>
      <c r="AR2085" s="17"/>
      <c r="AS2085" s="17"/>
      <c r="AT2085" s="17"/>
      <c r="AU2085" s="17"/>
    </row>
    <row r="2086" hidden="1">
      <c r="A2086" s="17">
        <v>2084</v>
      </c>
      <c r="B2086" s="17" t="s">
        <v>52</v>
      </c>
      <c r="C2086" s="44" t="s">
        <v>6120</v>
      </c>
      <c r="D2086" s="35" t="s">
        <v>5571</v>
      </c>
      <c r="E2086" s="17"/>
      <c r="F2086" s="17"/>
      <c r="G2086" s="17"/>
      <c r="H2086" s="17"/>
      <c r="I2086" s="17"/>
      <c r="J2086" s="17"/>
      <c r="K2086" s="17"/>
      <c r="L2086" s="17"/>
      <c r="M2086" s="43" t="s">
        <v>5647</v>
      </c>
      <c r="N2086" s="17"/>
      <c r="O2086" s="17"/>
      <c r="P2086" s="17"/>
      <c r="Q2086" s="17"/>
      <c r="R2086" s="17"/>
      <c r="S2086" s="17"/>
      <c r="T2086" s="17"/>
      <c r="U2086" s="17"/>
      <c r="V2086" s="17"/>
      <c r="W2086" s="17"/>
      <c r="X2086" s="17"/>
      <c r="Y2086" s="17"/>
      <c r="Z2086" s="17"/>
      <c r="AA2086" s="17"/>
      <c r="AB2086" s="17"/>
      <c r="AC2086" s="17"/>
      <c r="AD2086" s="17"/>
      <c r="AE2086" s="17"/>
      <c r="AF2086" s="17"/>
      <c r="AG2086" s="17"/>
      <c r="AH2086" s="17"/>
      <c r="AI2086" s="17"/>
      <c r="AJ2086" s="17"/>
      <c r="AK2086" s="17"/>
      <c r="AL2086" s="17"/>
      <c r="AM2086" s="17"/>
      <c r="AN2086" s="17"/>
      <c r="AO2086" s="17"/>
      <c r="AP2086" s="17"/>
      <c r="AQ2086" s="17"/>
      <c r="AR2086" s="17"/>
      <c r="AS2086" s="17"/>
      <c r="AT2086" s="17"/>
      <c r="AU2086" s="17"/>
    </row>
    <row r="2087" hidden="1">
      <c r="A2087" s="17">
        <v>2085</v>
      </c>
      <c r="B2087" s="17" t="s">
        <v>52</v>
      </c>
      <c r="C2087" s="25" t="s">
        <v>6121</v>
      </c>
      <c r="D2087" s="35" t="s">
        <v>5571</v>
      </c>
      <c r="E2087" s="17" t="s">
        <v>6122</v>
      </c>
      <c r="F2087" s="17" t="s">
        <v>6123</v>
      </c>
      <c r="G2087" s="17">
        <v>22.661988000000001</v>
      </c>
      <c r="H2087" s="17">
        <v>86.785632000000007</v>
      </c>
      <c r="I2087" s="17"/>
      <c r="J2087" s="17"/>
      <c r="K2087" s="17"/>
      <c r="L2087" s="17"/>
      <c r="M2087" s="43" t="s">
        <v>5647</v>
      </c>
      <c r="N2087" s="17"/>
      <c r="O2087" s="17"/>
      <c r="P2087" s="17"/>
      <c r="Q2087" s="17"/>
      <c r="R2087" s="17"/>
      <c r="S2087" s="17"/>
      <c r="T2087" s="17"/>
      <c r="U2087" s="17"/>
      <c r="V2087" s="17"/>
      <c r="W2087" s="17"/>
      <c r="X2087" s="17"/>
      <c r="Y2087" s="17"/>
      <c r="Z2087" s="17"/>
      <c r="AA2087" s="17"/>
      <c r="AB2087" s="17"/>
      <c r="AC2087" s="17"/>
      <c r="AD2087" s="17"/>
      <c r="AE2087" s="17"/>
      <c r="AF2087" s="17"/>
      <c r="AG2087" s="17"/>
      <c r="AH2087" s="17"/>
      <c r="AI2087" s="17"/>
      <c r="AJ2087" s="17"/>
      <c r="AK2087" s="17"/>
      <c r="AL2087" s="17"/>
      <c r="AM2087" s="17"/>
      <c r="AN2087" s="17"/>
      <c r="AO2087" s="17"/>
      <c r="AP2087" s="17"/>
      <c r="AQ2087" s="17"/>
      <c r="AR2087" s="17"/>
      <c r="AS2087" s="17"/>
      <c r="AT2087" s="17"/>
      <c r="AU2087" s="17"/>
    </row>
    <row r="2088" hidden="1">
      <c r="A2088" s="17">
        <v>2086</v>
      </c>
      <c r="B2088" s="17" t="s">
        <v>52</v>
      </c>
      <c r="C2088" s="25" t="s">
        <v>6124</v>
      </c>
      <c r="D2088" s="35" t="s">
        <v>5571</v>
      </c>
      <c r="E2088" s="17" t="s">
        <v>6125</v>
      </c>
      <c r="F2088" s="17" t="s">
        <v>6126</v>
      </c>
      <c r="G2088" s="17">
        <v>22.628641999999999</v>
      </c>
      <c r="H2088" s="17">
        <v>86.644698000000005</v>
      </c>
      <c r="I2088" s="17"/>
      <c r="J2088" s="17"/>
      <c r="K2088" s="17"/>
      <c r="L2088" s="17"/>
      <c r="M2088" s="43" t="s">
        <v>5647</v>
      </c>
      <c r="N2088" s="17"/>
      <c r="O2088" s="17"/>
      <c r="P2088" s="17"/>
      <c r="Q2088" s="17"/>
      <c r="R2088" s="17"/>
      <c r="S2088" s="17"/>
      <c r="T2088" s="17"/>
      <c r="U2088" s="17"/>
      <c r="V2088" s="17"/>
      <c r="W2088" s="17"/>
      <c r="X2088" s="17"/>
      <c r="Y2088" s="17"/>
      <c r="Z2088" s="17"/>
      <c r="AA2088" s="17"/>
      <c r="AB2088" s="17"/>
      <c r="AC2088" s="17"/>
      <c r="AD2088" s="17"/>
      <c r="AE2088" s="17"/>
      <c r="AF2088" s="17"/>
      <c r="AG2088" s="17"/>
      <c r="AH2088" s="17"/>
      <c r="AI2088" s="17"/>
      <c r="AJ2088" s="17"/>
      <c r="AK2088" s="17"/>
      <c r="AL2088" s="17"/>
      <c r="AM2088" s="17"/>
      <c r="AN2088" s="17"/>
      <c r="AO2088" s="17"/>
      <c r="AP2088" s="17"/>
      <c r="AQ2088" s="17"/>
      <c r="AR2088" s="17"/>
      <c r="AS2088" s="17"/>
      <c r="AT2088" s="17"/>
      <c r="AU2088" s="17"/>
    </row>
    <row r="2089" hidden="1">
      <c r="A2089" s="17">
        <v>2087</v>
      </c>
      <c r="B2089" s="17" t="s">
        <v>52</v>
      </c>
      <c r="C2089" s="25" t="s">
        <v>6127</v>
      </c>
      <c r="D2089" s="35" t="s">
        <v>5571</v>
      </c>
      <c r="E2089" s="17" t="s">
        <v>6128</v>
      </c>
      <c r="F2089" s="17" t="s">
        <v>6129</v>
      </c>
      <c r="G2089" s="17">
        <v>22.659647</v>
      </c>
      <c r="H2089" s="17">
        <v>86.656529000000006</v>
      </c>
      <c r="I2089" s="17"/>
      <c r="J2089" s="17"/>
      <c r="K2089" s="17"/>
      <c r="L2089" s="17"/>
      <c r="M2089" s="43" t="s">
        <v>5647</v>
      </c>
      <c r="N2089" s="17"/>
      <c r="O2089" s="17"/>
      <c r="P2089" s="17"/>
      <c r="Q2089" s="17"/>
      <c r="R2089" s="17"/>
      <c r="S2089" s="17"/>
      <c r="T2089" s="17"/>
      <c r="U2089" s="17"/>
      <c r="V2089" s="17"/>
      <c r="W2089" s="17"/>
      <c r="X2089" s="17"/>
      <c r="Y2089" s="17"/>
      <c r="Z2089" s="17"/>
      <c r="AA2089" s="17"/>
      <c r="AB2089" s="17"/>
      <c r="AC2089" s="17"/>
      <c r="AD2089" s="17"/>
      <c r="AE2089" s="17"/>
      <c r="AF2089" s="17"/>
      <c r="AG2089" s="17"/>
      <c r="AH2089" s="17"/>
      <c r="AI2089" s="17"/>
      <c r="AJ2089" s="17"/>
      <c r="AK2089" s="17"/>
      <c r="AL2089" s="17"/>
      <c r="AM2089" s="17"/>
      <c r="AN2089" s="17"/>
      <c r="AO2089" s="17"/>
      <c r="AP2089" s="17"/>
      <c r="AQ2089" s="17"/>
      <c r="AR2089" s="17"/>
      <c r="AS2089" s="17"/>
      <c r="AT2089" s="17"/>
      <c r="AU2089" s="17"/>
    </row>
    <row r="2090" hidden="1">
      <c r="A2090" s="17">
        <v>2088</v>
      </c>
      <c r="B2090" s="17" t="s">
        <v>52</v>
      </c>
      <c r="C2090" s="25" t="s">
        <v>6130</v>
      </c>
      <c r="D2090" s="35" t="s">
        <v>5571</v>
      </c>
      <c r="E2090" s="17" t="s">
        <v>6131</v>
      </c>
      <c r="F2090" s="17" t="s">
        <v>6132</v>
      </c>
      <c r="G2090" s="17">
        <v>22.594708000000001</v>
      </c>
      <c r="H2090" s="17">
        <v>86.669756000000007</v>
      </c>
      <c r="I2090" s="17"/>
      <c r="J2090" s="17"/>
      <c r="K2090" s="17"/>
      <c r="L2090" s="17"/>
      <c r="M2090" s="43" t="s">
        <v>5647</v>
      </c>
      <c r="N2090" s="17"/>
      <c r="O2090" s="17"/>
      <c r="P2090" s="17"/>
      <c r="Q2090" s="17"/>
      <c r="R2090" s="17"/>
      <c r="S2090" s="17"/>
      <c r="T2090" s="17"/>
      <c r="U2090" s="17"/>
      <c r="V2090" s="17"/>
      <c r="W2090" s="17"/>
      <c r="X2090" s="17"/>
      <c r="Y2090" s="17"/>
      <c r="Z2090" s="17"/>
      <c r="AA2090" s="17"/>
      <c r="AB2090" s="17"/>
      <c r="AC2090" s="17"/>
      <c r="AD2090" s="17"/>
      <c r="AE2090" s="17"/>
      <c r="AF2090" s="17"/>
      <c r="AG2090" s="17"/>
      <c r="AH2090" s="17"/>
      <c r="AI2090" s="17"/>
      <c r="AJ2090" s="17"/>
      <c r="AK2090" s="17"/>
      <c r="AL2090" s="17"/>
      <c r="AM2090" s="17"/>
      <c r="AN2090" s="17"/>
      <c r="AO2090" s="17"/>
      <c r="AP2090" s="17"/>
      <c r="AQ2090" s="17"/>
      <c r="AR2090" s="17"/>
      <c r="AS2090" s="17"/>
      <c r="AT2090" s="17"/>
      <c r="AU2090" s="17"/>
    </row>
    <row r="2091" hidden="1">
      <c r="A2091" s="17">
        <v>2089</v>
      </c>
      <c r="B2091" s="17" t="s">
        <v>52</v>
      </c>
      <c r="C2091" s="25" t="s">
        <v>6133</v>
      </c>
      <c r="D2091" s="35" t="s">
        <v>5571</v>
      </c>
      <c r="E2091" s="17" t="s">
        <v>6134</v>
      </c>
      <c r="F2091" s="17" t="s">
        <v>6135</v>
      </c>
      <c r="G2091" s="17">
        <v>22.6372</v>
      </c>
      <c r="H2091" s="17">
        <v>86.677131000000003</v>
      </c>
      <c r="I2091" s="17"/>
      <c r="J2091" s="17"/>
      <c r="K2091" s="17"/>
      <c r="L2091" s="17"/>
      <c r="M2091" s="43" t="s">
        <v>5647</v>
      </c>
      <c r="N2091" s="17"/>
      <c r="O2091" s="17"/>
      <c r="P2091" s="17"/>
      <c r="Q2091" s="17"/>
      <c r="R2091" s="17"/>
      <c r="S2091" s="17"/>
      <c r="T2091" s="17"/>
      <c r="U2091" s="17"/>
      <c r="V2091" s="17"/>
      <c r="W2091" s="17"/>
      <c r="X2091" s="17"/>
      <c r="Y2091" s="17"/>
      <c r="Z2091" s="17"/>
      <c r="AA2091" s="17"/>
      <c r="AB2091" s="17"/>
      <c r="AC2091" s="17"/>
      <c r="AD2091" s="17"/>
      <c r="AE2091" s="17"/>
      <c r="AF2091" s="17"/>
      <c r="AG2091" s="17"/>
      <c r="AH2091" s="17"/>
      <c r="AI2091" s="17"/>
      <c r="AJ2091" s="17"/>
      <c r="AK2091" s="17"/>
      <c r="AL2091" s="17"/>
      <c r="AM2091" s="17"/>
      <c r="AN2091" s="17"/>
      <c r="AO2091" s="17"/>
      <c r="AP2091" s="17"/>
      <c r="AQ2091" s="17"/>
      <c r="AR2091" s="17"/>
      <c r="AS2091" s="17"/>
      <c r="AT2091" s="17"/>
      <c r="AU2091" s="17"/>
    </row>
    <row r="2092" hidden="1">
      <c r="A2092" s="17">
        <v>2090</v>
      </c>
      <c r="B2092" s="17" t="s">
        <v>52</v>
      </c>
      <c r="C2092" s="25" t="s">
        <v>6136</v>
      </c>
      <c r="D2092" s="35" t="s">
        <v>5571</v>
      </c>
      <c r="E2092" s="17" t="s">
        <v>6137</v>
      </c>
      <c r="F2092" s="17" t="s">
        <v>6138</v>
      </c>
      <c r="G2092" s="17">
        <v>22.735678</v>
      </c>
      <c r="H2092" s="17">
        <v>86.612594999999999</v>
      </c>
      <c r="I2092" s="17"/>
      <c r="J2092" s="17"/>
      <c r="K2092" s="17"/>
      <c r="L2092" s="17"/>
      <c r="M2092" s="43" t="s">
        <v>5647</v>
      </c>
      <c r="N2092" s="17"/>
      <c r="O2092" s="17"/>
      <c r="P2092" s="17"/>
      <c r="Q2092" s="17"/>
      <c r="R2092" s="17"/>
      <c r="S2092" s="17"/>
      <c r="T2092" s="17"/>
      <c r="U2092" s="17"/>
      <c r="V2092" s="17"/>
      <c r="W2092" s="17"/>
      <c r="X2092" s="17"/>
      <c r="Y2092" s="17"/>
      <c r="Z2092" s="17"/>
      <c r="AA2092" s="17"/>
      <c r="AB2092" s="17"/>
      <c r="AC2092" s="17"/>
      <c r="AD2092" s="17"/>
      <c r="AE2092" s="17"/>
      <c r="AF2092" s="17"/>
      <c r="AG2092" s="17"/>
      <c r="AH2092" s="17"/>
      <c r="AI2092" s="17"/>
      <c r="AJ2092" s="17"/>
      <c r="AK2092" s="17"/>
      <c r="AL2092" s="17"/>
      <c r="AM2092" s="17"/>
      <c r="AN2092" s="17"/>
      <c r="AO2092" s="17"/>
      <c r="AP2092" s="17"/>
      <c r="AQ2092" s="17"/>
      <c r="AR2092" s="17"/>
      <c r="AS2092" s="17"/>
      <c r="AT2092" s="17"/>
      <c r="AU2092" s="17"/>
    </row>
    <row r="2093" hidden="1">
      <c r="A2093" s="17">
        <v>2091</v>
      </c>
      <c r="B2093" s="17" t="s">
        <v>52</v>
      </c>
      <c r="C2093" s="25" t="s">
        <v>6139</v>
      </c>
      <c r="D2093" s="35" t="s">
        <v>5571</v>
      </c>
      <c r="E2093" s="17" t="s">
        <v>6140</v>
      </c>
      <c r="F2093" s="17" t="s">
        <v>6141</v>
      </c>
      <c r="G2093" s="17">
        <v>22.692160999999999</v>
      </c>
      <c r="H2093" s="17">
        <v>86.607763000000006</v>
      </c>
      <c r="I2093" s="17"/>
      <c r="J2093" s="17"/>
      <c r="K2093" s="17"/>
      <c r="L2093" s="17"/>
      <c r="M2093" s="43" t="s">
        <v>5647</v>
      </c>
      <c r="N2093" s="17"/>
      <c r="O2093" s="17"/>
      <c r="P2093" s="17"/>
      <c r="Q2093" s="17"/>
      <c r="R2093" s="17"/>
      <c r="S2093" s="17"/>
      <c r="T2093" s="17"/>
      <c r="U2093" s="17"/>
      <c r="V2093" s="17"/>
      <c r="W2093" s="17"/>
      <c r="X2093" s="17"/>
      <c r="Y2093" s="17"/>
      <c r="Z2093" s="17"/>
      <c r="AA2093" s="17"/>
      <c r="AB2093" s="17"/>
      <c r="AC2093" s="17"/>
      <c r="AD2093" s="17"/>
      <c r="AE2093" s="17"/>
      <c r="AF2093" s="17"/>
      <c r="AG2093" s="17"/>
      <c r="AH2093" s="17"/>
      <c r="AI2093" s="17"/>
      <c r="AJ2093" s="17"/>
      <c r="AK2093" s="17"/>
      <c r="AL2093" s="17"/>
      <c r="AM2093" s="17"/>
      <c r="AN2093" s="17"/>
      <c r="AO2093" s="17"/>
      <c r="AP2093" s="17"/>
      <c r="AQ2093" s="17"/>
      <c r="AR2093" s="17"/>
      <c r="AS2093" s="17"/>
      <c r="AT2093" s="17"/>
      <c r="AU2093" s="17"/>
    </row>
    <row r="2094" hidden="1">
      <c r="A2094" s="17">
        <v>2092</v>
      </c>
      <c r="B2094" s="17" t="s">
        <v>52</v>
      </c>
      <c r="C2094" s="25" t="s">
        <v>6142</v>
      </c>
      <c r="D2094" s="35" t="s">
        <v>5571</v>
      </c>
      <c r="E2094" s="17" t="s">
        <v>6143</v>
      </c>
      <c r="F2094" s="17" t="s">
        <v>6144</v>
      </c>
      <c r="G2094" s="17">
        <v>22.628799000000001</v>
      </c>
      <c r="H2094" s="17">
        <v>86.866313000000005</v>
      </c>
      <c r="I2094" s="17"/>
      <c r="J2094" s="17"/>
      <c r="K2094" s="17"/>
      <c r="L2094" s="17"/>
      <c r="M2094" s="43" t="s">
        <v>5647</v>
      </c>
      <c r="N2094" s="17"/>
      <c r="O2094" s="17"/>
      <c r="P2094" s="17"/>
      <c r="Q2094" s="17"/>
      <c r="R2094" s="17"/>
      <c r="S2094" s="17"/>
      <c r="T2094" s="17"/>
      <c r="U2094" s="17"/>
      <c r="V2094" s="17"/>
      <c r="W2094" s="17"/>
      <c r="X2094" s="17"/>
      <c r="Y2094" s="17"/>
      <c r="Z2094" s="17"/>
      <c r="AA2094" s="17"/>
      <c r="AB2094" s="17"/>
      <c r="AC2094" s="17"/>
      <c r="AD2094" s="17"/>
      <c r="AE2094" s="17"/>
      <c r="AF2094" s="17"/>
      <c r="AG2094" s="17"/>
      <c r="AH2094" s="17"/>
      <c r="AI2094" s="17"/>
      <c r="AJ2094" s="17"/>
      <c r="AK2094" s="17"/>
      <c r="AL2094" s="17"/>
      <c r="AM2094" s="17"/>
      <c r="AN2094" s="17"/>
      <c r="AO2094" s="17"/>
      <c r="AP2094" s="17"/>
      <c r="AQ2094" s="17"/>
      <c r="AR2094" s="17"/>
      <c r="AS2094" s="17"/>
      <c r="AT2094" s="17"/>
      <c r="AU2094" s="17"/>
    </row>
    <row r="2095" hidden="1">
      <c r="A2095" s="17">
        <v>2093</v>
      </c>
      <c r="B2095" s="17" t="s">
        <v>52</v>
      </c>
      <c r="C2095" s="25" t="s">
        <v>6145</v>
      </c>
      <c r="D2095" s="35" t="s">
        <v>5571</v>
      </c>
      <c r="E2095" s="17" t="s">
        <v>6146</v>
      </c>
      <c r="F2095" s="17" t="s">
        <v>6147</v>
      </c>
      <c r="G2095" s="17">
        <v>22.694105</v>
      </c>
      <c r="H2095" s="17">
        <v>86.794850999999994</v>
      </c>
      <c r="I2095" s="17"/>
      <c r="J2095" s="17"/>
      <c r="K2095" s="17"/>
      <c r="L2095" s="17"/>
      <c r="M2095" s="43" t="s">
        <v>5647</v>
      </c>
      <c r="N2095" s="17"/>
      <c r="O2095" s="17"/>
      <c r="P2095" s="17"/>
      <c r="Q2095" s="17"/>
      <c r="R2095" s="17"/>
      <c r="S2095" s="17"/>
      <c r="T2095" s="17"/>
      <c r="U2095" s="17"/>
      <c r="V2095" s="17"/>
      <c r="W2095" s="17"/>
      <c r="X2095" s="17"/>
      <c r="Y2095" s="17"/>
      <c r="Z2095" s="17"/>
      <c r="AA2095" s="17"/>
      <c r="AB2095" s="17"/>
      <c r="AC2095" s="17"/>
      <c r="AD2095" s="17"/>
      <c r="AE2095" s="17"/>
      <c r="AF2095" s="17"/>
      <c r="AG2095" s="17"/>
      <c r="AH2095" s="17"/>
      <c r="AI2095" s="17"/>
      <c r="AJ2095" s="17"/>
      <c r="AK2095" s="17"/>
      <c r="AL2095" s="17"/>
      <c r="AM2095" s="17"/>
      <c r="AN2095" s="17"/>
      <c r="AO2095" s="17"/>
      <c r="AP2095" s="17"/>
      <c r="AQ2095" s="17"/>
      <c r="AR2095" s="17"/>
      <c r="AS2095" s="17"/>
      <c r="AT2095" s="17"/>
      <c r="AU2095" s="17"/>
    </row>
    <row r="2096" hidden="1">
      <c r="A2096" s="17">
        <v>2094</v>
      </c>
      <c r="B2096" s="17" t="s">
        <v>52</v>
      </c>
      <c r="C2096" s="25" t="s">
        <v>6148</v>
      </c>
      <c r="D2096" s="35" t="s">
        <v>5571</v>
      </c>
      <c r="E2096" s="17" t="s">
        <v>6149</v>
      </c>
      <c r="F2096" s="17" t="s">
        <v>6150</v>
      </c>
      <c r="G2096" s="17">
        <v>22.536899999999999</v>
      </c>
      <c r="H2096" s="17">
        <v>86.819770000000005</v>
      </c>
      <c r="I2096" s="17"/>
      <c r="J2096" s="17"/>
      <c r="K2096" s="17"/>
      <c r="L2096" s="17"/>
      <c r="M2096" s="43" t="s">
        <v>5647</v>
      </c>
      <c r="N2096" s="17"/>
      <c r="O2096" s="17"/>
      <c r="P2096" s="17"/>
      <c r="Q2096" s="17"/>
      <c r="R2096" s="17"/>
      <c r="S2096" s="17"/>
      <c r="T2096" s="17"/>
      <c r="U2096" s="17"/>
      <c r="V2096" s="17"/>
      <c r="W2096" s="17"/>
      <c r="X2096" s="17"/>
      <c r="Y2096" s="17"/>
      <c r="Z2096" s="17"/>
      <c r="AA2096" s="17"/>
      <c r="AB2096" s="17"/>
      <c r="AC2096" s="17"/>
      <c r="AD2096" s="17"/>
      <c r="AE2096" s="17"/>
      <c r="AF2096" s="17"/>
      <c r="AG2096" s="17"/>
      <c r="AH2096" s="17"/>
      <c r="AI2096" s="17"/>
      <c r="AJ2096" s="17"/>
      <c r="AK2096" s="17"/>
      <c r="AL2096" s="17"/>
      <c r="AM2096" s="17"/>
      <c r="AN2096" s="17"/>
      <c r="AO2096" s="17"/>
      <c r="AP2096" s="17"/>
      <c r="AQ2096" s="17"/>
      <c r="AR2096" s="17"/>
      <c r="AS2096" s="17"/>
      <c r="AT2096" s="17"/>
      <c r="AU2096" s="17"/>
    </row>
    <row r="2097" hidden="1">
      <c r="A2097" s="17">
        <v>2095</v>
      </c>
      <c r="B2097" s="17" t="s">
        <v>52</v>
      </c>
      <c r="C2097" s="25" t="s">
        <v>6151</v>
      </c>
      <c r="D2097" s="35" t="s">
        <v>5571</v>
      </c>
      <c r="E2097" s="17" t="s">
        <v>6152</v>
      </c>
      <c r="F2097" s="17" t="s">
        <v>6153</v>
      </c>
      <c r="G2097" s="17">
        <v>22.558173</v>
      </c>
      <c r="H2097" s="17">
        <v>86.828968000000003</v>
      </c>
      <c r="I2097" s="17"/>
      <c r="J2097" s="17"/>
      <c r="K2097" s="17"/>
      <c r="L2097" s="17"/>
      <c r="M2097" s="43" t="s">
        <v>5647</v>
      </c>
      <c r="N2097" s="17"/>
      <c r="O2097" s="17"/>
      <c r="P2097" s="17"/>
      <c r="Q2097" s="17"/>
      <c r="R2097" s="17"/>
      <c r="S2097" s="17"/>
      <c r="T2097" s="17"/>
      <c r="U2097" s="17"/>
      <c r="V2097" s="17"/>
      <c r="W2097" s="17"/>
      <c r="X2097" s="17"/>
      <c r="Y2097" s="17"/>
      <c r="Z2097" s="17"/>
      <c r="AA2097" s="17"/>
      <c r="AB2097" s="17"/>
      <c r="AC2097" s="17"/>
      <c r="AD2097" s="17"/>
      <c r="AE2097" s="17"/>
      <c r="AF2097" s="17"/>
      <c r="AG2097" s="17"/>
      <c r="AH2097" s="17"/>
      <c r="AI2097" s="17"/>
      <c r="AJ2097" s="17"/>
      <c r="AK2097" s="17"/>
      <c r="AL2097" s="17"/>
      <c r="AM2097" s="17"/>
      <c r="AN2097" s="17"/>
      <c r="AO2097" s="17"/>
      <c r="AP2097" s="17"/>
      <c r="AQ2097" s="17"/>
      <c r="AR2097" s="17"/>
      <c r="AS2097" s="17"/>
      <c r="AT2097" s="17"/>
      <c r="AU2097" s="17"/>
    </row>
    <row r="2098" hidden="1">
      <c r="A2098" s="17">
        <v>2096</v>
      </c>
      <c r="B2098" s="17" t="s">
        <v>52</v>
      </c>
      <c r="C2098" s="25" t="s">
        <v>6154</v>
      </c>
      <c r="D2098" s="35" t="s">
        <v>5571</v>
      </c>
      <c r="E2098" s="17" t="s">
        <v>6155</v>
      </c>
      <c r="F2098" s="17" t="s">
        <v>6156</v>
      </c>
      <c r="G2098" s="17">
        <v>22.658676</v>
      </c>
      <c r="H2098" s="17">
        <v>86.717236999999997</v>
      </c>
      <c r="I2098" s="17"/>
      <c r="J2098" s="17"/>
      <c r="K2098" s="17"/>
      <c r="L2098" s="17"/>
      <c r="M2098" s="43" t="s">
        <v>5647</v>
      </c>
      <c r="N2098" s="17"/>
      <c r="O2098" s="17"/>
      <c r="P2098" s="17"/>
      <c r="Q2098" s="17"/>
      <c r="R2098" s="17"/>
      <c r="S2098" s="17"/>
      <c r="T2098" s="17"/>
      <c r="U2098" s="17"/>
      <c r="V2098" s="17"/>
      <c r="W2098" s="17"/>
      <c r="X2098" s="17"/>
      <c r="Y2098" s="17"/>
      <c r="Z2098" s="17"/>
      <c r="AA2098" s="17"/>
      <c r="AB2098" s="17"/>
      <c r="AC2098" s="17"/>
      <c r="AD2098" s="17"/>
      <c r="AE2098" s="17"/>
      <c r="AF2098" s="17"/>
      <c r="AG2098" s="17"/>
      <c r="AH2098" s="17"/>
      <c r="AI2098" s="17"/>
      <c r="AJ2098" s="17"/>
      <c r="AK2098" s="17"/>
      <c r="AL2098" s="17"/>
      <c r="AM2098" s="17"/>
      <c r="AN2098" s="17"/>
      <c r="AO2098" s="17"/>
      <c r="AP2098" s="17"/>
      <c r="AQ2098" s="17"/>
      <c r="AR2098" s="17"/>
      <c r="AS2098" s="17"/>
      <c r="AT2098" s="17"/>
      <c r="AU2098" s="17"/>
    </row>
    <row r="2099" hidden="1">
      <c r="A2099" s="17">
        <v>2097</v>
      </c>
      <c r="B2099" s="17" t="s">
        <v>52</v>
      </c>
      <c r="C2099" s="25" t="s">
        <v>6157</v>
      </c>
      <c r="D2099" s="35" t="s">
        <v>5571</v>
      </c>
      <c r="E2099" s="17" t="s">
        <v>6158</v>
      </c>
      <c r="F2099" s="17" t="s">
        <v>6159</v>
      </c>
      <c r="G2099" s="17">
        <v>22.656912999999999</v>
      </c>
      <c r="H2099" s="17">
        <v>86.756345999999994</v>
      </c>
      <c r="I2099" s="17"/>
      <c r="J2099" s="17"/>
      <c r="K2099" s="17"/>
      <c r="L2099" s="17"/>
      <c r="M2099" s="43" t="s">
        <v>5647</v>
      </c>
      <c r="N2099" s="17"/>
      <c r="O2099" s="17"/>
      <c r="P2099" s="17"/>
      <c r="Q2099" s="17"/>
      <c r="R2099" s="17"/>
      <c r="S2099" s="17"/>
      <c r="T2099" s="17"/>
      <c r="U2099" s="17"/>
      <c r="V2099" s="17"/>
      <c r="W2099" s="17"/>
      <c r="X2099" s="17"/>
      <c r="Y2099" s="17"/>
      <c r="Z2099" s="17"/>
      <c r="AA2099" s="17"/>
      <c r="AB2099" s="17"/>
      <c r="AC2099" s="17"/>
      <c r="AD2099" s="17"/>
      <c r="AE2099" s="17"/>
      <c r="AF2099" s="17"/>
      <c r="AG2099" s="17"/>
      <c r="AH2099" s="17"/>
      <c r="AI2099" s="17"/>
      <c r="AJ2099" s="17"/>
      <c r="AK2099" s="17"/>
      <c r="AL2099" s="17"/>
      <c r="AM2099" s="17"/>
      <c r="AN2099" s="17"/>
      <c r="AO2099" s="17"/>
      <c r="AP2099" s="17"/>
      <c r="AQ2099" s="17"/>
      <c r="AR2099" s="17"/>
      <c r="AS2099" s="17"/>
      <c r="AT2099" s="17"/>
      <c r="AU2099" s="17"/>
    </row>
    <row r="2100" hidden="1">
      <c r="A2100" s="17">
        <v>2098</v>
      </c>
      <c r="B2100" s="17" t="s">
        <v>52</v>
      </c>
      <c r="C2100" s="25" t="s">
        <v>6160</v>
      </c>
      <c r="D2100" s="35" t="s">
        <v>5571</v>
      </c>
      <c r="E2100" s="17" t="s">
        <v>6161</v>
      </c>
      <c r="F2100" s="17" t="s">
        <v>6162</v>
      </c>
      <c r="G2100" s="17">
        <v>22.753011000000001</v>
      </c>
      <c r="H2100" s="17">
        <v>86.687461999999996</v>
      </c>
      <c r="I2100" s="17"/>
      <c r="J2100" s="17"/>
      <c r="K2100" s="17"/>
      <c r="L2100" s="17"/>
      <c r="M2100" s="43" t="s">
        <v>5647</v>
      </c>
      <c r="N2100" s="17"/>
      <c r="O2100" s="17"/>
      <c r="P2100" s="17"/>
      <c r="Q2100" s="17"/>
      <c r="R2100" s="17"/>
      <c r="S2100" s="17"/>
      <c r="T2100" s="17"/>
      <c r="U2100" s="17"/>
      <c r="V2100" s="17"/>
      <c r="W2100" s="17"/>
      <c r="X2100" s="17"/>
      <c r="Y2100" s="17"/>
      <c r="Z2100" s="17"/>
      <c r="AA2100" s="17"/>
      <c r="AB2100" s="17"/>
      <c r="AC2100" s="17"/>
      <c r="AD2100" s="17"/>
      <c r="AE2100" s="17"/>
      <c r="AF2100" s="17"/>
      <c r="AG2100" s="17"/>
      <c r="AH2100" s="17"/>
      <c r="AI2100" s="17"/>
      <c r="AJ2100" s="17"/>
      <c r="AK2100" s="17"/>
      <c r="AL2100" s="17"/>
      <c r="AM2100" s="17"/>
      <c r="AN2100" s="17"/>
      <c r="AO2100" s="17"/>
      <c r="AP2100" s="17"/>
      <c r="AQ2100" s="17"/>
      <c r="AR2100" s="17"/>
      <c r="AS2100" s="17"/>
      <c r="AT2100" s="17"/>
      <c r="AU2100" s="17"/>
    </row>
    <row r="2101" hidden="1">
      <c r="A2101" s="17">
        <v>2099</v>
      </c>
      <c r="B2101" s="17" t="s">
        <v>52</v>
      </c>
      <c r="C2101" s="25" t="s">
        <v>6163</v>
      </c>
      <c r="D2101" s="35" t="s">
        <v>5571</v>
      </c>
      <c r="E2101" s="17" t="s">
        <v>6164</v>
      </c>
      <c r="F2101" s="17" t="s">
        <v>6165</v>
      </c>
      <c r="G2101" s="17">
        <v>22.599509999999999</v>
      </c>
      <c r="H2101" s="17">
        <v>86.728976000000003</v>
      </c>
      <c r="I2101" s="17"/>
      <c r="J2101" s="17"/>
      <c r="K2101" s="17"/>
      <c r="L2101" s="17"/>
      <c r="M2101" s="43" t="s">
        <v>5647</v>
      </c>
      <c r="N2101" s="17"/>
      <c r="O2101" s="17"/>
      <c r="P2101" s="17"/>
      <c r="Q2101" s="17"/>
      <c r="R2101" s="17"/>
      <c r="S2101" s="17"/>
      <c r="T2101" s="17"/>
      <c r="U2101" s="17"/>
      <c r="V2101" s="17"/>
      <c r="W2101" s="17"/>
      <c r="X2101" s="17"/>
      <c r="Y2101" s="17"/>
      <c r="Z2101" s="17"/>
      <c r="AA2101" s="17"/>
      <c r="AB2101" s="17"/>
      <c r="AC2101" s="17"/>
      <c r="AD2101" s="17"/>
      <c r="AE2101" s="17"/>
      <c r="AF2101" s="17"/>
      <c r="AG2101" s="17"/>
      <c r="AH2101" s="17"/>
      <c r="AI2101" s="17"/>
      <c r="AJ2101" s="17"/>
      <c r="AK2101" s="17"/>
      <c r="AL2101" s="17"/>
      <c r="AM2101" s="17"/>
      <c r="AN2101" s="17"/>
      <c r="AO2101" s="17"/>
      <c r="AP2101" s="17"/>
      <c r="AQ2101" s="17"/>
      <c r="AR2101" s="17"/>
      <c r="AS2101" s="17"/>
      <c r="AT2101" s="17"/>
      <c r="AU2101" s="17"/>
    </row>
    <row r="2102" hidden="1">
      <c r="A2102" s="17">
        <v>2100</v>
      </c>
      <c r="B2102" s="17" t="s">
        <v>52</v>
      </c>
      <c r="C2102" s="25" t="s">
        <v>6166</v>
      </c>
      <c r="D2102" s="35" t="s">
        <v>5571</v>
      </c>
      <c r="E2102" s="17" t="s">
        <v>6167</v>
      </c>
      <c r="F2102" s="17" t="s">
        <v>6168</v>
      </c>
      <c r="G2102" s="17">
        <v>22.741800000000001</v>
      </c>
      <c r="H2102" s="17">
        <v>86.724171999999996</v>
      </c>
      <c r="I2102" s="17"/>
      <c r="J2102" s="17"/>
      <c r="K2102" s="17"/>
      <c r="L2102" s="17"/>
      <c r="M2102" s="43" t="s">
        <v>5647</v>
      </c>
      <c r="N2102" s="17"/>
      <c r="O2102" s="17"/>
      <c r="P2102" s="17"/>
      <c r="Q2102" s="17"/>
      <c r="R2102" s="17"/>
      <c r="S2102" s="17"/>
      <c r="T2102" s="17"/>
      <c r="U2102" s="17"/>
      <c r="V2102" s="17"/>
      <c r="W2102" s="17"/>
      <c r="X2102" s="17"/>
      <c r="Y2102" s="17"/>
      <c r="Z2102" s="17"/>
      <c r="AA2102" s="17"/>
      <c r="AB2102" s="17"/>
      <c r="AC2102" s="17"/>
      <c r="AD2102" s="17"/>
      <c r="AE2102" s="17"/>
      <c r="AF2102" s="17"/>
      <c r="AG2102" s="17"/>
      <c r="AH2102" s="17"/>
      <c r="AI2102" s="17"/>
      <c r="AJ2102" s="17"/>
      <c r="AK2102" s="17"/>
      <c r="AL2102" s="17"/>
      <c r="AM2102" s="17"/>
      <c r="AN2102" s="17"/>
      <c r="AO2102" s="17"/>
      <c r="AP2102" s="17"/>
      <c r="AQ2102" s="17"/>
      <c r="AR2102" s="17"/>
      <c r="AS2102" s="17"/>
      <c r="AT2102" s="17"/>
      <c r="AU2102" s="17"/>
    </row>
    <row r="2103" hidden="1">
      <c r="A2103" s="17">
        <v>2101</v>
      </c>
      <c r="B2103" s="17" t="s">
        <v>52</v>
      </c>
      <c r="C2103" s="25" t="s">
        <v>6169</v>
      </c>
      <c r="D2103" s="35" t="s">
        <v>5571</v>
      </c>
      <c r="E2103" s="17" t="s">
        <v>6170</v>
      </c>
      <c r="F2103" s="17" t="s">
        <v>6171</v>
      </c>
      <c r="G2103" s="17">
        <v>22.620358</v>
      </c>
      <c r="H2103" s="17">
        <v>86.784313999999995</v>
      </c>
      <c r="I2103" s="17"/>
      <c r="J2103" s="17"/>
      <c r="K2103" s="17"/>
      <c r="L2103" s="17"/>
      <c r="M2103" s="43" t="s">
        <v>5647</v>
      </c>
      <c r="N2103" s="17"/>
      <c r="O2103" s="17"/>
      <c r="P2103" s="17"/>
      <c r="Q2103" s="17"/>
      <c r="R2103" s="17"/>
      <c r="S2103" s="17"/>
      <c r="T2103" s="17"/>
      <c r="U2103" s="17"/>
      <c r="V2103" s="17"/>
      <c r="W2103" s="17"/>
      <c r="X2103" s="17"/>
      <c r="Y2103" s="17"/>
      <c r="Z2103" s="17"/>
      <c r="AA2103" s="17"/>
      <c r="AB2103" s="17"/>
      <c r="AC2103" s="17"/>
      <c r="AD2103" s="17"/>
      <c r="AE2103" s="17"/>
      <c r="AF2103" s="17"/>
      <c r="AG2103" s="17"/>
      <c r="AH2103" s="17"/>
      <c r="AI2103" s="17"/>
      <c r="AJ2103" s="17"/>
      <c r="AK2103" s="17"/>
      <c r="AL2103" s="17"/>
      <c r="AM2103" s="17"/>
      <c r="AN2103" s="17"/>
      <c r="AO2103" s="17"/>
      <c r="AP2103" s="17"/>
      <c r="AQ2103" s="17"/>
      <c r="AR2103" s="17"/>
      <c r="AS2103" s="17"/>
      <c r="AT2103" s="17"/>
      <c r="AU2103" s="17"/>
    </row>
    <row r="2104" hidden="1">
      <c r="A2104" s="17">
        <v>2102</v>
      </c>
      <c r="B2104" s="17" t="s">
        <v>52</v>
      </c>
      <c r="C2104" s="25" t="s">
        <v>6172</v>
      </c>
      <c r="D2104" s="35" t="s">
        <v>5571</v>
      </c>
      <c r="E2104" s="17" t="s">
        <v>6173</v>
      </c>
      <c r="F2104" s="17" t="s">
        <v>6174</v>
      </c>
      <c r="G2104" s="17">
        <v>22.553982000000001</v>
      </c>
      <c r="H2104" s="17">
        <v>86.795163000000002</v>
      </c>
      <c r="I2104" s="17"/>
      <c r="J2104" s="17"/>
      <c r="K2104" s="17"/>
      <c r="L2104" s="17"/>
      <c r="M2104" s="43" t="s">
        <v>5647</v>
      </c>
      <c r="N2104" s="17"/>
      <c r="O2104" s="17"/>
      <c r="P2104" s="17"/>
      <c r="Q2104" s="17"/>
      <c r="R2104" s="17"/>
      <c r="S2104" s="17"/>
      <c r="T2104" s="17"/>
      <c r="U2104" s="17"/>
      <c r="V2104" s="17"/>
      <c r="W2104" s="17"/>
      <c r="X2104" s="17"/>
      <c r="Y2104" s="17"/>
      <c r="Z2104" s="17"/>
      <c r="AA2104" s="17"/>
      <c r="AB2104" s="17"/>
      <c r="AC2104" s="17"/>
      <c r="AD2104" s="17"/>
      <c r="AE2104" s="17"/>
      <c r="AF2104" s="17"/>
      <c r="AG2104" s="17"/>
      <c r="AH2104" s="17"/>
      <c r="AI2104" s="17"/>
      <c r="AJ2104" s="17"/>
      <c r="AK2104" s="17"/>
      <c r="AL2104" s="17"/>
      <c r="AM2104" s="17"/>
      <c r="AN2104" s="17"/>
      <c r="AO2104" s="17"/>
      <c r="AP2104" s="17"/>
      <c r="AQ2104" s="17"/>
      <c r="AR2104" s="17"/>
      <c r="AS2104" s="17"/>
      <c r="AT2104" s="17"/>
      <c r="AU2104" s="17"/>
    </row>
    <row r="2105" hidden="1">
      <c r="A2105" s="17">
        <v>2103</v>
      </c>
      <c r="B2105" s="17" t="s">
        <v>52</v>
      </c>
      <c r="C2105" s="25" t="s">
        <v>6175</v>
      </c>
      <c r="D2105" s="35" t="s">
        <v>5571</v>
      </c>
      <c r="E2105" s="17" t="s">
        <v>6176</v>
      </c>
      <c r="F2105" s="17" t="s">
        <v>6177</v>
      </c>
      <c r="G2105" s="17">
        <v>22.614521</v>
      </c>
      <c r="H2105" s="17">
        <v>86.895499000000001</v>
      </c>
      <c r="I2105" s="17"/>
      <c r="J2105" s="17"/>
      <c r="K2105" s="17"/>
      <c r="L2105" s="17"/>
      <c r="M2105" s="43" t="s">
        <v>5647</v>
      </c>
      <c r="N2105" s="17"/>
      <c r="O2105" s="17"/>
      <c r="P2105" s="17"/>
      <c r="Q2105" s="17"/>
      <c r="R2105" s="17"/>
      <c r="S2105" s="17"/>
      <c r="T2105" s="17"/>
      <c r="U2105" s="17"/>
      <c r="V2105" s="17"/>
      <c r="W2105" s="17"/>
      <c r="X2105" s="17"/>
      <c r="Y2105" s="17"/>
      <c r="Z2105" s="17"/>
      <c r="AA2105" s="17"/>
      <c r="AB2105" s="17"/>
      <c r="AC2105" s="17"/>
      <c r="AD2105" s="17"/>
      <c r="AE2105" s="17"/>
      <c r="AF2105" s="17"/>
      <c r="AG2105" s="17"/>
      <c r="AH2105" s="17"/>
      <c r="AI2105" s="17"/>
      <c r="AJ2105" s="17"/>
      <c r="AK2105" s="17"/>
      <c r="AL2105" s="17"/>
      <c r="AM2105" s="17"/>
      <c r="AN2105" s="17"/>
      <c r="AO2105" s="17"/>
      <c r="AP2105" s="17"/>
      <c r="AQ2105" s="17"/>
      <c r="AR2105" s="17"/>
      <c r="AS2105" s="17"/>
      <c r="AT2105" s="17"/>
      <c r="AU2105" s="17"/>
    </row>
    <row r="2106" hidden="1">
      <c r="A2106" s="17">
        <v>2104</v>
      </c>
      <c r="B2106" s="17" t="s">
        <v>52</v>
      </c>
      <c r="C2106" s="25" t="s">
        <v>6178</v>
      </c>
      <c r="D2106" s="35" t="s">
        <v>5571</v>
      </c>
      <c r="E2106" s="17" t="s">
        <v>2987</v>
      </c>
      <c r="F2106" s="17" t="s">
        <v>6179</v>
      </c>
      <c r="G2106" s="17">
        <v>22.602096</v>
      </c>
      <c r="H2106" s="17">
        <v>86.801663000000005</v>
      </c>
      <c r="I2106" s="17"/>
      <c r="J2106" s="17"/>
      <c r="K2106" s="17"/>
      <c r="L2106" s="17"/>
      <c r="M2106" s="43" t="s">
        <v>5647</v>
      </c>
      <c r="N2106" s="17"/>
      <c r="O2106" s="17"/>
      <c r="P2106" s="17"/>
      <c r="Q2106" s="17"/>
      <c r="R2106" s="17"/>
      <c r="S2106" s="17"/>
      <c r="T2106" s="17"/>
      <c r="U2106" s="17"/>
      <c r="V2106" s="17"/>
      <c r="W2106" s="17"/>
      <c r="X2106" s="17"/>
      <c r="Y2106" s="17"/>
      <c r="Z2106" s="17"/>
      <c r="AA2106" s="17"/>
      <c r="AB2106" s="17"/>
      <c r="AC2106" s="17"/>
      <c r="AD2106" s="17"/>
      <c r="AE2106" s="17"/>
      <c r="AF2106" s="17"/>
      <c r="AG2106" s="17"/>
      <c r="AH2106" s="17"/>
      <c r="AI2106" s="17"/>
      <c r="AJ2106" s="17"/>
      <c r="AK2106" s="17"/>
      <c r="AL2106" s="17"/>
      <c r="AM2106" s="17"/>
      <c r="AN2106" s="17"/>
      <c r="AO2106" s="17"/>
      <c r="AP2106" s="17"/>
      <c r="AQ2106" s="17"/>
      <c r="AR2106" s="17"/>
      <c r="AS2106" s="17"/>
      <c r="AT2106" s="17"/>
      <c r="AU2106" s="17"/>
    </row>
    <row r="2107" hidden="1">
      <c r="A2107" s="17">
        <v>2105</v>
      </c>
      <c r="B2107" s="17" t="s">
        <v>52</v>
      </c>
      <c r="C2107" s="25" t="s">
        <v>6180</v>
      </c>
      <c r="D2107" s="35" t="s">
        <v>5571</v>
      </c>
      <c r="E2107" s="17" t="s">
        <v>6181</v>
      </c>
      <c r="F2107" s="17" t="s">
        <v>6182</v>
      </c>
      <c r="G2107" s="17">
        <v>22.715941000000001</v>
      </c>
      <c r="H2107" s="17">
        <v>86.677019000000001</v>
      </c>
      <c r="I2107" s="17"/>
      <c r="J2107" s="17"/>
      <c r="K2107" s="17"/>
      <c r="L2107" s="17"/>
      <c r="M2107" s="43" t="s">
        <v>5647</v>
      </c>
      <c r="N2107" s="17"/>
      <c r="O2107" s="17"/>
      <c r="P2107" s="17"/>
      <c r="Q2107" s="17"/>
      <c r="R2107" s="17"/>
      <c r="S2107" s="17"/>
      <c r="T2107" s="17"/>
      <c r="U2107" s="17"/>
      <c r="V2107" s="17"/>
      <c r="W2107" s="17"/>
      <c r="X2107" s="17"/>
      <c r="Y2107" s="17"/>
      <c r="Z2107" s="17"/>
      <c r="AA2107" s="17"/>
      <c r="AB2107" s="17"/>
      <c r="AC2107" s="17"/>
      <c r="AD2107" s="17"/>
      <c r="AE2107" s="17"/>
      <c r="AF2107" s="17"/>
      <c r="AG2107" s="17"/>
      <c r="AH2107" s="17"/>
      <c r="AI2107" s="17"/>
      <c r="AJ2107" s="17"/>
      <c r="AK2107" s="17"/>
      <c r="AL2107" s="17"/>
      <c r="AM2107" s="17"/>
      <c r="AN2107" s="17"/>
      <c r="AO2107" s="17"/>
      <c r="AP2107" s="17"/>
      <c r="AQ2107" s="17"/>
      <c r="AR2107" s="17"/>
      <c r="AS2107" s="17"/>
      <c r="AT2107" s="17"/>
      <c r="AU2107" s="17"/>
    </row>
    <row r="2108" hidden="1">
      <c r="A2108" s="17">
        <v>2106</v>
      </c>
      <c r="B2108" s="17" t="s">
        <v>52</v>
      </c>
      <c r="C2108" s="25" t="s">
        <v>6183</v>
      </c>
      <c r="D2108" s="35" t="s">
        <v>5571</v>
      </c>
      <c r="E2108" s="17" t="s">
        <v>6184</v>
      </c>
      <c r="F2108" s="17" t="s">
        <v>6185</v>
      </c>
      <c r="G2108" s="17">
        <v>22.638753000000001</v>
      </c>
      <c r="H2108" s="17">
        <v>86.841813999999999</v>
      </c>
      <c r="I2108" s="17"/>
      <c r="J2108" s="17"/>
      <c r="K2108" s="17"/>
      <c r="L2108" s="17"/>
      <c r="M2108" s="43" t="s">
        <v>5647</v>
      </c>
      <c r="N2108" s="17"/>
      <c r="O2108" s="17"/>
      <c r="P2108" s="17"/>
      <c r="Q2108" s="17"/>
      <c r="R2108" s="17"/>
      <c r="S2108" s="17"/>
      <c r="T2108" s="17"/>
      <c r="U2108" s="17"/>
      <c r="V2108" s="17"/>
      <c r="W2108" s="17"/>
      <c r="X2108" s="17"/>
      <c r="Y2108" s="17"/>
      <c r="Z2108" s="17"/>
      <c r="AA2108" s="17"/>
      <c r="AB2108" s="17"/>
      <c r="AC2108" s="17"/>
      <c r="AD2108" s="17"/>
      <c r="AE2108" s="17"/>
      <c r="AF2108" s="17"/>
      <c r="AG2108" s="17"/>
      <c r="AH2108" s="17"/>
      <c r="AI2108" s="17"/>
      <c r="AJ2108" s="17"/>
      <c r="AK2108" s="17"/>
      <c r="AL2108" s="17"/>
      <c r="AM2108" s="17"/>
      <c r="AN2108" s="17"/>
      <c r="AO2108" s="17"/>
      <c r="AP2108" s="17"/>
      <c r="AQ2108" s="17"/>
      <c r="AR2108" s="17"/>
      <c r="AS2108" s="17"/>
      <c r="AT2108" s="17"/>
      <c r="AU2108" s="17"/>
    </row>
    <row r="2109" hidden="1">
      <c r="A2109" s="17">
        <v>2107</v>
      </c>
      <c r="B2109" s="17" t="s">
        <v>52</v>
      </c>
      <c r="C2109" s="25" t="s">
        <v>6186</v>
      </c>
      <c r="D2109" s="35" t="s">
        <v>5571</v>
      </c>
      <c r="E2109" s="17" t="s">
        <v>6187</v>
      </c>
      <c r="F2109" s="17" t="s">
        <v>6188</v>
      </c>
      <c r="G2109" s="17">
        <v>22.573277999999998</v>
      </c>
      <c r="H2109" s="17">
        <v>86.844479000000007</v>
      </c>
      <c r="I2109" s="17"/>
      <c r="J2109" s="17"/>
      <c r="K2109" s="17"/>
      <c r="L2109" s="17"/>
      <c r="M2109" s="43" t="s">
        <v>5647</v>
      </c>
      <c r="N2109" s="17"/>
      <c r="O2109" s="17"/>
      <c r="P2109" s="17"/>
      <c r="Q2109" s="17"/>
      <c r="R2109" s="17"/>
      <c r="S2109" s="17"/>
      <c r="T2109" s="17"/>
      <c r="U2109" s="17"/>
      <c r="V2109" s="17"/>
      <c r="W2109" s="17"/>
      <c r="X2109" s="17"/>
      <c r="Y2109" s="17"/>
      <c r="Z2109" s="17"/>
      <c r="AA2109" s="17"/>
      <c r="AB2109" s="17"/>
      <c r="AC2109" s="17"/>
      <c r="AD2109" s="17"/>
      <c r="AE2109" s="17"/>
      <c r="AF2109" s="17"/>
      <c r="AG2109" s="17"/>
      <c r="AH2109" s="17"/>
      <c r="AI2109" s="17"/>
      <c r="AJ2109" s="17"/>
      <c r="AK2109" s="17"/>
      <c r="AL2109" s="17"/>
      <c r="AM2109" s="17"/>
      <c r="AN2109" s="17"/>
      <c r="AO2109" s="17"/>
      <c r="AP2109" s="17"/>
      <c r="AQ2109" s="17"/>
      <c r="AR2109" s="17"/>
      <c r="AS2109" s="17"/>
      <c r="AT2109" s="17"/>
      <c r="AU2109" s="17"/>
    </row>
    <row r="2110" hidden="1">
      <c r="A2110" s="17">
        <v>2108</v>
      </c>
      <c r="B2110" s="17" t="s">
        <v>52</v>
      </c>
      <c r="C2110" s="25" t="s">
        <v>6189</v>
      </c>
      <c r="D2110" s="35" t="s">
        <v>5571</v>
      </c>
      <c r="E2110" s="17" t="s">
        <v>6190</v>
      </c>
      <c r="F2110" s="17" t="s">
        <v>6191</v>
      </c>
      <c r="G2110" s="17">
        <v>22.664670000000001</v>
      </c>
      <c r="H2110" s="17">
        <v>86.860640000000004</v>
      </c>
      <c r="I2110" s="17"/>
      <c r="J2110" s="17"/>
      <c r="K2110" s="17"/>
      <c r="L2110" s="17"/>
      <c r="M2110" s="43" t="s">
        <v>5647</v>
      </c>
      <c r="N2110" s="17"/>
      <c r="O2110" s="17"/>
      <c r="P2110" s="17"/>
      <c r="Q2110" s="17"/>
      <c r="R2110" s="17"/>
      <c r="S2110" s="17"/>
      <c r="T2110" s="17"/>
      <c r="U2110" s="17"/>
      <c r="V2110" s="17"/>
      <c r="W2110" s="17"/>
      <c r="X2110" s="17"/>
      <c r="Y2110" s="17"/>
      <c r="Z2110" s="17"/>
      <c r="AA2110" s="17"/>
      <c r="AB2110" s="17"/>
      <c r="AC2110" s="17"/>
      <c r="AD2110" s="17"/>
      <c r="AE2110" s="17"/>
      <c r="AF2110" s="17"/>
      <c r="AG2110" s="17"/>
      <c r="AH2110" s="17"/>
      <c r="AI2110" s="17"/>
      <c r="AJ2110" s="17"/>
      <c r="AK2110" s="17"/>
      <c r="AL2110" s="17"/>
      <c r="AM2110" s="17"/>
      <c r="AN2110" s="17"/>
      <c r="AO2110" s="17"/>
      <c r="AP2110" s="17"/>
      <c r="AQ2110" s="17"/>
      <c r="AR2110" s="17"/>
      <c r="AS2110" s="17"/>
      <c r="AT2110" s="17"/>
      <c r="AU2110" s="17"/>
    </row>
    <row r="2111" hidden="1">
      <c r="A2111" s="17">
        <v>2109</v>
      </c>
      <c r="B2111" s="17" t="s">
        <v>52</v>
      </c>
      <c r="C2111" s="25" t="s">
        <v>6192</v>
      </c>
      <c r="D2111" s="35" t="s">
        <v>5571</v>
      </c>
      <c r="E2111" s="17" t="s">
        <v>6193</v>
      </c>
      <c r="F2111" s="17" t="s">
        <v>6194</v>
      </c>
      <c r="G2111" s="17">
        <v>22.689834999999999</v>
      </c>
      <c r="H2111" s="17">
        <v>86.742059999999995</v>
      </c>
      <c r="I2111" s="17"/>
      <c r="J2111" s="17"/>
      <c r="K2111" s="17"/>
      <c r="L2111" s="17"/>
      <c r="M2111" s="43" t="s">
        <v>5647</v>
      </c>
      <c r="N2111" s="17"/>
      <c r="O2111" s="17"/>
      <c r="P2111" s="17"/>
      <c r="Q2111" s="17"/>
      <c r="R2111" s="17"/>
      <c r="S2111" s="17"/>
      <c r="T2111" s="17"/>
      <c r="U2111" s="17"/>
      <c r="V2111" s="17"/>
      <c r="W2111" s="17"/>
      <c r="X2111" s="17"/>
      <c r="Y2111" s="17"/>
      <c r="Z2111" s="17"/>
      <c r="AA2111" s="17"/>
      <c r="AB2111" s="17"/>
      <c r="AC2111" s="17"/>
      <c r="AD2111" s="17"/>
      <c r="AE2111" s="17"/>
      <c r="AF2111" s="17"/>
      <c r="AG2111" s="17"/>
      <c r="AH2111" s="17"/>
      <c r="AI2111" s="17"/>
      <c r="AJ2111" s="17"/>
      <c r="AK2111" s="17"/>
      <c r="AL2111" s="17"/>
      <c r="AM2111" s="17"/>
      <c r="AN2111" s="17"/>
      <c r="AO2111" s="17"/>
      <c r="AP2111" s="17"/>
      <c r="AQ2111" s="17"/>
      <c r="AR2111" s="17"/>
      <c r="AS2111" s="17"/>
      <c r="AT2111" s="17"/>
      <c r="AU2111" s="17"/>
    </row>
    <row r="2112" hidden="1">
      <c r="A2112" s="17">
        <v>2110</v>
      </c>
      <c r="B2112" s="17" t="s">
        <v>52</v>
      </c>
      <c r="C2112" s="25" t="s">
        <v>6195</v>
      </c>
      <c r="D2112" s="35" t="s">
        <v>5571</v>
      </c>
      <c r="E2112" s="17" t="s">
        <v>6196</v>
      </c>
      <c r="F2112" s="17" t="s">
        <v>6197</v>
      </c>
      <c r="G2112" s="17">
        <v>22.619574</v>
      </c>
      <c r="H2112" s="17">
        <v>86.818286000000001</v>
      </c>
      <c r="I2112" s="17"/>
      <c r="J2112" s="17"/>
      <c r="K2112" s="17"/>
      <c r="L2112" s="17"/>
      <c r="M2112" s="43" t="s">
        <v>5647</v>
      </c>
      <c r="N2112" s="17"/>
      <c r="O2112" s="17"/>
      <c r="P2112" s="17"/>
      <c r="Q2112" s="17"/>
      <c r="R2112" s="17"/>
      <c r="S2112" s="17"/>
      <c r="T2112" s="17"/>
      <c r="U2112" s="17"/>
      <c r="V2112" s="17"/>
      <c r="W2112" s="17"/>
      <c r="X2112" s="17"/>
      <c r="Y2112" s="17"/>
      <c r="Z2112" s="17"/>
      <c r="AA2112" s="17"/>
      <c r="AB2112" s="17"/>
      <c r="AC2112" s="17"/>
      <c r="AD2112" s="17"/>
      <c r="AE2112" s="17"/>
      <c r="AF2112" s="17"/>
      <c r="AG2112" s="17"/>
      <c r="AH2112" s="17"/>
      <c r="AI2112" s="17"/>
      <c r="AJ2112" s="17"/>
      <c r="AK2112" s="17"/>
      <c r="AL2112" s="17"/>
      <c r="AM2112" s="17"/>
      <c r="AN2112" s="17"/>
      <c r="AO2112" s="17"/>
      <c r="AP2112" s="17"/>
      <c r="AQ2112" s="17"/>
      <c r="AR2112" s="17"/>
      <c r="AS2112" s="17"/>
      <c r="AT2112" s="17"/>
      <c r="AU2112" s="17"/>
    </row>
    <row r="2113" hidden="1">
      <c r="A2113" s="17">
        <v>2111</v>
      </c>
      <c r="B2113" s="17" t="s">
        <v>52</v>
      </c>
      <c r="C2113" s="25" t="s">
        <v>6198</v>
      </c>
      <c r="D2113" s="35" t="s">
        <v>5571</v>
      </c>
      <c r="E2113" s="17" t="s">
        <v>6199</v>
      </c>
      <c r="F2113" s="17" t="s">
        <v>6200</v>
      </c>
      <c r="G2113" s="17">
        <v>22.055249</v>
      </c>
      <c r="H2113" s="17">
        <v>87.151060999999999</v>
      </c>
      <c r="I2113" s="17"/>
      <c r="J2113" s="17"/>
      <c r="K2113" s="17"/>
      <c r="L2113" s="17"/>
      <c r="M2113" s="43" t="s">
        <v>5677</v>
      </c>
      <c r="N2113" s="17" t="s">
        <v>6201</v>
      </c>
      <c r="O2113" s="17">
        <v>6382439675</v>
      </c>
      <c r="P2113" s="17"/>
      <c r="Q2113" s="17"/>
      <c r="R2113" s="17"/>
      <c r="S2113" s="17"/>
      <c r="T2113" s="17"/>
      <c r="U2113" s="17"/>
      <c r="V2113" s="17"/>
      <c r="W2113" s="17"/>
      <c r="X2113" s="17"/>
      <c r="Y2113" s="17"/>
      <c r="Z2113" s="17"/>
      <c r="AA2113" s="17"/>
      <c r="AB2113" s="17"/>
      <c r="AC2113" s="17"/>
      <c r="AD2113" s="17"/>
      <c r="AE2113" s="17"/>
      <c r="AF2113" s="17"/>
      <c r="AG2113" s="17"/>
      <c r="AH2113" s="17"/>
      <c r="AI2113" s="17"/>
      <c r="AJ2113" s="17"/>
      <c r="AK2113" s="17"/>
      <c r="AL2113" s="17"/>
      <c r="AM2113" s="17"/>
      <c r="AN2113" s="17"/>
      <c r="AO2113" s="17"/>
      <c r="AP2113" s="17"/>
      <c r="AQ2113" s="17"/>
      <c r="AR2113" s="17"/>
      <c r="AS2113" s="17"/>
      <c r="AT2113" s="17"/>
      <c r="AU2113" s="17"/>
    </row>
    <row r="2114" hidden="1">
      <c r="A2114" s="17">
        <v>2112</v>
      </c>
      <c r="B2114" s="17" t="s">
        <v>52</v>
      </c>
      <c r="C2114" s="25" t="s">
        <v>6202</v>
      </c>
      <c r="D2114" s="35" t="s">
        <v>5571</v>
      </c>
      <c r="E2114" s="17" t="s">
        <v>6203</v>
      </c>
      <c r="F2114" s="17" t="s">
        <v>6204</v>
      </c>
      <c r="G2114" s="17">
        <v>22.004286</v>
      </c>
      <c r="H2114" s="17">
        <v>87.142336</v>
      </c>
      <c r="I2114" s="17"/>
      <c r="J2114" s="17"/>
      <c r="K2114" s="17"/>
      <c r="L2114" s="17"/>
      <c r="M2114" s="43" t="s">
        <v>5677</v>
      </c>
      <c r="N2114" s="17"/>
      <c r="O2114" s="17"/>
      <c r="P2114" s="17"/>
      <c r="Q2114" s="17"/>
      <c r="R2114" s="17"/>
      <c r="S2114" s="17"/>
      <c r="T2114" s="17"/>
      <c r="U2114" s="17"/>
      <c r="V2114" s="17"/>
      <c r="W2114" s="17"/>
      <c r="X2114" s="17"/>
      <c r="Y2114" s="17"/>
      <c r="Z2114" s="17"/>
      <c r="AA2114" s="17"/>
      <c r="AB2114" s="17"/>
      <c r="AC2114" s="17"/>
      <c r="AD2114" s="17"/>
      <c r="AE2114" s="17"/>
      <c r="AF2114" s="17"/>
      <c r="AG2114" s="17"/>
      <c r="AH2114" s="17"/>
      <c r="AI2114" s="17"/>
      <c r="AJ2114" s="17"/>
      <c r="AK2114" s="17"/>
      <c r="AL2114" s="17"/>
      <c r="AM2114" s="17"/>
      <c r="AN2114" s="17"/>
      <c r="AO2114" s="17"/>
      <c r="AP2114" s="17"/>
      <c r="AQ2114" s="17"/>
      <c r="AR2114" s="17"/>
      <c r="AS2114" s="17"/>
      <c r="AT2114" s="17"/>
      <c r="AU2114" s="17"/>
    </row>
    <row r="2115" hidden="1">
      <c r="A2115" s="17">
        <v>2113</v>
      </c>
      <c r="B2115" s="17" t="s">
        <v>52</v>
      </c>
      <c r="C2115" s="25" t="s">
        <v>6205</v>
      </c>
      <c r="D2115" s="35" t="s">
        <v>5571</v>
      </c>
      <c r="E2115" s="17" t="s">
        <v>6206</v>
      </c>
      <c r="F2115" s="17" t="s">
        <v>6207</v>
      </c>
      <c r="G2115" s="17">
        <v>22.073858000000001</v>
      </c>
      <c r="H2115" s="17">
        <v>87.127972999999997</v>
      </c>
      <c r="I2115" s="17"/>
      <c r="J2115" s="17"/>
      <c r="K2115" s="17"/>
      <c r="L2115" s="17"/>
      <c r="M2115" s="43" t="s">
        <v>5677</v>
      </c>
      <c r="N2115" s="17"/>
      <c r="O2115" s="17"/>
      <c r="P2115" s="17"/>
      <c r="Q2115" s="17"/>
      <c r="R2115" s="17"/>
      <c r="S2115" s="17"/>
      <c r="T2115" s="17"/>
      <c r="U2115" s="17"/>
      <c r="V2115" s="17"/>
      <c r="W2115" s="17"/>
      <c r="X2115" s="17"/>
      <c r="Y2115" s="17"/>
      <c r="Z2115" s="17"/>
      <c r="AA2115" s="17"/>
      <c r="AB2115" s="17"/>
      <c r="AC2115" s="17"/>
      <c r="AD2115" s="17"/>
      <c r="AE2115" s="17"/>
      <c r="AF2115" s="17"/>
      <c r="AG2115" s="17"/>
      <c r="AH2115" s="17"/>
      <c r="AI2115" s="17"/>
      <c r="AJ2115" s="17"/>
      <c r="AK2115" s="17"/>
      <c r="AL2115" s="17"/>
      <c r="AM2115" s="17"/>
      <c r="AN2115" s="17"/>
      <c r="AO2115" s="17"/>
      <c r="AP2115" s="17"/>
      <c r="AQ2115" s="17"/>
      <c r="AR2115" s="17"/>
      <c r="AS2115" s="17"/>
      <c r="AT2115" s="17"/>
      <c r="AU2115" s="17"/>
    </row>
    <row r="2116" hidden="1">
      <c r="A2116" s="17">
        <v>2114</v>
      </c>
      <c r="B2116" s="17" t="s">
        <v>52</v>
      </c>
      <c r="C2116" s="25" t="s">
        <v>6208</v>
      </c>
      <c r="D2116" s="35" t="s">
        <v>5571</v>
      </c>
      <c r="E2116" s="17" t="s">
        <v>6209</v>
      </c>
      <c r="F2116" s="17" t="s">
        <v>6210</v>
      </c>
      <c r="G2116" s="17">
        <v>21.992505000000001</v>
      </c>
      <c r="H2116" s="17">
        <v>87.085333000000006</v>
      </c>
      <c r="I2116" s="17"/>
      <c r="J2116" s="17"/>
      <c r="K2116" s="17"/>
      <c r="L2116" s="17"/>
      <c r="M2116" s="43" t="s">
        <v>5677</v>
      </c>
      <c r="N2116" s="17"/>
      <c r="O2116" s="17"/>
      <c r="P2116" s="17"/>
      <c r="Q2116" s="17"/>
      <c r="R2116" s="17"/>
      <c r="S2116" s="17"/>
      <c r="T2116" s="17"/>
      <c r="U2116" s="17"/>
      <c r="V2116" s="17"/>
      <c r="W2116" s="17"/>
      <c r="X2116" s="17"/>
      <c r="Y2116" s="17"/>
      <c r="Z2116" s="17"/>
      <c r="AA2116" s="17"/>
      <c r="AB2116" s="17"/>
      <c r="AC2116" s="17"/>
      <c r="AD2116" s="17"/>
      <c r="AE2116" s="17"/>
      <c r="AF2116" s="17"/>
      <c r="AG2116" s="17"/>
      <c r="AH2116" s="17"/>
      <c r="AI2116" s="17"/>
      <c r="AJ2116" s="17"/>
      <c r="AK2116" s="17"/>
      <c r="AL2116" s="17"/>
      <c r="AM2116" s="17"/>
      <c r="AN2116" s="17"/>
      <c r="AO2116" s="17"/>
      <c r="AP2116" s="17"/>
      <c r="AQ2116" s="17"/>
      <c r="AR2116" s="17"/>
      <c r="AS2116" s="17"/>
      <c r="AT2116" s="17"/>
      <c r="AU2116" s="17"/>
    </row>
    <row r="2117" hidden="1">
      <c r="A2117" s="17">
        <v>2115</v>
      </c>
      <c r="B2117" s="17" t="s">
        <v>52</v>
      </c>
      <c r="C2117" s="25" t="s">
        <v>6211</v>
      </c>
      <c r="D2117" s="35" t="s">
        <v>5571</v>
      </c>
      <c r="E2117" s="17" t="s">
        <v>6212</v>
      </c>
      <c r="F2117" s="17" t="s">
        <v>6213</v>
      </c>
      <c r="G2117" s="17">
        <v>22.020790000000002</v>
      </c>
      <c r="H2117" s="17">
        <v>87.056683000000007</v>
      </c>
      <c r="I2117" s="17"/>
      <c r="J2117" s="17"/>
      <c r="K2117" s="17"/>
      <c r="L2117" s="17"/>
      <c r="M2117" s="43" t="s">
        <v>5677</v>
      </c>
      <c r="N2117" s="17"/>
      <c r="O2117" s="17"/>
      <c r="P2117" s="17"/>
      <c r="Q2117" s="17"/>
      <c r="R2117" s="17"/>
      <c r="S2117" s="17"/>
      <c r="T2117" s="17"/>
      <c r="U2117" s="17"/>
      <c r="V2117" s="17"/>
      <c r="W2117" s="17"/>
      <c r="X2117" s="17"/>
      <c r="Y2117" s="17"/>
      <c r="Z2117" s="17"/>
      <c r="AA2117" s="17"/>
      <c r="AB2117" s="17"/>
      <c r="AC2117" s="17"/>
      <c r="AD2117" s="17"/>
      <c r="AE2117" s="17"/>
      <c r="AF2117" s="17"/>
      <c r="AG2117" s="17"/>
      <c r="AH2117" s="17"/>
      <c r="AI2117" s="17"/>
      <c r="AJ2117" s="17"/>
      <c r="AK2117" s="17"/>
      <c r="AL2117" s="17"/>
      <c r="AM2117" s="17"/>
      <c r="AN2117" s="17"/>
      <c r="AO2117" s="17"/>
      <c r="AP2117" s="17"/>
      <c r="AQ2117" s="17"/>
      <c r="AR2117" s="17"/>
      <c r="AS2117" s="17"/>
      <c r="AT2117" s="17"/>
      <c r="AU2117" s="17"/>
    </row>
    <row r="2118" hidden="1">
      <c r="A2118" s="17">
        <v>2116</v>
      </c>
      <c r="B2118" s="17" t="s">
        <v>52</v>
      </c>
      <c r="C2118" s="25" t="s">
        <v>6214</v>
      </c>
      <c r="D2118" s="35" t="s">
        <v>5571</v>
      </c>
      <c r="E2118" s="17" t="s">
        <v>6215</v>
      </c>
      <c r="F2118" s="17" t="s">
        <v>6216</v>
      </c>
      <c r="G2118" s="17">
        <v>21.881460000000001</v>
      </c>
      <c r="H2118" s="17">
        <v>87.087879999999998</v>
      </c>
      <c r="I2118" s="17"/>
      <c r="J2118" s="17"/>
      <c r="K2118" s="17"/>
      <c r="L2118" s="17"/>
      <c r="M2118" s="43" t="s">
        <v>5677</v>
      </c>
      <c r="N2118" s="17"/>
      <c r="O2118" s="17"/>
      <c r="P2118" s="17"/>
      <c r="Q2118" s="17"/>
      <c r="R2118" s="17"/>
      <c r="S2118" s="17"/>
      <c r="T2118" s="17"/>
      <c r="U2118" s="17"/>
      <c r="V2118" s="17"/>
      <c r="W2118" s="17"/>
      <c r="X2118" s="17"/>
      <c r="Y2118" s="17"/>
      <c r="Z2118" s="17"/>
      <c r="AA2118" s="17"/>
      <c r="AB2118" s="17"/>
      <c r="AC2118" s="17"/>
      <c r="AD2118" s="17"/>
      <c r="AE2118" s="17"/>
      <c r="AF2118" s="17"/>
      <c r="AG2118" s="17"/>
      <c r="AH2118" s="17"/>
      <c r="AI2118" s="17"/>
      <c r="AJ2118" s="17"/>
      <c r="AK2118" s="17"/>
      <c r="AL2118" s="17"/>
      <c r="AM2118" s="17"/>
      <c r="AN2118" s="17"/>
      <c r="AO2118" s="17"/>
      <c r="AP2118" s="17"/>
      <c r="AQ2118" s="17"/>
      <c r="AR2118" s="17"/>
      <c r="AS2118" s="17"/>
      <c r="AT2118" s="17"/>
      <c r="AU2118" s="17"/>
    </row>
    <row r="2119" hidden="1">
      <c r="A2119" s="17">
        <v>2117</v>
      </c>
      <c r="B2119" s="17" t="s">
        <v>52</v>
      </c>
      <c r="C2119" s="25" t="s">
        <v>6217</v>
      </c>
      <c r="D2119" s="35" t="s">
        <v>5571</v>
      </c>
      <c r="E2119" s="17" t="s">
        <v>6218</v>
      </c>
      <c r="F2119" s="17" t="s">
        <v>6219</v>
      </c>
      <c r="G2119" s="17">
        <v>22.072849000000001</v>
      </c>
      <c r="H2119" s="17">
        <v>86.991422</v>
      </c>
      <c r="I2119" s="17"/>
      <c r="J2119" s="17"/>
      <c r="K2119" s="17"/>
      <c r="L2119" s="17"/>
      <c r="M2119" s="43" t="s">
        <v>5677</v>
      </c>
      <c r="N2119" s="17"/>
      <c r="O2119" s="17"/>
      <c r="P2119" s="17"/>
      <c r="Q2119" s="17"/>
      <c r="R2119" s="17"/>
      <c r="S2119" s="17"/>
      <c r="T2119" s="17"/>
      <c r="U2119" s="17"/>
      <c r="V2119" s="17"/>
      <c r="W2119" s="17"/>
      <c r="X2119" s="17"/>
      <c r="Y2119" s="17"/>
      <c r="Z2119" s="17"/>
      <c r="AA2119" s="17"/>
      <c r="AB2119" s="17"/>
      <c r="AC2119" s="17"/>
      <c r="AD2119" s="17"/>
      <c r="AE2119" s="17"/>
      <c r="AF2119" s="17"/>
      <c r="AG2119" s="17"/>
      <c r="AH2119" s="17"/>
      <c r="AI2119" s="17"/>
      <c r="AJ2119" s="17"/>
      <c r="AK2119" s="17"/>
      <c r="AL2119" s="17"/>
      <c r="AM2119" s="17"/>
      <c r="AN2119" s="17"/>
      <c r="AO2119" s="17"/>
      <c r="AP2119" s="17"/>
      <c r="AQ2119" s="17"/>
      <c r="AR2119" s="17"/>
      <c r="AS2119" s="17"/>
      <c r="AT2119" s="17"/>
      <c r="AU2119" s="17"/>
    </row>
    <row r="2120" hidden="1">
      <c r="A2120" s="17">
        <v>2118</v>
      </c>
      <c r="B2120" s="17" t="s">
        <v>52</v>
      </c>
      <c r="C2120" s="25" t="s">
        <v>6220</v>
      </c>
      <c r="D2120" s="35" t="s">
        <v>5571</v>
      </c>
      <c r="E2120" s="17" t="s">
        <v>6221</v>
      </c>
      <c r="F2120" s="17" t="s">
        <v>6222</v>
      </c>
      <c r="G2120" s="17">
        <v>21.918299000000001</v>
      </c>
      <c r="H2120" s="17">
        <v>87.013335999999995</v>
      </c>
      <c r="I2120" s="17"/>
      <c r="J2120" s="17"/>
      <c r="K2120" s="17"/>
      <c r="L2120" s="17"/>
      <c r="M2120" s="43" t="s">
        <v>5677</v>
      </c>
      <c r="N2120" s="17"/>
      <c r="O2120" s="17"/>
      <c r="P2120" s="17"/>
      <c r="Q2120" s="17"/>
      <c r="R2120" s="17"/>
      <c r="S2120" s="17"/>
      <c r="T2120" s="17"/>
      <c r="U2120" s="17"/>
      <c r="V2120" s="17"/>
      <c r="W2120" s="17"/>
      <c r="X2120" s="17"/>
      <c r="Y2120" s="17"/>
      <c r="Z2120" s="17"/>
      <c r="AA2120" s="17"/>
      <c r="AB2120" s="17"/>
      <c r="AC2120" s="17"/>
      <c r="AD2120" s="17"/>
      <c r="AE2120" s="17"/>
      <c r="AF2120" s="17"/>
      <c r="AG2120" s="17"/>
      <c r="AH2120" s="17"/>
      <c r="AI2120" s="17"/>
      <c r="AJ2120" s="17"/>
      <c r="AK2120" s="17"/>
      <c r="AL2120" s="17"/>
      <c r="AM2120" s="17"/>
      <c r="AN2120" s="17"/>
      <c r="AO2120" s="17"/>
      <c r="AP2120" s="17"/>
      <c r="AQ2120" s="17"/>
      <c r="AR2120" s="17"/>
      <c r="AS2120" s="17"/>
      <c r="AT2120" s="17"/>
      <c r="AU2120" s="17"/>
    </row>
    <row r="2121" hidden="1">
      <c r="A2121" s="17">
        <v>2119</v>
      </c>
      <c r="B2121" s="17" t="s">
        <v>52</v>
      </c>
      <c r="C2121" s="25" t="s">
        <v>6223</v>
      </c>
      <c r="D2121" s="35" t="s">
        <v>5571</v>
      </c>
      <c r="E2121" s="17" t="s">
        <v>6224</v>
      </c>
      <c r="F2121" s="17" t="s">
        <v>6225</v>
      </c>
      <c r="G2121" s="17">
        <v>22.065033</v>
      </c>
      <c r="H2121" s="17">
        <v>87.035597999999993</v>
      </c>
      <c r="I2121" s="17"/>
      <c r="J2121" s="17"/>
      <c r="K2121" s="17"/>
      <c r="L2121" s="17"/>
      <c r="M2121" s="43" t="s">
        <v>5677</v>
      </c>
      <c r="N2121" s="17"/>
      <c r="O2121" s="17"/>
      <c r="P2121" s="17"/>
      <c r="Q2121" s="17"/>
      <c r="R2121" s="17"/>
      <c r="S2121" s="17"/>
      <c r="T2121" s="17"/>
      <c r="U2121" s="17"/>
      <c r="V2121" s="17"/>
      <c r="W2121" s="17"/>
      <c r="X2121" s="17"/>
      <c r="Y2121" s="17"/>
      <c r="Z2121" s="17"/>
      <c r="AA2121" s="17"/>
      <c r="AB2121" s="17"/>
      <c r="AC2121" s="17"/>
      <c r="AD2121" s="17"/>
      <c r="AE2121" s="17"/>
      <c r="AF2121" s="17"/>
      <c r="AG2121" s="17"/>
      <c r="AH2121" s="17"/>
      <c r="AI2121" s="17"/>
      <c r="AJ2121" s="17"/>
      <c r="AK2121" s="17"/>
      <c r="AL2121" s="17"/>
      <c r="AM2121" s="17"/>
      <c r="AN2121" s="17"/>
      <c r="AO2121" s="17"/>
      <c r="AP2121" s="17"/>
      <c r="AQ2121" s="17"/>
      <c r="AR2121" s="17"/>
      <c r="AS2121" s="17"/>
      <c r="AT2121" s="17"/>
      <c r="AU2121" s="17"/>
    </row>
    <row r="2122" hidden="1">
      <c r="A2122" s="17">
        <v>2120</v>
      </c>
      <c r="B2122" s="17" t="s">
        <v>52</v>
      </c>
      <c r="C2122" s="25" t="s">
        <v>6226</v>
      </c>
      <c r="D2122" s="35" t="s">
        <v>5571</v>
      </c>
      <c r="E2122" s="17" t="s">
        <v>6227</v>
      </c>
      <c r="F2122" s="17" t="s">
        <v>6228</v>
      </c>
      <c r="G2122" s="17">
        <v>22.075900000000001</v>
      </c>
      <c r="H2122" s="17">
        <v>87.085880000000003</v>
      </c>
      <c r="I2122" s="17"/>
      <c r="J2122" s="17"/>
      <c r="K2122" s="17"/>
      <c r="L2122" s="17"/>
      <c r="M2122" s="43" t="s">
        <v>5677</v>
      </c>
      <c r="N2122" s="17"/>
      <c r="O2122" s="17"/>
      <c r="P2122" s="17"/>
      <c r="Q2122" s="17"/>
      <c r="R2122" s="17"/>
      <c r="S2122" s="17"/>
      <c r="T2122" s="17"/>
      <c r="U2122" s="17"/>
      <c r="V2122" s="17"/>
      <c r="W2122" s="17"/>
      <c r="X2122" s="17"/>
      <c r="Y2122" s="17"/>
      <c r="Z2122" s="17"/>
      <c r="AA2122" s="17"/>
      <c r="AB2122" s="17"/>
      <c r="AC2122" s="17"/>
      <c r="AD2122" s="17"/>
      <c r="AE2122" s="17"/>
      <c r="AF2122" s="17"/>
      <c r="AG2122" s="17"/>
      <c r="AH2122" s="17"/>
      <c r="AI2122" s="17"/>
      <c r="AJ2122" s="17"/>
      <c r="AK2122" s="17"/>
      <c r="AL2122" s="17"/>
      <c r="AM2122" s="17"/>
      <c r="AN2122" s="17"/>
      <c r="AO2122" s="17"/>
      <c r="AP2122" s="17"/>
      <c r="AQ2122" s="17"/>
      <c r="AR2122" s="17"/>
      <c r="AS2122" s="17"/>
      <c r="AT2122" s="17"/>
      <c r="AU2122" s="17"/>
    </row>
    <row r="2123" hidden="1">
      <c r="A2123" s="17">
        <v>2121</v>
      </c>
      <c r="B2123" s="17" t="s">
        <v>52</v>
      </c>
      <c r="C2123" s="25" t="s">
        <v>6229</v>
      </c>
      <c r="D2123" s="35" t="s">
        <v>5571</v>
      </c>
      <c r="E2123" s="17" t="s">
        <v>6230</v>
      </c>
      <c r="F2123" s="17" t="s">
        <v>6231</v>
      </c>
      <c r="G2123" s="17">
        <v>22.107066</v>
      </c>
      <c r="H2123" s="17">
        <v>87.063012000000001</v>
      </c>
      <c r="I2123" s="17"/>
      <c r="J2123" s="17"/>
      <c r="K2123" s="17"/>
      <c r="L2123" s="17"/>
      <c r="M2123" s="43" t="s">
        <v>5677</v>
      </c>
      <c r="N2123" s="17"/>
      <c r="O2123" s="17"/>
      <c r="P2123" s="17"/>
      <c r="Q2123" s="17"/>
      <c r="R2123" s="17"/>
      <c r="S2123" s="17"/>
      <c r="T2123" s="17"/>
      <c r="U2123" s="17"/>
      <c r="V2123" s="17"/>
      <c r="W2123" s="17"/>
      <c r="X2123" s="17"/>
      <c r="Y2123" s="17"/>
      <c r="Z2123" s="17"/>
      <c r="AA2123" s="17"/>
      <c r="AB2123" s="17"/>
      <c r="AC2123" s="17"/>
      <c r="AD2123" s="17"/>
      <c r="AE2123" s="17"/>
      <c r="AF2123" s="17"/>
      <c r="AG2123" s="17"/>
      <c r="AH2123" s="17"/>
      <c r="AI2123" s="17"/>
      <c r="AJ2123" s="17"/>
      <c r="AK2123" s="17"/>
      <c r="AL2123" s="17"/>
      <c r="AM2123" s="17"/>
      <c r="AN2123" s="17"/>
      <c r="AO2123" s="17"/>
      <c r="AP2123" s="17"/>
      <c r="AQ2123" s="17"/>
      <c r="AR2123" s="17"/>
      <c r="AS2123" s="17"/>
      <c r="AT2123" s="17"/>
      <c r="AU2123" s="17"/>
    </row>
    <row r="2124" hidden="1">
      <c r="A2124" s="17">
        <v>2122</v>
      </c>
      <c r="B2124" s="17" t="s">
        <v>52</v>
      </c>
      <c r="C2124" s="25" t="s">
        <v>6232</v>
      </c>
      <c r="D2124" s="35" t="s">
        <v>5571</v>
      </c>
      <c r="E2124" s="17" t="s">
        <v>6233</v>
      </c>
      <c r="F2124" s="17" t="s">
        <v>6234</v>
      </c>
      <c r="G2124" s="17">
        <v>22.042185</v>
      </c>
      <c r="H2124" s="17">
        <v>87.083900999999997</v>
      </c>
      <c r="I2124" s="17"/>
      <c r="J2124" s="17"/>
      <c r="K2124" s="17"/>
      <c r="L2124" s="17"/>
      <c r="M2124" s="43" t="s">
        <v>5677</v>
      </c>
      <c r="N2124" s="17"/>
      <c r="O2124" s="17"/>
      <c r="P2124" s="17"/>
      <c r="Q2124" s="17"/>
      <c r="R2124" s="17"/>
      <c r="S2124" s="17"/>
      <c r="T2124" s="17"/>
      <c r="U2124" s="17"/>
      <c r="V2124" s="17"/>
      <c r="W2124" s="17"/>
      <c r="X2124" s="17"/>
      <c r="Y2124" s="17"/>
      <c r="Z2124" s="17"/>
      <c r="AA2124" s="17"/>
      <c r="AB2124" s="17"/>
      <c r="AC2124" s="17"/>
      <c r="AD2124" s="17"/>
      <c r="AE2124" s="17"/>
      <c r="AF2124" s="17"/>
      <c r="AG2124" s="17"/>
      <c r="AH2124" s="17"/>
      <c r="AI2124" s="17"/>
      <c r="AJ2124" s="17"/>
      <c r="AK2124" s="17"/>
      <c r="AL2124" s="17"/>
      <c r="AM2124" s="17"/>
      <c r="AN2124" s="17"/>
      <c r="AO2124" s="17"/>
      <c r="AP2124" s="17"/>
      <c r="AQ2124" s="17"/>
      <c r="AR2124" s="17"/>
      <c r="AS2124" s="17"/>
      <c r="AT2124" s="17"/>
      <c r="AU2124" s="17"/>
    </row>
    <row r="2125" hidden="1">
      <c r="A2125" s="17">
        <v>2123</v>
      </c>
      <c r="B2125" s="17" t="s">
        <v>52</v>
      </c>
      <c r="C2125" s="25" t="s">
        <v>6235</v>
      </c>
      <c r="D2125" s="35" t="s">
        <v>5571</v>
      </c>
      <c r="E2125" s="17" t="s">
        <v>6236</v>
      </c>
      <c r="F2125" s="17" t="s">
        <v>6237</v>
      </c>
      <c r="G2125" s="17">
        <v>21.99091</v>
      </c>
      <c r="H2125" s="17">
        <v>87.040789000000004</v>
      </c>
      <c r="I2125" s="17"/>
      <c r="J2125" s="17"/>
      <c r="K2125" s="17"/>
      <c r="L2125" s="17"/>
      <c r="M2125" s="43" t="s">
        <v>5677</v>
      </c>
      <c r="N2125" s="17"/>
      <c r="O2125" s="17"/>
      <c r="P2125" s="17"/>
      <c r="Q2125" s="17"/>
      <c r="R2125" s="17"/>
      <c r="S2125" s="17"/>
      <c r="T2125" s="17"/>
      <c r="U2125" s="17"/>
      <c r="V2125" s="17"/>
      <c r="W2125" s="17"/>
      <c r="X2125" s="17"/>
      <c r="Y2125" s="17"/>
      <c r="Z2125" s="17"/>
      <c r="AA2125" s="17"/>
      <c r="AB2125" s="17"/>
      <c r="AC2125" s="17"/>
      <c r="AD2125" s="17"/>
      <c r="AE2125" s="17"/>
      <c r="AF2125" s="17"/>
      <c r="AG2125" s="17"/>
      <c r="AH2125" s="17"/>
      <c r="AI2125" s="17"/>
      <c r="AJ2125" s="17"/>
      <c r="AK2125" s="17"/>
      <c r="AL2125" s="17"/>
      <c r="AM2125" s="17"/>
      <c r="AN2125" s="17"/>
      <c r="AO2125" s="17"/>
      <c r="AP2125" s="17"/>
      <c r="AQ2125" s="17"/>
      <c r="AR2125" s="17"/>
      <c r="AS2125" s="17"/>
      <c r="AT2125" s="17"/>
      <c r="AU2125" s="17"/>
    </row>
    <row r="2126" hidden="1">
      <c r="A2126" s="17">
        <v>2124</v>
      </c>
      <c r="B2126" s="17" t="s">
        <v>52</v>
      </c>
      <c r="C2126" s="25" t="s">
        <v>6238</v>
      </c>
      <c r="D2126" s="35" t="s">
        <v>5571</v>
      </c>
      <c r="E2126" s="17" t="s">
        <v>6239</v>
      </c>
      <c r="F2126" s="17" t="s">
        <v>6240</v>
      </c>
      <c r="G2126" s="17">
        <v>21.943242000000001</v>
      </c>
      <c r="H2126" s="17">
        <v>87.148847000000004</v>
      </c>
      <c r="I2126" s="17"/>
      <c r="J2126" s="17"/>
      <c r="K2126" s="17"/>
      <c r="L2126" s="17"/>
      <c r="M2126" s="43" t="s">
        <v>5677</v>
      </c>
      <c r="N2126" s="17"/>
      <c r="O2126" s="17"/>
      <c r="P2126" s="17"/>
      <c r="Q2126" s="17"/>
      <c r="R2126" s="17"/>
      <c r="S2126" s="17"/>
      <c r="T2126" s="17"/>
      <c r="U2126" s="17"/>
      <c r="V2126" s="17"/>
      <c r="W2126" s="17"/>
      <c r="X2126" s="17"/>
      <c r="Y2126" s="17"/>
      <c r="Z2126" s="17"/>
      <c r="AA2126" s="17"/>
      <c r="AB2126" s="17"/>
      <c r="AC2126" s="17"/>
      <c r="AD2126" s="17"/>
      <c r="AE2126" s="17"/>
      <c r="AF2126" s="17"/>
      <c r="AG2126" s="17"/>
      <c r="AH2126" s="17"/>
      <c r="AI2126" s="17"/>
      <c r="AJ2126" s="17"/>
      <c r="AK2126" s="17"/>
      <c r="AL2126" s="17"/>
      <c r="AM2126" s="17"/>
      <c r="AN2126" s="17"/>
      <c r="AO2126" s="17"/>
      <c r="AP2126" s="17"/>
      <c r="AQ2126" s="17"/>
      <c r="AR2126" s="17"/>
      <c r="AS2126" s="17"/>
      <c r="AT2126" s="17"/>
      <c r="AU2126" s="17"/>
    </row>
    <row r="2127" hidden="1">
      <c r="A2127" s="17">
        <v>2125</v>
      </c>
      <c r="B2127" s="17" t="s">
        <v>52</v>
      </c>
      <c r="C2127" s="25" t="s">
        <v>6241</v>
      </c>
      <c r="D2127" s="35" t="s">
        <v>5571</v>
      </c>
      <c r="E2127" s="17" t="s">
        <v>6242</v>
      </c>
      <c r="F2127" s="17" t="s">
        <v>6243</v>
      </c>
      <c r="G2127" s="17">
        <v>22.030760000000001</v>
      </c>
      <c r="H2127" s="17">
        <v>87.171655999999999</v>
      </c>
      <c r="I2127" s="17"/>
      <c r="J2127" s="17"/>
      <c r="K2127" s="17"/>
      <c r="L2127" s="17"/>
      <c r="M2127" s="43" t="s">
        <v>5677</v>
      </c>
      <c r="N2127" s="17"/>
      <c r="O2127" s="17"/>
      <c r="P2127" s="17"/>
      <c r="Q2127" s="17"/>
      <c r="R2127" s="17"/>
      <c r="S2127" s="17"/>
      <c r="T2127" s="17"/>
      <c r="U2127" s="17"/>
      <c r="V2127" s="17"/>
      <c r="W2127" s="17"/>
      <c r="X2127" s="17"/>
      <c r="Y2127" s="17"/>
      <c r="Z2127" s="17"/>
      <c r="AA2127" s="17"/>
      <c r="AB2127" s="17"/>
      <c r="AC2127" s="17"/>
      <c r="AD2127" s="17"/>
      <c r="AE2127" s="17"/>
      <c r="AF2127" s="17"/>
      <c r="AG2127" s="17"/>
      <c r="AH2127" s="17"/>
      <c r="AI2127" s="17"/>
      <c r="AJ2127" s="17"/>
      <c r="AK2127" s="17"/>
      <c r="AL2127" s="17"/>
      <c r="AM2127" s="17"/>
      <c r="AN2127" s="17"/>
      <c r="AO2127" s="17"/>
      <c r="AP2127" s="17"/>
      <c r="AQ2127" s="17"/>
      <c r="AR2127" s="17"/>
      <c r="AS2127" s="17"/>
      <c r="AT2127" s="17"/>
      <c r="AU2127" s="17"/>
    </row>
    <row r="2128" hidden="1">
      <c r="A2128" s="17">
        <v>2126</v>
      </c>
      <c r="B2128" s="17" t="s">
        <v>52</v>
      </c>
      <c r="C2128" s="25" t="s">
        <v>6244</v>
      </c>
      <c r="D2128" s="35" t="s">
        <v>5571</v>
      </c>
      <c r="E2128" s="17" t="s">
        <v>6245</v>
      </c>
      <c r="F2128" s="17" t="s">
        <v>6246</v>
      </c>
      <c r="G2128" s="17">
        <v>21.938369000000002</v>
      </c>
      <c r="H2128" s="17">
        <v>87.088015999999996</v>
      </c>
      <c r="I2128" s="17"/>
      <c r="J2128" s="17"/>
      <c r="K2128" s="17"/>
      <c r="L2128" s="17"/>
      <c r="M2128" s="43" t="s">
        <v>5677</v>
      </c>
      <c r="N2128" s="17"/>
      <c r="O2128" s="17"/>
      <c r="P2128" s="17"/>
      <c r="Q2128" s="17"/>
      <c r="R2128" s="17"/>
      <c r="S2128" s="17"/>
      <c r="T2128" s="17"/>
      <c r="U2128" s="17"/>
      <c r="V2128" s="17"/>
      <c r="W2128" s="17"/>
      <c r="X2128" s="17"/>
      <c r="Y2128" s="17"/>
      <c r="Z2128" s="17"/>
      <c r="AA2128" s="17"/>
      <c r="AB2128" s="17"/>
      <c r="AC2128" s="17"/>
      <c r="AD2128" s="17"/>
      <c r="AE2128" s="17"/>
      <c r="AF2128" s="17"/>
      <c r="AG2128" s="17"/>
      <c r="AH2128" s="17"/>
      <c r="AI2128" s="17"/>
      <c r="AJ2128" s="17"/>
      <c r="AK2128" s="17"/>
      <c r="AL2128" s="17"/>
      <c r="AM2128" s="17"/>
      <c r="AN2128" s="17"/>
      <c r="AO2128" s="17"/>
      <c r="AP2128" s="17"/>
      <c r="AQ2128" s="17"/>
      <c r="AR2128" s="17"/>
      <c r="AS2128" s="17"/>
      <c r="AT2128" s="17"/>
      <c r="AU2128" s="17"/>
    </row>
    <row r="2129" hidden="1">
      <c r="A2129" s="17">
        <v>2127</v>
      </c>
      <c r="B2129" s="17" t="s">
        <v>52</v>
      </c>
      <c r="C2129" s="25" t="s">
        <v>6247</v>
      </c>
      <c r="D2129" s="35" t="s">
        <v>5571</v>
      </c>
      <c r="E2129" s="17" t="s">
        <v>6248</v>
      </c>
      <c r="F2129" s="17" t="s">
        <v>6249</v>
      </c>
      <c r="G2129" s="17">
        <v>22.130358999999999</v>
      </c>
      <c r="H2129" s="17">
        <v>87.064661000000001</v>
      </c>
      <c r="I2129" s="17"/>
      <c r="J2129" s="17"/>
      <c r="K2129" s="17"/>
      <c r="L2129" s="17"/>
      <c r="M2129" s="43" t="s">
        <v>5677</v>
      </c>
      <c r="N2129" s="17"/>
      <c r="O2129" s="17"/>
      <c r="P2129" s="17"/>
      <c r="Q2129" s="17"/>
      <c r="R2129" s="17"/>
      <c r="S2129" s="17"/>
      <c r="T2129" s="17"/>
      <c r="U2129" s="17"/>
      <c r="V2129" s="17"/>
      <c r="W2129" s="17"/>
      <c r="X2129" s="17"/>
      <c r="Y2129" s="17"/>
      <c r="Z2129" s="17"/>
      <c r="AA2129" s="17"/>
      <c r="AB2129" s="17"/>
      <c r="AC2129" s="17"/>
      <c r="AD2129" s="17"/>
      <c r="AE2129" s="17"/>
      <c r="AF2129" s="17"/>
      <c r="AG2129" s="17"/>
      <c r="AH2129" s="17"/>
      <c r="AI2129" s="17"/>
      <c r="AJ2129" s="17"/>
      <c r="AK2129" s="17"/>
      <c r="AL2129" s="17"/>
      <c r="AM2129" s="17"/>
      <c r="AN2129" s="17"/>
      <c r="AO2129" s="17"/>
      <c r="AP2129" s="17"/>
      <c r="AQ2129" s="17"/>
      <c r="AR2129" s="17"/>
      <c r="AS2129" s="17"/>
      <c r="AT2129" s="17"/>
      <c r="AU2129" s="17"/>
    </row>
    <row r="2130" hidden="1">
      <c r="A2130" s="17">
        <v>2128</v>
      </c>
      <c r="B2130" s="17" t="s">
        <v>52</v>
      </c>
      <c r="C2130" s="25" t="s">
        <v>6250</v>
      </c>
      <c r="D2130" s="35" t="s">
        <v>5571</v>
      </c>
      <c r="E2130" s="17" t="s">
        <v>6251</v>
      </c>
      <c r="F2130" s="17" t="s">
        <v>6252</v>
      </c>
      <c r="G2130" s="17">
        <v>21.975491000000002</v>
      </c>
      <c r="H2130" s="17">
        <v>87.071512999999996</v>
      </c>
      <c r="I2130" s="17"/>
      <c r="J2130" s="17"/>
      <c r="K2130" s="17"/>
      <c r="L2130" s="17"/>
      <c r="M2130" s="43" t="s">
        <v>5677</v>
      </c>
      <c r="N2130" s="17"/>
      <c r="O2130" s="17"/>
      <c r="P2130" s="17"/>
      <c r="Q2130" s="17"/>
      <c r="R2130" s="17"/>
      <c r="S2130" s="17"/>
      <c r="T2130" s="17"/>
      <c r="U2130" s="17"/>
      <c r="V2130" s="17"/>
      <c r="W2130" s="17"/>
      <c r="X2130" s="17"/>
      <c r="Y2130" s="17"/>
      <c r="Z2130" s="17"/>
      <c r="AA2130" s="17"/>
      <c r="AB2130" s="17"/>
      <c r="AC2130" s="17"/>
      <c r="AD2130" s="17"/>
      <c r="AE2130" s="17"/>
      <c r="AF2130" s="17"/>
      <c r="AG2130" s="17"/>
      <c r="AH2130" s="17"/>
      <c r="AI2130" s="17"/>
      <c r="AJ2130" s="17"/>
      <c r="AK2130" s="17"/>
      <c r="AL2130" s="17"/>
      <c r="AM2130" s="17"/>
      <c r="AN2130" s="17"/>
      <c r="AO2130" s="17"/>
      <c r="AP2130" s="17"/>
      <c r="AQ2130" s="17"/>
      <c r="AR2130" s="17"/>
      <c r="AS2130" s="17"/>
      <c r="AT2130" s="17"/>
      <c r="AU2130" s="17"/>
    </row>
    <row r="2131" hidden="1">
      <c r="A2131" s="17">
        <v>2129</v>
      </c>
      <c r="B2131" s="17" t="s">
        <v>52</v>
      </c>
      <c r="C2131" s="25" t="s">
        <v>6253</v>
      </c>
      <c r="D2131" s="35" t="s">
        <v>5571</v>
      </c>
      <c r="E2131" s="17" t="s">
        <v>6254</v>
      </c>
      <c r="F2131" s="17" t="s">
        <v>6255</v>
      </c>
      <c r="G2131" s="17">
        <v>22.109148000000001</v>
      </c>
      <c r="H2131" s="17">
        <v>87.099320000000006</v>
      </c>
      <c r="I2131" s="17"/>
      <c r="J2131" s="17"/>
      <c r="K2131" s="17"/>
      <c r="L2131" s="17"/>
      <c r="M2131" s="43" t="s">
        <v>5677</v>
      </c>
      <c r="N2131" s="17"/>
      <c r="O2131" s="17"/>
      <c r="P2131" s="17"/>
      <c r="Q2131" s="17"/>
      <c r="R2131" s="17"/>
      <c r="S2131" s="17"/>
      <c r="T2131" s="17"/>
      <c r="U2131" s="17"/>
      <c r="V2131" s="17"/>
      <c r="W2131" s="17"/>
      <c r="X2131" s="17"/>
      <c r="Y2131" s="17"/>
      <c r="Z2131" s="17"/>
      <c r="AA2131" s="17"/>
      <c r="AB2131" s="17"/>
      <c r="AC2131" s="17"/>
      <c r="AD2131" s="17"/>
      <c r="AE2131" s="17"/>
      <c r="AF2131" s="17"/>
      <c r="AG2131" s="17"/>
      <c r="AH2131" s="17"/>
      <c r="AI2131" s="17"/>
      <c r="AJ2131" s="17"/>
      <c r="AK2131" s="17"/>
      <c r="AL2131" s="17"/>
      <c r="AM2131" s="17"/>
      <c r="AN2131" s="17"/>
      <c r="AO2131" s="17"/>
      <c r="AP2131" s="17"/>
      <c r="AQ2131" s="17"/>
      <c r="AR2131" s="17"/>
      <c r="AS2131" s="17"/>
      <c r="AT2131" s="17"/>
      <c r="AU2131" s="17"/>
    </row>
    <row r="2132" hidden="1">
      <c r="A2132" s="17">
        <v>2130</v>
      </c>
      <c r="B2132" s="17" t="s">
        <v>52</v>
      </c>
      <c r="C2132" s="30" t="s">
        <v>6253</v>
      </c>
      <c r="D2132" s="35" t="s">
        <v>5571</v>
      </c>
      <c r="E2132" s="17" t="s">
        <v>6254</v>
      </c>
      <c r="F2132" s="17" t="s">
        <v>6255</v>
      </c>
      <c r="G2132" s="17">
        <v>22.109148000000001</v>
      </c>
      <c r="H2132" s="17">
        <v>87.099320000000006</v>
      </c>
      <c r="I2132" s="17"/>
      <c r="J2132" s="17"/>
      <c r="K2132" s="17"/>
      <c r="L2132" s="17"/>
      <c r="M2132" s="43" t="s">
        <v>5677</v>
      </c>
      <c r="N2132" s="17"/>
      <c r="O2132" s="17"/>
      <c r="P2132" s="17"/>
      <c r="Q2132" s="17"/>
      <c r="R2132" s="17"/>
      <c r="S2132" s="17"/>
      <c r="T2132" s="17"/>
      <c r="U2132" s="17"/>
      <c r="V2132" s="17"/>
      <c r="W2132" s="17"/>
      <c r="X2132" s="17"/>
      <c r="Y2132" s="17"/>
      <c r="Z2132" s="17"/>
      <c r="AA2132" s="17"/>
      <c r="AB2132" s="17"/>
      <c r="AC2132" s="17"/>
      <c r="AD2132" s="17"/>
      <c r="AE2132" s="17"/>
      <c r="AF2132" s="17"/>
      <c r="AG2132" s="17"/>
      <c r="AH2132" s="17"/>
      <c r="AI2132" s="17"/>
      <c r="AJ2132" s="17"/>
      <c r="AK2132" s="17"/>
      <c r="AL2132" s="17"/>
      <c r="AM2132" s="17"/>
      <c r="AN2132" s="17"/>
      <c r="AO2132" s="17"/>
      <c r="AP2132" s="17"/>
      <c r="AQ2132" s="17"/>
      <c r="AR2132" s="17"/>
      <c r="AS2132" s="17"/>
      <c r="AT2132" s="17"/>
      <c r="AU2132" s="17"/>
    </row>
    <row r="2133" hidden="1">
      <c r="A2133" s="17">
        <v>2131</v>
      </c>
      <c r="B2133" s="17" t="s">
        <v>52</v>
      </c>
      <c r="C2133" s="25" t="s">
        <v>6256</v>
      </c>
      <c r="D2133" s="35" t="s">
        <v>5571</v>
      </c>
      <c r="E2133" s="17" t="s">
        <v>6257</v>
      </c>
      <c r="F2133" s="17" t="s">
        <v>6258</v>
      </c>
      <c r="G2133" s="17">
        <v>21.908270000000002</v>
      </c>
      <c r="H2133" s="17">
        <v>87.055223999999995</v>
      </c>
      <c r="I2133" s="17"/>
      <c r="J2133" s="17"/>
      <c r="K2133" s="17"/>
      <c r="L2133" s="17"/>
      <c r="M2133" s="43" t="s">
        <v>5677</v>
      </c>
      <c r="N2133" s="17"/>
      <c r="O2133" s="17"/>
      <c r="P2133" s="17"/>
      <c r="Q2133" s="17"/>
      <c r="R2133" s="17"/>
      <c r="S2133" s="17"/>
      <c r="T2133" s="17"/>
      <c r="U2133" s="17"/>
      <c r="V2133" s="17"/>
      <c r="W2133" s="17"/>
      <c r="X2133" s="17"/>
      <c r="Y2133" s="17"/>
      <c r="Z2133" s="17"/>
      <c r="AA2133" s="17"/>
      <c r="AB2133" s="17"/>
      <c r="AC2133" s="17"/>
      <c r="AD2133" s="17"/>
      <c r="AE2133" s="17"/>
      <c r="AF2133" s="17"/>
      <c r="AG2133" s="17"/>
      <c r="AH2133" s="17"/>
      <c r="AI2133" s="17"/>
      <c r="AJ2133" s="17"/>
      <c r="AK2133" s="17"/>
      <c r="AL2133" s="17"/>
      <c r="AM2133" s="17"/>
      <c r="AN2133" s="17"/>
      <c r="AO2133" s="17"/>
      <c r="AP2133" s="17"/>
      <c r="AQ2133" s="17"/>
      <c r="AR2133" s="17"/>
      <c r="AS2133" s="17"/>
      <c r="AT2133" s="17"/>
      <c r="AU2133" s="17"/>
    </row>
    <row r="2134" hidden="1">
      <c r="A2134" s="17">
        <v>2132</v>
      </c>
      <c r="B2134" s="17" t="s">
        <v>52</v>
      </c>
      <c r="C2134" s="25" t="s">
        <v>6259</v>
      </c>
      <c r="D2134" s="35" t="s">
        <v>5571</v>
      </c>
      <c r="E2134" s="17" t="s">
        <v>6260</v>
      </c>
      <c r="F2134" s="17" t="s">
        <v>6261</v>
      </c>
      <c r="G2134" s="17">
        <v>21.988350000000001</v>
      </c>
      <c r="H2134" s="17">
        <v>87.154379000000006</v>
      </c>
      <c r="I2134" s="17"/>
      <c r="J2134" s="17"/>
      <c r="K2134" s="17"/>
      <c r="L2134" s="17"/>
      <c r="M2134" s="43" t="s">
        <v>5677</v>
      </c>
      <c r="N2134" s="17"/>
      <c r="O2134" s="17"/>
      <c r="P2134" s="17"/>
      <c r="Q2134" s="17"/>
      <c r="R2134" s="17"/>
      <c r="S2134" s="17"/>
      <c r="T2134" s="17"/>
      <c r="U2134" s="17"/>
      <c r="V2134" s="17"/>
      <c r="W2134" s="17"/>
      <c r="X2134" s="17"/>
      <c r="Y2134" s="17"/>
      <c r="Z2134" s="17"/>
      <c r="AA2134" s="17"/>
      <c r="AB2134" s="17"/>
      <c r="AC2134" s="17"/>
      <c r="AD2134" s="17"/>
      <c r="AE2134" s="17"/>
      <c r="AF2134" s="17"/>
      <c r="AG2134" s="17"/>
      <c r="AH2134" s="17"/>
      <c r="AI2134" s="17"/>
      <c r="AJ2134" s="17"/>
      <c r="AK2134" s="17"/>
      <c r="AL2134" s="17"/>
      <c r="AM2134" s="17"/>
      <c r="AN2134" s="17"/>
      <c r="AO2134" s="17"/>
      <c r="AP2134" s="17"/>
      <c r="AQ2134" s="17"/>
      <c r="AR2134" s="17"/>
      <c r="AS2134" s="17"/>
      <c r="AT2134" s="17"/>
      <c r="AU2134" s="17"/>
    </row>
    <row r="2135" hidden="1">
      <c r="A2135" s="17">
        <v>2133</v>
      </c>
      <c r="B2135" s="17" t="s">
        <v>52</v>
      </c>
      <c r="C2135" s="25" t="s">
        <v>6262</v>
      </c>
      <c r="D2135" s="35" t="s">
        <v>5571</v>
      </c>
      <c r="E2135" s="17" t="s">
        <v>6263</v>
      </c>
      <c r="F2135" s="17" t="s">
        <v>6264</v>
      </c>
      <c r="G2135" s="17">
        <v>21.959959000000001</v>
      </c>
      <c r="H2135" s="17">
        <v>87.139914000000005</v>
      </c>
      <c r="I2135" s="17"/>
      <c r="J2135" s="17"/>
      <c r="K2135" s="17"/>
      <c r="L2135" s="17"/>
      <c r="M2135" s="43" t="s">
        <v>5677</v>
      </c>
      <c r="N2135" s="17"/>
      <c r="O2135" s="17"/>
      <c r="P2135" s="17"/>
      <c r="Q2135" s="17"/>
      <c r="R2135" s="17"/>
      <c r="S2135" s="17"/>
      <c r="T2135" s="17"/>
      <c r="U2135" s="17"/>
      <c r="V2135" s="17"/>
      <c r="W2135" s="17"/>
      <c r="X2135" s="17"/>
      <c r="Y2135" s="17"/>
      <c r="Z2135" s="17"/>
      <c r="AA2135" s="17"/>
      <c r="AB2135" s="17"/>
      <c r="AC2135" s="17"/>
      <c r="AD2135" s="17"/>
      <c r="AE2135" s="17"/>
      <c r="AF2135" s="17"/>
      <c r="AG2135" s="17"/>
      <c r="AH2135" s="17"/>
      <c r="AI2135" s="17"/>
      <c r="AJ2135" s="17"/>
      <c r="AK2135" s="17"/>
      <c r="AL2135" s="17"/>
      <c r="AM2135" s="17"/>
      <c r="AN2135" s="17"/>
      <c r="AO2135" s="17"/>
      <c r="AP2135" s="17"/>
      <c r="AQ2135" s="17"/>
      <c r="AR2135" s="17"/>
      <c r="AS2135" s="17"/>
      <c r="AT2135" s="17"/>
      <c r="AU2135" s="17"/>
    </row>
    <row r="2136" hidden="1">
      <c r="A2136" s="17">
        <v>2134</v>
      </c>
      <c r="B2136" s="17" t="s">
        <v>52</v>
      </c>
      <c r="C2136" s="25" t="s">
        <v>6265</v>
      </c>
      <c r="D2136" s="35" t="s">
        <v>5571</v>
      </c>
      <c r="E2136" s="17" t="s">
        <v>6266</v>
      </c>
      <c r="F2136" s="17" t="s">
        <v>6267</v>
      </c>
      <c r="G2136" s="17">
        <v>22.721063999999998</v>
      </c>
      <c r="H2136" s="17">
        <v>87.069421000000006</v>
      </c>
      <c r="I2136" s="17"/>
      <c r="J2136" s="17"/>
      <c r="K2136" s="17"/>
      <c r="L2136" s="17"/>
      <c r="M2136" s="43" t="s">
        <v>4347</v>
      </c>
      <c r="N2136" s="17"/>
      <c r="O2136" s="17"/>
      <c r="P2136" s="17"/>
      <c r="Q2136" s="17"/>
      <c r="R2136" s="17"/>
      <c r="S2136" s="17"/>
      <c r="T2136" s="17"/>
      <c r="U2136" s="17"/>
      <c r="V2136" s="17"/>
      <c r="W2136" s="17"/>
      <c r="X2136" s="17"/>
      <c r="Y2136" s="17"/>
      <c r="Z2136" s="17"/>
      <c r="AA2136" s="17"/>
      <c r="AB2136" s="17"/>
      <c r="AC2136" s="17"/>
      <c r="AD2136" s="17"/>
      <c r="AE2136" s="17"/>
      <c r="AF2136" s="17"/>
      <c r="AG2136" s="17"/>
      <c r="AH2136" s="17"/>
      <c r="AI2136" s="17"/>
      <c r="AJ2136" s="17"/>
      <c r="AK2136" s="17"/>
      <c r="AL2136" s="17"/>
      <c r="AM2136" s="17"/>
      <c r="AN2136" s="17"/>
      <c r="AO2136" s="17"/>
      <c r="AP2136" s="17"/>
      <c r="AQ2136" s="17"/>
      <c r="AR2136" s="17"/>
      <c r="AS2136" s="17"/>
      <c r="AT2136" s="17"/>
      <c r="AU2136" s="17"/>
    </row>
    <row r="2137" hidden="1">
      <c r="A2137" s="17">
        <v>2135</v>
      </c>
      <c r="B2137" s="17" t="s">
        <v>52</v>
      </c>
      <c r="C2137" s="25" t="s">
        <v>6268</v>
      </c>
      <c r="D2137" s="35" t="s">
        <v>5571</v>
      </c>
      <c r="E2137" s="17" t="s">
        <v>6269</v>
      </c>
      <c r="F2137" s="17" t="s">
        <v>6270</v>
      </c>
      <c r="G2137" s="17">
        <v>22.662223000000001</v>
      </c>
      <c r="H2137" s="17">
        <v>87.098093000000006</v>
      </c>
      <c r="I2137" s="17"/>
      <c r="J2137" s="17"/>
      <c r="K2137" s="17"/>
      <c r="L2137" s="17"/>
      <c r="M2137" s="43" t="s">
        <v>4347</v>
      </c>
      <c r="N2137" s="17"/>
      <c r="O2137" s="17"/>
      <c r="P2137" s="17"/>
      <c r="Q2137" s="17"/>
      <c r="R2137" s="17"/>
      <c r="S2137" s="17"/>
      <c r="T2137" s="17"/>
      <c r="U2137" s="17"/>
      <c r="V2137" s="17"/>
      <c r="W2137" s="17"/>
      <c r="X2137" s="17"/>
      <c r="Y2137" s="17"/>
      <c r="Z2137" s="17"/>
      <c r="AA2137" s="17"/>
      <c r="AB2137" s="17"/>
      <c r="AC2137" s="17"/>
      <c r="AD2137" s="17"/>
      <c r="AE2137" s="17"/>
      <c r="AF2137" s="17"/>
      <c r="AG2137" s="17"/>
      <c r="AH2137" s="17"/>
      <c r="AI2137" s="17"/>
      <c r="AJ2137" s="17"/>
      <c r="AK2137" s="17"/>
      <c r="AL2137" s="17"/>
      <c r="AM2137" s="17"/>
      <c r="AN2137" s="17"/>
      <c r="AO2137" s="17"/>
      <c r="AP2137" s="17"/>
      <c r="AQ2137" s="17"/>
      <c r="AR2137" s="17"/>
      <c r="AS2137" s="17"/>
      <c r="AT2137" s="17"/>
      <c r="AU2137" s="17"/>
    </row>
    <row r="2138" hidden="1">
      <c r="A2138" s="17">
        <v>2136</v>
      </c>
      <c r="B2138" s="17" t="s">
        <v>52</v>
      </c>
      <c r="C2138" s="25" t="s">
        <v>6271</v>
      </c>
      <c r="D2138" s="35" t="s">
        <v>5571</v>
      </c>
      <c r="E2138" s="17" t="s">
        <v>6272</v>
      </c>
      <c r="F2138" s="17" t="s">
        <v>6273</v>
      </c>
      <c r="G2138" s="17">
        <v>22.635128000000002</v>
      </c>
      <c r="H2138" s="17">
        <v>87.009574000000001</v>
      </c>
      <c r="I2138" s="17"/>
      <c r="J2138" s="17"/>
      <c r="K2138" s="17"/>
      <c r="L2138" s="17"/>
      <c r="M2138" s="43" t="s">
        <v>4347</v>
      </c>
      <c r="N2138" s="17"/>
      <c r="O2138" s="17"/>
      <c r="P2138" s="17"/>
      <c r="Q2138" s="17"/>
      <c r="R2138" s="17"/>
      <c r="S2138" s="17"/>
      <c r="T2138" s="17"/>
      <c r="U2138" s="17"/>
      <c r="V2138" s="17"/>
      <c r="W2138" s="17"/>
      <c r="X2138" s="17"/>
      <c r="Y2138" s="17"/>
      <c r="Z2138" s="17"/>
      <c r="AA2138" s="17"/>
      <c r="AB2138" s="17"/>
      <c r="AC2138" s="17"/>
      <c r="AD2138" s="17"/>
      <c r="AE2138" s="17"/>
      <c r="AF2138" s="17"/>
      <c r="AG2138" s="17"/>
      <c r="AH2138" s="17"/>
      <c r="AI2138" s="17"/>
      <c r="AJ2138" s="17"/>
      <c r="AK2138" s="17"/>
      <c r="AL2138" s="17"/>
      <c r="AM2138" s="17"/>
      <c r="AN2138" s="17"/>
      <c r="AO2138" s="17"/>
      <c r="AP2138" s="17"/>
      <c r="AQ2138" s="17"/>
      <c r="AR2138" s="17"/>
      <c r="AS2138" s="17"/>
      <c r="AT2138" s="17"/>
      <c r="AU2138" s="17"/>
    </row>
    <row r="2139" hidden="1">
      <c r="A2139" s="17">
        <v>2137</v>
      </c>
      <c r="B2139" s="17" t="s">
        <v>52</v>
      </c>
      <c r="C2139" s="25" t="s">
        <v>6274</v>
      </c>
      <c r="D2139" s="35" t="s">
        <v>5571</v>
      </c>
      <c r="E2139" s="17" t="s">
        <v>6275</v>
      </c>
      <c r="F2139" s="17" t="s">
        <v>6276</v>
      </c>
      <c r="G2139" s="17">
        <v>22.570319000000001</v>
      </c>
      <c r="H2139" s="17">
        <v>87.084610999999995</v>
      </c>
      <c r="I2139" s="17"/>
      <c r="J2139" s="17"/>
      <c r="K2139" s="17"/>
      <c r="L2139" s="17"/>
      <c r="M2139" s="43" t="s">
        <v>4347</v>
      </c>
      <c r="N2139" s="17"/>
      <c r="O2139" s="17"/>
      <c r="P2139" s="17"/>
      <c r="Q2139" s="17"/>
      <c r="R2139" s="17"/>
      <c r="S2139" s="17"/>
      <c r="T2139" s="17"/>
      <c r="U2139" s="17"/>
      <c r="V2139" s="17"/>
      <c r="W2139" s="17"/>
      <c r="X2139" s="17"/>
      <c r="Y2139" s="17"/>
      <c r="Z2139" s="17"/>
      <c r="AA2139" s="17"/>
      <c r="AB2139" s="17"/>
      <c r="AC2139" s="17"/>
      <c r="AD2139" s="17"/>
      <c r="AE2139" s="17"/>
      <c r="AF2139" s="17"/>
      <c r="AG2139" s="17"/>
      <c r="AH2139" s="17"/>
      <c r="AI2139" s="17"/>
      <c r="AJ2139" s="17"/>
      <c r="AK2139" s="17"/>
      <c r="AL2139" s="17"/>
      <c r="AM2139" s="17"/>
      <c r="AN2139" s="17"/>
      <c r="AO2139" s="17"/>
      <c r="AP2139" s="17"/>
      <c r="AQ2139" s="17"/>
      <c r="AR2139" s="17"/>
      <c r="AS2139" s="17"/>
      <c r="AT2139" s="17"/>
      <c r="AU2139" s="17"/>
    </row>
    <row r="2140" hidden="1">
      <c r="A2140" s="17">
        <v>2138</v>
      </c>
      <c r="B2140" s="17" t="s">
        <v>52</v>
      </c>
      <c r="C2140" s="25" t="s">
        <v>6277</v>
      </c>
      <c r="D2140" s="35" t="s">
        <v>5571</v>
      </c>
      <c r="E2140" s="17" t="s">
        <v>6278</v>
      </c>
      <c r="F2140" s="17" t="s">
        <v>6279</v>
      </c>
      <c r="G2140" s="17">
        <v>22.566126000000001</v>
      </c>
      <c r="H2140" s="17">
        <v>87.050245000000004</v>
      </c>
      <c r="I2140" s="17"/>
      <c r="J2140" s="17"/>
      <c r="K2140" s="17"/>
      <c r="L2140" s="17"/>
      <c r="M2140" s="43" t="s">
        <v>4347</v>
      </c>
      <c r="N2140" s="17"/>
      <c r="O2140" s="17"/>
      <c r="P2140" s="17"/>
      <c r="Q2140" s="17"/>
      <c r="R2140" s="17"/>
      <c r="S2140" s="17"/>
      <c r="T2140" s="17"/>
      <c r="U2140" s="17"/>
      <c r="V2140" s="17"/>
      <c r="W2140" s="17"/>
      <c r="X2140" s="17"/>
      <c r="Y2140" s="17"/>
      <c r="Z2140" s="17"/>
      <c r="AA2140" s="17"/>
      <c r="AB2140" s="17"/>
      <c r="AC2140" s="17"/>
      <c r="AD2140" s="17"/>
      <c r="AE2140" s="17"/>
      <c r="AF2140" s="17"/>
      <c r="AG2140" s="17"/>
      <c r="AH2140" s="17"/>
      <c r="AI2140" s="17"/>
      <c r="AJ2140" s="17"/>
      <c r="AK2140" s="17"/>
      <c r="AL2140" s="17"/>
      <c r="AM2140" s="17"/>
      <c r="AN2140" s="17"/>
      <c r="AO2140" s="17"/>
      <c r="AP2140" s="17"/>
      <c r="AQ2140" s="17"/>
      <c r="AR2140" s="17"/>
      <c r="AS2140" s="17"/>
      <c r="AT2140" s="17"/>
      <c r="AU2140" s="17"/>
    </row>
    <row r="2141" hidden="1">
      <c r="A2141" s="17">
        <v>2139</v>
      </c>
      <c r="B2141" s="17" t="s">
        <v>52</v>
      </c>
      <c r="C2141" s="25" t="s">
        <v>6280</v>
      </c>
      <c r="D2141" s="35" t="s">
        <v>5571</v>
      </c>
      <c r="E2141" s="17" t="s">
        <v>6281</v>
      </c>
      <c r="F2141" s="17" t="s">
        <v>6282</v>
      </c>
      <c r="G2141" s="17">
        <v>22.534524000000001</v>
      </c>
      <c r="H2141" s="17">
        <v>87.097387999999995</v>
      </c>
      <c r="I2141" s="17"/>
      <c r="J2141" s="17"/>
      <c r="K2141" s="17"/>
      <c r="L2141" s="17"/>
      <c r="M2141" s="43" t="s">
        <v>4347</v>
      </c>
      <c r="N2141" s="17"/>
      <c r="O2141" s="17"/>
      <c r="P2141" s="17"/>
      <c r="Q2141" s="17"/>
      <c r="R2141" s="17"/>
      <c r="S2141" s="17"/>
      <c r="T2141" s="17"/>
      <c r="U2141" s="17"/>
      <c r="V2141" s="17"/>
      <c r="W2141" s="17"/>
      <c r="X2141" s="17"/>
      <c r="Y2141" s="17"/>
      <c r="Z2141" s="17"/>
      <c r="AA2141" s="17"/>
      <c r="AB2141" s="17"/>
      <c r="AC2141" s="17"/>
      <c r="AD2141" s="17"/>
      <c r="AE2141" s="17"/>
      <c r="AF2141" s="17"/>
      <c r="AG2141" s="17"/>
      <c r="AH2141" s="17"/>
      <c r="AI2141" s="17"/>
      <c r="AJ2141" s="17"/>
      <c r="AK2141" s="17"/>
      <c r="AL2141" s="17"/>
      <c r="AM2141" s="17"/>
      <c r="AN2141" s="17"/>
      <c r="AO2141" s="17"/>
      <c r="AP2141" s="17"/>
      <c r="AQ2141" s="17"/>
      <c r="AR2141" s="17"/>
      <c r="AS2141" s="17"/>
      <c r="AT2141" s="17"/>
      <c r="AU2141" s="17"/>
    </row>
    <row r="2142" hidden="1">
      <c r="A2142" s="17">
        <v>2140</v>
      </c>
      <c r="B2142" s="17" t="s">
        <v>52</v>
      </c>
      <c r="C2142" s="25" t="s">
        <v>6283</v>
      </c>
      <c r="D2142" s="35" t="s">
        <v>5571</v>
      </c>
      <c r="E2142" s="17" t="s">
        <v>6284</v>
      </c>
      <c r="F2142" s="17" t="s">
        <v>6285</v>
      </c>
      <c r="G2142" s="17">
        <v>22.532724999999999</v>
      </c>
      <c r="H2142" s="17">
        <v>87.074269000000001</v>
      </c>
      <c r="I2142" s="17"/>
      <c r="J2142" s="17"/>
      <c r="K2142" s="17"/>
      <c r="L2142" s="17"/>
      <c r="M2142" s="43" t="s">
        <v>4347</v>
      </c>
      <c r="N2142" s="17"/>
      <c r="O2142" s="17"/>
      <c r="P2142" s="17"/>
      <c r="Q2142" s="17"/>
      <c r="R2142" s="17"/>
      <c r="S2142" s="17"/>
      <c r="T2142" s="17"/>
      <c r="U2142" s="17"/>
      <c r="V2142" s="17"/>
      <c r="W2142" s="17"/>
      <c r="X2142" s="17"/>
      <c r="Y2142" s="17"/>
      <c r="Z2142" s="17"/>
      <c r="AA2142" s="17"/>
      <c r="AB2142" s="17"/>
      <c r="AC2142" s="17"/>
      <c r="AD2142" s="17"/>
      <c r="AE2142" s="17"/>
      <c r="AF2142" s="17"/>
      <c r="AG2142" s="17"/>
      <c r="AH2142" s="17"/>
      <c r="AI2142" s="17"/>
      <c r="AJ2142" s="17"/>
      <c r="AK2142" s="17"/>
      <c r="AL2142" s="17"/>
      <c r="AM2142" s="17"/>
      <c r="AN2142" s="17"/>
      <c r="AO2142" s="17"/>
      <c r="AP2142" s="17"/>
      <c r="AQ2142" s="17"/>
      <c r="AR2142" s="17"/>
      <c r="AS2142" s="17"/>
      <c r="AT2142" s="17"/>
      <c r="AU2142" s="17"/>
    </row>
    <row r="2143" hidden="1">
      <c r="A2143" s="17">
        <v>2141</v>
      </c>
      <c r="B2143" s="17" t="s">
        <v>52</v>
      </c>
      <c r="C2143" s="25" t="s">
        <v>6286</v>
      </c>
      <c r="D2143" s="35" t="s">
        <v>5571</v>
      </c>
      <c r="E2143" s="17" t="s">
        <v>6287</v>
      </c>
      <c r="F2143" s="17" t="s">
        <v>6288</v>
      </c>
      <c r="G2143" s="17">
        <v>22.587150000000001</v>
      </c>
      <c r="H2143" s="17">
        <v>87.049610000000001</v>
      </c>
      <c r="I2143" s="17"/>
      <c r="J2143" s="17"/>
      <c r="K2143" s="17"/>
      <c r="L2143" s="17"/>
      <c r="M2143" s="43" t="s">
        <v>4347</v>
      </c>
      <c r="N2143" s="17"/>
      <c r="O2143" s="17"/>
      <c r="P2143" s="17"/>
      <c r="Q2143" s="17"/>
      <c r="R2143" s="17"/>
      <c r="S2143" s="17"/>
      <c r="T2143" s="17"/>
      <c r="U2143" s="17"/>
      <c r="V2143" s="17"/>
      <c r="W2143" s="17"/>
      <c r="X2143" s="17"/>
      <c r="Y2143" s="17"/>
      <c r="Z2143" s="17"/>
      <c r="AA2143" s="17"/>
      <c r="AB2143" s="17"/>
      <c r="AC2143" s="17"/>
      <c r="AD2143" s="17"/>
      <c r="AE2143" s="17"/>
      <c r="AF2143" s="17"/>
      <c r="AG2143" s="17"/>
      <c r="AH2143" s="17"/>
      <c r="AI2143" s="17"/>
      <c r="AJ2143" s="17"/>
      <c r="AK2143" s="17"/>
      <c r="AL2143" s="17"/>
      <c r="AM2143" s="17"/>
      <c r="AN2143" s="17"/>
      <c r="AO2143" s="17"/>
      <c r="AP2143" s="17"/>
      <c r="AQ2143" s="17"/>
      <c r="AR2143" s="17"/>
      <c r="AS2143" s="17"/>
      <c r="AT2143" s="17"/>
      <c r="AU2143" s="17"/>
    </row>
    <row r="2144" hidden="1">
      <c r="A2144" s="17">
        <v>2142</v>
      </c>
      <c r="B2144" s="17" t="s">
        <v>52</v>
      </c>
      <c r="C2144" s="25" t="s">
        <v>6289</v>
      </c>
      <c r="D2144" s="35" t="s">
        <v>5571</v>
      </c>
      <c r="E2144" s="17" t="s">
        <v>6290</v>
      </c>
      <c r="F2144" s="17" t="s">
        <v>6291</v>
      </c>
      <c r="G2144" s="17">
        <v>22.668292000000001</v>
      </c>
      <c r="H2144" s="17">
        <v>87.046685999999994</v>
      </c>
      <c r="I2144" s="17"/>
      <c r="J2144" s="17"/>
      <c r="K2144" s="17"/>
      <c r="L2144" s="17"/>
      <c r="M2144" s="43" t="s">
        <v>4347</v>
      </c>
      <c r="N2144" s="17"/>
      <c r="O2144" s="17"/>
      <c r="P2144" s="17"/>
      <c r="Q2144" s="17"/>
      <c r="R2144" s="17"/>
      <c r="S2144" s="17"/>
      <c r="T2144" s="17"/>
      <c r="U2144" s="17"/>
      <c r="V2144" s="17"/>
      <c r="W2144" s="17"/>
      <c r="X2144" s="17"/>
      <c r="Y2144" s="17"/>
      <c r="Z2144" s="17"/>
      <c r="AA2144" s="17"/>
      <c r="AB2144" s="17"/>
      <c r="AC2144" s="17"/>
      <c r="AD2144" s="17"/>
      <c r="AE2144" s="17"/>
      <c r="AF2144" s="17"/>
      <c r="AG2144" s="17"/>
      <c r="AH2144" s="17"/>
      <c r="AI2144" s="17"/>
      <c r="AJ2144" s="17"/>
      <c r="AK2144" s="17"/>
      <c r="AL2144" s="17"/>
      <c r="AM2144" s="17"/>
      <c r="AN2144" s="17"/>
      <c r="AO2144" s="17"/>
      <c r="AP2144" s="17"/>
      <c r="AQ2144" s="17"/>
      <c r="AR2144" s="17"/>
      <c r="AS2144" s="17"/>
      <c r="AT2144" s="17"/>
      <c r="AU2144" s="17"/>
    </row>
    <row r="2145" hidden="1">
      <c r="A2145" s="17">
        <v>2143</v>
      </c>
      <c r="B2145" s="17" t="s">
        <v>52</v>
      </c>
      <c r="C2145" s="25" t="s">
        <v>6292</v>
      </c>
      <c r="D2145" s="35" t="s">
        <v>5571</v>
      </c>
      <c r="E2145" s="17" t="s">
        <v>6293</v>
      </c>
      <c r="F2145" s="17" t="s">
        <v>6294</v>
      </c>
      <c r="G2145" s="17">
        <v>22.337536</v>
      </c>
      <c r="H2145" s="17">
        <v>87.049304000000006</v>
      </c>
      <c r="I2145" s="17"/>
      <c r="J2145" s="17"/>
      <c r="K2145" s="17"/>
      <c r="L2145" s="17"/>
      <c r="M2145" s="43" t="s">
        <v>5633</v>
      </c>
      <c r="N2145" s="17">
        <v>8967046045</v>
      </c>
      <c r="O2145" s="17">
        <v>20</v>
      </c>
      <c r="P2145" s="17">
        <v>100</v>
      </c>
      <c r="Q2145" s="17" t="s">
        <v>187</v>
      </c>
      <c r="R2145" s="17" t="s">
        <v>142</v>
      </c>
      <c r="S2145" s="17" t="s">
        <v>75</v>
      </c>
      <c r="T2145" s="17"/>
      <c r="U2145" s="17" t="s">
        <v>76</v>
      </c>
      <c r="V2145" s="17" t="s">
        <v>77</v>
      </c>
      <c r="W2145" s="17" t="s">
        <v>330</v>
      </c>
      <c r="X2145" s="17">
        <v>6</v>
      </c>
      <c r="Y2145" s="17">
        <v>0</v>
      </c>
      <c r="Z2145" s="17"/>
      <c r="AA2145" s="17" t="s">
        <v>187</v>
      </c>
      <c r="AB2145" s="17" t="s">
        <v>79</v>
      </c>
      <c r="AC2145" s="17">
        <v>6</v>
      </c>
      <c r="AD2145" s="17">
        <v>0</v>
      </c>
      <c r="AE2145" s="17">
        <v>0</v>
      </c>
      <c r="AF2145" s="17"/>
      <c r="AG2145" s="17" t="s">
        <v>81</v>
      </c>
      <c r="AH2145" s="17" t="s">
        <v>162</v>
      </c>
      <c r="AI2145" s="17" t="s">
        <v>107</v>
      </c>
      <c r="AJ2145" s="17"/>
      <c r="AK2145" s="17" t="s">
        <v>75</v>
      </c>
      <c r="AL2145" s="17" t="s">
        <v>75</v>
      </c>
      <c r="AM2145" s="17" t="s">
        <v>75</v>
      </c>
      <c r="AN2145" s="17" t="s">
        <v>84</v>
      </c>
      <c r="AO2145" s="17" t="s">
        <v>75</v>
      </c>
      <c r="AP2145" s="17"/>
      <c r="AQ2145" s="17"/>
      <c r="AR2145" s="17"/>
      <c r="AS2145" s="17"/>
      <c r="AT2145" s="17"/>
      <c r="AU2145" s="17" t="s">
        <v>111</v>
      </c>
    </row>
    <row r="2146" hidden="1">
      <c r="A2146" s="17">
        <v>2144</v>
      </c>
      <c r="B2146" s="17" t="s">
        <v>52</v>
      </c>
      <c r="C2146" s="25" t="s">
        <v>6295</v>
      </c>
      <c r="D2146" s="35" t="s">
        <v>5571</v>
      </c>
      <c r="E2146" s="17" t="s">
        <v>6296</v>
      </c>
      <c r="F2146" s="17">
        <v>0</v>
      </c>
      <c r="G2146" s="17">
        <v>22.373649</v>
      </c>
      <c r="H2146" s="17">
        <v>87.023044999999996</v>
      </c>
      <c r="I2146" s="17"/>
      <c r="J2146" s="17"/>
      <c r="K2146" s="17"/>
      <c r="L2146" s="17"/>
      <c r="M2146" s="43" t="s">
        <v>5723</v>
      </c>
      <c r="N2146" s="17"/>
      <c r="O2146" s="17"/>
      <c r="P2146" s="17"/>
      <c r="Q2146" s="17"/>
      <c r="R2146" s="17"/>
      <c r="S2146" s="17"/>
      <c r="T2146" s="17"/>
      <c r="U2146" s="17"/>
      <c r="V2146" s="17"/>
      <c r="W2146" s="17"/>
      <c r="X2146" s="17"/>
      <c r="Y2146" s="17"/>
      <c r="Z2146" s="17"/>
      <c r="AA2146" s="17"/>
      <c r="AB2146" s="17"/>
      <c r="AC2146" s="17"/>
      <c r="AD2146" s="17"/>
      <c r="AE2146" s="17"/>
      <c r="AF2146" s="17"/>
      <c r="AG2146" s="17"/>
      <c r="AH2146" s="17"/>
      <c r="AI2146" s="17"/>
      <c r="AJ2146" s="17"/>
      <c r="AK2146" s="17"/>
      <c r="AL2146" s="17"/>
      <c r="AM2146" s="17"/>
      <c r="AN2146" s="17"/>
      <c r="AO2146" s="17"/>
      <c r="AP2146" s="17"/>
      <c r="AQ2146" s="17"/>
      <c r="AR2146" s="17"/>
      <c r="AS2146" s="17"/>
      <c r="AT2146" s="17"/>
      <c r="AU2146" s="17"/>
    </row>
    <row r="2147" hidden="1">
      <c r="A2147" s="17">
        <v>2145</v>
      </c>
      <c r="B2147" s="17" t="s">
        <v>52</v>
      </c>
      <c r="C2147" s="25" t="s">
        <v>6297</v>
      </c>
      <c r="D2147" s="35" t="s">
        <v>5571</v>
      </c>
      <c r="E2147" s="17" t="s">
        <v>6298</v>
      </c>
      <c r="F2147" s="17" t="s">
        <v>6299</v>
      </c>
      <c r="G2147" s="17">
        <v>22.342863999999999</v>
      </c>
      <c r="H2147" s="17">
        <v>87.068285000000003</v>
      </c>
      <c r="I2147" s="17"/>
      <c r="J2147" s="17"/>
      <c r="K2147" s="17"/>
      <c r="L2147" s="17"/>
      <c r="M2147" s="43" t="s">
        <v>5723</v>
      </c>
      <c r="N2147" s="17"/>
      <c r="O2147" s="17"/>
      <c r="P2147" s="17"/>
      <c r="Q2147" s="17"/>
      <c r="R2147" s="17"/>
      <c r="S2147" s="17"/>
      <c r="T2147" s="17"/>
      <c r="U2147" s="17"/>
      <c r="V2147" s="17"/>
      <c r="W2147" s="17"/>
      <c r="X2147" s="17"/>
      <c r="Y2147" s="17"/>
      <c r="Z2147" s="17"/>
      <c r="AA2147" s="17"/>
      <c r="AB2147" s="17"/>
      <c r="AC2147" s="17"/>
      <c r="AD2147" s="17"/>
      <c r="AE2147" s="17"/>
      <c r="AF2147" s="17"/>
      <c r="AG2147" s="17"/>
      <c r="AH2147" s="17"/>
      <c r="AI2147" s="17"/>
      <c r="AJ2147" s="17"/>
      <c r="AK2147" s="17"/>
      <c r="AL2147" s="17"/>
      <c r="AM2147" s="17"/>
      <c r="AN2147" s="17"/>
      <c r="AO2147" s="17"/>
      <c r="AP2147" s="17"/>
      <c r="AQ2147" s="17"/>
      <c r="AR2147" s="17"/>
      <c r="AS2147" s="17"/>
      <c r="AT2147" s="17"/>
      <c r="AU2147" s="17"/>
    </row>
    <row r="2148" hidden="1">
      <c r="A2148" s="17">
        <v>2146</v>
      </c>
      <c r="B2148" s="17" t="s">
        <v>52</v>
      </c>
      <c r="C2148" s="25" t="s">
        <v>6300</v>
      </c>
      <c r="D2148" s="35" t="s">
        <v>5571</v>
      </c>
      <c r="E2148" s="17" t="s">
        <v>6301</v>
      </c>
      <c r="F2148" s="17" t="s">
        <v>6302</v>
      </c>
      <c r="G2148" s="17">
        <v>22.326568000000002</v>
      </c>
      <c r="H2148" s="17">
        <v>87.068422999999996</v>
      </c>
      <c r="I2148" s="17"/>
      <c r="J2148" s="17"/>
      <c r="K2148" s="17"/>
      <c r="L2148" s="17"/>
      <c r="M2148" s="43" t="s">
        <v>5723</v>
      </c>
      <c r="N2148" s="17"/>
      <c r="O2148" s="17"/>
      <c r="P2148" s="17"/>
      <c r="Q2148" s="17"/>
      <c r="R2148" s="17"/>
      <c r="S2148" s="17"/>
      <c r="T2148" s="17"/>
      <c r="U2148" s="17"/>
      <c r="V2148" s="17"/>
      <c r="W2148" s="17"/>
      <c r="X2148" s="17"/>
      <c r="Y2148" s="17"/>
      <c r="Z2148" s="17"/>
      <c r="AA2148" s="17"/>
      <c r="AB2148" s="17"/>
      <c r="AC2148" s="17"/>
      <c r="AD2148" s="17"/>
      <c r="AE2148" s="17"/>
      <c r="AF2148" s="17"/>
      <c r="AG2148" s="17"/>
      <c r="AH2148" s="17"/>
      <c r="AI2148" s="17"/>
      <c r="AJ2148" s="17"/>
      <c r="AK2148" s="17"/>
      <c r="AL2148" s="17"/>
      <c r="AM2148" s="17"/>
      <c r="AN2148" s="17"/>
      <c r="AO2148" s="17"/>
      <c r="AP2148" s="17"/>
      <c r="AQ2148" s="17"/>
      <c r="AR2148" s="17"/>
      <c r="AS2148" s="17"/>
      <c r="AT2148" s="17"/>
      <c r="AU2148" s="17"/>
    </row>
    <row r="2149" hidden="1">
      <c r="A2149" s="17">
        <v>2147</v>
      </c>
      <c r="B2149" s="17" t="s">
        <v>52</v>
      </c>
      <c r="C2149" s="25" t="s">
        <v>6303</v>
      </c>
      <c r="D2149" s="35" t="s">
        <v>5571</v>
      </c>
      <c r="E2149" s="17" t="s">
        <v>6304</v>
      </c>
      <c r="F2149" s="17" t="s">
        <v>6305</v>
      </c>
      <c r="G2149" s="17">
        <v>22.331139</v>
      </c>
      <c r="H2149" s="17">
        <v>87.133472999999995</v>
      </c>
      <c r="I2149" s="17"/>
      <c r="J2149" s="17"/>
      <c r="K2149" s="17"/>
      <c r="L2149" s="17"/>
      <c r="M2149" s="43" t="s">
        <v>5723</v>
      </c>
      <c r="N2149" s="17"/>
      <c r="O2149" s="17"/>
      <c r="P2149" s="17"/>
      <c r="Q2149" s="17"/>
      <c r="R2149" s="17"/>
      <c r="S2149" s="17"/>
      <c r="T2149" s="17"/>
      <c r="U2149" s="17"/>
      <c r="V2149" s="17"/>
      <c r="W2149" s="17"/>
      <c r="X2149" s="17"/>
      <c r="Y2149" s="17"/>
      <c r="Z2149" s="17"/>
      <c r="AA2149" s="17"/>
      <c r="AB2149" s="17"/>
      <c r="AC2149" s="17"/>
      <c r="AD2149" s="17"/>
      <c r="AE2149" s="17"/>
      <c r="AF2149" s="17"/>
      <c r="AG2149" s="17"/>
      <c r="AH2149" s="17"/>
      <c r="AI2149" s="17"/>
      <c r="AJ2149" s="17"/>
      <c r="AK2149" s="17"/>
      <c r="AL2149" s="17"/>
      <c r="AM2149" s="17"/>
      <c r="AN2149" s="17"/>
      <c r="AO2149" s="17"/>
      <c r="AP2149" s="17"/>
      <c r="AQ2149" s="17"/>
      <c r="AR2149" s="17"/>
      <c r="AS2149" s="17"/>
      <c r="AT2149" s="17"/>
      <c r="AU2149" s="17"/>
    </row>
    <row r="2150" hidden="1">
      <c r="A2150" s="17">
        <v>2148</v>
      </c>
      <c r="B2150" s="17" t="s">
        <v>52</v>
      </c>
      <c r="C2150" s="25" t="s">
        <v>6306</v>
      </c>
      <c r="D2150" s="35" t="s">
        <v>5571</v>
      </c>
      <c r="E2150" s="17" t="s">
        <v>6307</v>
      </c>
      <c r="F2150" s="17" t="s">
        <v>6308</v>
      </c>
      <c r="G2150" s="17">
        <v>22.375571999999998</v>
      </c>
      <c r="H2150" s="17">
        <v>87.039282</v>
      </c>
      <c r="I2150" s="17"/>
      <c r="J2150" s="17"/>
      <c r="K2150" s="17"/>
      <c r="L2150" s="17"/>
      <c r="M2150" s="43" t="s">
        <v>5723</v>
      </c>
      <c r="N2150" s="17"/>
      <c r="O2150" s="17"/>
      <c r="P2150" s="17"/>
      <c r="Q2150" s="17"/>
      <c r="R2150" s="17"/>
      <c r="S2150" s="17"/>
      <c r="T2150" s="17"/>
      <c r="U2150" s="17"/>
      <c r="V2150" s="17"/>
      <c r="W2150" s="17"/>
      <c r="X2150" s="17"/>
      <c r="Y2150" s="17"/>
      <c r="Z2150" s="17"/>
      <c r="AA2150" s="17"/>
      <c r="AB2150" s="17"/>
      <c r="AC2150" s="17"/>
      <c r="AD2150" s="17"/>
      <c r="AE2150" s="17"/>
      <c r="AF2150" s="17"/>
      <c r="AG2150" s="17"/>
      <c r="AH2150" s="17"/>
      <c r="AI2150" s="17"/>
      <c r="AJ2150" s="17"/>
      <c r="AK2150" s="17"/>
      <c r="AL2150" s="17"/>
      <c r="AM2150" s="17"/>
      <c r="AN2150" s="17"/>
      <c r="AO2150" s="17"/>
      <c r="AP2150" s="17"/>
      <c r="AQ2150" s="17"/>
      <c r="AR2150" s="17"/>
      <c r="AS2150" s="17"/>
      <c r="AT2150" s="17"/>
      <c r="AU2150" s="17"/>
    </row>
    <row r="2151" hidden="1">
      <c r="A2151" s="17">
        <v>2149</v>
      </c>
      <c r="B2151" s="17" t="s">
        <v>52</v>
      </c>
      <c r="C2151" s="44" t="s">
        <v>6309</v>
      </c>
      <c r="D2151" s="35" t="s">
        <v>5571</v>
      </c>
      <c r="E2151" s="17" t="s">
        <v>6310</v>
      </c>
      <c r="F2151" s="17" t="s">
        <v>6311</v>
      </c>
      <c r="G2151" s="17">
        <v>22.313627</v>
      </c>
      <c r="H2151" s="17">
        <v>87.084374999999994</v>
      </c>
      <c r="I2151" s="17"/>
      <c r="J2151" s="17"/>
      <c r="K2151" s="17"/>
      <c r="L2151" s="17"/>
      <c r="M2151" s="43" t="s">
        <v>5723</v>
      </c>
      <c r="N2151" s="17"/>
      <c r="O2151" s="17"/>
      <c r="P2151" s="17"/>
      <c r="Q2151" s="17"/>
      <c r="R2151" s="17"/>
      <c r="S2151" s="17"/>
      <c r="T2151" s="17"/>
      <c r="U2151" s="17"/>
      <c r="V2151" s="17"/>
      <c r="W2151" s="17"/>
      <c r="X2151" s="17"/>
      <c r="Y2151" s="17"/>
      <c r="Z2151" s="17"/>
      <c r="AA2151" s="17"/>
      <c r="AB2151" s="17"/>
      <c r="AC2151" s="17"/>
      <c r="AD2151" s="17"/>
      <c r="AE2151" s="17"/>
      <c r="AF2151" s="17"/>
      <c r="AG2151" s="17"/>
      <c r="AH2151" s="17"/>
      <c r="AI2151" s="17"/>
      <c r="AJ2151" s="17"/>
      <c r="AK2151" s="17"/>
      <c r="AL2151" s="17"/>
      <c r="AM2151" s="17"/>
      <c r="AN2151" s="17"/>
      <c r="AO2151" s="17"/>
      <c r="AP2151" s="17"/>
      <c r="AQ2151" s="17"/>
      <c r="AR2151" s="17"/>
      <c r="AS2151" s="17"/>
      <c r="AT2151" s="17"/>
      <c r="AU2151" s="17"/>
    </row>
    <row r="2152" hidden="1">
      <c r="A2152" s="17">
        <v>2150</v>
      </c>
      <c r="B2152" s="17" t="s">
        <v>52</v>
      </c>
      <c r="C2152" s="25" t="s">
        <v>6312</v>
      </c>
      <c r="D2152" s="35" t="s">
        <v>5571</v>
      </c>
      <c r="E2152" s="17"/>
      <c r="F2152" s="17" t="s">
        <v>6313</v>
      </c>
      <c r="G2152" s="17">
        <v>22.363589999999999</v>
      </c>
      <c r="H2152" s="17">
        <v>87.017809999999997</v>
      </c>
      <c r="I2152" s="17"/>
      <c r="J2152" s="17"/>
      <c r="K2152" s="17"/>
      <c r="L2152" s="17"/>
      <c r="M2152" s="43" t="s">
        <v>5723</v>
      </c>
      <c r="N2152" s="17"/>
      <c r="O2152" s="17"/>
      <c r="P2152" s="17"/>
      <c r="Q2152" s="17"/>
      <c r="R2152" s="17"/>
      <c r="S2152" s="17"/>
      <c r="T2152" s="17"/>
      <c r="U2152" s="17"/>
      <c r="V2152" s="17"/>
      <c r="W2152" s="17"/>
      <c r="X2152" s="17"/>
      <c r="Y2152" s="17"/>
      <c r="Z2152" s="17"/>
      <c r="AA2152" s="17"/>
      <c r="AB2152" s="17"/>
      <c r="AC2152" s="17"/>
      <c r="AD2152" s="17"/>
      <c r="AE2152" s="17"/>
      <c r="AF2152" s="17"/>
      <c r="AG2152" s="17"/>
      <c r="AH2152" s="17"/>
      <c r="AI2152" s="17"/>
      <c r="AJ2152" s="17"/>
      <c r="AK2152" s="17"/>
      <c r="AL2152" s="17"/>
      <c r="AM2152" s="17"/>
      <c r="AN2152" s="17"/>
      <c r="AO2152" s="17"/>
      <c r="AP2152" s="17"/>
      <c r="AQ2152" s="17"/>
      <c r="AR2152" s="17"/>
      <c r="AS2152" s="17"/>
      <c r="AT2152" s="17"/>
      <c r="AU2152" s="17"/>
    </row>
    <row r="2153" hidden="1">
      <c r="A2153" s="17">
        <v>2151</v>
      </c>
      <c r="B2153" s="17" t="s">
        <v>52</v>
      </c>
      <c r="C2153" s="25" t="s">
        <v>6314</v>
      </c>
      <c r="D2153" s="35" t="s">
        <v>5571</v>
      </c>
      <c r="E2153" s="17" t="s">
        <v>6315</v>
      </c>
      <c r="F2153" s="17" t="s">
        <v>6316</v>
      </c>
      <c r="G2153" s="17">
        <v>22.397183999999999</v>
      </c>
      <c r="H2153" s="17">
        <v>87.057247000000004</v>
      </c>
      <c r="I2153" s="17"/>
      <c r="J2153" s="17"/>
      <c r="K2153" s="17"/>
      <c r="L2153" s="17"/>
      <c r="M2153" s="43" t="s">
        <v>5723</v>
      </c>
      <c r="N2153" s="17"/>
      <c r="O2153" s="17"/>
      <c r="P2153" s="17"/>
      <c r="Q2153" s="17"/>
      <c r="R2153" s="17"/>
      <c r="S2153" s="17"/>
      <c r="T2153" s="17"/>
      <c r="U2153" s="17"/>
      <c r="V2153" s="17"/>
      <c r="W2153" s="17"/>
      <c r="X2153" s="17"/>
      <c r="Y2153" s="17"/>
      <c r="Z2153" s="17"/>
      <c r="AA2153" s="17"/>
      <c r="AB2153" s="17"/>
      <c r="AC2153" s="17"/>
      <c r="AD2153" s="17"/>
      <c r="AE2153" s="17"/>
      <c r="AF2153" s="17"/>
      <c r="AG2153" s="17"/>
      <c r="AH2153" s="17"/>
      <c r="AI2153" s="17"/>
      <c r="AJ2153" s="17"/>
      <c r="AK2153" s="17"/>
      <c r="AL2153" s="17"/>
      <c r="AM2153" s="17"/>
      <c r="AN2153" s="17"/>
      <c r="AO2153" s="17"/>
      <c r="AP2153" s="17"/>
      <c r="AQ2153" s="17"/>
      <c r="AR2153" s="17"/>
      <c r="AS2153" s="17"/>
      <c r="AT2153" s="17"/>
      <c r="AU2153" s="17"/>
    </row>
    <row r="2154" hidden="1">
      <c r="A2154" s="17">
        <v>2152</v>
      </c>
      <c r="B2154" s="17" t="s">
        <v>52</v>
      </c>
      <c r="C2154" s="25" t="s">
        <v>6317</v>
      </c>
      <c r="D2154" s="35" t="s">
        <v>5571</v>
      </c>
      <c r="E2154" s="17" t="s">
        <v>6318</v>
      </c>
      <c r="F2154" s="17" t="s">
        <v>6319</v>
      </c>
      <c r="G2154" s="17">
        <v>22.353770999999998</v>
      </c>
      <c r="H2154" s="17">
        <v>87.030968000000001</v>
      </c>
      <c r="I2154" s="17"/>
      <c r="J2154" s="17"/>
      <c r="K2154" s="17"/>
      <c r="L2154" s="17"/>
      <c r="M2154" s="43" t="s">
        <v>5723</v>
      </c>
      <c r="N2154" s="17"/>
      <c r="O2154" s="17"/>
      <c r="P2154" s="17"/>
      <c r="Q2154" s="17"/>
      <c r="R2154" s="17"/>
      <c r="S2154" s="17"/>
      <c r="T2154" s="17"/>
      <c r="U2154" s="17"/>
      <c r="V2154" s="17"/>
      <c r="W2154" s="17"/>
      <c r="X2154" s="17"/>
      <c r="Y2154" s="17"/>
      <c r="Z2154" s="17"/>
      <c r="AA2154" s="17"/>
      <c r="AB2154" s="17"/>
      <c r="AC2154" s="17"/>
      <c r="AD2154" s="17"/>
      <c r="AE2154" s="17"/>
      <c r="AF2154" s="17"/>
      <c r="AG2154" s="17"/>
      <c r="AH2154" s="17"/>
      <c r="AI2154" s="17"/>
      <c r="AJ2154" s="17"/>
      <c r="AK2154" s="17"/>
      <c r="AL2154" s="17"/>
      <c r="AM2154" s="17"/>
      <c r="AN2154" s="17"/>
      <c r="AO2154" s="17"/>
      <c r="AP2154" s="17"/>
      <c r="AQ2154" s="17"/>
      <c r="AR2154" s="17"/>
      <c r="AS2154" s="17"/>
      <c r="AT2154" s="17"/>
      <c r="AU2154" s="17"/>
    </row>
    <row r="2155" hidden="1">
      <c r="A2155" s="17">
        <v>2153</v>
      </c>
      <c r="B2155" s="17" t="s">
        <v>52</v>
      </c>
      <c r="C2155" s="44" t="s">
        <v>6320</v>
      </c>
      <c r="D2155" s="35" t="s">
        <v>5571</v>
      </c>
      <c r="E2155" s="17" t="s">
        <v>6321</v>
      </c>
      <c r="F2155" s="17" t="s">
        <v>6322</v>
      </c>
      <c r="G2155" s="17">
        <v>22.363681</v>
      </c>
      <c r="H2155" s="17">
        <v>87.052854999999994</v>
      </c>
      <c r="I2155" s="17"/>
      <c r="J2155" s="17"/>
      <c r="K2155" s="17"/>
      <c r="L2155" s="17"/>
      <c r="M2155" s="43" t="s">
        <v>5723</v>
      </c>
      <c r="N2155" s="17"/>
      <c r="O2155" s="17"/>
      <c r="P2155" s="17"/>
      <c r="Q2155" s="17"/>
      <c r="R2155" s="17"/>
      <c r="S2155" s="17"/>
      <c r="T2155" s="17"/>
      <c r="U2155" s="17"/>
      <c r="V2155" s="17"/>
      <c r="W2155" s="17"/>
      <c r="X2155" s="17"/>
      <c r="Y2155" s="17"/>
      <c r="Z2155" s="17"/>
      <c r="AA2155" s="17"/>
      <c r="AB2155" s="17"/>
      <c r="AC2155" s="17"/>
      <c r="AD2155" s="17"/>
      <c r="AE2155" s="17"/>
      <c r="AF2155" s="17"/>
      <c r="AG2155" s="17"/>
      <c r="AH2155" s="17"/>
      <c r="AI2155" s="17"/>
      <c r="AJ2155" s="17"/>
      <c r="AK2155" s="17"/>
      <c r="AL2155" s="17"/>
      <c r="AM2155" s="17"/>
      <c r="AN2155" s="17"/>
      <c r="AO2155" s="17"/>
      <c r="AP2155" s="17"/>
      <c r="AQ2155" s="17"/>
      <c r="AR2155" s="17"/>
      <c r="AS2155" s="17"/>
      <c r="AT2155" s="17"/>
      <c r="AU2155" s="17"/>
    </row>
    <row r="2156" hidden="1">
      <c r="A2156" s="17">
        <v>2154</v>
      </c>
      <c r="B2156" s="17" t="s">
        <v>52</v>
      </c>
      <c r="C2156" s="25" t="s">
        <v>6323</v>
      </c>
      <c r="D2156" s="35" t="s">
        <v>5571</v>
      </c>
      <c r="E2156" s="17" t="s">
        <v>3420</v>
      </c>
      <c r="F2156" s="17" t="s">
        <v>6324</v>
      </c>
      <c r="G2156" s="17">
        <v>22.326367000000001</v>
      </c>
      <c r="H2156" s="17">
        <v>87.018592999999996</v>
      </c>
      <c r="I2156" s="17"/>
      <c r="J2156" s="17"/>
      <c r="K2156" s="17"/>
      <c r="L2156" s="17"/>
      <c r="M2156" s="43" t="s">
        <v>5723</v>
      </c>
      <c r="N2156" s="17"/>
      <c r="O2156" s="17"/>
      <c r="P2156" s="17"/>
      <c r="Q2156" s="17"/>
      <c r="R2156" s="17"/>
      <c r="S2156" s="17"/>
      <c r="T2156" s="17"/>
      <c r="U2156" s="17"/>
      <c r="V2156" s="17"/>
      <c r="W2156" s="17"/>
      <c r="X2156" s="17"/>
      <c r="Y2156" s="17"/>
      <c r="Z2156" s="17"/>
      <c r="AA2156" s="17"/>
      <c r="AB2156" s="17"/>
      <c r="AC2156" s="17"/>
      <c r="AD2156" s="17"/>
      <c r="AE2156" s="17"/>
      <c r="AF2156" s="17"/>
      <c r="AG2156" s="17"/>
      <c r="AH2156" s="17"/>
      <c r="AI2156" s="17"/>
      <c r="AJ2156" s="17"/>
      <c r="AK2156" s="17"/>
      <c r="AL2156" s="17"/>
      <c r="AM2156" s="17"/>
      <c r="AN2156" s="17"/>
      <c r="AO2156" s="17"/>
      <c r="AP2156" s="17"/>
      <c r="AQ2156" s="17"/>
      <c r="AR2156" s="17"/>
      <c r="AS2156" s="17"/>
      <c r="AT2156" s="17"/>
      <c r="AU2156" s="17"/>
    </row>
    <row r="2157" hidden="1">
      <c r="A2157" s="17">
        <v>2155</v>
      </c>
      <c r="B2157" s="17" t="s">
        <v>52</v>
      </c>
      <c r="C2157" s="25" t="s">
        <v>6325</v>
      </c>
      <c r="D2157" s="35" t="s">
        <v>5571</v>
      </c>
      <c r="E2157" s="17" t="s">
        <v>6326</v>
      </c>
      <c r="F2157" s="17" t="s">
        <v>6327</v>
      </c>
      <c r="G2157" s="17">
        <v>22.344715999999998</v>
      </c>
      <c r="H2157" s="17">
        <v>87.116561000000004</v>
      </c>
      <c r="I2157" s="17"/>
      <c r="J2157" s="17"/>
      <c r="K2157" s="17"/>
      <c r="L2157" s="17"/>
      <c r="M2157" s="43" t="s">
        <v>5723</v>
      </c>
      <c r="N2157" s="17"/>
      <c r="O2157" s="17"/>
      <c r="P2157" s="17"/>
      <c r="Q2157" s="17"/>
      <c r="R2157" s="17"/>
      <c r="S2157" s="17"/>
      <c r="T2157" s="17"/>
      <c r="U2157" s="17"/>
      <c r="V2157" s="17"/>
      <c r="W2157" s="17"/>
      <c r="X2157" s="17"/>
      <c r="Y2157" s="17"/>
      <c r="Z2157" s="17"/>
      <c r="AA2157" s="17"/>
      <c r="AB2157" s="17"/>
      <c r="AC2157" s="17"/>
      <c r="AD2157" s="17"/>
      <c r="AE2157" s="17"/>
      <c r="AF2157" s="17"/>
      <c r="AG2157" s="17"/>
      <c r="AH2157" s="17"/>
      <c r="AI2157" s="17"/>
      <c r="AJ2157" s="17"/>
      <c r="AK2157" s="17"/>
      <c r="AL2157" s="17"/>
      <c r="AM2157" s="17"/>
      <c r="AN2157" s="17"/>
      <c r="AO2157" s="17"/>
      <c r="AP2157" s="17"/>
      <c r="AQ2157" s="17"/>
      <c r="AR2157" s="17"/>
      <c r="AS2157" s="17"/>
      <c r="AT2157" s="17"/>
      <c r="AU2157" s="17"/>
    </row>
    <row r="2158" hidden="1">
      <c r="A2158" s="17">
        <v>2156</v>
      </c>
      <c r="B2158" s="17" t="s">
        <v>52</v>
      </c>
      <c r="C2158" s="25" t="s">
        <v>6328</v>
      </c>
      <c r="D2158" s="35" t="s">
        <v>5571</v>
      </c>
      <c r="E2158" s="17" t="s">
        <v>6329</v>
      </c>
      <c r="F2158" s="17" t="s">
        <v>6330</v>
      </c>
      <c r="G2158" s="17">
        <v>22.392662999999999</v>
      </c>
      <c r="H2158" s="17">
        <v>87.017505999999997</v>
      </c>
      <c r="I2158" s="17"/>
      <c r="J2158" s="17"/>
      <c r="K2158" s="17"/>
      <c r="L2158" s="17"/>
      <c r="M2158" s="43" t="s">
        <v>5723</v>
      </c>
      <c r="N2158" s="17"/>
      <c r="O2158" s="17"/>
      <c r="P2158" s="17"/>
      <c r="Q2158" s="17"/>
      <c r="R2158" s="17"/>
      <c r="S2158" s="17"/>
      <c r="T2158" s="17"/>
      <c r="U2158" s="17"/>
      <c r="V2158" s="17"/>
      <c r="W2158" s="17"/>
      <c r="X2158" s="17"/>
      <c r="Y2158" s="17"/>
      <c r="Z2158" s="17"/>
      <c r="AA2158" s="17"/>
      <c r="AB2158" s="17"/>
      <c r="AC2158" s="17"/>
      <c r="AD2158" s="17"/>
      <c r="AE2158" s="17"/>
      <c r="AF2158" s="17"/>
      <c r="AG2158" s="17"/>
      <c r="AH2158" s="17"/>
      <c r="AI2158" s="17"/>
      <c r="AJ2158" s="17"/>
      <c r="AK2158" s="17"/>
      <c r="AL2158" s="17"/>
      <c r="AM2158" s="17"/>
      <c r="AN2158" s="17"/>
      <c r="AO2158" s="17"/>
      <c r="AP2158" s="17"/>
      <c r="AQ2158" s="17"/>
      <c r="AR2158" s="17"/>
      <c r="AS2158" s="17"/>
      <c r="AT2158" s="17"/>
      <c r="AU2158" s="17"/>
    </row>
    <row r="2159" hidden="1">
      <c r="A2159" s="17">
        <v>2157</v>
      </c>
      <c r="B2159" s="17" t="s">
        <v>52</v>
      </c>
      <c r="C2159" s="25" t="s">
        <v>6331</v>
      </c>
      <c r="D2159" s="35" t="s">
        <v>5571</v>
      </c>
      <c r="E2159" s="17" t="s">
        <v>6332</v>
      </c>
      <c r="F2159" s="17" t="s">
        <v>6333</v>
      </c>
      <c r="G2159" s="17">
        <v>22.348203999999999</v>
      </c>
      <c r="H2159" s="17">
        <v>87.165170000000003</v>
      </c>
      <c r="I2159" s="17"/>
      <c r="J2159" s="17"/>
      <c r="K2159" s="17"/>
      <c r="L2159" s="17"/>
      <c r="M2159" s="43" t="s">
        <v>5723</v>
      </c>
      <c r="N2159" s="17"/>
      <c r="O2159" s="17"/>
      <c r="P2159" s="17"/>
      <c r="Q2159" s="17"/>
      <c r="R2159" s="17"/>
      <c r="S2159" s="17"/>
      <c r="T2159" s="17"/>
      <c r="U2159" s="17"/>
      <c r="V2159" s="17"/>
      <c r="W2159" s="17"/>
      <c r="X2159" s="17"/>
      <c r="Y2159" s="17"/>
      <c r="Z2159" s="17"/>
      <c r="AA2159" s="17"/>
      <c r="AB2159" s="17"/>
      <c r="AC2159" s="17"/>
      <c r="AD2159" s="17"/>
      <c r="AE2159" s="17"/>
      <c r="AF2159" s="17"/>
      <c r="AG2159" s="17"/>
      <c r="AH2159" s="17"/>
      <c r="AI2159" s="17"/>
      <c r="AJ2159" s="17"/>
      <c r="AK2159" s="17"/>
      <c r="AL2159" s="17"/>
      <c r="AM2159" s="17"/>
      <c r="AN2159" s="17"/>
      <c r="AO2159" s="17"/>
      <c r="AP2159" s="17"/>
      <c r="AQ2159" s="17"/>
      <c r="AR2159" s="17"/>
      <c r="AS2159" s="17"/>
      <c r="AT2159" s="17"/>
      <c r="AU2159" s="17"/>
    </row>
    <row r="2160" hidden="1">
      <c r="A2160" s="17">
        <v>2158</v>
      </c>
      <c r="B2160" s="17" t="s">
        <v>52</v>
      </c>
      <c r="C2160" s="25" t="s">
        <v>6334</v>
      </c>
      <c r="D2160" s="35" t="s">
        <v>5571</v>
      </c>
      <c r="E2160" s="17" t="s">
        <v>5772</v>
      </c>
      <c r="F2160" s="17" t="s">
        <v>6335</v>
      </c>
      <c r="G2160" s="17">
        <v>22.315007999999999</v>
      </c>
      <c r="H2160" s="17">
        <v>87.148950999999997</v>
      </c>
      <c r="I2160" s="17"/>
      <c r="J2160" s="17"/>
      <c r="K2160" s="17"/>
      <c r="L2160" s="17"/>
      <c r="M2160" s="43" t="s">
        <v>5723</v>
      </c>
      <c r="N2160" s="17"/>
      <c r="O2160" s="17"/>
      <c r="P2160" s="17"/>
      <c r="Q2160" s="17"/>
      <c r="R2160" s="17"/>
      <c r="S2160" s="17"/>
      <c r="T2160" s="17"/>
      <c r="U2160" s="17"/>
      <c r="V2160" s="17"/>
      <c r="W2160" s="17"/>
      <c r="X2160" s="17"/>
      <c r="Y2160" s="17"/>
      <c r="Z2160" s="17"/>
      <c r="AA2160" s="17"/>
      <c r="AB2160" s="17"/>
      <c r="AC2160" s="17"/>
      <c r="AD2160" s="17"/>
      <c r="AE2160" s="17"/>
      <c r="AF2160" s="17"/>
      <c r="AG2160" s="17"/>
      <c r="AH2160" s="17"/>
      <c r="AI2160" s="17"/>
      <c r="AJ2160" s="17"/>
      <c r="AK2160" s="17"/>
      <c r="AL2160" s="17"/>
      <c r="AM2160" s="17"/>
      <c r="AN2160" s="17"/>
      <c r="AO2160" s="17"/>
      <c r="AP2160" s="17"/>
      <c r="AQ2160" s="17"/>
      <c r="AR2160" s="17"/>
      <c r="AS2160" s="17"/>
      <c r="AT2160" s="17"/>
      <c r="AU2160" s="17"/>
    </row>
    <row r="2161" hidden="1">
      <c r="A2161" s="17">
        <v>2159</v>
      </c>
      <c r="B2161" s="17" t="s">
        <v>52</v>
      </c>
      <c r="C2161" s="25" t="s">
        <v>6336</v>
      </c>
      <c r="D2161" s="35" t="s">
        <v>5571</v>
      </c>
      <c r="E2161" s="17" t="s">
        <v>6337</v>
      </c>
      <c r="F2161" s="17" t="s">
        <v>6338</v>
      </c>
      <c r="G2161" s="17">
        <v>22.330959</v>
      </c>
      <c r="H2161" s="17">
        <v>87.153814999999994</v>
      </c>
      <c r="I2161" s="17"/>
      <c r="J2161" s="17"/>
      <c r="K2161" s="17"/>
      <c r="L2161" s="17"/>
      <c r="M2161" s="43" t="s">
        <v>5723</v>
      </c>
      <c r="N2161" s="17"/>
      <c r="O2161" s="17"/>
      <c r="P2161" s="17"/>
      <c r="Q2161" s="17"/>
      <c r="R2161" s="17"/>
      <c r="S2161" s="17"/>
      <c r="T2161" s="17"/>
      <c r="U2161" s="17"/>
      <c r="V2161" s="17"/>
      <c r="W2161" s="17"/>
      <c r="X2161" s="17"/>
      <c r="Y2161" s="17"/>
      <c r="Z2161" s="17"/>
      <c r="AA2161" s="17"/>
      <c r="AB2161" s="17"/>
      <c r="AC2161" s="17"/>
      <c r="AD2161" s="17"/>
      <c r="AE2161" s="17"/>
      <c r="AF2161" s="17"/>
      <c r="AG2161" s="17"/>
      <c r="AH2161" s="17"/>
      <c r="AI2161" s="17"/>
      <c r="AJ2161" s="17"/>
      <c r="AK2161" s="17"/>
      <c r="AL2161" s="17"/>
      <c r="AM2161" s="17"/>
      <c r="AN2161" s="17"/>
      <c r="AO2161" s="17"/>
      <c r="AP2161" s="17"/>
      <c r="AQ2161" s="17"/>
      <c r="AR2161" s="17"/>
      <c r="AS2161" s="17"/>
      <c r="AT2161" s="17"/>
      <c r="AU2161" s="17"/>
    </row>
    <row r="2162" hidden="1">
      <c r="A2162" s="17">
        <v>2160</v>
      </c>
      <c r="B2162" s="17" t="s">
        <v>52</v>
      </c>
      <c r="C2162" s="25" t="s">
        <v>6339</v>
      </c>
      <c r="D2162" s="35" t="s">
        <v>5571</v>
      </c>
      <c r="E2162" s="17" t="s">
        <v>6340</v>
      </c>
      <c r="F2162" s="17" t="s">
        <v>6341</v>
      </c>
      <c r="G2162" s="17">
        <v>22.471274000000001</v>
      </c>
      <c r="H2162" s="17">
        <v>86.897041999999999</v>
      </c>
      <c r="I2162" s="17"/>
      <c r="J2162" s="17"/>
      <c r="K2162" s="17"/>
      <c r="L2162" s="17"/>
      <c r="M2162" s="43" t="s">
        <v>5731</v>
      </c>
      <c r="N2162" s="17"/>
      <c r="O2162" s="17"/>
      <c r="P2162" s="17"/>
      <c r="Q2162" s="17"/>
      <c r="R2162" s="17"/>
      <c r="S2162" s="17"/>
      <c r="T2162" s="17"/>
      <c r="U2162" s="17"/>
      <c r="V2162" s="17"/>
      <c r="W2162" s="17"/>
      <c r="X2162" s="17"/>
      <c r="Y2162" s="17"/>
      <c r="Z2162" s="17"/>
      <c r="AA2162" s="17"/>
      <c r="AB2162" s="17"/>
      <c r="AC2162" s="17"/>
      <c r="AD2162" s="17"/>
      <c r="AE2162" s="17"/>
      <c r="AF2162" s="17"/>
      <c r="AG2162" s="17"/>
      <c r="AH2162" s="17"/>
      <c r="AI2162" s="17"/>
      <c r="AJ2162" s="17"/>
      <c r="AK2162" s="17"/>
      <c r="AL2162" s="17"/>
      <c r="AM2162" s="17"/>
      <c r="AN2162" s="17"/>
      <c r="AO2162" s="17"/>
      <c r="AP2162" s="17"/>
      <c r="AQ2162" s="17"/>
      <c r="AR2162" s="17"/>
      <c r="AS2162" s="17"/>
      <c r="AT2162" s="17"/>
      <c r="AU2162" s="17"/>
    </row>
    <row r="2163" hidden="1">
      <c r="A2163" s="17">
        <v>2161</v>
      </c>
      <c r="B2163" s="17" t="s">
        <v>52</v>
      </c>
      <c r="C2163" s="44" t="s">
        <v>6342</v>
      </c>
      <c r="D2163" s="35" t="s">
        <v>5571</v>
      </c>
      <c r="E2163" s="17"/>
      <c r="F2163" s="17"/>
      <c r="G2163" s="17"/>
      <c r="H2163" s="17"/>
      <c r="I2163" s="17"/>
      <c r="J2163" s="17"/>
      <c r="K2163" s="17"/>
      <c r="L2163" s="17"/>
      <c r="M2163" s="43" t="s">
        <v>5731</v>
      </c>
      <c r="N2163" s="17"/>
      <c r="O2163" s="17"/>
      <c r="P2163" s="17"/>
      <c r="Q2163" s="17"/>
      <c r="R2163" s="17"/>
      <c r="S2163" s="17"/>
      <c r="T2163" s="17"/>
      <c r="U2163" s="17"/>
      <c r="V2163" s="17"/>
      <c r="W2163" s="17"/>
      <c r="X2163" s="17"/>
      <c r="Y2163" s="17"/>
      <c r="Z2163" s="17"/>
      <c r="AA2163" s="17"/>
      <c r="AB2163" s="17"/>
      <c r="AC2163" s="17"/>
      <c r="AD2163" s="17"/>
      <c r="AE2163" s="17"/>
      <c r="AF2163" s="17"/>
      <c r="AG2163" s="17"/>
      <c r="AH2163" s="17"/>
      <c r="AI2163" s="17"/>
      <c r="AJ2163" s="17"/>
      <c r="AK2163" s="17"/>
      <c r="AL2163" s="17"/>
      <c r="AM2163" s="17"/>
      <c r="AN2163" s="17"/>
      <c r="AO2163" s="17"/>
      <c r="AP2163" s="17"/>
      <c r="AQ2163" s="17"/>
      <c r="AR2163" s="17"/>
      <c r="AS2163" s="17"/>
      <c r="AT2163" s="17"/>
      <c r="AU2163" s="17"/>
    </row>
    <row r="2164" hidden="1">
      <c r="A2164" s="17">
        <v>2162</v>
      </c>
      <c r="B2164" s="17" t="s">
        <v>52</v>
      </c>
      <c r="C2164" s="25" t="s">
        <v>6343</v>
      </c>
      <c r="D2164" s="35" t="s">
        <v>5571</v>
      </c>
      <c r="E2164" s="17" t="s">
        <v>6344</v>
      </c>
      <c r="F2164" s="17" t="s">
        <v>6345</v>
      </c>
      <c r="G2164" s="17">
        <v>22.437103</v>
      </c>
      <c r="H2164" s="17">
        <v>86.798990000000003</v>
      </c>
      <c r="I2164" s="17"/>
      <c r="J2164" s="17"/>
      <c r="K2164" s="17"/>
      <c r="L2164" s="17"/>
      <c r="M2164" s="43" t="s">
        <v>5731</v>
      </c>
      <c r="N2164" s="17"/>
      <c r="O2164" s="17"/>
      <c r="P2164" s="17"/>
      <c r="Q2164" s="17"/>
      <c r="R2164" s="17"/>
      <c r="S2164" s="17"/>
      <c r="T2164" s="17"/>
      <c r="U2164" s="17"/>
      <c r="V2164" s="17"/>
      <c r="W2164" s="17"/>
      <c r="X2164" s="17"/>
      <c r="Y2164" s="17"/>
      <c r="Z2164" s="17"/>
      <c r="AA2164" s="17"/>
      <c r="AB2164" s="17"/>
      <c r="AC2164" s="17"/>
      <c r="AD2164" s="17"/>
      <c r="AE2164" s="17"/>
      <c r="AF2164" s="17"/>
      <c r="AG2164" s="17"/>
      <c r="AH2164" s="17"/>
      <c r="AI2164" s="17"/>
      <c r="AJ2164" s="17"/>
      <c r="AK2164" s="17"/>
      <c r="AL2164" s="17"/>
      <c r="AM2164" s="17"/>
      <c r="AN2164" s="17"/>
      <c r="AO2164" s="17"/>
      <c r="AP2164" s="17"/>
      <c r="AQ2164" s="17"/>
      <c r="AR2164" s="17"/>
      <c r="AS2164" s="17"/>
      <c r="AT2164" s="17"/>
      <c r="AU2164" s="17"/>
    </row>
    <row r="2165" hidden="1">
      <c r="A2165" s="17">
        <v>2163</v>
      </c>
      <c r="B2165" s="17" t="s">
        <v>52</v>
      </c>
      <c r="C2165" s="25" t="s">
        <v>6346</v>
      </c>
      <c r="D2165" s="35" t="s">
        <v>5571</v>
      </c>
      <c r="E2165" s="17" t="s">
        <v>6347</v>
      </c>
      <c r="F2165" s="17" t="s">
        <v>6348</v>
      </c>
      <c r="G2165" s="17">
        <v>22.466930000000001</v>
      </c>
      <c r="H2165" s="17">
        <v>86.865449999999996</v>
      </c>
      <c r="I2165" s="17"/>
      <c r="J2165" s="17"/>
      <c r="K2165" s="17"/>
      <c r="L2165" s="17"/>
      <c r="M2165" s="43" t="s">
        <v>5731</v>
      </c>
      <c r="N2165" s="17"/>
      <c r="O2165" s="17"/>
      <c r="P2165" s="17"/>
      <c r="Q2165" s="17"/>
      <c r="R2165" s="17"/>
      <c r="S2165" s="17"/>
      <c r="T2165" s="17"/>
      <c r="U2165" s="17"/>
      <c r="V2165" s="17"/>
      <c r="W2165" s="17"/>
      <c r="X2165" s="17"/>
      <c r="Y2165" s="17"/>
      <c r="Z2165" s="17"/>
      <c r="AA2165" s="17"/>
      <c r="AB2165" s="17"/>
      <c r="AC2165" s="17"/>
      <c r="AD2165" s="17"/>
      <c r="AE2165" s="17"/>
      <c r="AF2165" s="17"/>
      <c r="AG2165" s="17"/>
      <c r="AH2165" s="17"/>
      <c r="AI2165" s="17"/>
      <c r="AJ2165" s="17"/>
      <c r="AK2165" s="17"/>
      <c r="AL2165" s="17"/>
      <c r="AM2165" s="17"/>
      <c r="AN2165" s="17"/>
      <c r="AO2165" s="17"/>
      <c r="AP2165" s="17"/>
      <c r="AQ2165" s="17"/>
      <c r="AR2165" s="17"/>
      <c r="AS2165" s="17"/>
      <c r="AT2165" s="17"/>
      <c r="AU2165" s="17"/>
    </row>
    <row r="2166" hidden="1">
      <c r="A2166" s="17">
        <v>2164</v>
      </c>
      <c r="B2166" s="17" t="s">
        <v>52</v>
      </c>
      <c r="C2166" s="25" t="s">
        <v>6349</v>
      </c>
      <c r="D2166" s="35" t="s">
        <v>5571</v>
      </c>
      <c r="E2166" s="17" t="s">
        <v>6350</v>
      </c>
      <c r="F2166" s="17" t="s">
        <v>6351</v>
      </c>
      <c r="G2166" s="17">
        <v>22.383959999999998</v>
      </c>
      <c r="H2166" s="17">
        <v>86.893189000000007</v>
      </c>
      <c r="I2166" s="17"/>
      <c r="J2166" s="17"/>
      <c r="K2166" s="17"/>
      <c r="L2166" s="17"/>
      <c r="M2166" s="43" t="s">
        <v>5731</v>
      </c>
      <c r="N2166" s="17"/>
      <c r="O2166" s="17"/>
      <c r="P2166" s="17"/>
      <c r="Q2166" s="17"/>
      <c r="R2166" s="17"/>
      <c r="S2166" s="17"/>
      <c r="T2166" s="17"/>
      <c r="U2166" s="17"/>
      <c r="V2166" s="17"/>
      <c r="W2166" s="17"/>
      <c r="X2166" s="17"/>
      <c r="Y2166" s="17"/>
      <c r="Z2166" s="17"/>
      <c r="AA2166" s="17"/>
      <c r="AB2166" s="17"/>
      <c r="AC2166" s="17"/>
      <c r="AD2166" s="17"/>
      <c r="AE2166" s="17"/>
      <c r="AF2166" s="17"/>
      <c r="AG2166" s="17"/>
      <c r="AH2166" s="17"/>
      <c r="AI2166" s="17"/>
      <c r="AJ2166" s="17"/>
      <c r="AK2166" s="17"/>
      <c r="AL2166" s="17"/>
      <c r="AM2166" s="17"/>
      <c r="AN2166" s="17"/>
      <c r="AO2166" s="17"/>
      <c r="AP2166" s="17"/>
      <c r="AQ2166" s="17"/>
      <c r="AR2166" s="17"/>
      <c r="AS2166" s="17"/>
      <c r="AT2166" s="17"/>
      <c r="AU2166" s="17"/>
    </row>
    <row r="2167" hidden="1">
      <c r="A2167" s="17">
        <v>2165</v>
      </c>
      <c r="B2167" s="17" t="s">
        <v>52</v>
      </c>
      <c r="C2167" s="25" t="s">
        <v>6352</v>
      </c>
      <c r="D2167" s="35" t="s">
        <v>5571</v>
      </c>
      <c r="E2167" s="17" t="s">
        <v>6353</v>
      </c>
      <c r="F2167" s="17" t="s">
        <v>6354</v>
      </c>
      <c r="G2167" s="17">
        <v>22.490193999999999</v>
      </c>
      <c r="H2167" s="17">
        <v>87.076552000000007</v>
      </c>
      <c r="I2167" s="17"/>
      <c r="J2167" s="17"/>
      <c r="K2167" s="17"/>
      <c r="L2167" s="17"/>
      <c r="M2167" s="43" t="s">
        <v>5731</v>
      </c>
      <c r="N2167" s="17"/>
      <c r="O2167" s="17"/>
      <c r="P2167" s="17"/>
      <c r="Q2167" s="17"/>
      <c r="R2167" s="17"/>
      <c r="S2167" s="17"/>
      <c r="T2167" s="17"/>
      <c r="U2167" s="17"/>
      <c r="V2167" s="17"/>
      <c r="W2167" s="17"/>
      <c r="X2167" s="17"/>
      <c r="Y2167" s="17"/>
      <c r="Z2167" s="17"/>
      <c r="AA2167" s="17"/>
      <c r="AB2167" s="17"/>
      <c r="AC2167" s="17"/>
      <c r="AD2167" s="17"/>
      <c r="AE2167" s="17"/>
      <c r="AF2167" s="17"/>
      <c r="AG2167" s="17"/>
      <c r="AH2167" s="17"/>
      <c r="AI2167" s="17"/>
      <c r="AJ2167" s="17"/>
      <c r="AK2167" s="17"/>
      <c r="AL2167" s="17"/>
      <c r="AM2167" s="17"/>
      <c r="AN2167" s="17"/>
      <c r="AO2167" s="17"/>
      <c r="AP2167" s="17"/>
      <c r="AQ2167" s="17"/>
      <c r="AR2167" s="17"/>
      <c r="AS2167" s="17"/>
      <c r="AT2167" s="17"/>
      <c r="AU2167" s="17"/>
    </row>
    <row r="2168" hidden="1">
      <c r="A2168" s="17">
        <v>2166</v>
      </c>
      <c r="B2168" s="17" t="s">
        <v>52</v>
      </c>
      <c r="C2168" s="25" t="s">
        <v>6355</v>
      </c>
      <c r="D2168" s="35" t="s">
        <v>5571</v>
      </c>
      <c r="E2168" s="17" t="s">
        <v>6356</v>
      </c>
      <c r="F2168" s="17" t="s">
        <v>6357</v>
      </c>
      <c r="G2168" s="17">
        <v>22.494118</v>
      </c>
      <c r="H2168" s="17">
        <v>87.027259000000001</v>
      </c>
      <c r="I2168" s="17"/>
      <c r="J2168" s="17"/>
      <c r="K2168" s="17"/>
      <c r="L2168" s="17"/>
      <c r="M2168" s="43" t="s">
        <v>5731</v>
      </c>
      <c r="N2168" s="17"/>
      <c r="O2168" s="17"/>
      <c r="P2168" s="17"/>
      <c r="Q2168" s="17"/>
      <c r="R2168" s="17"/>
      <c r="S2168" s="17"/>
      <c r="T2168" s="17"/>
      <c r="U2168" s="17"/>
      <c r="V2168" s="17"/>
      <c r="W2168" s="17"/>
      <c r="X2168" s="17"/>
      <c r="Y2168" s="17"/>
      <c r="Z2168" s="17"/>
      <c r="AA2168" s="17"/>
      <c r="AB2168" s="17"/>
      <c r="AC2168" s="17"/>
      <c r="AD2168" s="17"/>
      <c r="AE2168" s="17"/>
      <c r="AF2168" s="17"/>
      <c r="AG2168" s="17"/>
      <c r="AH2168" s="17"/>
      <c r="AI2168" s="17"/>
      <c r="AJ2168" s="17"/>
      <c r="AK2168" s="17"/>
      <c r="AL2168" s="17"/>
      <c r="AM2168" s="17"/>
      <c r="AN2168" s="17"/>
      <c r="AO2168" s="17"/>
      <c r="AP2168" s="17"/>
      <c r="AQ2168" s="17"/>
      <c r="AR2168" s="17"/>
      <c r="AS2168" s="17"/>
      <c r="AT2168" s="17"/>
      <c r="AU2168" s="17"/>
    </row>
    <row r="2169" hidden="1">
      <c r="A2169" s="17">
        <v>2167</v>
      </c>
      <c r="B2169" s="17" t="s">
        <v>52</v>
      </c>
      <c r="C2169" s="25" t="s">
        <v>6358</v>
      </c>
      <c r="D2169" s="35" t="s">
        <v>5571</v>
      </c>
      <c r="E2169" s="17" t="s">
        <v>6359</v>
      </c>
      <c r="F2169" s="17" t="s">
        <v>6360</v>
      </c>
      <c r="G2169" s="17">
        <v>22.404616000000001</v>
      </c>
      <c r="H2169" s="17">
        <v>86.882335999999995</v>
      </c>
      <c r="I2169" s="17"/>
      <c r="J2169" s="17"/>
      <c r="K2169" s="17"/>
      <c r="L2169" s="17"/>
      <c r="M2169" s="43" t="s">
        <v>5731</v>
      </c>
      <c r="N2169" s="17"/>
      <c r="O2169" s="17"/>
      <c r="P2169" s="17"/>
      <c r="Q2169" s="17"/>
      <c r="R2169" s="17"/>
      <c r="S2169" s="17"/>
      <c r="T2169" s="17"/>
      <c r="U2169" s="17"/>
      <c r="V2169" s="17"/>
      <c r="W2169" s="17"/>
      <c r="X2169" s="17"/>
      <c r="Y2169" s="17"/>
      <c r="Z2169" s="17"/>
      <c r="AA2169" s="17"/>
      <c r="AB2169" s="17"/>
      <c r="AC2169" s="17"/>
      <c r="AD2169" s="17"/>
      <c r="AE2169" s="17"/>
      <c r="AF2169" s="17"/>
      <c r="AG2169" s="17"/>
      <c r="AH2169" s="17"/>
      <c r="AI2169" s="17"/>
      <c r="AJ2169" s="17"/>
      <c r="AK2169" s="17"/>
      <c r="AL2169" s="17"/>
      <c r="AM2169" s="17"/>
      <c r="AN2169" s="17"/>
      <c r="AO2169" s="17"/>
      <c r="AP2169" s="17"/>
      <c r="AQ2169" s="17"/>
      <c r="AR2169" s="17"/>
      <c r="AS2169" s="17"/>
      <c r="AT2169" s="17"/>
      <c r="AU2169" s="17"/>
    </row>
    <row r="2170" hidden="1">
      <c r="A2170" s="17">
        <v>2168</v>
      </c>
      <c r="B2170" s="17" t="s">
        <v>52</v>
      </c>
      <c r="C2170" s="25" t="s">
        <v>6361</v>
      </c>
      <c r="D2170" s="35" t="s">
        <v>5571</v>
      </c>
      <c r="E2170" s="17" t="s">
        <v>6362</v>
      </c>
      <c r="F2170" s="17" t="s">
        <v>6363</v>
      </c>
      <c r="G2170" s="17">
        <v>22.521885999999999</v>
      </c>
      <c r="H2170" s="17">
        <v>86.912340999999998</v>
      </c>
      <c r="I2170" s="17"/>
      <c r="J2170" s="17"/>
      <c r="K2170" s="17"/>
      <c r="L2170" s="17"/>
      <c r="M2170" s="43" t="s">
        <v>5731</v>
      </c>
      <c r="N2170" s="17"/>
      <c r="O2170" s="17"/>
      <c r="P2170" s="17"/>
      <c r="Q2170" s="17"/>
      <c r="R2170" s="17"/>
      <c r="S2170" s="17"/>
      <c r="T2170" s="17"/>
      <c r="U2170" s="17"/>
      <c r="V2170" s="17"/>
      <c r="W2170" s="17"/>
      <c r="X2170" s="17"/>
      <c r="Y2170" s="17"/>
      <c r="Z2170" s="17"/>
      <c r="AA2170" s="17"/>
      <c r="AB2170" s="17"/>
      <c r="AC2170" s="17"/>
      <c r="AD2170" s="17"/>
      <c r="AE2170" s="17"/>
      <c r="AF2170" s="17"/>
      <c r="AG2170" s="17"/>
      <c r="AH2170" s="17"/>
      <c r="AI2170" s="17"/>
      <c r="AJ2170" s="17"/>
      <c r="AK2170" s="17"/>
      <c r="AL2170" s="17"/>
      <c r="AM2170" s="17"/>
      <c r="AN2170" s="17"/>
      <c r="AO2170" s="17"/>
      <c r="AP2170" s="17"/>
      <c r="AQ2170" s="17"/>
      <c r="AR2170" s="17"/>
      <c r="AS2170" s="17"/>
      <c r="AT2170" s="17"/>
      <c r="AU2170" s="17"/>
    </row>
    <row r="2171" hidden="1">
      <c r="A2171" s="17">
        <v>2169</v>
      </c>
      <c r="B2171" s="17" t="s">
        <v>52</v>
      </c>
      <c r="C2171" s="25" t="s">
        <v>6364</v>
      </c>
      <c r="D2171" s="35" t="s">
        <v>5571</v>
      </c>
      <c r="E2171" s="17" t="s">
        <v>6365</v>
      </c>
      <c r="F2171" s="17" t="s">
        <v>6366</v>
      </c>
      <c r="G2171" s="17">
        <v>22.433336000000001</v>
      </c>
      <c r="H2171" s="17">
        <v>86.891401999999999</v>
      </c>
      <c r="I2171" s="17"/>
      <c r="J2171" s="17"/>
      <c r="K2171" s="17"/>
      <c r="L2171" s="17"/>
      <c r="M2171" s="43" t="s">
        <v>5731</v>
      </c>
      <c r="N2171" s="17"/>
      <c r="O2171" s="17"/>
      <c r="P2171" s="17"/>
      <c r="Q2171" s="17"/>
      <c r="R2171" s="17"/>
      <c r="S2171" s="17"/>
      <c r="T2171" s="17"/>
      <c r="U2171" s="17"/>
      <c r="V2171" s="17"/>
      <c r="W2171" s="17"/>
      <c r="X2171" s="17"/>
      <c r="Y2171" s="17"/>
      <c r="Z2171" s="17"/>
      <c r="AA2171" s="17"/>
      <c r="AB2171" s="17"/>
      <c r="AC2171" s="17"/>
      <c r="AD2171" s="17"/>
      <c r="AE2171" s="17"/>
      <c r="AF2171" s="17"/>
      <c r="AG2171" s="17"/>
      <c r="AH2171" s="17"/>
      <c r="AI2171" s="17"/>
      <c r="AJ2171" s="17"/>
      <c r="AK2171" s="17"/>
      <c r="AL2171" s="17"/>
      <c r="AM2171" s="17"/>
      <c r="AN2171" s="17"/>
      <c r="AO2171" s="17"/>
      <c r="AP2171" s="17"/>
      <c r="AQ2171" s="17"/>
      <c r="AR2171" s="17"/>
      <c r="AS2171" s="17"/>
      <c r="AT2171" s="17"/>
      <c r="AU2171" s="17"/>
    </row>
    <row r="2172" hidden="1">
      <c r="A2172" s="17">
        <v>2170</v>
      </c>
      <c r="B2172" s="17" t="s">
        <v>52</v>
      </c>
      <c r="C2172" s="25" t="s">
        <v>6367</v>
      </c>
      <c r="D2172" s="35" t="s">
        <v>5571</v>
      </c>
      <c r="E2172" s="17" t="s">
        <v>6368</v>
      </c>
      <c r="F2172" s="17" t="s">
        <v>6369</v>
      </c>
      <c r="G2172" s="17">
        <v>22.516931</v>
      </c>
      <c r="H2172" s="17">
        <v>87.023904000000002</v>
      </c>
      <c r="I2172" s="17"/>
      <c r="J2172" s="17"/>
      <c r="K2172" s="17"/>
      <c r="L2172" s="17"/>
      <c r="M2172" s="43" t="s">
        <v>5731</v>
      </c>
      <c r="N2172" s="17"/>
      <c r="O2172" s="17"/>
      <c r="P2172" s="17"/>
      <c r="Q2172" s="17"/>
      <c r="R2172" s="17"/>
      <c r="S2172" s="17"/>
      <c r="T2172" s="17"/>
      <c r="U2172" s="17"/>
      <c r="V2172" s="17"/>
      <c r="W2172" s="17"/>
      <c r="X2172" s="17"/>
      <c r="Y2172" s="17"/>
      <c r="Z2172" s="17"/>
      <c r="AA2172" s="17"/>
      <c r="AB2172" s="17"/>
      <c r="AC2172" s="17"/>
      <c r="AD2172" s="17"/>
      <c r="AE2172" s="17"/>
      <c r="AF2172" s="17"/>
      <c r="AG2172" s="17"/>
      <c r="AH2172" s="17"/>
      <c r="AI2172" s="17"/>
      <c r="AJ2172" s="17"/>
      <c r="AK2172" s="17"/>
      <c r="AL2172" s="17"/>
      <c r="AM2172" s="17"/>
      <c r="AN2172" s="17"/>
      <c r="AO2172" s="17"/>
      <c r="AP2172" s="17"/>
      <c r="AQ2172" s="17"/>
      <c r="AR2172" s="17"/>
      <c r="AS2172" s="17"/>
      <c r="AT2172" s="17"/>
      <c r="AU2172" s="17"/>
    </row>
    <row r="2173" hidden="1">
      <c r="A2173" s="17">
        <v>2171</v>
      </c>
      <c r="B2173" s="17" t="s">
        <v>52</v>
      </c>
      <c r="C2173" s="25" t="s">
        <v>6370</v>
      </c>
      <c r="D2173" s="35" t="s">
        <v>5571</v>
      </c>
      <c r="E2173" s="17" t="s">
        <v>6371</v>
      </c>
      <c r="F2173" s="17" t="s">
        <v>6372</v>
      </c>
      <c r="G2173" s="17">
        <v>22.560908000000001</v>
      </c>
      <c r="H2173" s="17">
        <v>87.019474000000002</v>
      </c>
      <c r="I2173" s="17"/>
      <c r="J2173" s="17"/>
      <c r="K2173" s="17"/>
      <c r="L2173" s="17"/>
      <c r="M2173" s="43" t="s">
        <v>5731</v>
      </c>
      <c r="N2173" s="17"/>
      <c r="O2173" s="17"/>
      <c r="P2173" s="17"/>
      <c r="Q2173" s="17"/>
      <c r="R2173" s="17"/>
      <c r="S2173" s="17"/>
      <c r="T2173" s="17"/>
      <c r="U2173" s="17"/>
      <c r="V2173" s="17"/>
      <c r="W2173" s="17"/>
      <c r="X2173" s="17"/>
      <c r="Y2173" s="17"/>
      <c r="Z2173" s="17"/>
      <c r="AA2173" s="17"/>
      <c r="AB2173" s="17"/>
      <c r="AC2173" s="17"/>
      <c r="AD2173" s="17"/>
      <c r="AE2173" s="17"/>
      <c r="AF2173" s="17"/>
      <c r="AG2173" s="17"/>
      <c r="AH2173" s="17"/>
      <c r="AI2173" s="17"/>
      <c r="AJ2173" s="17"/>
      <c r="AK2173" s="17"/>
      <c r="AL2173" s="17"/>
      <c r="AM2173" s="17"/>
      <c r="AN2173" s="17"/>
      <c r="AO2173" s="17"/>
      <c r="AP2173" s="17"/>
      <c r="AQ2173" s="17"/>
      <c r="AR2173" s="17"/>
      <c r="AS2173" s="17"/>
      <c r="AT2173" s="17"/>
      <c r="AU2173" s="17"/>
    </row>
    <row r="2174" hidden="1">
      <c r="A2174" s="17">
        <v>2172</v>
      </c>
      <c r="B2174" s="17" t="s">
        <v>52</v>
      </c>
      <c r="C2174" s="25" t="s">
        <v>6373</v>
      </c>
      <c r="D2174" s="35" t="s">
        <v>5571</v>
      </c>
      <c r="E2174" s="17" t="s">
        <v>6374</v>
      </c>
      <c r="F2174" s="17" t="s">
        <v>6375</v>
      </c>
      <c r="G2174" s="17">
        <v>22.529060000000001</v>
      </c>
      <c r="H2174" s="17">
        <v>86.961934999999997</v>
      </c>
      <c r="I2174" s="17"/>
      <c r="J2174" s="17"/>
      <c r="K2174" s="17"/>
      <c r="L2174" s="17"/>
      <c r="M2174" s="43" t="s">
        <v>5731</v>
      </c>
      <c r="N2174" s="17"/>
      <c r="O2174" s="17"/>
      <c r="P2174" s="17"/>
      <c r="Q2174" s="17"/>
      <c r="R2174" s="17"/>
      <c r="S2174" s="17"/>
      <c r="T2174" s="17"/>
      <c r="U2174" s="17"/>
      <c r="V2174" s="17"/>
      <c r="W2174" s="17"/>
      <c r="X2174" s="17"/>
      <c r="Y2174" s="17"/>
      <c r="Z2174" s="17"/>
      <c r="AA2174" s="17"/>
      <c r="AB2174" s="17"/>
      <c r="AC2174" s="17"/>
      <c r="AD2174" s="17"/>
      <c r="AE2174" s="17"/>
      <c r="AF2174" s="17"/>
      <c r="AG2174" s="17"/>
      <c r="AH2174" s="17"/>
      <c r="AI2174" s="17"/>
      <c r="AJ2174" s="17"/>
      <c r="AK2174" s="17"/>
      <c r="AL2174" s="17"/>
      <c r="AM2174" s="17"/>
      <c r="AN2174" s="17"/>
      <c r="AO2174" s="17"/>
      <c r="AP2174" s="17"/>
      <c r="AQ2174" s="17"/>
      <c r="AR2174" s="17"/>
      <c r="AS2174" s="17"/>
      <c r="AT2174" s="17"/>
      <c r="AU2174" s="17"/>
    </row>
    <row r="2175" hidden="1">
      <c r="A2175" s="17">
        <v>2173</v>
      </c>
      <c r="B2175" s="17" t="s">
        <v>52</v>
      </c>
      <c r="C2175" s="25" t="s">
        <v>6376</v>
      </c>
      <c r="D2175" s="35" t="s">
        <v>5571</v>
      </c>
      <c r="E2175" s="17" t="s">
        <v>6377</v>
      </c>
      <c r="F2175" s="17" t="s">
        <v>6378</v>
      </c>
      <c r="G2175" s="17">
        <v>22.438627</v>
      </c>
      <c r="H2175" s="17">
        <v>86.944723999999994</v>
      </c>
      <c r="I2175" s="17"/>
      <c r="J2175" s="17"/>
      <c r="K2175" s="17"/>
      <c r="L2175" s="17"/>
      <c r="M2175" s="43" t="s">
        <v>5731</v>
      </c>
      <c r="N2175" s="17"/>
      <c r="O2175" s="17"/>
      <c r="P2175" s="17"/>
      <c r="Q2175" s="17"/>
      <c r="R2175" s="17"/>
      <c r="S2175" s="17"/>
      <c r="T2175" s="17"/>
      <c r="U2175" s="17"/>
      <c r="V2175" s="17"/>
      <c r="W2175" s="17"/>
      <c r="X2175" s="17"/>
      <c r="Y2175" s="17"/>
      <c r="Z2175" s="17"/>
      <c r="AA2175" s="17"/>
      <c r="AB2175" s="17"/>
      <c r="AC2175" s="17"/>
      <c r="AD2175" s="17"/>
      <c r="AE2175" s="17"/>
      <c r="AF2175" s="17"/>
      <c r="AG2175" s="17"/>
      <c r="AH2175" s="17"/>
      <c r="AI2175" s="17"/>
      <c r="AJ2175" s="17"/>
      <c r="AK2175" s="17"/>
      <c r="AL2175" s="17"/>
      <c r="AM2175" s="17"/>
      <c r="AN2175" s="17"/>
      <c r="AO2175" s="17"/>
      <c r="AP2175" s="17"/>
      <c r="AQ2175" s="17"/>
      <c r="AR2175" s="17"/>
      <c r="AS2175" s="17"/>
      <c r="AT2175" s="17"/>
      <c r="AU2175" s="17"/>
    </row>
    <row r="2176" hidden="1">
      <c r="A2176" s="17">
        <v>2174</v>
      </c>
      <c r="B2176" s="17" t="s">
        <v>52</v>
      </c>
      <c r="C2176" s="25" t="s">
        <v>6379</v>
      </c>
      <c r="D2176" s="35" t="s">
        <v>5571</v>
      </c>
      <c r="E2176" s="17" t="s">
        <v>6380</v>
      </c>
      <c r="F2176" s="17" t="s">
        <v>6381</v>
      </c>
      <c r="G2176" s="17">
        <v>22.475883</v>
      </c>
      <c r="H2176" s="17">
        <v>87.024806999999996</v>
      </c>
      <c r="I2176" s="17"/>
      <c r="J2176" s="17"/>
      <c r="K2176" s="17"/>
      <c r="L2176" s="17"/>
      <c r="M2176" s="43" t="s">
        <v>5731</v>
      </c>
      <c r="N2176" s="17"/>
      <c r="O2176" s="17"/>
      <c r="P2176" s="17"/>
      <c r="Q2176" s="17"/>
      <c r="R2176" s="17"/>
      <c r="S2176" s="17"/>
      <c r="T2176" s="17"/>
      <c r="U2176" s="17"/>
      <c r="V2176" s="17"/>
      <c r="W2176" s="17"/>
      <c r="X2176" s="17"/>
      <c r="Y2176" s="17"/>
      <c r="Z2176" s="17"/>
      <c r="AA2176" s="17"/>
      <c r="AB2176" s="17"/>
      <c r="AC2176" s="17"/>
      <c r="AD2176" s="17"/>
      <c r="AE2176" s="17"/>
      <c r="AF2176" s="17"/>
      <c r="AG2176" s="17"/>
      <c r="AH2176" s="17"/>
      <c r="AI2176" s="17"/>
      <c r="AJ2176" s="17"/>
      <c r="AK2176" s="17"/>
      <c r="AL2176" s="17"/>
      <c r="AM2176" s="17"/>
      <c r="AN2176" s="17"/>
      <c r="AO2176" s="17"/>
      <c r="AP2176" s="17"/>
      <c r="AQ2176" s="17"/>
      <c r="AR2176" s="17"/>
      <c r="AS2176" s="17"/>
      <c r="AT2176" s="17"/>
      <c r="AU2176" s="17"/>
    </row>
    <row r="2177" hidden="1">
      <c r="A2177" s="17">
        <v>2175</v>
      </c>
      <c r="B2177" s="17" t="s">
        <v>52</v>
      </c>
      <c r="C2177" s="25" t="s">
        <v>6382</v>
      </c>
      <c r="D2177" s="35" t="s">
        <v>5571</v>
      </c>
      <c r="E2177" s="17" t="s">
        <v>6383</v>
      </c>
      <c r="F2177" s="17" t="s">
        <v>6384</v>
      </c>
      <c r="G2177" s="17">
        <v>22.634436000000001</v>
      </c>
      <c r="H2177" s="17">
        <v>86.978012000000007</v>
      </c>
      <c r="I2177" s="17"/>
      <c r="J2177" s="17"/>
      <c r="K2177" s="17"/>
      <c r="L2177" s="17"/>
      <c r="M2177" s="43" t="s">
        <v>5731</v>
      </c>
      <c r="N2177" s="17"/>
      <c r="O2177" s="17"/>
      <c r="P2177" s="17"/>
      <c r="Q2177" s="17"/>
      <c r="R2177" s="17"/>
      <c r="S2177" s="17"/>
      <c r="T2177" s="17"/>
      <c r="U2177" s="17"/>
      <c r="V2177" s="17"/>
      <c r="W2177" s="17"/>
      <c r="X2177" s="17"/>
      <c r="Y2177" s="17"/>
      <c r="Z2177" s="17"/>
      <c r="AA2177" s="17"/>
      <c r="AB2177" s="17"/>
      <c r="AC2177" s="17"/>
      <c r="AD2177" s="17"/>
      <c r="AE2177" s="17"/>
      <c r="AF2177" s="17"/>
      <c r="AG2177" s="17"/>
      <c r="AH2177" s="17"/>
      <c r="AI2177" s="17"/>
      <c r="AJ2177" s="17"/>
      <c r="AK2177" s="17"/>
      <c r="AL2177" s="17"/>
      <c r="AM2177" s="17"/>
      <c r="AN2177" s="17"/>
      <c r="AO2177" s="17"/>
      <c r="AP2177" s="17"/>
      <c r="AQ2177" s="17"/>
      <c r="AR2177" s="17"/>
      <c r="AS2177" s="17"/>
      <c r="AT2177" s="17"/>
      <c r="AU2177" s="17"/>
    </row>
    <row r="2178" hidden="1">
      <c r="A2178" s="17">
        <v>2176</v>
      </c>
      <c r="B2178" s="17" t="s">
        <v>52</v>
      </c>
      <c r="C2178" s="25" t="s">
        <v>6385</v>
      </c>
      <c r="D2178" s="35" t="s">
        <v>5571</v>
      </c>
      <c r="E2178" s="17" t="s">
        <v>6386</v>
      </c>
      <c r="F2178" s="17" t="s">
        <v>6387</v>
      </c>
      <c r="G2178" s="17">
        <v>22.484148000000001</v>
      </c>
      <c r="H2178" s="17">
        <v>86.855115999999995</v>
      </c>
      <c r="I2178" s="17"/>
      <c r="J2178" s="17"/>
      <c r="K2178" s="17"/>
      <c r="L2178" s="17"/>
      <c r="M2178" s="43" t="s">
        <v>5731</v>
      </c>
      <c r="N2178" s="17"/>
      <c r="O2178" s="17"/>
      <c r="P2178" s="17"/>
      <c r="Q2178" s="17"/>
      <c r="R2178" s="17"/>
      <c r="S2178" s="17"/>
      <c r="T2178" s="17"/>
      <c r="U2178" s="17"/>
      <c r="V2178" s="17"/>
      <c r="W2178" s="17"/>
      <c r="X2178" s="17"/>
      <c r="Y2178" s="17"/>
      <c r="Z2178" s="17"/>
      <c r="AA2178" s="17"/>
      <c r="AB2178" s="17"/>
      <c r="AC2178" s="17"/>
      <c r="AD2178" s="17"/>
      <c r="AE2178" s="17"/>
      <c r="AF2178" s="17"/>
      <c r="AG2178" s="17"/>
      <c r="AH2178" s="17"/>
      <c r="AI2178" s="17"/>
      <c r="AJ2178" s="17"/>
      <c r="AK2178" s="17"/>
      <c r="AL2178" s="17"/>
      <c r="AM2178" s="17"/>
      <c r="AN2178" s="17"/>
      <c r="AO2178" s="17"/>
      <c r="AP2178" s="17"/>
      <c r="AQ2178" s="17"/>
      <c r="AR2178" s="17"/>
      <c r="AS2178" s="17"/>
      <c r="AT2178" s="17"/>
      <c r="AU2178" s="17"/>
    </row>
    <row r="2179" hidden="1">
      <c r="A2179" s="17">
        <v>2177</v>
      </c>
      <c r="B2179" s="17" t="s">
        <v>52</v>
      </c>
      <c r="C2179" s="25" t="s">
        <v>6388</v>
      </c>
      <c r="D2179" s="35" t="s">
        <v>5571</v>
      </c>
      <c r="E2179" s="17" t="s">
        <v>6389</v>
      </c>
      <c r="F2179" s="17" t="s">
        <v>6390</v>
      </c>
      <c r="G2179" s="17">
        <v>22.579803999999999</v>
      </c>
      <c r="H2179" s="17">
        <v>86.921454999999995</v>
      </c>
      <c r="I2179" s="17"/>
      <c r="J2179" s="17"/>
      <c r="K2179" s="17"/>
      <c r="L2179" s="17"/>
      <c r="M2179" s="43" t="s">
        <v>5731</v>
      </c>
      <c r="N2179" s="17"/>
      <c r="O2179" s="17"/>
      <c r="P2179" s="17"/>
      <c r="Q2179" s="17"/>
      <c r="R2179" s="17"/>
      <c r="S2179" s="17"/>
      <c r="T2179" s="17"/>
      <c r="U2179" s="17"/>
      <c r="V2179" s="17"/>
      <c r="W2179" s="17"/>
      <c r="X2179" s="17"/>
      <c r="Y2179" s="17"/>
      <c r="Z2179" s="17"/>
      <c r="AA2179" s="17"/>
      <c r="AB2179" s="17"/>
      <c r="AC2179" s="17"/>
      <c r="AD2179" s="17"/>
      <c r="AE2179" s="17"/>
      <c r="AF2179" s="17"/>
      <c r="AG2179" s="17"/>
      <c r="AH2179" s="17"/>
      <c r="AI2179" s="17"/>
      <c r="AJ2179" s="17"/>
      <c r="AK2179" s="17"/>
      <c r="AL2179" s="17"/>
      <c r="AM2179" s="17"/>
      <c r="AN2179" s="17"/>
      <c r="AO2179" s="17"/>
      <c r="AP2179" s="17"/>
      <c r="AQ2179" s="17"/>
      <c r="AR2179" s="17"/>
      <c r="AS2179" s="17"/>
      <c r="AT2179" s="17"/>
      <c r="AU2179" s="17"/>
    </row>
    <row r="2180" hidden="1">
      <c r="A2180" s="17">
        <v>2178</v>
      </c>
      <c r="B2180" s="17" t="s">
        <v>52</v>
      </c>
      <c r="C2180" s="25" t="s">
        <v>6391</v>
      </c>
      <c r="D2180" s="35" t="s">
        <v>5571</v>
      </c>
      <c r="E2180" s="17" t="s">
        <v>6392</v>
      </c>
      <c r="F2180" s="17" t="s">
        <v>6393</v>
      </c>
      <c r="G2180" s="17">
        <v>22.597816999999999</v>
      </c>
      <c r="H2180" s="17">
        <v>86.947408999999993</v>
      </c>
      <c r="I2180" s="17"/>
      <c r="J2180" s="17"/>
      <c r="K2180" s="17"/>
      <c r="L2180" s="17"/>
      <c r="M2180" s="43" t="s">
        <v>5731</v>
      </c>
      <c r="N2180" s="17"/>
      <c r="O2180" s="17"/>
      <c r="P2180" s="17"/>
      <c r="Q2180" s="17"/>
      <c r="R2180" s="17"/>
      <c r="S2180" s="17"/>
      <c r="T2180" s="17"/>
      <c r="U2180" s="17"/>
      <c r="V2180" s="17"/>
      <c r="W2180" s="17"/>
      <c r="X2180" s="17"/>
      <c r="Y2180" s="17"/>
      <c r="Z2180" s="17"/>
      <c r="AA2180" s="17"/>
      <c r="AB2180" s="17"/>
      <c r="AC2180" s="17"/>
      <c r="AD2180" s="17"/>
      <c r="AE2180" s="17"/>
      <c r="AF2180" s="17"/>
      <c r="AG2180" s="17"/>
      <c r="AH2180" s="17"/>
      <c r="AI2180" s="17"/>
      <c r="AJ2180" s="17"/>
      <c r="AK2180" s="17"/>
      <c r="AL2180" s="17"/>
      <c r="AM2180" s="17"/>
      <c r="AN2180" s="17"/>
      <c r="AO2180" s="17"/>
      <c r="AP2180" s="17"/>
      <c r="AQ2180" s="17"/>
      <c r="AR2180" s="17"/>
      <c r="AS2180" s="17"/>
      <c r="AT2180" s="17"/>
      <c r="AU2180" s="17"/>
    </row>
    <row r="2181" hidden="1">
      <c r="A2181" s="17">
        <v>2179</v>
      </c>
      <c r="B2181" s="17" t="s">
        <v>52</v>
      </c>
      <c r="C2181" s="25" t="s">
        <v>6394</v>
      </c>
      <c r="D2181" s="35" t="s">
        <v>5571</v>
      </c>
      <c r="E2181" s="17" t="s">
        <v>6395</v>
      </c>
      <c r="F2181" s="17" t="s">
        <v>6396</v>
      </c>
      <c r="G2181" s="17">
        <v>22.55536</v>
      </c>
      <c r="H2181" s="17">
        <v>86.938905000000005</v>
      </c>
      <c r="I2181" s="17"/>
      <c r="J2181" s="17"/>
      <c r="K2181" s="17"/>
      <c r="L2181" s="17"/>
      <c r="M2181" s="43" t="s">
        <v>5731</v>
      </c>
      <c r="N2181" s="17"/>
      <c r="O2181" s="17"/>
      <c r="P2181" s="17"/>
      <c r="Q2181" s="17"/>
      <c r="R2181" s="17"/>
      <c r="S2181" s="17"/>
      <c r="T2181" s="17"/>
      <c r="U2181" s="17"/>
      <c r="V2181" s="17"/>
      <c r="W2181" s="17"/>
      <c r="X2181" s="17"/>
      <c r="Y2181" s="17"/>
      <c r="Z2181" s="17"/>
      <c r="AA2181" s="17"/>
      <c r="AB2181" s="17"/>
      <c r="AC2181" s="17"/>
      <c r="AD2181" s="17"/>
      <c r="AE2181" s="17"/>
      <c r="AF2181" s="17"/>
      <c r="AG2181" s="17"/>
      <c r="AH2181" s="17"/>
      <c r="AI2181" s="17"/>
      <c r="AJ2181" s="17"/>
      <c r="AK2181" s="17"/>
      <c r="AL2181" s="17"/>
      <c r="AM2181" s="17"/>
      <c r="AN2181" s="17"/>
      <c r="AO2181" s="17"/>
      <c r="AP2181" s="17"/>
      <c r="AQ2181" s="17"/>
      <c r="AR2181" s="17"/>
      <c r="AS2181" s="17"/>
      <c r="AT2181" s="17"/>
      <c r="AU2181" s="17"/>
    </row>
    <row r="2182" hidden="1">
      <c r="A2182" s="17">
        <v>2180</v>
      </c>
      <c r="B2182" s="17" t="s">
        <v>52</v>
      </c>
      <c r="C2182" s="25" t="s">
        <v>6397</v>
      </c>
      <c r="D2182" s="35" t="s">
        <v>5571</v>
      </c>
      <c r="E2182" s="17" t="s">
        <v>6398</v>
      </c>
      <c r="F2182" s="17" t="s">
        <v>6399</v>
      </c>
      <c r="G2182" s="17">
        <v>22.576566</v>
      </c>
      <c r="H2182" s="17">
        <v>86.885161999999994</v>
      </c>
      <c r="I2182" s="17"/>
      <c r="J2182" s="17"/>
      <c r="K2182" s="17"/>
      <c r="L2182" s="17"/>
      <c r="M2182" s="43" t="s">
        <v>5731</v>
      </c>
      <c r="N2182" s="17"/>
      <c r="O2182" s="17"/>
      <c r="P2182" s="17"/>
      <c r="Q2182" s="17"/>
      <c r="R2182" s="17"/>
      <c r="S2182" s="17"/>
      <c r="T2182" s="17"/>
      <c r="U2182" s="17"/>
      <c r="V2182" s="17"/>
      <c r="W2182" s="17"/>
      <c r="X2182" s="17"/>
      <c r="Y2182" s="17"/>
      <c r="Z2182" s="17"/>
      <c r="AA2182" s="17"/>
      <c r="AB2182" s="17"/>
      <c r="AC2182" s="17"/>
      <c r="AD2182" s="17"/>
      <c r="AE2182" s="17"/>
      <c r="AF2182" s="17"/>
      <c r="AG2182" s="17"/>
      <c r="AH2182" s="17"/>
      <c r="AI2182" s="17"/>
      <c r="AJ2182" s="17"/>
      <c r="AK2182" s="17"/>
      <c r="AL2182" s="17"/>
      <c r="AM2182" s="17"/>
      <c r="AN2182" s="17"/>
      <c r="AO2182" s="17"/>
      <c r="AP2182" s="17"/>
      <c r="AQ2182" s="17"/>
      <c r="AR2182" s="17"/>
      <c r="AS2182" s="17"/>
      <c r="AT2182" s="17"/>
      <c r="AU2182" s="17"/>
    </row>
    <row r="2183" hidden="1">
      <c r="A2183" s="17">
        <v>2181</v>
      </c>
      <c r="B2183" s="17" t="s">
        <v>52</v>
      </c>
      <c r="C2183" s="25" t="s">
        <v>6400</v>
      </c>
      <c r="D2183" s="35" t="s">
        <v>5571</v>
      </c>
      <c r="E2183" s="17" t="s">
        <v>6401</v>
      </c>
      <c r="F2183" s="17" t="s">
        <v>6402</v>
      </c>
      <c r="G2183" s="17">
        <v>22.472107999999999</v>
      </c>
      <c r="H2183" s="17">
        <v>87.012044000000003</v>
      </c>
      <c r="I2183" s="17"/>
      <c r="J2183" s="17"/>
      <c r="K2183" s="17"/>
      <c r="L2183" s="17"/>
      <c r="M2183" s="43" t="s">
        <v>5731</v>
      </c>
      <c r="N2183" s="17"/>
      <c r="O2183" s="17"/>
      <c r="P2183" s="17"/>
      <c r="Q2183" s="17"/>
      <c r="R2183" s="17"/>
      <c r="S2183" s="17"/>
      <c r="T2183" s="17"/>
      <c r="U2183" s="17"/>
      <c r="V2183" s="17"/>
      <c r="W2183" s="17"/>
      <c r="X2183" s="17"/>
      <c r="Y2183" s="17"/>
      <c r="Z2183" s="17"/>
      <c r="AA2183" s="17"/>
      <c r="AB2183" s="17"/>
      <c r="AC2183" s="17"/>
      <c r="AD2183" s="17"/>
      <c r="AE2183" s="17"/>
      <c r="AF2183" s="17"/>
      <c r="AG2183" s="17"/>
      <c r="AH2183" s="17"/>
      <c r="AI2183" s="17"/>
      <c r="AJ2183" s="17"/>
      <c r="AK2183" s="17"/>
      <c r="AL2183" s="17"/>
      <c r="AM2183" s="17"/>
      <c r="AN2183" s="17"/>
      <c r="AO2183" s="17"/>
      <c r="AP2183" s="17"/>
      <c r="AQ2183" s="17"/>
      <c r="AR2183" s="17"/>
      <c r="AS2183" s="17"/>
      <c r="AT2183" s="17"/>
      <c r="AU2183" s="17"/>
    </row>
    <row r="2184" hidden="1">
      <c r="A2184" s="17">
        <v>2182</v>
      </c>
      <c r="B2184" s="17" t="s">
        <v>52</v>
      </c>
      <c r="C2184" s="25" t="s">
        <v>6403</v>
      </c>
      <c r="D2184" s="35" t="s">
        <v>5571</v>
      </c>
      <c r="E2184" s="17" t="s">
        <v>6404</v>
      </c>
      <c r="F2184" s="17" t="s">
        <v>6405</v>
      </c>
      <c r="G2184" s="17">
        <v>22.499644</v>
      </c>
      <c r="H2184" s="17">
        <v>86.84348</v>
      </c>
      <c r="I2184" s="17"/>
      <c r="J2184" s="17"/>
      <c r="K2184" s="17"/>
      <c r="L2184" s="17"/>
      <c r="M2184" s="43" t="s">
        <v>5731</v>
      </c>
      <c r="N2184" s="17"/>
      <c r="O2184" s="17"/>
      <c r="P2184" s="17"/>
      <c r="Q2184" s="17"/>
      <c r="R2184" s="17"/>
      <c r="S2184" s="17"/>
      <c r="T2184" s="17"/>
      <c r="U2184" s="17"/>
      <c r="V2184" s="17"/>
      <c r="W2184" s="17"/>
      <c r="X2184" s="17"/>
      <c r="Y2184" s="17"/>
      <c r="Z2184" s="17"/>
      <c r="AA2184" s="17"/>
      <c r="AB2184" s="17"/>
      <c r="AC2184" s="17"/>
      <c r="AD2184" s="17"/>
      <c r="AE2184" s="17"/>
      <c r="AF2184" s="17"/>
      <c r="AG2184" s="17"/>
      <c r="AH2184" s="17"/>
      <c r="AI2184" s="17"/>
      <c r="AJ2184" s="17"/>
      <c r="AK2184" s="17"/>
      <c r="AL2184" s="17"/>
      <c r="AM2184" s="17"/>
      <c r="AN2184" s="17"/>
      <c r="AO2184" s="17"/>
      <c r="AP2184" s="17"/>
      <c r="AQ2184" s="17"/>
      <c r="AR2184" s="17"/>
      <c r="AS2184" s="17"/>
      <c r="AT2184" s="17"/>
      <c r="AU2184" s="17"/>
    </row>
    <row r="2185" hidden="1">
      <c r="A2185" s="17">
        <v>2183</v>
      </c>
      <c r="B2185" s="17" t="s">
        <v>52</v>
      </c>
      <c r="C2185" s="44" t="s">
        <v>6406</v>
      </c>
      <c r="D2185" s="35" t="s">
        <v>5571</v>
      </c>
      <c r="E2185" s="17" t="s">
        <v>6407</v>
      </c>
      <c r="F2185" s="17" t="s">
        <v>6408</v>
      </c>
      <c r="G2185" s="17">
        <v>22.478688999999999</v>
      </c>
      <c r="H2185" s="17">
        <v>87.043229999999994</v>
      </c>
      <c r="I2185" s="17"/>
      <c r="J2185" s="17"/>
      <c r="K2185" s="17"/>
      <c r="L2185" s="17"/>
      <c r="M2185" s="43" t="s">
        <v>5731</v>
      </c>
      <c r="N2185" s="17"/>
      <c r="O2185" s="17"/>
      <c r="P2185" s="17"/>
      <c r="Q2185" s="17"/>
      <c r="R2185" s="17"/>
      <c r="S2185" s="17"/>
      <c r="T2185" s="17"/>
      <c r="U2185" s="17"/>
      <c r="V2185" s="17"/>
      <c r="W2185" s="17"/>
      <c r="X2185" s="17"/>
      <c r="Y2185" s="17"/>
      <c r="Z2185" s="17"/>
      <c r="AA2185" s="17"/>
      <c r="AB2185" s="17"/>
      <c r="AC2185" s="17"/>
      <c r="AD2185" s="17"/>
      <c r="AE2185" s="17"/>
      <c r="AF2185" s="17"/>
      <c r="AG2185" s="17"/>
      <c r="AH2185" s="17"/>
      <c r="AI2185" s="17"/>
      <c r="AJ2185" s="17"/>
      <c r="AK2185" s="17"/>
      <c r="AL2185" s="17"/>
      <c r="AM2185" s="17"/>
      <c r="AN2185" s="17"/>
      <c r="AO2185" s="17"/>
      <c r="AP2185" s="17"/>
      <c r="AQ2185" s="17"/>
      <c r="AR2185" s="17"/>
      <c r="AS2185" s="17"/>
      <c r="AT2185" s="17"/>
      <c r="AU2185" s="17"/>
    </row>
    <row r="2186" hidden="1">
      <c r="A2186" s="17">
        <v>2184</v>
      </c>
      <c r="B2186" s="17" t="s">
        <v>52</v>
      </c>
      <c r="C2186" s="25" t="s">
        <v>6409</v>
      </c>
      <c r="D2186" s="35" t="s">
        <v>5571</v>
      </c>
      <c r="E2186" s="17" t="s">
        <v>6410</v>
      </c>
      <c r="F2186" s="17" t="s">
        <v>6411</v>
      </c>
      <c r="G2186" s="17">
        <v>22.489999999999998</v>
      </c>
      <c r="H2186" s="17">
        <v>86.996885000000006</v>
      </c>
      <c r="I2186" s="17"/>
      <c r="J2186" s="17"/>
      <c r="K2186" s="17"/>
      <c r="L2186" s="17"/>
      <c r="M2186" s="43" t="s">
        <v>5731</v>
      </c>
      <c r="N2186" s="17"/>
      <c r="O2186" s="17"/>
      <c r="P2186" s="17"/>
      <c r="Q2186" s="17"/>
      <c r="R2186" s="17"/>
      <c r="S2186" s="17"/>
      <c r="T2186" s="17"/>
      <c r="U2186" s="17"/>
      <c r="V2186" s="17"/>
      <c r="W2186" s="17"/>
      <c r="X2186" s="17"/>
      <c r="Y2186" s="17"/>
      <c r="Z2186" s="17"/>
      <c r="AA2186" s="17"/>
      <c r="AB2186" s="17"/>
      <c r="AC2186" s="17"/>
      <c r="AD2186" s="17"/>
      <c r="AE2186" s="17"/>
      <c r="AF2186" s="17"/>
      <c r="AG2186" s="17"/>
      <c r="AH2186" s="17"/>
      <c r="AI2186" s="17"/>
      <c r="AJ2186" s="17"/>
      <c r="AK2186" s="17"/>
      <c r="AL2186" s="17"/>
      <c r="AM2186" s="17"/>
      <c r="AN2186" s="17"/>
      <c r="AO2186" s="17"/>
      <c r="AP2186" s="17"/>
      <c r="AQ2186" s="17"/>
      <c r="AR2186" s="17"/>
      <c r="AS2186" s="17"/>
      <c r="AT2186" s="17"/>
      <c r="AU2186" s="17"/>
    </row>
    <row r="2187" hidden="1">
      <c r="A2187" s="17">
        <v>2185</v>
      </c>
      <c r="B2187" s="17" t="s">
        <v>52</v>
      </c>
      <c r="C2187" s="25" t="s">
        <v>6412</v>
      </c>
      <c r="D2187" s="35" t="s">
        <v>5571</v>
      </c>
      <c r="E2187" s="17" t="s">
        <v>6413</v>
      </c>
      <c r="F2187" s="17" t="s">
        <v>6414</v>
      </c>
      <c r="G2187" s="17">
        <v>22.491664</v>
      </c>
      <c r="H2187" s="17">
        <v>87.054018999999997</v>
      </c>
      <c r="I2187" s="17"/>
      <c r="J2187" s="17"/>
      <c r="K2187" s="17"/>
      <c r="L2187" s="17"/>
      <c r="M2187" s="43" t="s">
        <v>5731</v>
      </c>
      <c r="N2187" s="17"/>
      <c r="O2187" s="17"/>
      <c r="P2187" s="17"/>
      <c r="Q2187" s="17"/>
      <c r="R2187" s="17"/>
      <c r="S2187" s="17"/>
      <c r="T2187" s="17"/>
      <c r="U2187" s="17"/>
      <c r="V2187" s="17"/>
      <c r="W2187" s="17"/>
      <c r="X2187" s="17"/>
      <c r="Y2187" s="17"/>
      <c r="Z2187" s="17"/>
      <c r="AA2187" s="17"/>
      <c r="AB2187" s="17"/>
      <c r="AC2187" s="17"/>
      <c r="AD2187" s="17"/>
      <c r="AE2187" s="17"/>
      <c r="AF2187" s="17"/>
      <c r="AG2187" s="17"/>
      <c r="AH2187" s="17"/>
      <c r="AI2187" s="17"/>
      <c r="AJ2187" s="17"/>
      <c r="AK2187" s="17"/>
      <c r="AL2187" s="17"/>
      <c r="AM2187" s="17"/>
      <c r="AN2187" s="17"/>
      <c r="AO2187" s="17"/>
      <c r="AP2187" s="17"/>
      <c r="AQ2187" s="17"/>
      <c r="AR2187" s="17"/>
      <c r="AS2187" s="17"/>
      <c r="AT2187" s="17"/>
      <c r="AU2187" s="17"/>
    </row>
    <row r="2188" hidden="1">
      <c r="A2188" s="17">
        <v>2186</v>
      </c>
      <c r="B2188" s="17" t="s">
        <v>52</v>
      </c>
      <c r="C2188" s="25" t="s">
        <v>6415</v>
      </c>
      <c r="D2188" s="35" t="s">
        <v>5571</v>
      </c>
      <c r="E2188" s="17" t="s">
        <v>6416</v>
      </c>
      <c r="F2188" s="17" t="s">
        <v>6417</v>
      </c>
      <c r="G2188" s="17">
        <v>22.565580000000001</v>
      </c>
      <c r="H2188" s="17">
        <v>86.994799999999998</v>
      </c>
      <c r="I2188" s="17"/>
      <c r="J2188" s="17"/>
      <c r="K2188" s="17"/>
      <c r="L2188" s="17"/>
      <c r="M2188" s="43" t="s">
        <v>5731</v>
      </c>
      <c r="N2188" s="17"/>
      <c r="O2188" s="17"/>
      <c r="P2188" s="17"/>
      <c r="Q2188" s="17"/>
      <c r="R2188" s="17"/>
      <c r="S2188" s="17"/>
      <c r="T2188" s="17"/>
      <c r="U2188" s="17"/>
      <c r="V2188" s="17"/>
      <c r="W2188" s="17"/>
      <c r="X2188" s="17"/>
      <c r="Y2188" s="17"/>
      <c r="Z2188" s="17"/>
      <c r="AA2188" s="17"/>
      <c r="AB2188" s="17"/>
      <c r="AC2188" s="17"/>
      <c r="AD2188" s="17"/>
      <c r="AE2188" s="17"/>
      <c r="AF2188" s="17"/>
      <c r="AG2188" s="17"/>
      <c r="AH2188" s="17"/>
      <c r="AI2188" s="17"/>
      <c r="AJ2188" s="17"/>
      <c r="AK2188" s="17"/>
      <c r="AL2188" s="17"/>
      <c r="AM2188" s="17"/>
      <c r="AN2188" s="17"/>
      <c r="AO2188" s="17"/>
      <c r="AP2188" s="17"/>
      <c r="AQ2188" s="17"/>
      <c r="AR2188" s="17"/>
      <c r="AS2188" s="17"/>
      <c r="AT2188" s="17"/>
      <c r="AU2188" s="17"/>
    </row>
    <row r="2189" hidden="1">
      <c r="A2189" s="17">
        <v>2187</v>
      </c>
      <c r="B2189" s="17" t="s">
        <v>52</v>
      </c>
      <c r="C2189" s="25" t="s">
        <v>6418</v>
      </c>
      <c r="D2189" s="35" t="s">
        <v>5571</v>
      </c>
      <c r="E2189" s="17" t="s">
        <v>6419</v>
      </c>
      <c r="F2189" s="17" t="s">
        <v>6420</v>
      </c>
      <c r="G2189" s="17">
        <v>22.446760999999999</v>
      </c>
      <c r="H2189" s="17">
        <v>86.818849999999998</v>
      </c>
      <c r="I2189" s="17"/>
      <c r="J2189" s="17"/>
      <c r="K2189" s="17"/>
      <c r="L2189" s="17"/>
      <c r="M2189" s="43" t="s">
        <v>5731</v>
      </c>
      <c r="N2189" s="17"/>
      <c r="O2189" s="17"/>
      <c r="P2189" s="17"/>
      <c r="Q2189" s="17"/>
      <c r="R2189" s="17"/>
      <c r="S2189" s="17"/>
      <c r="T2189" s="17"/>
      <c r="U2189" s="17"/>
      <c r="V2189" s="17"/>
      <c r="W2189" s="17"/>
      <c r="X2189" s="17"/>
      <c r="Y2189" s="17"/>
      <c r="Z2189" s="17"/>
      <c r="AA2189" s="17"/>
      <c r="AB2189" s="17"/>
      <c r="AC2189" s="17"/>
      <c r="AD2189" s="17"/>
      <c r="AE2189" s="17"/>
      <c r="AF2189" s="17"/>
      <c r="AG2189" s="17"/>
      <c r="AH2189" s="17"/>
      <c r="AI2189" s="17"/>
      <c r="AJ2189" s="17"/>
      <c r="AK2189" s="17"/>
      <c r="AL2189" s="17"/>
      <c r="AM2189" s="17"/>
      <c r="AN2189" s="17"/>
      <c r="AO2189" s="17"/>
      <c r="AP2189" s="17"/>
      <c r="AQ2189" s="17"/>
      <c r="AR2189" s="17"/>
      <c r="AS2189" s="17"/>
      <c r="AT2189" s="17"/>
      <c r="AU2189" s="17"/>
    </row>
    <row r="2190" hidden="1">
      <c r="A2190" s="17">
        <v>2188</v>
      </c>
      <c r="B2190" s="17" t="s">
        <v>52</v>
      </c>
      <c r="C2190" s="25" t="s">
        <v>6421</v>
      </c>
      <c r="D2190" s="35" t="s">
        <v>5571</v>
      </c>
      <c r="E2190" s="17" t="s">
        <v>6422</v>
      </c>
      <c r="F2190" s="17" t="s">
        <v>6423</v>
      </c>
      <c r="G2190" s="17">
        <v>22.553011000000001</v>
      </c>
      <c r="H2190" s="17">
        <v>86.864411000000004</v>
      </c>
      <c r="I2190" s="17"/>
      <c r="J2190" s="17"/>
      <c r="K2190" s="17"/>
      <c r="L2190" s="17"/>
      <c r="M2190" s="43" t="s">
        <v>5731</v>
      </c>
      <c r="N2190" s="17"/>
      <c r="O2190" s="17"/>
      <c r="P2190" s="17"/>
      <c r="Q2190" s="17"/>
      <c r="R2190" s="17"/>
      <c r="S2190" s="17"/>
      <c r="T2190" s="17"/>
      <c r="U2190" s="17"/>
      <c r="V2190" s="17"/>
      <c r="W2190" s="17"/>
      <c r="X2190" s="17"/>
      <c r="Y2190" s="17"/>
      <c r="Z2190" s="17"/>
      <c r="AA2190" s="17"/>
      <c r="AB2190" s="17"/>
      <c r="AC2190" s="17"/>
      <c r="AD2190" s="17"/>
      <c r="AE2190" s="17"/>
      <c r="AF2190" s="17"/>
      <c r="AG2190" s="17"/>
      <c r="AH2190" s="17"/>
      <c r="AI2190" s="17"/>
      <c r="AJ2190" s="17"/>
      <c r="AK2190" s="17"/>
      <c r="AL2190" s="17"/>
      <c r="AM2190" s="17"/>
      <c r="AN2190" s="17"/>
      <c r="AO2190" s="17"/>
      <c r="AP2190" s="17"/>
      <c r="AQ2190" s="17"/>
      <c r="AR2190" s="17"/>
      <c r="AS2190" s="17"/>
      <c r="AT2190" s="17"/>
      <c r="AU2190" s="17"/>
    </row>
    <row r="2191" hidden="1">
      <c r="A2191" s="17">
        <v>2189</v>
      </c>
      <c r="B2191" s="17" t="s">
        <v>52</v>
      </c>
      <c r="C2191" s="25" t="s">
        <v>6424</v>
      </c>
      <c r="D2191" s="35" t="s">
        <v>5571</v>
      </c>
      <c r="E2191" s="17" t="s">
        <v>6425</v>
      </c>
      <c r="F2191" s="17" t="s">
        <v>6426</v>
      </c>
      <c r="G2191" s="17">
        <v>22.499220999999999</v>
      </c>
      <c r="H2191" s="17">
        <v>86.995925999999997</v>
      </c>
      <c r="I2191" s="17"/>
      <c r="J2191" s="17"/>
      <c r="K2191" s="17"/>
      <c r="L2191" s="17"/>
      <c r="M2191" s="43" t="s">
        <v>5731</v>
      </c>
      <c r="N2191" s="17"/>
      <c r="O2191" s="17"/>
      <c r="P2191" s="17"/>
      <c r="Q2191" s="17"/>
      <c r="R2191" s="17"/>
      <c r="S2191" s="17"/>
      <c r="T2191" s="17"/>
      <c r="U2191" s="17"/>
      <c r="V2191" s="17"/>
      <c r="W2191" s="17"/>
      <c r="X2191" s="17"/>
      <c r="Y2191" s="17"/>
      <c r="Z2191" s="17"/>
      <c r="AA2191" s="17"/>
      <c r="AB2191" s="17"/>
      <c r="AC2191" s="17"/>
      <c r="AD2191" s="17"/>
      <c r="AE2191" s="17"/>
      <c r="AF2191" s="17"/>
      <c r="AG2191" s="17"/>
      <c r="AH2191" s="17"/>
      <c r="AI2191" s="17"/>
      <c r="AJ2191" s="17"/>
      <c r="AK2191" s="17"/>
      <c r="AL2191" s="17"/>
      <c r="AM2191" s="17"/>
      <c r="AN2191" s="17"/>
      <c r="AO2191" s="17"/>
      <c r="AP2191" s="17"/>
      <c r="AQ2191" s="17"/>
      <c r="AR2191" s="17"/>
      <c r="AS2191" s="17"/>
      <c r="AT2191" s="17"/>
      <c r="AU2191" s="17"/>
    </row>
    <row r="2192" hidden="1">
      <c r="A2192" s="17">
        <v>2190</v>
      </c>
      <c r="B2192" s="17" t="s">
        <v>52</v>
      </c>
      <c r="C2192" s="25" t="s">
        <v>6427</v>
      </c>
      <c r="D2192" s="35" t="s">
        <v>5571</v>
      </c>
      <c r="E2192" s="17" t="s">
        <v>6428</v>
      </c>
      <c r="F2192" s="17" t="s">
        <v>6429</v>
      </c>
      <c r="G2192" s="17">
        <v>22.490952</v>
      </c>
      <c r="H2192" s="17">
        <v>86.888825999999995</v>
      </c>
      <c r="I2192" s="17"/>
      <c r="J2192" s="17"/>
      <c r="K2192" s="17"/>
      <c r="L2192" s="17"/>
      <c r="M2192" s="43" t="s">
        <v>5731</v>
      </c>
      <c r="N2192" s="17"/>
      <c r="O2192" s="17"/>
      <c r="P2192" s="17"/>
      <c r="Q2192" s="17"/>
      <c r="R2192" s="17"/>
      <c r="S2192" s="17"/>
      <c r="T2192" s="17"/>
      <c r="U2192" s="17"/>
      <c r="V2192" s="17"/>
      <c r="W2192" s="17"/>
      <c r="X2192" s="17"/>
      <c r="Y2192" s="17"/>
      <c r="Z2192" s="17"/>
      <c r="AA2192" s="17"/>
      <c r="AB2192" s="17"/>
      <c r="AC2192" s="17"/>
      <c r="AD2192" s="17"/>
      <c r="AE2192" s="17"/>
      <c r="AF2192" s="17"/>
      <c r="AG2192" s="17"/>
      <c r="AH2192" s="17"/>
      <c r="AI2192" s="17"/>
      <c r="AJ2192" s="17"/>
      <c r="AK2192" s="17"/>
      <c r="AL2192" s="17"/>
      <c r="AM2192" s="17"/>
      <c r="AN2192" s="17"/>
      <c r="AO2192" s="17"/>
      <c r="AP2192" s="17"/>
      <c r="AQ2192" s="17"/>
      <c r="AR2192" s="17"/>
      <c r="AS2192" s="17"/>
      <c r="AT2192" s="17"/>
      <c r="AU2192" s="17"/>
    </row>
    <row r="2193" hidden="1">
      <c r="A2193" s="17">
        <v>2191</v>
      </c>
      <c r="B2193" s="17" t="s">
        <v>52</v>
      </c>
      <c r="C2193" s="25" t="s">
        <v>6430</v>
      </c>
      <c r="D2193" s="35" t="s">
        <v>5571</v>
      </c>
      <c r="E2193" s="17" t="s">
        <v>6431</v>
      </c>
      <c r="F2193" s="17" t="s">
        <v>6432</v>
      </c>
      <c r="G2193" s="17">
        <v>22.472394999999999</v>
      </c>
      <c r="H2193" s="17">
        <v>86.925083000000001</v>
      </c>
      <c r="I2193" s="17"/>
      <c r="J2193" s="17"/>
      <c r="K2193" s="17"/>
      <c r="L2193" s="17"/>
      <c r="M2193" s="43" t="s">
        <v>5731</v>
      </c>
      <c r="N2193" s="17"/>
      <c r="O2193" s="17"/>
      <c r="P2193" s="17"/>
      <c r="Q2193" s="17"/>
      <c r="R2193" s="17"/>
      <c r="S2193" s="17"/>
      <c r="T2193" s="17"/>
      <c r="U2193" s="17"/>
      <c r="V2193" s="17"/>
      <c r="W2193" s="17"/>
      <c r="X2193" s="17"/>
      <c r="Y2193" s="17"/>
      <c r="Z2193" s="17"/>
      <c r="AA2193" s="17"/>
      <c r="AB2193" s="17"/>
      <c r="AC2193" s="17"/>
      <c r="AD2193" s="17"/>
      <c r="AE2193" s="17"/>
      <c r="AF2193" s="17"/>
      <c r="AG2193" s="17"/>
      <c r="AH2193" s="17"/>
      <c r="AI2193" s="17"/>
      <c r="AJ2193" s="17"/>
      <c r="AK2193" s="17"/>
      <c r="AL2193" s="17"/>
      <c r="AM2193" s="17"/>
      <c r="AN2193" s="17"/>
      <c r="AO2193" s="17"/>
      <c r="AP2193" s="17"/>
      <c r="AQ2193" s="17"/>
      <c r="AR2193" s="17"/>
      <c r="AS2193" s="17"/>
      <c r="AT2193" s="17"/>
      <c r="AU2193" s="17"/>
    </row>
    <row r="2194" hidden="1">
      <c r="A2194" s="17">
        <v>2192</v>
      </c>
      <c r="B2194" s="17" t="s">
        <v>52</v>
      </c>
      <c r="C2194" s="44" t="s">
        <v>6433</v>
      </c>
      <c r="D2194" s="35" t="s">
        <v>5571</v>
      </c>
      <c r="E2194" s="17" t="s">
        <v>6434</v>
      </c>
      <c r="F2194" s="17" t="s">
        <v>6435</v>
      </c>
      <c r="G2194" s="17">
        <v>22.550391000000001</v>
      </c>
      <c r="H2194" s="17">
        <v>86.891970000000001</v>
      </c>
      <c r="I2194" s="17"/>
      <c r="J2194" s="17"/>
      <c r="K2194" s="17"/>
      <c r="L2194" s="17"/>
      <c r="M2194" s="43" t="s">
        <v>5731</v>
      </c>
      <c r="N2194" s="17"/>
      <c r="O2194" s="17"/>
      <c r="P2194" s="17"/>
      <c r="Q2194" s="17"/>
      <c r="R2194" s="17"/>
      <c r="S2194" s="17"/>
      <c r="T2194" s="17"/>
      <c r="U2194" s="17"/>
      <c r="V2194" s="17"/>
      <c r="W2194" s="17"/>
      <c r="X2194" s="17"/>
      <c r="Y2194" s="17"/>
      <c r="Z2194" s="17"/>
      <c r="AA2194" s="17"/>
      <c r="AB2194" s="17"/>
      <c r="AC2194" s="17"/>
      <c r="AD2194" s="17"/>
      <c r="AE2194" s="17"/>
      <c r="AF2194" s="17"/>
      <c r="AG2194" s="17"/>
      <c r="AH2194" s="17"/>
      <c r="AI2194" s="17"/>
      <c r="AJ2194" s="17"/>
      <c r="AK2194" s="17"/>
      <c r="AL2194" s="17"/>
      <c r="AM2194" s="17"/>
      <c r="AN2194" s="17"/>
      <c r="AO2194" s="17"/>
      <c r="AP2194" s="17"/>
      <c r="AQ2194" s="17"/>
      <c r="AR2194" s="17"/>
      <c r="AS2194" s="17"/>
      <c r="AT2194" s="17"/>
      <c r="AU2194" s="17"/>
    </row>
    <row r="2195" hidden="1">
      <c r="A2195" s="17">
        <v>2193</v>
      </c>
      <c r="B2195" s="17" t="s">
        <v>52</v>
      </c>
      <c r="C2195" s="25" t="s">
        <v>6436</v>
      </c>
      <c r="D2195" s="35" t="s">
        <v>5571</v>
      </c>
      <c r="E2195" s="17" t="s">
        <v>6437</v>
      </c>
      <c r="F2195" s="17" t="s">
        <v>6438</v>
      </c>
      <c r="G2195" s="17">
        <v>22.408518999999998</v>
      </c>
      <c r="H2195" s="17">
        <v>86.855643000000001</v>
      </c>
      <c r="I2195" s="17"/>
      <c r="J2195" s="17"/>
      <c r="K2195" s="17"/>
      <c r="L2195" s="17"/>
      <c r="M2195" s="43" t="s">
        <v>5731</v>
      </c>
      <c r="N2195" s="17"/>
      <c r="O2195" s="17"/>
      <c r="P2195" s="17"/>
      <c r="Q2195" s="17"/>
      <c r="R2195" s="17"/>
      <c r="S2195" s="17"/>
      <c r="T2195" s="17"/>
      <c r="U2195" s="17"/>
      <c r="V2195" s="17"/>
      <c r="W2195" s="17"/>
      <c r="X2195" s="17"/>
      <c r="Y2195" s="17"/>
      <c r="Z2195" s="17"/>
      <c r="AA2195" s="17"/>
      <c r="AB2195" s="17"/>
      <c r="AC2195" s="17"/>
      <c r="AD2195" s="17"/>
      <c r="AE2195" s="17"/>
      <c r="AF2195" s="17"/>
      <c r="AG2195" s="17"/>
      <c r="AH2195" s="17"/>
      <c r="AI2195" s="17"/>
      <c r="AJ2195" s="17"/>
      <c r="AK2195" s="17"/>
      <c r="AL2195" s="17"/>
      <c r="AM2195" s="17"/>
      <c r="AN2195" s="17"/>
      <c r="AO2195" s="17"/>
      <c r="AP2195" s="17"/>
      <c r="AQ2195" s="17"/>
      <c r="AR2195" s="17"/>
      <c r="AS2195" s="17"/>
      <c r="AT2195" s="17"/>
      <c r="AU2195" s="17"/>
    </row>
    <row r="2196" hidden="1">
      <c r="A2196" s="17">
        <v>2194</v>
      </c>
      <c r="B2196" s="17" t="s">
        <v>52</v>
      </c>
      <c r="C2196" s="25" t="s">
        <v>6439</v>
      </c>
      <c r="D2196" s="35" t="s">
        <v>5571</v>
      </c>
      <c r="E2196" s="17" t="s">
        <v>6440</v>
      </c>
      <c r="F2196" s="17" t="s">
        <v>6441</v>
      </c>
      <c r="G2196" s="17">
        <v>22.448466</v>
      </c>
      <c r="H2196" s="17">
        <v>86.875496999999996</v>
      </c>
      <c r="I2196" s="17"/>
      <c r="J2196" s="17"/>
      <c r="K2196" s="17"/>
      <c r="L2196" s="17"/>
      <c r="M2196" s="43" t="s">
        <v>5731</v>
      </c>
      <c r="N2196" s="17"/>
      <c r="O2196" s="17"/>
      <c r="P2196" s="17"/>
      <c r="Q2196" s="17"/>
      <c r="R2196" s="17"/>
      <c r="S2196" s="17"/>
      <c r="T2196" s="17"/>
      <c r="U2196" s="17"/>
      <c r="V2196" s="17"/>
      <c r="W2196" s="17"/>
      <c r="X2196" s="17"/>
      <c r="Y2196" s="17"/>
      <c r="Z2196" s="17"/>
      <c r="AA2196" s="17"/>
      <c r="AB2196" s="17"/>
      <c r="AC2196" s="17"/>
      <c r="AD2196" s="17"/>
      <c r="AE2196" s="17"/>
      <c r="AF2196" s="17"/>
      <c r="AG2196" s="17"/>
      <c r="AH2196" s="17"/>
      <c r="AI2196" s="17"/>
      <c r="AJ2196" s="17"/>
      <c r="AK2196" s="17"/>
      <c r="AL2196" s="17"/>
      <c r="AM2196" s="17"/>
      <c r="AN2196" s="17"/>
      <c r="AO2196" s="17"/>
      <c r="AP2196" s="17"/>
      <c r="AQ2196" s="17"/>
      <c r="AR2196" s="17"/>
      <c r="AS2196" s="17"/>
      <c r="AT2196" s="17"/>
      <c r="AU2196" s="17"/>
    </row>
    <row r="2197" hidden="1">
      <c r="A2197" s="17">
        <v>2195</v>
      </c>
      <c r="B2197" s="17" t="s">
        <v>52</v>
      </c>
      <c r="C2197" s="25" t="s">
        <v>6442</v>
      </c>
      <c r="D2197" s="35" t="s">
        <v>5571</v>
      </c>
      <c r="E2197" s="17" t="s">
        <v>6389</v>
      </c>
      <c r="F2197" s="17" t="s">
        <v>6443</v>
      </c>
      <c r="G2197" s="17">
        <v>22.506150999999999</v>
      </c>
      <c r="H2197" s="17">
        <v>86.990739000000005</v>
      </c>
      <c r="I2197" s="17"/>
      <c r="J2197" s="17"/>
      <c r="K2197" s="17"/>
      <c r="L2197" s="17"/>
      <c r="M2197" s="43" t="s">
        <v>5731</v>
      </c>
      <c r="N2197" s="17"/>
      <c r="O2197" s="17"/>
      <c r="P2197" s="17"/>
      <c r="Q2197" s="17"/>
      <c r="R2197" s="17"/>
      <c r="S2197" s="17"/>
      <c r="T2197" s="17"/>
      <c r="U2197" s="17"/>
      <c r="V2197" s="17"/>
      <c r="W2197" s="17"/>
      <c r="X2197" s="17"/>
      <c r="Y2197" s="17"/>
      <c r="Z2197" s="17"/>
      <c r="AA2197" s="17"/>
      <c r="AB2197" s="17"/>
      <c r="AC2197" s="17"/>
      <c r="AD2197" s="17"/>
      <c r="AE2197" s="17"/>
      <c r="AF2197" s="17"/>
      <c r="AG2197" s="17"/>
      <c r="AH2197" s="17"/>
      <c r="AI2197" s="17"/>
      <c r="AJ2197" s="17"/>
      <c r="AK2197" s="17"/>
      <c r="AL2197" s="17"/>
      <c r="AM2197" s="17"/>
      <c r="AN2197" s="17"/>
      <c r="AO2197" s="17"/>
      <c r="AP2197" s="17"/>
      <c r="AQ2197" s="17"/>
      <c r="AR2197" s="17"/>
      <c r="AS2197" s="17"/>
      <c r="AT2197" s="17"/>
      <c r="AU2197" s="17"/>
    </row>
    <row r="2198" hidden="1">
      <c r="A2198" s="17">
        <v>2196</v>
      </c>
      <c r="B2198" s="17" t="s">
        <v>52</v>
      </c>
      <c r="C2198" s="25" t="s">
        <v>6444</v>
      </c>
      <c r="D2198" s="35" t="s">
        <v>5571</v>
      </c>
      <c r="E2198" s="17" t="s">
        <v>6445</v>
      </c>
      <c r="F2198" s="17" t="s">
        <v>6446</v>
      </c>
      <c r="G2198" s="17">
        <v>22.448436999999998</v>
      </c>
      <c r="H2198" s="17">
        <v>86.897000000000006</v>
      </c>
      <c r="I2198" s="17"/>
      <c r="J2198" s="17"/>
      <c r="K2198" s="17"/>
      <c r="L2198" s="17"/>
      <c r="M2198" s="43" t="s">
        <v>5731</v>
      </c>
      <c r="N2198" s="17"/>
      <c r="O2198" s="17"/>
      <c r="P2198" s="17"/>
      <c r="Q2198" s="17"/>
      <c r="R2198" s="17"/>
      <c r="S2198" s="17"/>
      <c r="T2198" s="17"/>
      <c r="U2198" s="17"/>
      <c r="V2198" s="17"/>
      <c r="W2198" s="17"/>
      <c r="X2198" s="17"/>
      <c r="Y2198" s="17"/>
      <c r="Z2198" s="17"/>
      <c r="AA2198" s="17"/>
      <c r="AB2198" s="17"/>
      <c r="AC2198" s="17"/>
      <c r="AD2198" s="17"/>
      <c r="AE2198" s="17"/>
      <c r="AF2198" s="17"/>
      <c r="AG2198" s="17"/>
      <c r="AH2198" s="17"/>
      <c r="AI2198" s="17"/>
      <c r="AJ2198" s="17"/>
      <c r="AK2198" s="17"/>
      <c r="AL2198" s="17"/>
      <c r="AM2198" s="17"/>
      <c r="AN2198" s="17"/>
      <c r="AO2198" s="17"/>
      <c r="AP2198" s="17"/>
      <c r="AQ2198" s="17"/>
      <c r="AR2198" s="17"/>
      <c r="AS2198" s="17"/>
      <c r="AT2198" s="17"/>
      <c r="AU2198" s="17"/>
    </row>
    <row r="2199" hidden="1">
      <c r="A2199" s="17">
        <v>2197</v>
      </c>
      <c r="B2199" s="17" t="s">
        <v>52</v>
      </c>
      <c r="C2199" s="25" t="s">
        <v>6447</v>
      </c>
      <c r="D2199" s="35" t="s">
        <v>5571</v>
      </c>
      <c r="E2199" s="17" t="s">
        <v>6448</v>
      </c>
      <c r="F2199" s="17" t="s">
        <v>6449</v>
      </c>
      <c r="G2199" s="17">
        <v>22.246898000000002</v>
      </c>
      <c r="H2199" s="17">
        <v>87.196179000000001</v>
      </c>
      <c r="I2199" s="17"/>
      <c r="J2199" s="17"/>
      <c r="K2199" s="17"/>
      <c r="L2199" s="17"/>
      <c r="M2199" s="43" t="s">
        <v>5764</v>
      </c>
      <c r="N2199" s="17"/>
      <c r="O2199" s="17">
        <v>22</v>
      </c>
      <c r="P2199" s="17">
        <v>70</v>
      </c>
      <c r="Q2199" s="17" t="s">
        <v>73</v>
      </c>
      <c r="R2199" s="17" t="s">
        <v>104</v>
      </c>
      <c r="S2199" s="17"/>
      <c r="T2199" s="17"/>
      <c r="U2199" s="17" t="s">
        <v>160</v>
      </c>
      <c r="V2199" s="17" t="s">
        <v>77</v>
      </c>
      <c r="W2199" s="17" t="s">
        <v>330</v>
      </c>
      <c r="X2199" s="17">
        <v>5</v>
      </c>
      <c r="Y2199" s="17">
        <v>1</v>
      </c>
      <c r="Z2199" s="17"/>
      <c r="AA2199" s="17" t="s">
        <v>73</v>
      </c>
      <c r="AB2199" s="17" t="s">
        <v>79</v>
      </c>
      <c r="AC2199" s="17">
        <v>2</v>
      </c>
      <c r="AD2199" s="17">
        <v>0</v>
      </c>
      <c r="AE2199" s="17">
        <v>0</v>
      </c>
      <c r="AF2199" s="17"/>
      <c r="AG2199" s="17" t="s">
        <v>724</v>
      </c>
      <c r="AH2199" s="17"/>
      <c r="AI2199" s="17"/>
      <c r="AJ2199" s="17"/>
      <c r="AK2199" s="17"/>
      <c r="AL2199" s="17"/>
      <c r="AM2199" s="17"/>
      <c r="AN2199" s="17"/>
      <c r="AO2199" s="17"/>
      <c r="AP2199" s="17"/>
      <c r="AQ2199" s="17"/>
      <c r="AR2199" s="17"/>
      <c r="AS2199" s="17"/>
      <c r="AT2199" s="17"/>
      <c r="AU2199" s="17" t="s">
        <v>111</v>
      </c>
    </row>
    <row r="2200" hidden="1">
      <c r="A2200" s="17">
        <v>2198</v>
      </c>
      <c r="B2200" s="17" t="s">
        <v>52</v>
      </c>
      <c r="C2200" s="25" t="s">
        <v>6450</v>
      </c>
      <c r="D2200" s="35" t="s">
        <v>5571</v>
      </c>
      <c r="E2200" s="17" t="s">
        <v>6451</v>
      </c>
      <c r="F2200" s="17" t="s">
        <v>6452</v>
      </c>
      <c r="G2200" s="17">
        <v>22.180738000000002</v>
      </c>
      <c r="H2200" s="17">
        <v>87.062617000000003</v>
      </c>
      <c r="I2200" s="17"/>
      <c r="J2200" s="17"/>
      <c r="K2200" s="17"/>
      <c r="L2200" s="17"/>
      <c r="M2200" s="43" t="s">
        <v>5764</v>
      </c>
      <c r="N2200" s="17"/>
      <c r="O2200" s="17">
        <v>18</v>
      </c>
      <c r="P2200" s="17">
        <v>115</v>
      </c>
      <c r="Q2200" s="17" t="s">
        <v>6453</v>
      </c>
      <c r="R2200" s="17" t="s">
        <v>339</v>
      </c>
      <c r="S2200" s="17" t="s">
        <v>75</v>
      </c>
      <c r="T2200" s="17"/>
      <c r="U2200" s="17" t="s">
        <v>105</v>
      </c>
      <c r="V2200" s="17" t="s">
        <v>77</v>
      </c>
      <c r="W2200" s="17" t="s">
        <v>123</v>
      </c>
      <c r="X2200" s="17">
        <v>5</v>
      </c>
      <c r="Y2200" s="17">
        <v>0</v>
      </c>
      <c r="Z2200" s="17" t="s">
        <v>109</v>
      </c>
      <c r="AA2200" s="17" t="s">
        <v>6453</v>
      </c>
      <c r="AB2200" s="17" t="s">
        <v>79</v>
      </c>
      <c r="AC2200" s="17">
        <v>3</v>
      </c>
      <c r="AD2200" s="17">
        <v>0</v>
      </c>
      <c r="AE2200" s="17">
        <v>0</v>
      </c>
      <c r="AF2200" s="17"/>
      <c r="AG2200" s="17" t="s">
        <v>124</v>
      </c>
      <c r="AH2200" s="17" t="s">
        <v>82</v>
      </c>
      <c r="AI2200" s="17" t="s">
        <v>83</v>
      </c>
      <c r="AJ2200" s="17">
        <v>2111</v>
      </c>
      <c r="AK2200" s="17" t="s">
        <v>75</v>
      </c>
      <c r="AL2200" s="17" t="s">
        <v>75</v>
      </c>
      <c r="AM2200" s="17" t="s">
        <v>75</v>
      </c>
      <c r="AN2200" s="17" t="s">
        <v>84</v>
      </c>
      <c r="AO2200" s="17" t="s">
        <v>75</v>
      </c>
      <c r="AP2200" s="17"/>
      <c r="AQ2200" s="17"/>
      <c r="AR2200" s="17"/>
      <c r="AS2200" s="17"/>
      <c r="AT2200" s="17"/>
      <c r="AU2200" s="17" t="s">
        <v>111</v>
      </c>
    </row>
    <row r="2201" hidden="1">
      <c r="A2201" s="17">
        <v>2199</v>
      </c>
      <c r="B2201" s="17" t="s">
        <v>52</v>
      </c>
      <c r="C2201" s="25" t="s">
        <v>6454</v>
      </c>
      <c r="D2201" s="35" t="s">
        <v>5571</v>
      </c>
      <c r="E2201" s="17" t="s">
        <v>6455</v>
      </c>
      <c r="F2201" s="17" t="s">
        <v>6456</v>
      </c>
      <c r="G2201" s="17">
        <v>22.203813</v>
      </c>
      <c r="H2201" s="17">
        <v>87.108345999999997</v>
      </c>
      <c r="I2201" s="17"/>
      <c r="J2201" s="17"/>
      <c r="K2201" s="17"/>
      <c r="L2201" s="17"/>
      <c r="M2201" s="43" t="s">
        <v>5764</v>
      </c>
      <c r="N2201" s="17"/>
      <c r="O2201" s="17">
        <v>20</v>
      </c>
      <c r="P2201" s="17">
        <v>120</v>
      </c>
      <c r="Q2201" s="17" t="s">
        <v>105</v>
      </c>
      <c r="R2201" s="17" t="s">
        <v>142</v>
      </c>
      <c r="S2201" s="17" t="s">
        <v>75</v>
      </c>
      <c r="T2201" s="17"/>
      <c r="U2201" s="17" t="s">
        <v>503</v>
      </c>
      <c r="V2201" s="17" t="s">
        <v>504</v>
      </c>
      <c r="W2201" s="17" t="s">
        <v>593</v>
      </c>
      <c r="X2201" s="17">
        <v>2</v>
      </c>
      <c r="Y2201" s="17">
        <v>0</v>
      </c>
      <c r="Z2201" s="17"/>
      <c r="AA2201" s="17" t="s">
        <v>105</v>
      </c>
      <c r="AB2201" s="17" t="s">
        <v>79</v>
      </c>
      <c r="AC2201" s="17">
        <v>5</v>
      </c>
      <c r="AD2201" s="17">
        <v>0</v>
      </c>
      <c r="AE2201" s="17">
        <v>0</v>
      </c>
      <c r="AF2201" s="17"/>
      <c r="AG2201" s="17" t="s">
        <v>124</v>
      </c>
      <c r="AH2201" s="17" t="s">
        <v>82</v>
      </c>
      <c r="AI2201" s="17" t="s">
        <v>83</v>
      </c>
      <c r="AJ2201" s="17">
        <v>2111</v>
      </c>
      <c r="AK2201" s="17" t="s">
        <v>75</v>
      </c>
      <c r="AL2201" s="17" t="s">
        <v>75</v>
      </c>
      <c r="AM2201" s="17" t="s">
        <v>75</v>
      </c>
      <c r="AN2201" s="17" t="s">
        <v>84</v>
      </c>
      <c r="AO2201" s="17" t="s">
        <v>75</v>
      </c>
      <c r="AP2201" s="17"/>
      <c r="AQ2201" s="17"/>
      <c r="AR2201" s="17"/>
      <c r="AS2201" s="17"/>
      <c r="AT2201" s="17" t="s">
        <v>6457</v>
      </c>
      <c r="AU2201" s="17" t="s">
        <v>127</v>
      </c>
    </row>
    <row r="2202" hidden="1">
      <c r="A2202" s="17">
        <v>2200</v>
      </c>
      <c r="B2202" s="17" t="s">
        <v>52</v>
      </c>
      <c r="C2202" s="25" t="s">
        <v>6458</v>
      </c>
      <c r="D2202" s="35" t="s">
        <v>5571</v>
      </c>
      <c r="E2202" s="17" t="s">
        <v>6459</v>
      </c>
      <c r="F2202" s="17" t="s">
        <v>6460</v>
      </c>
      <c r="G2202" s="17">
        <v>22.298219</v>
      </c>
      <c r="H2202" s="17">
        <v>87.174052000000003</v>
      </c>
      <c r="I2202" s="17"/>
      <c r="J2202" s="17"/>
      <c r="K2202" s="17"/>
      <c r="L2202" s="17"/>
      <c r="M2202" s="43" t="s">
        <v>5764</v>
      </c>
      <c r="N2202" s="17"/>
      <c r="O2202" s="17">
        <v>15</v>
      </c>
      <c r="P2202" s="17">
        <v>60</v>
      </c>
      <c r="Q2202" s="17" t="s">
        <v>105</v>
      </c>
      <c r="R2202" s="17" t="s">
        <v>154</v>
      </c>
      <c r="S2202" s="17" t="s">
        <v>137</v>
      </c>
      <c r="T2202" s="17" t="s">
        <v>6461</v>
      </c>
      <c r="U2202" s="17" t="s">
        <v>105</v>
      </c>
      <c r="V2202" s="17" t="s">
        <v>77</v>
      </c>
      <c r="W2202" s="17" t="s">
        <v>1094</v>
      </c>
      <c r="X2202" s="17">
        <v>4</v>
      </c>
      <c r="Y2202" s="17">
        <v>1</v>
      </c>
      <c r="Z2202" s="17"/>
      <c r="AA2202" s="17" t="s">
        <v>105</v>
      </c>
      <c r="AB2202" s="17" t="s">
        <v>239</v>
      </c>
      <c r="AC2202" s="17">
        <v>3</v>
      </c>
      <c r="AD2202" s="17">
        <v>0</v>
      </c>
      <c r="AE2202" s="17">
        <v>0</v>
      </c>
      <c r="AF2202" s="17" t="s">
        <v>6462</v>
      </c>
      <c r="AG2202" s="17" t="s">
        <v>81</v>
      </c>
      <c r="AH2202" s="17" t="s">
        <v>2343</v>
      </c>
      <c r="AI2202" s="17" t="s">
        <v>107</v>
      </c>
      <c r="AJ2202" s="17"/>
      <c r="AK2202" s="17" t="s">
        <v>75</v>
      </c>
      <c r="AL2202" s="17" t="s">
        <v>75</v>
      </c>
      <c r="AM2202" s="17" t="s">
        <v>75</v>
      </c>
      <c r="AN2202" s="17" t="s">
        <v>84</v>
      </c>
      <c r="AO2202" s="17" t="s">
        <v>109</v>
      </c>
      <c r="AP2202" s="17"/>
      <c r="AQ2202" s="17"/>
      <c r="AR2202" s="17"/>
      <c r="AS2202" s="17"/>
      <c r="AT2202" s="17" t="s">
        <v>6463</v>
      </c>
      <c r="AU2202" s="17" t="s">
        <v>127</v>
      </c>
    </row>
    <row r="2203" hidden="1">
      <c r="A2203" s="17">
        <v>2201</v>
      </c>
      <c r="B2203" s="17" t="s">
        <v>52</v>
      </c>
      <c r="C2203" s="25" t="s">
        <v>6464</v>
      </c>
      <c r="D2203" s="35" t="s">
        <v>5571</v>
      </c>
      <c r="E2203" s="17" t="s">
        <v>6465</v>
      </c>
      <c r="F2203" s="17" t="s">
        <v>6466</v>
      </c>
      <c r="G2203" s="17">
        <v>22.238724000000001</v>
      </c>
      <c r="H2203" s="17">
        <v>87.023613999999995</v>
      </c>
      <c r="I2203" s="17"/>
      <c r="J2203" s="17"/>
      <c r="K2203" s="17"/>
      <c r="L2203" s="17"/>
      <c r="M2203" s="43" t="s">
        <v>5764</v>
      </c>
      <c r="N2203" s="17"/>
      <c r="O2203" s="17">
        <v>20</v>
      </c>
      <c r="P2203" s="17">
        <v>110</v>
      </c>
      <c r="Q2203" s="17" t="s">
        <v>73</v>
      </c>
      <c r="R2203" s="17" t="s">
        <v>104</v>
      </c>
      <c r="S2203" s="17"/>
      <c r="T2203" s="17"/>
      <c r="U2203" s="17" t="s">
        <v>160</v>
      </c>
      <c r="V2203" s="17" t="s">
        <v>77</v>
      </c>
      <c r="W2203" s="17" t="s">
        <v>78</v>
      </c>
      <c r="X2203" s="17">
        <v>3</v>
      </c>
      <c r="Y2203" s="17">
        <v>0</v>
      </c>
      <c r="Z2203" s="17"/>
      <c r="AA2203" s="17" t="s">
        <v>73</v>
      </c>
      <c r="AB2203" s="17" t="s">
        <v>79</v>
      </c>
      <c r="AC2203" s="17">
        <v>2</v>
      </c>
      <c r="AD2203" s="17">
        <v>0</v>
      </c>
      <c r="AE2203" s="17">
        <v>0</v>
      </c>
      <c r="AF2203" s="17" t="s">
        <v>6467</v>
      </c>
      <c r="AG2203" s="17" t="s">
        <v>81</v>
      </c>
      <c r="AH2203" s="17" t="s">
        <v>82</v>
      </c>
      <c r="AI2203" s="17" t="s">
        <v>107</v>
      </c>
      <c r="AJ2203" s="17"/>
      <c r="AK2203" s="17" t="s">
        <v>137</v>
      </c>
      <c r="AL2203" s="17" t="s">
        <v>75</v>
      </c>
      <c r="AM2203" s="17" t="s">
        <v>163</v>
      </c>
      <c r="AN2203" s="17" t="s">
        <v>84</v>
      </c>
      <c r="AO2203" s="17" t="s">
        <v>109</v>
      </c>
      <c r="AP2203" s="17"/>
      <c r="AQ2203" s="17"/>
      <c r="AR2203" s="17"/>
      <c r="AS2203" s="17"/>
      <c r="AT2203" s="17" t="s">
        <v>6468</v>
      </c>
      <c r="AU2203" s="17" t="s">
        <v>127</v>
      </c>
    </row>
    <row r="2204" hidden="1">
      <c r="A2204" s="17">
        <v>2202</v>
      </c>
      <c r="B2204" s="17" t="s">
        <v>52</v>
      </c>
      <c r="C2204" s="44" t="s">
        <v>6469</v>
      </c>
      <c r="D2204" s="35" t="s">
        <v>5571</v>
      </c>
      <c r="E2204" s="17" t="s">
        <v>6470</v>
      </c>
      <c r="F2204" s="17" t="s">
        <v>6471</v>
      </c>
      <c r="G2204" s="17">
        <v>22.259551999999999</v>
      </c>
      <c r="H2204" s="17">
        <v>87.088680999999994</v>
      </c>
      <c r="I2204" s="17"/>
      <c r="J2204" s="17"/>
      <c r="K2204" s="17"/>
      <c r="L2204" s="17"/>
      <c r="M2204" s="43" t="s">
        <v>5764</v>
      </c>
      <c r="N2204" s="17"/>
      <c r="O2204" s="17">
        <v>16</v>
      </c>
      <c r="P2204" s="17">
        <v>160</v>
      </c>
      <c r="Q2204" s="17" t="s">
        <v>105</v>
      </c>
      <c r="R2204" s="17" t="s">
        <v>142</v>
      </c>
      <c r="S2204" s="17"/>
      <c r="T2204" s="17"/>
      <c r="U2204" s="17" t="s">
        <v>755</v>
      </c>
      <c r="V2204" s="17" t="s">
        <v>504</v>
      </c>
      <c r="W2204" s="17"/>
      <c r="X2204" s="17">
        <v>2</v>
      </c>
      <c r="Y2204" s="17">
        <v>1</v>
      </c>
      <c r="Z2204" s="17"/>
      <c r="AA2204" s="17" t="s">
        <v>105</v>
      </c>
      <c r="AB2204" s="17" t="s">
        <v>79</v>
      </c>
      <c r="AC2204" s="17">
        <v>5</v>
      </c>
      <c r="AD2204" s="17">
        <v>0</v>
      </c>
      <c r="AE2204" s="17">
        <v>0</v>
      </c>
      <c r="AF2204" s="17"/>
      <c r="AG2204" s="17" t="s">
        <v>81</v>
      </c>
      <c r="AH2204" s="17" t="s">
        <v>82</v>
      </c>
      <c r="AI2204" s="17" t="s">
        <v>107</v>
      </c>
      <c r="AJ2204" s="17"/>
      <c r="AK2204" s="17" t="s">
        <v>75</v>
      </c>
      <c r="AL2204" s="17" t="s">
        <v>75</v>
      </c>
      <c r="AM2204" s="17" t="s">
        <v>75</v>
      </c>
      <c r="AN2204" s="17" t="s">
        <v>84</v>
      </c>
      <c r="AO2204" s="17" t="s">
        <v>109</v>
      </c>
      <c r="AP2204" s="17"/>
      <c r="AQ2204" s="17"/>
      <c r="AR2204" s="17"/>
      <c r="AS2204" s="17"/>
      <c r="AT2204" s="17"/>
      <c r="AU2204" s="17" t="s">
        <v>430</v>
      </c>
    </row>
    <row r="2205" hidden="1">
      <c r="A2205" s="17">
        <v>2203</v>
      </c>
      <c r="B2205" s="17" t="s">
        <v>52</v>
      </c>
      <c r="C2205" s="25" t="s">
        <v>6472</v>
      </c>
      <c r="D2205" s="35" t="s">
        <v>5571</v>
      </c>
      <c r="E2205" s="17" t="s">
        <v>6473</v>
      </c>
      <c r="F2205" s="17" t="s">
        <v>6474</v>
      </c>
      <c r="G2205" s="17">
        <v>22.220217999999999</v>
      </c>
      <c r="H2205" s="17">
        <v>87.160291000000001</v>
      </c>
      <c r="I2205" s="17"/>
      <c r="J2205" s="17"/>
      <c r="K2205" s="17"/>
      <c r="L2205" s="17"/>
      <c r="M2205" s="43" t="s">
        <v>5764</v>
      </c>
      <c r="N2205" s="17"/>
      <c r="O2205" s="17">
        <v>20</v>
      </c>
      <c r="P2205" s="17">
        <v>70</v>
      </c>
      <c r="Q2205" s="17" t="s">
        <v>73</v>
      </c>
      <c r="R2205" s="17" t="s">
        <v>104</v>
      </c>
      <c r="S2205" s="17"/>
      <c r="T2205" s="17"/>
      <c r="U2205" s="17" t="s">
        <v>441</v>
      </c>
      <c r="V2205" s="17" t="s">
        <v>442</v>
      </c>
      <c r="W2205" s="17" t="s">
        <v>443</v>
      </c>
      <c r="X2205" s="17">
        <v>4</v>
      </c>
      <c r="Y2205" s="17">
        <v>1</v>
      </c>
      <c r="Z2205" s="17"/>
      <c r="AA2205" s="17" t="s">
        <v>73</v>
      </c>
      <c r="AB2205" s="17" t="s">
        <v>79</v>
      </c>
      <c r="AC2205" s="17">
        <v>2</v>
      </c>
      <c r="AD2205" s="17">
        <v>0</v>
      </c>
      <c r="AE2205" s="17">
        <v>0</v>
      </c>
      <c r="AF2205" s="17"/>
      <c r="AG2205" s="17" t="s">
        <v>124</v>
      </c>
      <c r="AH2205" s="17" t="s">
        <v>82</v>
      </c>
      <c r="AI2205" s="17" t="s">
        <v>83</v>
      </c>
      <c r="AJ2205" s="17">
        <v>2111</v>
      </c>
      <c r="AK2205" s="17" t="s">
        <v>75</v>
      </c>
      <c r="AL2205" s="17" t="s">
        <v>75</v>
      </c>
      <c r="AM2205" s="17" t="s">
        <v>75</v>
      </c>
      <c r="AN2205" s="17" t="s">
        <v>125</v>
      </c>
      <c r="AO2205" s="17" t="s">
        <v>75</v>
      </c>
      <c r="AP2205" s="17"/>
      <c r="AQ2205" s="17"/>
      <c r="AR2205" s="17"/>
      <c r="AS2205" s="17"/>
      <c r="AT2205" s="17" t="s">
        <v>6475</v>
      </c>
      <c r="AU2205" s="17" t="s">
        <v>127</v>
      </c>
    </row>
    <row r="2206" hidden="1">
      <c r="A2206" s="17">
        <v>2204</v>
      </c>
      <c r="B2206" s="17" t="s">
        <v>52</v>
      </c>
      <c r="C2206" s="44" t="s">
        <v>6476</v>
      </c>
      <c r="D2206" s="35" t="s">
        <v>5571</v>
      </c>
      <c r="E2206" s="17" t="s">
        <v>6477</v>
      </c>
      <c r="F2206" s="17" t="s">
        <v>6478</v>
      </c>
      <c r="G2206" s="17">
        <v>22.249814000000001</v>
      </c>
      <c r="H2206" s="17">
        <v>87.143198999999996</v>
      </c>
      <c r="I2206" s="17"/>
      <c r="J2206" s="17"/>
      <c r="K2206" s="17"/>
      <c r="L2206" s="17"/>
      <c r="M2206" s="43" t="s">
        <v>5764</v>
      </c>
      <c r="N2206" s="17"/>
      <c r="O2206" s="17">
        <v>20</v>
      </c>
      <c r="P2206" s="17">
        <v>40</v>
      </c>
      <c r="Q2206" s="17" t="s">
        <v>187</v>
      </c>
      <c r="R2206" s="17" t="s">
        <v>74</v>
      </c>
      <c r="S2206" s="17"/>
      <c r="T2206" s="17" t="s">
        <v>6479</v>
      </c>
      <c r="U2206" s="17" t="s">
        <v>441</v>
      </c>
      <c r="V2206" s="17" t="s">
        <v>442</v>
      </c>
      <c r="W2206" s="17" t="s">
        <v>330</v>
      </c>
      <c r="X2206" s="17">
        <v>4</v>
      </c>
      <c r="Y2206" s="17">
        <v>0</v>
      </c>
      <c r="Z2206" s="17"/>
      <c r="AA2206" s="17" t="s">
        <v>187</v>
      </c>
      <c r="AB2206" s="17" t="s">
        <v>79</v>
      </c>
      <c r="AC2206" s="17">
        <v>2</v>
      </c>
      <c r="AD2206" s="17">
        <v>0</v>
      </c>
      <c r="AE2206" s="17">
        <v>0</v>
      </c>
      <c r="AF2206" s="17"/>
      <c r="AG2206" s="17" t="s">
        <v>124</v>
      </c>
      <c r="AH2206" s="17" t="s">
        <v>82</v>
      </c>
      <c r="AI2206" s="17" t="s">
        <v>83</v>
      </c>
      <c r="AJ2206" s="17">
        <v>2111</v>
      </c>
      <c r="AK2206" s="17" t="s">
        <v>137</v>
      </c>
      <c r="AL2206" s="17" t="s">
        <v>137</v>
      </c>
      <c r="AM2206" s="17" t="s">
        <v>163</v>
      </c>
      <c r="AN2206" s="17" t="s">
        <v>125</v>
      </c>
      <c r="AO2206" s="17" t="s">
        <v>75</v>
      </c>
      <c r="AP2206" s="17"/>
      <c r="AQ2206" s="17"/>
      <c r="AR2206" s="17"/>
      <c r="AS2206" s="17"/>
      <c r="AT2206" s="17" t="s">
        <v>2625</v>
      </c>
      <c r="AU2206" s="17" t="s">
        <v>430</v>
      </c>
    </row>
    <row r="2207" hidden="1">
      <c r="A2207" s="17">
        <v>2205</v>
      </c>
      <c r="B2207" s="17" t="s">
        <v>52</v>
      </c>
      <c r="C2207" s="44" t="s">
        <v>6480</v>
      </c>
      <c r="D2207" s="35" t="s">
        <v>5571</v>
      </c>
      <c r="E2207" s="17" t="s">
        <v>6481</v>
      </c>
      <c r="F2207" s="17" t="s">
        <v>6482</v>
      </c>
      <c r="G2207" s="17">
        <v>22.235448999999999</v>
      </c>
      <c r="H2207" s="17">
        <v>87.147660999999999</v>
      </c>
      <c r="I2207" s="17"/>
      <c r="J2207" s="17"/>
      <c r="K2207" s="17"/>
      <c r="L2207" s="17"/>
      <c r="M2207" s="43" t="s">
        <v>5764</v>
      </c>
      <c r="N2207" s="17"/>
      <c r="O2207" s="17">
        <v>20</v>
      </c>
      <c r="P2207" s="17">
        <v>50</v>
      </c>
      <c r="Q2207" s="17" t="s">
        <v>73</v>
      </c>
      <c r="R2207" s="17" t="s">
        <v>104</v>
      </c>
      <c r="S2207" s="17"/>
      <c r="T2207" s="17"/>
      <c r="U2207" s="17" t="s">
        <v>105</v>
      </c>
      <c r="V2207" s="17" t="s">
        <v>77</v>
      </c>
      <c r="W2207" s="17" t="s">
        <v>78</v>
      </c>
      <c r="X2207" s="17">
        <v>3</v>
      </c>
      <c r="Y2207" s="17">
        <v>0</v>
      </c>
      <c r="Z2207" s="17"/>
      <c r="AA2207" s="17" t="s">
        <v>73</v>
      </c>
      <c r="AB2207" s="17" t="s">
        <v>79</v>
      </c>
      <c r="AC2207" s="17">
        <v>2</v>
      </c>
      <c r="AD2207" s="17">
        <v>0</v>
      </c>
      <c r="AE2207" s="17">
        <v>0</v>
      </c>
      <c r="AF2207" s="17"/>
      <c r="AG2207" s="17" t="s">
        <v>81</v>
      </c>
      <c r="AH2207" s="17" t="s">
        <v>82</v>
      </c>
      <c r="AI2207" s="17" t="s">
        <v>83</v>
      </c>
      <c r="AJ2207" s="17">
        <v>2111</v>
      </c>
      <c r="AK2207" s="17" t="s">
        <v>75</v>
      </c>
      <c r="AL2207" s="17" t="s">
        <v>75</v>
      </c>
      <c r="AM2207" s="17" t="s">
        <v>163</v>
      </c>
      <c r="AN2207" s="17" t="s">
        <v>84</v>
      </c>
      <c r="AO2207" s="17" t="s">
        <v>109</v>
      </c>
      <c r="AP2207" s="17"/>
      <c r="AQ2207" s="17"/>
      <c r="AR2207" s="17"/>
      <c r="AS2207" s="17"/>
      <c r="AT2207" s="17"/>
      <c r="AU2207" s="17" t="s">
        <v>127</v>
      </c>
    </row>
    <row r="2208" hidden="1">
      <c r="A2208" s="17">
        <v>2206</v>
      </c>
      <c r="B2208" s="17" t="s">
        <v>52</v>
      </c>
      <c r="C2208" s="25" t="s">
        <v>6483</v>
      </c>
      <c r="D2208" s="35" t="s">
        <v>5571</v>
      </c>
      <c r="E2208" s="17" t="s">
        <v>6484</v>
      </c>
      <c r="F2208" s="17" t="s">
        <v>6485</v>
      </c>
      <c r="G2208" s="17">
        <v>22.281556999999999</v>
      </c>
      <c r="H2208" s="17">
        <v>87.002955</v>
      </c>
      <c r="I2208" s="17"/>
      <c r="J2208" s="17"/>
      <c r="K2208" s="17"/>
      <c r="L2208" s="17"/>
      <c r="M2208" s="43" t="s">
        <v>5764</v>
      </c>
      <c r="N2208" s="17"/>
      <c r="O2208" s="17">
        <v>22</v>
      </c>
      <c r="P2208" s="17">
        <v>70</v>
      </c>
      <c r="Q2208" s="17" t="s">
        <v>73</v>
      </c>
      <c r="R2208" s="17" t="s">
        <v>104</v>
      </c>
      <c r="S2208" s="17" t="s">
        <v>137</v>
      </c>
      <c r="T2208" s="17" t="s">
        <v>6479</v>
      </c>
      <c r="U2208" s="17" t="s">
        <v>105</v>
      </c>
      <c r="V2208" s="17" t="s">
        <v>340</v>
      </c>
      <c r="W2208" s="17" t="s">
        <v>2517</v>
      </c>
      <c r="X2208" s="17">
        <v>4</v>
      </c>
      <c r="Y2208" s="17">
        <v>0</v>
      </c>
      <c r="Z2208" s="17" t="s">
        <v>109</v>
      </c>
      <c r="AA2208" s="17" t="s">
        <v>73</v>
      </c>
      <c r="AB2208" s="17" t="s">
        <v>79</v>
      </c>
      <c r="AC2208" s="17">
        <v>2</v>
      </c>
      <c r="AD2208" s="17">
        <v>0</v>
      </c>
      <c r="AE2208" s="17">
        <v>0</v>
      </c>
      <c r="AF2208" s="17"/>
      <c r="AG2208" s="17" t="s">
        <v>81</v>
      </c>
      <c r="AH2208" s="17" t="s">
        <v>82</v>
      </c>
      <c r="AI2208" s="17" t="s">
        <v>83</v>
      </c>
      <c r="AJ2208" s="17">
        <v>2111</v>
      </c>
      <c r="AK2208" s="17" t="s">
        <v>75</v>
      </c>
      <c r="AL2208" s="17" t="s">
        <v>75</v>
      </c>
      <c r="AM2208" s="17" t="s">
        <v>163</v>
      </c>
      <c r="AN2208" s="17" t="s">
        <v>84</v>
      </c>
      <c r="AO2208" s="17" t="s">
        <v>109</v>
      </c>
      <c r="AP2208" s="17"/>
      <c r="AQ2208" s="17"/>
      <c r="AR2208" s="17"/>
      <c r="AS2208" s="17"/>
      <c r="AT2208" s="17"/>
      <c r="AU2208" s="17" t="s">
        <v>111</v>
      </c>
    </row>
    <row r="2209" hidden="1">
      <c r="A2209" s="17">
        <v>2207</v>
      </c>
      <c r="B2209" s="17" t="s">
        <v>52</v>
      </c>
      <c r="C2209" s="25" t="s">
        <v>6486</v>
      </c>
      <c r="D2209" s="35" t="s">
        <v>5571</v>
      </c>
      <c r="E2209" s="17" t="s">
        <v>4877</v>
      </c>
      <c r="F2209" s="17" t="s">
        <v>6487</v>
      </c>
      <c r="G2209" s="17">
        <v>22.181277999999999</v>
      </c>
      <c r="H2209" s="17">
        <v>87.117444000000006</v>
      </c>
      <c r="I2209" s="17"/>
      <c r="J2209" s="17"/>
      <c r="K2209" s="17"/>
      <c r="L2209" s="17"/>
      <c r="M2209" s="43" t="s">
        <v>5764</v>
      </c>
      <c r="N2209" s="17"/>
      <c r="O2209" s="17">
        <v>22</v>
      </c>
      <c r="P2209" s="17">
        <v>70</v>
      </c>
      <c r="Q2209" s="17" t="s">
        <v>73</v>
      </c>
      <c r="R2209" s="17" t="s">
        <v>104</v>
      </c>
      <c r="S2209" s="17" t="s">
        <v>137</v>
      </c>
      <c r="T2209" s="17" t="s">
        <v>6488</v>
      </c>
      <c r="U2209" s="17" t="s">
        <v>160</v>
      </c>
      <c r="V2209" s="17" t="s">
        <v>77</v>
      </c>
      <c r="W2209" s="17" t="s">
        <v>1094</v>
      </c>
      <c r="X2209" s="17">
        <v>3</v>
      </c>
      <c r="Y2209" s="17">
        <v>0</v>
      </c>
      <c r="Z2209" s="17"/>
      <c r="AA2209" s="17" t="s">
        <v>73</v>
      </c>
      <c r="AB2209" s="17" t="s">
        <v>79</v>
      </c>
      <c r="AC2209" s="17">
        <v>2</v>
      </c>
      <c r="AD2209" s="17">
        <v>0</v>
      </c>
      <c r="AE2209" s="17">
        <v>0</v>
      </c>
      <c r="AF2209" s="17"/>
      <c r="AG2209" s="17" t="s">
        <v>81</v>
      </c>
      <c r="AH2209" s="17" t="s">
        <v>82</v>
      </c>
      <c r="AI2209" s="17" t="s">
        <v>83</v>
      </c>
      <c r="AJ2209" s="17">
        <v>2111</v>
      </c>
      <c r="AK2209" s="17" t="s">
        <v>137</v>
      </c>
      <c r="AL2209" s="17" t="s">
        <v>75</v>
      </c>
      <c r="AM2209" s="17" t="s">
        <v>163</v>
      </c>
      <c r="AN2209" s="17" t="s">
        <v>84</v>
      </c>
      <c r="AO2209" s="17" t="s">
        <v>109</v>
      </c>
      <c r="AP2209" s="17"/>
      <c r="AQ2209" s="17"/>
      <c r="AR2209" s="17"/>
      <c r="AS2209" s="17"/>
      <c r="AT2209" s="17"/>
      <c r="AU2209" s="17" t="s">
        <v>430</v>
      </c>
    </row>
    <row r="2210" hidden="1">
      <c r="A2210" s="17">
        <v>2208</v>
      </c>
      <c r="B2210" s="17" t="s">
        <v>52</v>
      </c>
      <c r="C2210" s="25" t="s">
        <v>6489</v>
      </c>
      <c r="D2210" s="35" t="s">
        <v>5571</v>
      </c>
      <c r="E2210" s="17" t="s">
        <v>6490</v>
      </c>
      <c r="F2210" s="17" t="s">
        <v>6491</v>
      </c>
      <c r="G2210" s="17">
        <v>22.262333999999999</v>
      </c>
      <c r="H2210" s="17">
        <v>86.995987</v>
      </c>
      <c r="I2210" s="17"/>
      <c r="J2210" s="17"/>
      <c r="K2210" s="17"/>
      <c r="L2210" s="17"/>
      <c r="M2210" s="43" t="s">
        <v>5764</v>
      </c>
      <c r="N2210" s="17"/>
      <c r="O2210" s="17">
        <v>18</v>
      </c>
      <c r="P2210" s="17">
        <v>70</v>
      </c>
      <c r="Q2210" s="17" t="s">
        <v>105</v>
      </c>
      <c r="R2210" s="17" t="s">
        <v>142</v>
      </c>
      <c r="S2210" s="17"/>
      <c r="T2210" s="17"/>
      <c r="U2210" s="17" t="s">
        <v>160</v>
      </c>
      <c r="V2210" s="17" t="s">
        <v>77</v>
      </c>
      <c r="W2210" s="17" t="s">
        <v>143</v>
      </c>
      <c r="X2210" s="17">
        <v>3</v>
      </c>
      <c r="Y2210" s="17">
        <v>2</v>
      </c>
      <c r="Z2210" s="17"/>
      <c r="AA2210" s="17" t="s">
        <v>105</v>
      </c>
      <c r="AB2210" s="17" t="s">
        <v>79</v>
      </c>
      <c r="AC2210" s="17">
        <v>5</v>
      </c>
      <c r="AD2210" s="17">
        <v>0</v>
      </c>
      <c r="AE2210" s="17">
        <v>0</v>
      </c>
      <c r="AF2210" s="17"/>
      <c r="AG2210" s="17" t="s">
        <v>124</v>
      </c>
      <c r="AH2210" s="17" t="s">
        <v>82</v>
      </c>
      <c r="AI2210" s="17" t="s">
        <v>83</v>
      </c>
      <c r="AJ2210" s="17">
        <v>2111</v>
      </c>
      <c r="AK2210" s="17" t="s">
        <v>75</v>
      </c>
      <c r="AL2210" s="17" t="s">
        <v>75</v>
      </c>
      <c r="AM2210" s="17" t="s">
        <v>75</v>
      </c>
      <c r="AN2210" s="17" t="s">
        <v>84</v>
      </c>
      <c r="AO2210" s="17" t="s">
        <v>75</v>
      </c>
      <c r="AP2210" s="17"/>
      <c r="AQ2210" s="17"/>
      <c r="AR2210" s="17"/>
      <c r="AS2210" s="17"/>
      <c r="AT2210" s="17" t="s">
        <v>6492</v>
      </c>
      <c r="AU2210" s="17" t="s">
        <v>111</v>
      </c>
    </row>
    <row r="2211" hidden="1">
      <c r="A2211" s="17">
        <v>2209</v>
      </c>
      <c r="B2211" s="17" t="s">
        <v>52</v>
      </c>
      <c r="C2211" s="25" t="s">
        <v>6493</v>
      </c>
      <c r="D2211" s="35" t="s">
        <v>5571</v>
      </c>
      <c r="E2211" s="17" t="s">
        <v>6494</v>
      </c>
      <c r="F2211" s="17" t="s">
        <v>6495</v>
      </c>
      <c r="G2211" s="17">
        <v>22.138059999999999</v>
      </c>
      <c r="H2211" s="17">
        <v>87.097179999999994</v>
      </c>
      <c r="I2211" s="17"/>
      <c r="J2211" s="17"/>
      <c r="K2211" s="17"/>
      <c r="L2211" s="17"/>
      <c r="M2211" s="43" t="s">
        <v>5764</v>
      </c>
      <c r="N2211" s="17"/>
      <c r="O2211" s="17">
        <v>14</v>
      </c>
      <c r="P2211" s="17">
        <v>160</v>
      </c>
      <c r="Q2211" s="17" t="s">
        <v>105</v>
      </c>
      <c r="R2211" s="17" t="s">
        <v>142</v>
      </c>
      <c r="S2211" s="17"/>
      <c r="T2211" s="17"/>
      <c r="U2211" s="17" t="s">
        <v>105</v>
      </c>
      <c r="V2211" s="17" t="s">
        <v>340</v>
      </c>
      <c r="W2211" s="17" t="s">
        <v>143</v>
      </c>
      <c r="X2211" s="17">
        <v>3</v>
      </c>
      <c r="Y2211" s="17">
        <v>3</v>
      </c>
      <c r="Z2211" s="17"/>
      <c r="AA2211" s="17" t="s">
        <v>105</v>
      </c>
      <c r="AB2211" s="17" t="s">
        <v>79</v>
      </c>
      <c r="AC2211" s="17">
        <v>6</v>
      </c>
      <c r="AD2211" s="17">
        <v>0</v>
      </c>
      <c r="AE2211" s="17">
        <v>0</v>
      </c>
      <c r="AF2211" s="17"/>
      <c r="AG2211" s="17" t="s">
        <v>124</v>
      </c>
      <c r="AH2211" s="17" t="s">
        <v>162</v>
      </c>
      <c r="AI2211" s="17" t="s">
        <v>83</v>
      </c>
      <c r="AJ2211" s="17">
        <v>2112</v>
      </c>
      <c r="AK2211" s="17" t="s">
        <v>75</v>
      </c>
      <c r="AL2211" s="17" t="s">
        <v>75</v>
      </c>
      <c r="AM2211" s="17" t="s">
        <v>75</v>
      </c>
      <c r="AN2211" s="17" t="s">
        <v>84</v>
      </c>
      <c r="AO2211" s="17" t="s">
        <v>75</v>
      </c>
      <c r="AP2211" s="17"/>
      <c r="AQ2211" s="17"/>
      <c r="AR2211" s="17"/>
      <c r="AS2211" s="17"/>
      <c r="AT2211" s="17" t="s">
        <v>6496</v>
      </c>
      <c r="AU2211" s="17" t="s">
        <v>111</v>
      </c>
    </row>
    <row r="2212" hidden="1">
      <c r="A2212" s="17">
        <v>2210</v>
      </c>
      <c r="B2212" s="17" t="s">
        <v>52</v>
      </c>
      <c r="C2212" s="25" t="s">
        <v>6497</v>
      </c>
      <c r="D2212" s="35" t="s">
        <v>5571</v>
      </c>
      <c r="E2212" s="17" t="s">
        <v>6498</v>
      </c>
      <c r="F2212" s="17" t="s">
        <v>6499</v>
      </c>
      <c r="G2212" s="17">
        <v>22.175777</v>
      </c>
      <c r="H2212" s="17">
        <v>87.160461999999995</v>
      </c>
      <c r="I2212" s="17"/>
      <c r="J2212" s="17"/>
      <c r="K2212" s="17"/>
      <c r="L2212" s="17"/>
      <c r="M2212" s="43" t="s">
        <v>5764</v>
      </c>
      <c r="N2212" s="17"/>
      <c r="O2212" s="17">
        <v>18</v>
      </c>
      <c r="P2212" s="17">
        <v>130</v>
      </c>
      <c r="Q2212" s="17" t="s">
        <v>413</v>
      </c>
      <c r="R2212" s="17" t="s">
        <v>339</v>
      </c>
      <c r="S2212" s="17"/>
      <c r="T2212" s="17"/>
      <c r="U2212" s="17" t="s">
        <v>105</v>
      </c>
      <c r="V2212" s="17" t="s">
        <v>77</v>
      </c>
      <c r="W2212" s="17" t="s">
        <v>252</v>
      </c>
      <c r="X2212" s="17">
        <v>5</v>
      </c>
      <c r="Y2212" s="17">
        <v>0</v>
      </c>
      <c r="Z2212" s="17"/>
      <c r="AA2212" s="17" t="s">
        <v>413</v>
      </c>
      <c r="AB2212" s="17" t="s">
        <v>79</v>
      </c>
      <c r="AC2212" s="17">
        <v>4</v>
      </c>
      <c r="AD2212" s="17">
        <v>0</v>
      </c>
      <c r="AE2212" s="17">
        <v>0</v>
      </c>
      <c r="AF2212" s="17"/>
      <c r="AG2212" s="17" t="s">
        <v>6500</v>
      </c>
      <c r="AH2212" s="17"/>
      <c r="AI2212" s="17"/>
      <c r="AJ2212" s="17"/>
      <c r="AK2212" s="17"/>
      <c r="AL2212" s="17"/>
      <c r="AM2212" s="17"/>
      <c r="AN2212" s="17"/>
      <c r="AO2212" s="17"/>
      <c r="AP2212" s="17"/>
      <c r="AQ2212" s="17"/>
      <c r="AR2212" s="17"/>
      <c r="AS2212" s="17"/>
      <c r="AT2212" s="17" t="s">
        <v>6501</v>
      </c>
      <c r="AU2212" s="17" t="s">
        <v>430</v>
      </c>
    </row>
    <row r="2213" hidden="1">
      <c r="A2213" s="17">
        <v>2211</v>
      </c>
      <c r="B2213" s="17" t="s">
        <v>52</v>
      </c>
      <c r="C2213" s="25" t="s">
        <v>6502</v>
      </c>
      <c r="D2213" s="35" t="s">
        <v>5571</v>
      </c>
      <c r="E2213" s="17" t="s">
        <v>5642</v>
      </c>
      <c r="F2213" s="17" t="s">
        <v>6503</v>
      </c>
      <c r="G2213" s="17">
        <v>22.183807999999999</v>
      </c>
      <c r="H2213" s="17">
        <v>87.030101000000002</v>
      </c>
      <c r="I2213" s="17"/>
      <c r="J2213" s="17"/>
      <c r="K2213" s="17"/>
      <c r="L2213" s="17"/>
      <c r="M2213" s="43" t="s">
        <v>5764</v>
      </c>
      <c r="N2213" s="17"/>
      <c r="O2213" s="17">
        <v>18</v>
      </c>
      <c r="P2213" s="17">
        <v>140</v>
      </c>
      <c r="Q2213" s="17" t="s">
        <v>187</v>
      </c>
      <c r="R2213" s="17" t="s">
        <v>339</v>
      </c>
      <c r="S2213" s="17"/>
      <c r="T2213" s="17"/>
      <c r="U2213" s="17" t="s">
        <v>160</v>
      </c>
      <c r="V2213" s="17" t="s">
        <v>77</v>
      </c>
      <c r="W2213" s="17" t="s">
        <v>593</v>
      </c>
      <c r="X2213" s="17">
        <v>5</v>
      </c>
      <c r="Y2213" s="17">
        <v>1</v>
      </c>
      <c r="Z2213" s="17"/>
      <c r="AA2213" s="17" t="s">
        <v>187</v>
      </c>
      <c r="AB2213" s="17" t="s">
        <v>79</v>
      </c>
      <c r="AC2213" s="17">
        <v>4</v>
      </c>
      <c r="AD2213" s="17">
        <v>0</v>
      </c>
      <c r="AE2213" s="17">
        <v>1</v>
      </c>
      <c r="AF2213" s="17"/>
      <c r="AG2213" s="17" t="s">
        <v>724</v>
      </c>
      <c r="AH2213" s="17"/>
      <c r="AI2213" s="17"/>
      <c r="AJ2213" s="17"/>
      <c r="AK2213" s="17"/>
      <c r="AL2213" s="17"/>
      <c r="AM2213" s="17"/>
      <c r="AN2213" s="17"/>
      <c r="AO2213" s="17"/>
      <c r="AP2213" s="17"/>
      <c r="AQ2213" s="17"/>
      <c r="AR2213" s="17"/>
      <c r="AS2213" s="17"/>
      <c r="AT2213" s="17"/>
      <c r="AU2213" s="17" t="s">
        <v>111</v>
      </c>
    </row>
    <row r="2214" hidden="1">
      <c r="A2214" s="17">
        <v>2212</v>
      </c>
      <c r="B2214" s="17" t="s">
        <v>52</v>
      </c>
      <c r="C2214" s="25" t="s">
        <v>6504</v>
      </c>
      <c r="D2214" s="35" t="s">
        <v>5571</v>
      </c>
      <c r="E2214" s="17" t="s">
        <v>6505</v>
      </c>
      <c r="F2214" s="17" t="s">
        <v>6506</v>
      </c>
      <c r="G2214" s="17">
        <v>22.160309999999999</v>
      </c>
      <c r="H2214" s="17">
        <v>87.135434000000004</v>
      </c>
      <c r="I2214" s="17"/>
      <c r="J2214" s="17"/>
      <c r="K2214" s="17"/>
      <c r="L2214" s="17"/>
      <c r="M2214" s="43" t="s">
        <v>5764</v>
      </c>
      <c r="N2214" s="17"/>
      <c r="O2214" s="17">
        <v>20</v>
      </c>
      <c r="P2214" s="17">
        <v>120</v>
      </c>
      <c r="Q2214" s="17" t="s">
        <v>105</v>
      </c>
      <c r="R2214" s="17" t="s">
        <v>142</v>
      </c>
      <c r="S2214" s="17"/>
      <c r="T2214" s="17"/>
      <c r="U2214" s="17" t="s">
        <v>503</v>
      </c>
      <c r="V2214" s="17" t="s">
        <v>504</v>
      </c>
      <c r="W2214" s="17" t="s">
        <v>151</v>
      </c>
      <c r="X2214" s="17">
        <v>2</v>
      </c>
      <c r="Y2214" s="17">
        <v>0</v>
      </c>
      <c r="Z2214" s="17"/>
      <c r="AA2214" s="17" t="s">
        <v>105</v>
      </c>
      <c r="AB2214" s="17" t="s">
        <v>79</v>
      </c>
      <c r="AC2214" s="17">
        <v>5</v>
      </c>
      <c r="AD2214" s="17">
        <v>0</v>
      </c>
      <c r="AE2214" s="17">
        <v>0</v>
      </c>
      <c r="AF2214" s="17"/>
      <c r="AG2214" s="17" t="s">
        <v>124</v>
      </c>
      <c r="AH2214" s="17" t="s">
        <v>82</v>
      </c>
      <c r="AI2214" s="17" t="s">
        <v>83</v>
      </c>
      <c r="AJ2214" s="17">
        <v>2111</v>
      </c>
      <c r="AK2214" s="17" t="s">
        <v>75</v>
      </c>
      <c r="AL2214" s="17" t="s">
        <v>75</v>
      </c>
      <c r="AM2214" s="17" t="s">
        <v>75</v>
      </c>
      <c r="AN2214" s="17" t="s">
        <v>84</v>
      </c>
      <c r="AO2214" s="17" t="s">
        <v>75</v>
      </c>
      <c r="AP2214" s="17"/>
      <c r="AQ2214" s="17"/>
      <c r="AR2214" s="17"/>
      <c r="AS2214" s="17"/>
      <c r="AT2214" s="17"/>
      <c r="AU2214" s="17" t="s">
        <v>127</v>
      </c>
    </row>
    <row r="2215" hidden="1">
      <c r="A2215" s="17">
        <v>2213</v>
      </c>
      <c r="B2215" s="17" t="s">
        <v>52</v>
      </c>
      <c r="C2215" s="25" t="s">
        <v>6507</v>
      </c>
      <c r="D2215" s="35" t="s">
        <v>5571</v>
      </c>
      <c r="E2215" s="17" t="s">
        <v>6508</v>
      </c>
      <c r="F2215" s="17" t="s">
        <v>6509</v>
      </c>
      <c r="G2215" s="17">
        <v>22.210805000000001</v>
      </c>
      <c r="H2215" s="17">
        <v>87.047798</v>
      </c>
      <c r="I2215" s="17"/>
      <c r="J2215" s="17"/>
      <c r="K2215" s="17"/>
      <c r="L2215" s="17"/>
      <c r="M2215" s="43" t="s">
        <v>5764</v>
      </c>
      <c r="N2215" s="17"/>
      <c r="O2215" s="17">
        <v>20</v>
      </c>
      <c r="P2215" s="17">
        <v>150</v>
      </c>
      <c r="Q2215" s="17" t="s">
        <v>73</v>
      </c>
      <c r="R2215" s="17" t="s">
        <v>74</v>
      </c>
      <c r="S2215" s="17"/>
      <c r="T2215" s="17"/>
      <c r="U2215" s="17" t="s">
        <v>160</v>
      </c>
      <c r="V2215" s="17" t="s">
        <v>77</v>
      </c>
      <c r="W2215" s="17" t="s">
        <v>252</v>
      </c>
      <c r="X2215" s="17">
        <v>6</v>
      </c>
      <c r="Y2215" s="17">
        <v>0</v>
      </c>
      <c r="Z2215" s="17"/>
      <c r="AA2215" s="17" t="s">
        <v>73</v>
      </c>
      <c r="AB2215" s="17" t="s">
        <v>79</v>
      </c>
      <c r="AC2215" s="17">
        <v>1</v>
      </c>
      <c r="AD2215" s="17">
        <v>0</v>
      </c>
      <c r="AE2215" s="17">
        <v>0</v>
      </c>
      <c r="AF2215" s="17"/>
      <c r="AG2215" s="17" t="s">
        <v>124</v>
      </c>
      <c r="AH2215" s="17" t="s">
        <v>82</v>
      </c>
      <c r="AI2215" s="17" t="s">
        <v>83</v>
      </c>
      <c r="AJ2215" s="17">
        <v>2111</v>
      </c>
      <c r="AK2215" s="17" t="s">
        <v>75</v>
      </c>
      <c r="AL2215" s="17" t="s">
        <v>75</v>
      </c>
      <c r="AM2215" s="17" t="s">
        <v>75</v>
      </c>
      <c r="AN2215" s="17" t="s">
        <v>84</v>
      </c>
      <c r="AO2215" s="17" t="s">
        <v>75</v>
      </c>
      <c r="AP2215" s="17" t="s">
        <v>73</v>
      </c>
      <c r="AQ2215" s="17" t="s">
        <v>741</v>
      </c>
      <c r="AR2215" s="17">
        <v>4</v>
      </c>
      <c r="AS2215" s="17">
        <v>1</v>
      </c>
      <c r="AT2215" s="17" t="s">
        <v>6510</v>
      </c>
      <c r="AU2215" s="17" t="s">
        <v>430</v>
      </c>
    </row>
    <row r="2216" hidden="1">
      <c r="A2216" s="17">
        <v>2214</v>
      </c>
      <c r="B2216" s="17" t="s">
        <v>52</v>
      </c>
      <c r="C2216" s="25" t="s">
        <v>6511</v>
      </c>
      <c r="D2216" s="35" t="s">
        <v>5571</v>
      </c>
      <c r="E2216" s="17" t="s">
        <v>6512</v>
      </c>
      <c r="F2216" s="17" t="s">
        <v>6513</v>
      </c>
      <c r="G2216" s="17">
        <v>22.252728999999999</v>
      </c>
      <c r="H2216" s="17">
        <v>87.013216999999997</v>
      </c>
      <c r="I2216" s="17"/>
      <c r="J2216" s="17"/>
      <c r="K2216" s="17"/>
      <c r="L2216" s="17"/>
      <c r="M2216" s="43" t="s">
        <v>5764</v>
      </c>
      <c r="N2216" s="17"/>
      <c r="O2216" s="17">
        <v>12</v>
      </c>
      <c r="P2216" s="17">
        <v>110</v>
      </c>
      <c r="Q2216" s="17" t="s">
        <v>105</v>
      </c>
      <c r="R2216" s="17" t="s">
        <v>142</v>
      </c>
      <c r="S2216" s="17"/>
      <c r="T2216" s="17"/>
      <c r="U2216" s="17" t="s">
        <v>503</v>
      </c>
      <c r="V2216" s="17" t="s">
        <v>504</v>
      </c>
      <c r="W2216" s="17" t="s">
        <v>151</v>
      </c>
      <c r="X2216" s="17">
        <v>2</v>
      </c>
      <c r="Y2216" s="17">
        <v>0</v>
      </c>
      <c r="Z2216" s="17"/>
      <c r="AA2216" s="17" t="s">
        <v>105</v>
      </c>
      <c r="AB2216" s="17" t="s">
        <v>79</v>
      </c>
      <c r="AC2216" s="17">
        <v>5</v>
      </c>
      <c r="AD2216" s="17">
        <v>0</v>
      </c>
      <c r="AE2216" s="17">
        <v>0</v>
      </c>
      <c r="AF2216" s="17"/>
      <c r="AG2216" s="17" t="s">
        <v>81</v>
      </c>
      <c r="AH2216" s="17" t="s">
        <v>82</v>
      </c>
      <c r="AI2216" s="17" t="s">
        <v>83</v>
      </c>
      <c r="AJ2216" s="17">
        <v>2111</v>
      </c>
      <c r="AK2216" s="17" t="s">
        <v>75</v>
      </c>
      <c r="AL2216" s="17" t="s">
        <v>75</v>
      </c>
      <c r="AM2216" s="17" t="s">
        <v>163</v>
      </c>
      <c r="AN2216" s="17" t="s">
        <v>84</v>
      </c>
      <c r="AO2216" s="17" t="s">
        <v>137</v>
      </c>
      <c r="AP2216" s="17"/>
      <c r="AQ2216" s="17"/>
      <c r="AR2216" s="17"/>
      <c r="AS2216" s="17"/>
      <c r="AT2216" s="17"/>
      <c r="AU2216" s="17" t="s">
        <v>111</v>
      </c>
    </row>
    <row r="2217" hidden="1">
      <c r="A2217" s="17">
        <v>2215</v>
      </c>
      <c r="B2217" s="17" t="s">
        <v>52</v>
      </c>
      <c r="C2217" s="44" t="s">
        <v>6514</v>
      </c>
      <c r="D2217" s="35" t="s">
        <v>5571</v>
      </c>
      <c r="E2217" s="17" t="s">
        <v>6515</v>
      </c>
      <c r="F2217" s="17" t="s">
        <v>6516</v>
      </c>
      <c r="G2217" s="17">
        <v>22.250105999999999</v>
      </c>
      <c r="H2217" s="17">
        <v>87.177473000000006</v>
      </c>
      <c r="I2217" s="17"/>
      <c r="J2217" s="17"/>
      <c r="K2217" s="17"/>
      <c r="L2217" s="17"/>
      <c r="M2217" s="43" t="s">
        <v>5764</v>
      </c>
      <c r="N2217" s="17"/>
      <c r="O2217" s="17">
        <v>20</v>
      </c>
      <c r="P2217" s="17">
        <v>110</v>
      </c>
      <c r="Q2217" s="17" t="s">
        <v>105</v>
      </c>
      <c r="R2217" s="17" t="s">
        <v>142</v>
      </c>
      <c r="S2217" s="17"/>
      <c r="T2217" s="17"/>
      <c r="U2217" s="17" t="s">
        <v>503</v>
      </c>
      <c r="V2217" s="17" t="s">
        <v>504</v>
      </c>
      <c r="W2217" s="17" t="s">
        <v>151</v>
      </c>
      <c r="X2217" s="17">
        <v>2</v>
      </c>
      <c r="Y2217" s="17">
        <v>0</v>
      </c>
      <c r="Z2217" s="17"/>
      <c r="AA2217" s="17" t="s">
        <v>105</v>
      </c>
      <c r="AB2217" s="17" t="s">
        <v>79</v>
      </c>
      <c r="AC2217" s="17">
        <v>4</v>
      </c>
      <c r="AD2217" s="17">
        <v>0</v>
      </c>
      <c r="AE2217" s="17">
        <v>0</v>
      </c>
      <c r="AF2217" s="17"/>
      <c r="AG2217" s="17" t="s">
        <v>81</v>
      </c>
      <c r="AH2217" s="17" t="s">
        <v>82</v>
      </c>
      <c r="AI2217" s="17" t="s">
        <v>83</v>
      </c>
      <c r="AJ2217" s="17">
        <v>2111</v>
      </c>
      <c r="AK2217" s="17" t="s">
        <v>75</v>
      </c>
      <c r="AL2217" s="17" t="s">
        <v>75</v>
      </c>
      <c r="AM2217" s="17" t="s">
        <v>75</v>
      </c>
      <c r="AN2217" s="17" t="s">
        <v>84</v>
      </c>
      <c r="AO2217" s="17" t="s">
        <v>75</v>
      </c>
      <c r="AP2217" s="17"/>
      <c r="AQ2217" s="17"/>
      <c r="AR2217" s="17"/>
      <c r="AS2217" s="17"/>
      <c r="AT2217" s="17"/>
      <c r="AU2217" s="17" t="s">
        <v>127</v>
      </c>
    </row>
    <row r="2218" hidden="1">
      <c r="A2218" s="17">
        <v>2216</v>
      </c>
      <c r="B2218" s="17" t="s">
        <v>52</v>
      </c>
      <c r="C2218" s="25" t="s">
        <v>6517</v>
      </c>
      <c r="D2218" s="35" t="s">
        <v>5571</v>
      </c>
      <c r="E2218" s="17" t="s">
        <v>6518</v>
      </c>
      <c r="F2218" s="17" t="s">
        <v>6519</v>
      </c>
      <c r="G2218" s="17">
        <v>22.243231000000002</v>
      </c>
      <c r="H2218" s="17">
        <v>87.050036000000006</v>
      </c>
      <c r="I2218" s="17"/>
      <c r="J2218" s="17"/>
      <c r="K2218" s="17"/>
      <c r="L2218" s="17"/>
      <c r="M2218" s="43" t="s">
        <v>5764</v>
      </c>
      <c r="N2218" s="17"/>
      <c r="O2218" s="17">
        <v>16</v>
      </c>
      <c r="P2218" s="17">
        <v>110</v>
      </c>
      <c r="Q2218" s="17" t="s">
        <v>105</v>
      </c>
      <c r="R2218" s="17" t="s">
        <v>142</v>
      </c>
      <c r="S2218" s="17"/>
      <c r="T2218" s="17"/>
      <c r="U2218" s="17" t="s">
        <v>503</v>
      </c>
      <c r="V2218" s="17" t="s">
        <v>504</v>
      </c>
      <c r="W2218" s="17" t="s">
        <v>151</v>
      </c>
      <c r="X2218" s="17">
        <v>2</v>
      </c>
      <c r="Y2218" s="17">
        <v>0</v>
      </c>
      <c r="Z2218" s="17"/>
      <c r="AA2218" s="17" t="s">
        <v>105</v>
      </c>
      <c r="AB2218" s="17" t="s">
        <v>79</v>
      </c>
      <c r="AC2218" s="17">
        <v>5</v>
      </c>
      <c r="AD2218" s="17">
        <v>0</v>
      </c>
      <c r="AE2218" s="17">
        <v>0</v>
      </c>
      <c r="AF2218" s="17"/>
      <c r="AG2218" s="17" t="s">
        <v>124</v>
      </c>
      <c r="AH2218" s="17" t="s">
        <v>82</v>
      </c>
      <c r="AI2218" s="17" t="s">
        <v>83</v>
      </c>
      <c r="AJ2218" s="17">
        <v>2111</v>
      </c>
      <c r="AK2218" s="17" t="s">
        <v>75</v>
      </c>
      <c r="AL2218" s="17" t="s">
        <v>75</v>
      </c>
      <c r="AM2218" s="17" t="s">
        <v>75</v>
      </c>
      <c r="AN2218" s="17" t="s">
        <v>84</v>
      </c>
      <c r="AO2218" s="17" t="s">
        <v>75</v>
      </c>
      <c r="AP2218" s="17"/>
      <c r="AQ2218" s="17"/>
      <c r="AR2218" s="17"/>
      <c r="AS2218" s="17"/>
      <c r="AT2218" s="17"/>
      <c r="AU2218" s="17" t="s">
        <v>127</v>
      </c>
    </row>
    <row r="2219" hidden="1">
      <c r="A2219" s="17">
        <v>2217</v>
      </c>
      <c r="B2219" s="17" t="s">
        <v>52</v>
      </c>
      <c r="C2219" s="25" t="s">
        <v>6520</v>
      </c>
      <c r="D2219" s="35" t="s">
        <v>5571</v>
      </c>
      <c r="E2219" s="17" t="s">
        <v>4339</v>
      </c>
      <c r="F2219" s="17" t="s">
        <v>6521</v>
      </c>
      <c r="G2219" s="17">
        <v>22.261119999999998</v>
      </c>
      <c r="H2219" s="17">
        <v>87.153704000000005</v>
      </c>
      <c r="I2219" s="17"/>
      <c r="J2219" s="17"/>
      <c r="K2219" s="17"/>
      <c r="L2219" s="17"/>
      <c r="M2219" s="43" t="s">
        <v>5764</v>
      </c>
      <c r="N2219" s="17"/>
      <c r="O2219" s="17">
        <v>18</v>
      </c>
      <c r="P2219" s="17">
        <v>110</v>
      </c>
      <c r="Q2219" s="17" t="s">
        <v>105</v>
      </c>
      <c r="R2219" s="17" t="s">
        <v>142</v>
      </c>
      <c r="S2219" s="17"/>
      <c r="T2219" s="17"/>
      <c r="U2219" s="17" t="s">
        <v>503</v>
      </c>
      <c r="V2219" s="17" t="s">
        <v>504</v>
      </c>
      <c r="W2219" s="17" t="s">
        <v>151</v>
      </c>
      <c r="X2219" s="17">
        <v>2</v>
      </c>
      <c r="Y2219" s="17">
        <v>0</v>
      </c>
      <c r="Z2219" s="17"/>
      <c r="AA2219" s="17" t="s">
        <v>105</v>
      </c>
      <c r="AB2219" s="17" t="s">
        <v>79</v>
      </c>
      <c r="AC2219" s="17">
        <v>5</v>
      </c>
      <c r="AD2219" s="17">
        <v>0</v>
      </c>
      <c r="AE2219" s="17">
        <v>0</v>
      </c>
      <c r="AF2219" s="17"/>
      <c r="AG2219" s="17" t="s">
        <v>124</v>
      </c>
      <c r="AH2219" s="17" t="s">
        <v>82</v>
      </c>
      <c r="AI2219" s="17" t="s">
        <v>83</v>
      </c>
      <c r="AJ2219" s="17">
        <v>2111</v>
      </c>
      <c r="AK2219" s="17" t="s">
        <v>75</v>
      </c>
      <c r="AL2219" s="17" t="s">
        <v>75</v>
      </c>
      <c r="AM2219" s="17" t="s">
        <v>75</v>
      </c>
      <c r="AN2219" s="17" t="s">
        <v>125</v>
      </c>
      <c r="AO2219" s="17" t="s">
        <v>75</v>
      </c>
      <c r="AP2219" s="17"/>
      <c r="AQ2219" s="17"/>
      <c r="AR2219" s="17"/>
      <c r="AS2219" s="17"/>
      <c r="AT2219" s="17"/>
      <c r="AU2219" s="17" t="s">
        <v>127</v>
      </c>
    </row>
    <row r="2220" hidden="1">
      <c r="A2220" s="17">
        <v>2218</v>
      </c>
      <c r="B2220" s="17" t="s">
        <v>52</v>
      </c>
      <c r="C2220" s="25" t="s">
        <v>6522</v>
      </c>
      <c r="D2220" s="35" t="s">
        <v>5571</v>
      </c>
      <c r="E2220" s="17" t="s">
        <v>1286</v>
      </c>
      <c r="F2220" s="17" t="s">
        <v>6523</v>
      </c>
      <c r="G2220" s="17">
        <v>22.275265000000001</v>
      </c>
      <c r="H2220" s="17">
        <v>87.040013999999999</v>
      </c>
      <c r="I2220" s="17"/>
      <c r="J2220" s="17"/>
      <c r="K2220" s="17"/>
      <c r="L2220" s="17"/>
      <c r="M2220" s="43" t="s">
        <v>5764</v>
      </c>
      <c r="N2220" s="17"/>
      <c r="O2220" s="17">
        <v>12</v>
      </c>
      <c r="P2220" s="17">
        <v>75</v>
      </c>
      <c r="Q2220" s="17" t="s">
        <v>105</v>
      </c>
      <c r="R2220" s="17" t="s">
        <v>142</v>
      </c>
      <c r="S2220" s="17"/>
      <c r="T2220" s="17"/>
      <c r="U2220" s="17" t="s">
        <v>441</v>
      </c>
      <c r="V2220" s="17" t="s">
        <v>442</v>
      </c>
      <c r="W2220" s="17" t="s">
        <v>454</v>
      </c>
      <c r="X2220" s="17">
        <v>5</v>
      </c>
      <c r="Y2220" s="17">
        <v>1</v>
      </c>
      <c r="Z2220" s="17"/>
      <c r="AA2220" s="17" t="s">
        <v>105</v>
      </c>
      <c r="AB2220" s="17" t="s">
        <v>79</v>
      </c>
      <c r="AC2220" s="17">
        <v>5</v>
      </c>
      <c r="AD2220" s="17">
        <v>0</v>
      </c>
      <c r="AE2220" s="17">
        <v>0</v>
      </c>
      <c r="AF2220" s="17"/>
      <c r="AG2220" s="17" t="s">
        <v>124</v>
      </c>
      <c r="AH2220" s="17" t="s">
        <v>82</v>
      </c>
      <c r="AI2220" s="17" t="s">
        <v>83</v>
      </c>
      <c r="AJ2220" s="17">
        <v>2111</v>
      </c>
      <c r="AK2220" s="17" t="s">
        <v>137</v>
      </c>
      <c r="AL2220" s="17" t="s">
        <v>137</v>
      </c>
      <c r="AM2220" s="17" t="s">
        <v>137</v>
      </c>
      <c r="AN2220" s="17" t="s">
        <v>84</v>
      </c>
      <c r="AO2220" s="17" t="s">
        <v>137</v>
      </c>
      <c r="AP2220" s="17"/>
      <c r="AQ2220" s="17"/>
      <c r="AR2220" s="17"/>
      <c r="AS2220" s="17"/>
      <c r="AT2220" s="17" t="s">
        <v>6524</v>
      </c>
      <c r="AU2220" s="17" t="s">
        <v>127</v>
      </c>
    </row>
    <row r="2221" hidden="1">
      <c r="A2221" s="17">
        <v>2219</v>
      </c>
      <c r="B2221" s="17" t="s">
        <v>52</v>
      </c>
      <c r="C2221" s="25" t="s">
        <v>6525</v>
      </c>
      <c r="D2221" s="35" t="s">
        <v>5571</v>
      </c>
      <c r="E2221" s="17" t="s">
        <v>6526</v>
      </c>
      <c r="F2221" s="17" t="s">
        <v>6527</v>
      </c>
      <c r="G2221" s="17">
        <v>22.288153999999999</v>
      </c>
      <c r="H2221" s="17">
        <v>87.024910000000006</v>
      </c>
      <c r="I2221" s="17"/>
      <c r="J2221" s="17"/>
      <c r="K2221" s="17"/>
      <c r="L2221" s="17"/>
      <c r="M2221" s="43" t="s">
        <v>5764</v>
      </c>
      <c r="N2221" s="17"/>
      <c r="O2221" s="17">
        <v>20</v>
      </c>
      <c r="P2221" s="17">
        <v>140</v>
      </c>
      <c r="Q2221" s="17" t="s">
        <v>105</v>
      </c>
      <c r="R2221" s="17" t="s">
        <v>142</v>
      </c>
      <c r="S2221" s="17"/>
      <c r="T2221" s="17"/>
      <c r="U2221" s="17" t="s">
        <v>503</v>
      </c>
      <c r="V2221" s="17" t="s">
        <v>504</v>
      </c>
      <c r="W2221" s="17" t="s">
        <v>593</v>
      </c>
      <c r="X2221" s="17">
        <v>2</v>
      </c>
      <c r="Y2221" s="17">
        <v>0</v>
      </c>
      <c r="Z2221" s="17"/>
      <c r="AA2221" s="17" t="s">
        <v>105</v>
      </c>
      <c r="AB2221" s="17" t="s">
        <v>79</v>
      </c>
      <c r="AC2221" s="17">
        <v>5</v>
      </c>
      <c r="AD2221" s="17">
        <v>0</v>
      </c>
      <c r="AE2221" s="17">
        <v>0</v>
      </c>
      <c r="AF2221" s="17"/>
      <c r="AG2221" s="17" t="s">
        <v>81</v>
      </c>
      <c r="AH2221" s="17" t="s">
        <v>82</v>
      </c>
      <c r="AI2221" s="17" t="s">
        <v>107</v>
      </c>
      <c r="AJ2221" s="17"/>
      <c r="AK2221" s="17" t="s">
        <v>75</v>
      </c>
      <c r="AL2221" s="17" t="s">
        <v>75</v>
      </c>
      <c r="AM2221" s="17" t="s">
        <v>75</v>
      </c>
      <c r="AN2221" s="17" t="s">
        <v>84</v>
      </c>
      <c r="AO2221" s="17" t="s">
        <v>109</v>
      </c>
      <c r="AP2221" s="17"/>
      <c r="AQ2221" s="17"/>
      <c r="AR2221" s="17"/>
      <c r="AS2221" s="17"/>
      <c r="AT2221" s="17"/>
      <c r="AU2221" s="17" t="s">
        <v>127</v>
      </c>
    </row>
    <row r="2222" hidden="1">
      <c r="A2222" s="17">
        <v>2220</v>
      </c>
      <c r="B2222" s="17" t="s">
        <v>52</v>
      </c>
      <c r="C2222" s="25" t="s">
        <v>6528</v>
      </c>
      <c r="D2222" s="35" t="s">
        <v>5571</v>
      </c>
      <c r="E2222" s="17" t="s">
        <v>6529</v>
      </c>
      <c r="F2222" s="17" t="s">
        <v>6530</v>
      </c>
      <c r="G2222" s="17">
        <v>22.195312999999999</v>
      </c>
      <c r="H2222" s="17">
        <v>87.163460999999998</v>
      </c>
      <c r="I2222" s="17"/>
      <c r="J2222" s="17"/>
      <c r="K2222" s="17"/>
      <c r="L2222" s="17"/>
      <c r="M2222" s="43" t="s">
        <v>5764</v>
      </c>
      <c r="N2222" s="17"/>
      <c r="O2222" s="17">
        <v>18</v>
      </c>
      <c r="P2222" s="17">
        <v>110</v>
      </c>
      <c r="Q2222" s="17" t="s">
        <v>105</v>
      </c>
      <c r="R2222" s="17" t="s">
        <v>142</v>
      </c>
      <c r="S2222" s="17"/>
      <c r="T2222" s="17"/>
      <c r="U2222" s="17" t="s">
        <v>503</v>
      </c>
      <c r="V2222" s="17" t="s">
        <v>504</v>
      </c>
      <c r="W2222" s="17" t="s">
        <v>151</v>
      </c>
      <c r="X2222" s="17">
        <v>2</v>
      </c>
      <c r="Y2222" s="17">
        <v>0</v>
      </c>
      <c r="Z2222" s="17"/>
      <c r="AA2222" s="17" t="s">
        <v>105</v>
      </c>
      <c r="AB2222" s="17" t="s">
        <v>79</v>
      </c>
      <c r="AC2222" s="17">
        <v>5</v>
      </c>
      <c r="AD2222" s="17">
        <v>0</v>
      </c>
      <c r="AE2222" s="17">
        <v>0</v>
      </c>
      <c r="AF2222" s="17"/>
      <c r="AG2222" s="17" t="s">
        <v>124</v>
      </c>
      <c r="AH2222" s="17" t="s">
        <v>162</v>
      </c>
      <c r="AI2222" s="17" t="s">
        <v>83</v>
      </c>
      <c r="AJ2222" s="17">
        <v>2112</v>
      </c>
      <c r="AK2222" s="17" t="s">
        <v>75</v>
      </c>
      <c r="AL2222" s="17" t="s">
        <v>75</v>
      </c>
      <c r="AM2222" s="17" t="s">
        <v>75</v>
      </c>
      <c r="AN2222" s="17" t="s">
        <v>84</v>
      </c>
      <c r="AO2222" s="17" t="s">
        <v>109</v>
      </c>
      <c r="AP2222" s="17"/>
      <c r="AQ2222" s="17"/>
      <c r="AR2222" s="17"/>
      <c r="AS2222" s="17"/>
      <c r="AT2222" s="17"/>
      <c r="AU2222" s="17" t="s">
        <v>111</v>
      </c>
    </row>
    <row r="2223" hidden="1">
      <c r="A2223" s="17">
        <v>2221</v>
      </c>
      <c r="B2223" s="17" t="s">
        <v>52</v>
      </c>
      <c r="C2223" s="44" t="s">
        <v>6531</v>
      </c>
      <c r="D2223" s="35" t="s">
        <v>5571</v>
      </c>
      <c r="E2223" s="17" t="s">
        <v>6532</v>
      </c>
      <c r="F2223" s="17" t="s">
        <v>6533</v>
      </c>
      <c r="G2223" s="17">
        <v>22.287026999999998</v>
      </c>
      <c r="H2223" s="17">
        <v>87.143029999999996</v>
      </c>
      <c r="I2223" s="17"/>
      <c r="J2223" s="17"/>
      <c r="K2223" s="17"/>
      <c r="L2223" s="17"/>
      <c r="M2223" s="43" t="s">
        <v>5764</v>
      </c>
      <c r="N2223" s="17"/>
      <c r="O2223" s="17">
        <v>20</v>
      </c>
      <c r="P2223" s="17">
        <v>50</v>
      </c>
      <c r="Q2223" s="17" t="s">
        <v>105</v>
      </c>
      <c r="R2223" s="17" t="s">
        <v>154</v>
      </c>
      <c r="S2223" s="17"/>
      <c r="T2223" s="17"/>
      <c r="U2223" s="17" t="s">
        <v>76</v>
      </c>
      <c r="V2223" s="17" t="s">
        <v>77</v>
      </c>
      <c r="W2223" s="17" t="s">
        <v>78</v>
      </c>
      <c r="X2223" s="17">
        <v>6</v>
      </c>
      <c r="Y2223" s="17">
        <v>0</v>
      </c>
      <c r="Z2223" s="17" t="s">
        <v>6534</v>
      </c>
      <c r="AA2223" s="17" t="s">
        <v>105</v>
      </c>
      <c r="AB2223" s="17" t="s">
        <v>239</v>
      </c>
      <c r="AC2223" s="17">
        <v>3</v>
      </c>
      <c r="AD2223" s="17">
        <v>0</v>
      </c>
      <c r="AE2223" s="17">
        <v>0</v>
      </c>
      <c r="AF2223" s="17"/>
      <c r="AG2223" s="17" t="s">
        <v>81</v>
      </c>
      <c r="AH2223" s="17" t="s">
        <v>82</v>
      </c>
      <c r="AI2223" s="17" t="s">
        <v>83</v>
      </c>
      <c r="AJ2223" s="17">
        <v>2111</v>
      </c>
      <c r="AK2223" s="17" t="s">
        <v>75</v>
      </c>
      <c r="AL2223" s="17" t="s">
        <v>75</v>
      </c>
      <c r="AM2223" s="17" t="s">
        <v>75</v>
      </c>
      <c r="AN2223" s="17" t="s">
        <v>125</v>
      </c>
      <c r="AO2223" s="17" t="s">
        <v>75</v>
      </c>
      <c r="AP2223" s="17"/>
      <c r="AQ2223" s="17"/>
      <c r="AR2223" s="17"/>
      <c r="AS2223" s="17"/>
      <c r="AT2223" s="17" t="s">
        <v>6535</v>
      </c>
      <c r="AU2223" s="17" t="s">
        <v>111</v>
      </c>
    </row>
    <row r="2224" hidden="1">
      <c r="A2224" s="17">
        <v>2222</v>
      </c>
      <c r="B2224" s="17" t="s">
        <v>52</v>
      </c>
      <c r="C2224" s="41" t="s">
        <v>6536</v>
      </c>
      <c r="D2224" s="35" t="s">
        <v>5571</v>
      </c>
      <c r="E2224" s="17"/>
      <c r="F2224" s="17"/>
      <c r="G2224" s="17"/>
      <c r="H2224" s="17"/>
      <c r="I2224" s="17"/>
      <c r="J2224" s="17"/>
      <c r="K2224" s="17"/>
      <c r="L2224" s="17"/>
      <c r="M2224" s="17"/>
      <c r="N2224" s="17"/>
      <c r="O2224" s="17"/>
      <c r="P2224" s="17"/>
      <c r="Q2224" s="17"/>
      <c r="R2224" s="17"/>
      <c r="S2224" s="17"/>
      <c r="T2224" s="17"/>
      <c r="U2224" s="17"/>
      <c r="V2224" s="17"/>
      <c r="W2224" s="17"/>
      <c r="X2224" s="17"/>
      <c r="Y2224" s="17"/>
      <c r="Z2224" s="17"/>
      <c r="AA2224" s="17"/>
      <c r="AB2224" s="17"/>
      <c r="AC2224" s="17"/>
      <c r="AD2224" s="17"/>
      <c r="AE2224" s="17"/>
      <c r="AF2224" s="17"/>
      <c r="AG2224" s="17"/>
      <c r="AH2224" s="17"/>
      <c r="AI2224" s="17"/>
      <c r="AJ2224" s="17"/>
      <c r="AK2224" s="17"/>
      <c r="AL2224" s="17"/>
      <c r="AM2224" s="17"/>
      <c r="AN2224" s="17"/>
      <c r="AO2224" s="17"/>
      <c r="AP2224" s="17"/>
      <c r="AQ2224" s="17"/>
      <c r="AR2224" s="17"/>
      <c r="AS2224" s="17"/>
      <c r="AT2224" s="17"/>
      <c r="AU2224" s="17"/>
    </row>
    <row r="2225" hidden="1">
      <c r="A2225" s="17">
        <v>2223</v>
      </c>
      <c r="B2225" s="17" t="s">
        <v>52</v>
      </c>
      <c r="C2225" s="41" t="s">
        <v>6537</v>
      </c>
      <c r="D2225" s="35" t="s">
        <v>5571</v>
      </c>
      <c r="E2225" s="17"/>
      <c r="F2225" s="17"/>
      <c r="G2225" s="17"/>
      <c r="H2225" s="17"/>
      <c r="I2225" s="17"/>
      <c r="J2225" s="17"/>
      <c r="K2225" s="17"/>
      <c r="L2225" s="17"/>
      <c r="M2225" s="17"/>
      <c r="N2225" s="17"/>
      <c r="O2225" s="17"/>
      <c r="P2225" s="17"/>
      <c r="Q2225" s="17"/>
      <c r="R2225" s="17"/>
      <c r="S2225" s="17"/>
      <c r="T2225" s="17"/>
      <c r="U2225" s="17"/>
      <c r="V2225" s="17"/>
      <c r="W2225" s="17"/>
      <c r="X2225" s="17"/>
      <c r="Y2225" s="17"/>
      <c r="Z2225" s="17"/>
      <c r="AA2225" s="17"/>
      <c r="AB2225" s="17"/>
      <c r="AC2225" s="17"/>
      <c r="AD2225" s="17"/>
      <c r="AE2225" s="17"/>
      <c r="AF2225" s="17"/>
      <c r="AG2225" s="17"/>
      <c r="AH2225" s="17"/>
      <c r="AI2225" s="17"/>
      <c r="AJ2225" s="17"/>
      <c r="AK2225" s="17"/>
      <c r="AL2225" s="17"/>
      <c r="AM2225" s="17"/>
      <c r="AN2225" s="17"/>
      <c r="AO2225" s="17"/>
      <c r="AP2225" s="17"/>
      <c r="AQ2225" s="17"/>
      <c r="AR2225" s="17"/>
      <c r="AS2225" s="17"/>
      <c r="AT2225" s="17"/>
      <c r="AU2225" s="17"/>
    </row>
    <row r="2226" hidden="1">
      <c r="A2226" s="17">
        <v>2224</v>
      </c>
      <c r="B2226" s="17" t="s">
        <v>52</v>
      </c>
      <c r="C2226" s="41" t="s">
        <v>6538</v>
      </c>
      <c r="D2226" s="35" t="s">
        <v>5571</v>
      </c>
      <c r="E2226" s="17"/>
      <c r="F2226" s="17"/>
      <c r="G2226" s="17"/>
      <c r="H2226" s="17"/>
      <c r="I2226" s="17"/>
      <c r="J2226" s="17"/>
      <c r="K2226" s="17"/>
      <c r="L2226" s="17"/>
      <c r="M2226" s="17"/>
      <c r="N2226" s="17"/>
      <c r="O2226" s="17"/>
      <c r="P2226" s="17"/>
      <c r="Q2226" s="17"/>
      <c r="R2226" s="17"/>
      <c r="S2226" s="17"/>
      <c r="T2226" s="17"/>
      <c r="U2226" s="17"/>
      <c r="V2226" s="17"/>
      <c r="W2226" s="17"/>
      <c r="X2226" s="17"/>
      <c r="Y2226" s="17"/>
      <c r="Z2226" s="17"/>
      <c r="AA2226" s="17"/>
      <c r="AB2226" s="17"/>
      <c r="AC2226" s="17"/>
      <c r="AD2226" s="17"/>
      <c r="AE2226" s="17"/>
      <c r="AF2226" s="17"/>
      <c r="AG2226" s="17"/>
      <c r="AH2226" s="17"/>
      <c r="AI2226" s="17"/>
      <c r="AJ2226" s="17"/>
      <c r="AK2226" s="17"/>
      <c r="AL2226" s="17"/>
      <c r="AM2226" s="17"/>
      <c r="AN2226" s="17"/>
      <c r="AO2226" s="17"/>
      <c r="AP2226" s="17"/>
      <c r="AQ2226" s="17"/>
      <c r="AR2226" s="17"/>
      <c r="AS2226" s="17"/>
      <c r="AT2226" s="17"/>
      <c r="AU2226" s="17"/>
    </row>
    <row r="2227" hidden="1">
      <c r="A2227" s="17">
        <v>2225</v>
      </c>
      <c r="B2227" s="17" t="s">
        <v>52</v>
      </c>
      <c r="C2227" s="41" t="s">
        <v>6539</v>
      </c>
      <c r="D2227" s="35" t="s">
        <v>5571</v>
      </c>
      <c r="E2227" s="17"/>
      <c r="F2227" s="17"/>
      <c r="G2227" s="17"/>
      <c r="H2227" s="17"/>
      <c r="I2227" s="17"/>
      <c r="J2227" s="17"/>
      <c r="K2227" s="17"/>
      <c r="L2227" s="17"/>
      <c r="M2227" s="17"/>
      <c r="N2227" s="17"/>
      <c r="O2227" s="17"/>
      <c r="P2227" s="17"/>
      <c r="Q2227" s="17"/>
      <c r="R2227" s="17"/>
      <c r="S2227" s="17"/>
      <c r="T2227" s="17"/>
      <c r="U2227" s="17"/>
      <c r="V2227" s="17"/>
      <c r="W2227" s="17"/>
      <c r="X2227" s="17"/>
      <c r="Y2227" s="17"/>
      <c r="Z2227" s="17"/>
      <c r="AA2227" s="17"/>
      <c r="AB2227" s="17"/>
      <c r="AC2227" s="17"/>
      <c r="AD2227" s="17"/>
      <c r="AE2227" s="17"/>
      <c r="AF2227" s="17"/>
      <c r="AG2227" s="17"/>
      <c r="AH2227" s="17"/>
      <c r="AI2227" s="17"/>
      <c r="AJ2227" s="17"/>
      <c r="AK2227" s="17"/>
      <c r="AL2227" s="17"/>
      <c r="AM2227" s="17"/>
      <c r="AN2227" s="17"/>
      <c r="AO2227" s="17"/>
      <c r="AP2227" s="17"/>
      <c r="AQ2227" s="17"/>
      <c r="AR2227" s="17"/>
      <c r="AS2227" s="17"/>
      <c r="AT2227" s="17"/>
      <c r="AU2227" s="17"/>
    </row>
    <row r="2228" hidden="1">
      <c r="A2228" s="17">
        <v>2226</v>
      </c>
      <c r="B2228" s="17" t="s">
        <v>52</v>
      </c>
      <c r="C2228" s="41" t="s">
        <v>6540</v>
      </c>
      <c r="D2228" s="35" t="s">
        <v>5571</v>
      </c>
      <c r="E2228" s="17"/>
      <c r="F2228" s="17"/>
      <c r="G2228" s="17"/>
      <c r="H2228" s="17"/>
      <c r="I2228" s="17"/>
      <c r="J2228" s="17"/>
      <c r="K2228" s="17"/>
      <c r="L2228" s="17"/>
      <c r="M2228" s="17"/>
      <c r="N2228" s="17"/>
      <c r="O2228" s="17"/>
      <c r="P2228" s="17"/>
      <c r="Q2228" s="17"/>
      <c r="R2228" s="17"/>
      <c r="S2228" s="17"/>
      <c r="T2228" s="17"/>
      <c r="U2228" s="17"/>
      <c r="V2228" s="17"/>
      <c r="W2228" s="17"/>
      <c r="X2228" s="17"/>
      <c r="Y2228" s="17"/>
      <c r="Z2228" s="17"/>
      <c r="AA2228" s="17"/>
      <c r="AB2228" s="17"/>
      <c r="AC2228" s="17"/>
      <c r="AD2228" s="17"/>
      <c r="AE2228" s="17"/>
      <c r="AF2228" s="17"/>
      <c r="AG2228" s="17"/>
      <c r="AH2228" s="17"/>
      <c r="AI2228" s="17"/>
      <c r="AJ2228" s="17"/>
      <c r="AK2228" s="17"/>
      <c r="AL2228" s="17"/>
      <c r="AM2228" s="17"/>
      <c r="AN2228" s="17"/>
      <c r="AO2228" s="17"/>
      <c r="AP2228" s="17"/>
      <c r="AQ2228" s="17"/>
      <c r="AR2228" s="17"/>
      <c r="AS2228" s="17"/>
      <c r="AT2228" s="17"/>
      <c r="AU2228" s="17"/>
    </row>
    <row r="2229" hidden="1">
      <c r="A2229" s="17">
        <v>2227</v>
      </c>
      <c r="B2229" s="17" t="s">
        <v>52</v>
      </c>
      <c r="C2229" s="41" t="s">
        <v>6541</v>
      </c>
      <c r="D2229" s="35" t="s">
        <v>5571</v>
      </c>
      <c r="E2229" s="17"/>
      <c r="F2229" s="17"/>
      <c r="G2229" s="17"/>
      <c r="H2229" s="17"/>
      <c r="I2229" s="17"/>
      <c r="J2229" s="17"/>
      <c r="K2229" s="17"/>
      <c r="L2229" s="17"/>
      <c r="M2229" s="17"/>
      <c r="N2229" s="17"/>
      <c r="O2229" s="17"/>
      <c r="P2229" s="17"/>
      <c r="Q2229" s="17"/>
      <c r="R2229" s="17"/>
      <c r="S2229" s="17"/>
      <c r="T2229" s="17"/>
      <c r="U2229" s="17"/>
      <c r="V2229" s="17"/>
      <c r="W2229" s="17"/>
      <c r="X2229" s="17"/>
      <c r="Y2229" s="17"/>
      <c r="Z2229" s="17"/>
      <c r="AA2229" s="17"/>
      <c r="AB2229" s="17"/>
      <c r="AC2229" s="17"/>
      <c r="AD2229" s="17"/>
      <c r="AE2229" s="17"/>
      <c r="AF2229" s="17"/>
      <c r="AG2229" s="17"/>
      <c r="AH2229" s="17"/>
      <c r="AI2229" s="17"/>
      <c r="AJ2229" s="17"/>
      <c r="AK2229" s="17"/>
      <c r="AL2229" s="17"/>
      <c r="AM2229" s="17"/>
      <c r="AN2229" s="17"/>
      <c r="AO2229" s="17"/>
      <c r="AP2229" s="17"/>
      <c r="AQ2229" s="17"/>
      <c r="AR2229" s="17"/>
      <c r="AS2229" s="17"/>
      <c r="AT2229" s="17"/>
      <c r="AU2229" s="17"/>
    </row>
    <row r="2230" hidden="1">
      <c r="A2230" s="17">
        <v>2228</v>
      </c>
      <c r="B2230" s="17" t="s">
        <v>52</v>
      </c>
      <c r="C2230" s="41" t="s">
        <v>6542</v>
      </c>
      <c r="D2230" s="35" t="s">
        <v>5571</v>
      </c>
      <c r="E2230" s="17"/>
      <c r="F2230" s="17"/>
      <c r="G2230" s="17"/>
      <c r="H2230" s="17"/>
      <c r="I2230" s="17"/>
      <c r="J2230" s="17"/>
      <c r="K2230" s="17"/>
      <c r="L2230" s="17"/>
      <c r="M2230" s="17"/>
      <c r="N2230" s="17"/>
      <c r="O2230" s="17"/>
      <c r="P2230" s="17"/>
      <c r="Q2230" s="17"/>
      <c r="R2230" s="17"/>
      <c r="S2230" s="17"/>
      <c r="T2230" s="17"/>
      <c r="U2230" s="17"/>
      <c r="V2230" s="17"/>
      <c r="W2230" s="17"/>
      <c r="X2230" s="17"/>
      <c r="Y2230" s="17"/>
      <c r="Z2230" s="17"/>
      <c r="AA2230" s="17"/>
      <c r="AB2230" s="17"/>
      <c r="AC2230" s="17"/>
      <c r="AD2230" s="17"/>
      <c r="AE2230" s="17"/>
      <c r="AF2230" s="17"/>
      <c r="AG2230" s="17"/>
      <c r="AH2230" s="17"/>
      <c r="AI2230" s="17"/>
      <c r="AJ2230" s="17"/>
      <c r="AK2230" s="17"/>
      <c r="AL2230" s="17"/>
      <c r="AM2230" s="17"/>
      <c r="AN2230" s="17"/>
      <c r="AO2230" s="17"/>
      <c r="AP2230" s="17"/>
      <c r="AQ2230" s="17"/>
      <c r="AR2230" s="17"/>
      <c r="AS2230" s="17"/>
      <c r="AT2230" s="17"/>
      <c r="AU2230" s="17"/>
    </row>
    <row r="2231" hidden="1">
      <c r="A2231" s="17">
        <v>2229</v>
      </c>
      <c r="B2231" s="17" t="s">
        <v>52</v>
      </c>
      <c r="C2231" s="41" t="s">
        <v>6543</v>
      </c>
      <c r="D2231" s="35" t="s">
        <v>5571</v>
      </c>
      <c r="E2231" s="17"/>
      <c r="F2231" s="17"/>
      <c r="G2231" s="17"/>
      <c r="H2231" s="17"/>
      <c r="I2231" s="17"/>
      <c r="J2231" s="17"/>
      <c r="K2231" s="17"/>
      <c r="L2231" s="17"/>
      <c r="M2231" s="17"/>
      <c r="N2231" s="17"/>
      <c r="O2231" s="17"/>
      <c r="P2231" s="17"/>
      <c r="Q2231" s="17"/>
      <c r="R2231" s="17"/>
      <c r="S2231" s="17"/>
      <c r="T2231" s="17"/>
      <c r="U2231" s="17"/>
      <c r="V2231" s="17"/>
      <c r="W2231" s="17"/>
      <c r="X2231" s="17"/>
      <c r="Y2231" s="17"/>
      <c r="Z2231" s="17"/>
      <c r="AA2231" s="17"/>
      <c r="AB2231" s="17"/>
      <c r="AC2231" s="17"/>
      <c r="AD2231" s="17"/>
      <c r="AE2231" s="17"/>
      <c r="AF2231" s="17"/>
      <c r="AG2231" s="17"/>
      <c r="AH2231" s="17"/>
      <c r="AI2231" s="17"/>
      <c r="AJ2231" s="17"/>
      <c r="AK2231" s="17"/>
      <c r="AL2231" s="17"/>
      <c r="AM2231" s="17"/>
      <c r="AN2231" s="17"/>
      <c r="AO2231" s="17"/>
      <c r="AP2231" s="17"/>
      <c r="AQ2231" s="17"/>
      <c r="AR2231" s="17"/>
      <c r="AS2231" s="17"/>
      <c r="AT2231" s="17"/>
      <c r="AU2231" s="17"/>
    </row>
    <row r="2232" hidden="1">
      <c r="A2232" s="17">
        <v>2230</v>
      </c>
      <c r="B2232" s="17" t="s">
        <v>52</v>
      </c>
      <c r="C2232" s="41" t="s">
        <v>6544</v>
      </c>
      <c r="D2232" s="35" t="s">
        <v>5571</v>
      </c>
      <c r="E2232" s="17"/>
      <c r="F2232" s="17"/>
      <c r="G2232" s="17"/>
      <c r="H2232" s="17"/>
      <c r="I2232" s="17"/>
      <c r="J2232" s="17"/>
      <c r="K2232" s="17"/>
      <c r="L2232" s="17"/>
      <c r="M2232" s="17"/>
      <c r="N2232" s="17"/>
      <c r="O2232" s="17"/>
      <c r="P2232" s="17"/>
      <c r="Q2232" s="17"/>
      <c r="R2232" s="17"/>
      <c r="S2232" s="17"/>
      <c r="T2232" s="17"/>
      <c r="U2232" s="17"/>
      <c r="V2232" s="17"/>
      <c r="W2232" s="17"/>
      <c r="X2232" s="17"/>
      <c r="Y2232" s="17"/>
      <c r="Z2232" s="17"/>
      <c r="AA2232" s="17"/>
      <c r="AB2232" s="17"/>
      <c r="AC2232" s="17"/>
      <c r="AD2232" s="17"/>
      <c r="AE2232" s="17"/>
      <c r="AF2232" s="17"/>
      <c r="AG2232" s="17"/>
      <c r="AH2232" s="17"/>
      <c r="AI2232" s="17"/>
      <c r="AJ2232" s="17"/>
      <c r="AK2232" s="17"/>
      <c r="AL2232" s="17"/>
      <c r="AM2232" s="17"/>
      <c r="AN2232" s="17"/>
      <c r="AO2232" s="17"/>
      <c r="AP2232" s="17"/>
      <c r="AQ2232" s="17"/>
      <c r="AR2232" s="17"/>
      <c r="AS2232" s="17"/>
      <c r="AT2232" s="17"/>
      <c r="AU2232" s="17"/>
    </row>
    <row r="2233" hidden="1">
      <c r="A2233" s="17">
        <v>2231</v>
      </c>
      <c r="B2233" s="17" t="s">
        <v>52</v>
      </c>
      <c r="C2233" s="41" t="s">
        <v>6545</v>
      </c>
      <c r="D2233" s="35" t="s">
        <v>5571</v>
      </c>
      <c r="E2233" s="17"/>
      <c r="F2233" s="17"/>
      <c r="G2233" s="17"/>
      <c r="H2233" s="17"/>
      <c r="I2233" s="17"/>
      <c r="J2233" s="17"/>
      <c r="K2233" s="17"/>
      <c r="L2233" s="17"/>
      <c r="M2233" s="17"/>
      <c r="N2233" s="17"/>
      <c r="O2233" s="17"/>
      <c r="P2233" s="17"/>
      <c r="Q2233" s="17"/>
      <c r="R2233" s="17"/>
      <c r="S2233" s="17"/>
      <c r="T2233" s="17"/>
      <c r="U2233" s="17"/>
      <c r="V2233" s="17"/>
      <c r="W2233" s="17"/>
      <c r="X2233" s="17"/>
      <c r="Y2233" s="17"/>
      <c r="Z2233" s="17"/>
      <c r="AA2233" s="17"/>
      <c r="AB2233" s="17"/>
      <c r="AC2233" s="17"/>
      <c r="AD2233" s="17"/>
      <c r="AE2233" s="17"/>
      <c r="AF2233" s="17"/>
      <c r="AG2233" s="17"/>
      <c r="AH2233" s="17"/>
      <c r="AI2233" s="17"/>
      <c r="AJ2233" s="17"/>
      <c r="AK2233" s="17"/>
      <c r="AL2233" s="17"/>
      <c r="AM2233" s="17"/>
      <c r="AN2233" s="17"/>
      <c r="AO2233" s="17"/>
      <c r="AP2233" s="17"/>
      <c r="AQ2233" s="17"/>
      <c r="AR2233" s="17"/>
      <c r="AS2233" s="17"/>
      <c r="AT2233" s="17"/>
      <c r="AU2233" s="17"/>
    </row>
    <row r="2234" hidden="1">
      <c r="A2234" s="17">
        <v>2232</v>
      </c>
      <c r="B2234" s="17" t="s">
        <v>52</v>
      </c>
      <c r="C2234" s="41" t="s">
        <v>6546</v>
      </c>
      <c r="D2234" s="35" t="s">
        <v>5571</v>
      </c>
      <c r="E2234" s="17"/>
      <c r="F2234" s="17"/>
      <c r="G2234" s="17"/>
      <c r="H2234" s="17"/>
      <c r="I2234" s="17"/>
      <c r="J2234" s="17"/>
      <c r="K2234" s="17"/>
      <c r="L2234" s="17"/>
      <c r="M2234" s="17"/>
      <c r="N2234" s="17"/>
      <c r="O2234" s="17"/>
      <c r="P2234" s="17"/>
      <c r="Q2234" s="17"/>
      <c r="R2234" s="17"/>
      <c r="S2234" s="17"/>
      <c r="T2234" s="17"/>
      <c r="U2234" s="17"/>
      <c r="V2234" s="17"/>
      <c r="W2234" s="17"/>
      <c r="X2234" s="17"/>
      <c r="Y2234" s="17"/>
      <c r="Z2234" s="17"/>
      <c r="AA2234" s="17"/>
      <c r="AB2234" s="17"/>
      <c r="AC2234" s="17"/>
      <c r="AD2234" s="17"/>
      <c r="AE2234" s="17"/>
      <c r="AF2234" s="17"/>
      <c r="AG2234" s="17"/>
      <c r="AH2234" s="17"/>
      <c r="AI2234" s="17"/>
      <c r="AJ2234" s="17"/>
      <c r="AK2234" s="17"/>
      <c r="AL2234" s="17"/>
      <c r="AM2234" s="17"/>
      <c r="AN2234" s="17"/>
      <c r="AO2234" s="17"/>
      <c r="AP2234" s="17"/>
      <c r="AQ2234" s="17"/>
      <c r="AR2234" s="17"/>
      <c r="AS2234" s="17"/>
      <c r="AT2234" s="17"/>
      <c r="AU2234" s="17"/>
    </row>
    <row r="2235" hidden="1">
      <c r="A2235" s="17">
        <v>2233</v>
      </c>
      <c r="B2235" s="17" t="s">
        <v>52</v>
      </c>
      <c r="C2235" s="41" t="s">
        <v>6547</v>
      </c>
      <c r="D2235" s="35" t="s">
        <v>5571</v>
      </c>
      <c r="E2235" s="17"/>
      <c r="F2235" s="17"/>
      <c r="G2235" s="17"/>
      <c r="H2235" s="17"/>
      <c r="I2235" s="17"/>
      <c r="J2235" s="17"/>
      <c r="K2235" s="17"/>
      <c r="L2235" s="17"/>
      <c r="M2235" s="17"/>
      <c r="N2235" s="17"/>
      <c r="O2235" s="17"/>
      <c r="P2235" s="17"/>
      <c r="Q2235" s="17"/>
      <c r="R2235" s="17"/>
      <c r="S2235" s="17"/>
      <c r="T2235" s="17"/>
      <c r="U2235" s="17"/>
      <c r="V2235" s="17"/>
      <c r="W2235" s="17"/>
      <c r="X2235" s="17"/>
      <c r="Y2235" s="17"/>
      <c r="Z2235" s="17"/>
      <c r="AA2235" s="17"/>
      <c r="AB2235" s="17"/>
      <c r="AC2235" s="17"/>
      <c r="AD2235" s="17"/>
      <c r="AE2235" s="17"/>
      <c r="AF2235" s="17"/>
      <c r="AG2235" s="17"/>
      <c r="AH2235" s="17"/>
      <c r="AI2235" s="17"/>
      <c r="AJ2235" s="17"/>
      <c r="AK2235" s="17"/>
      <c r="AL2235" s="17"/>
      <c r="AM2235" s="17"/>
      <c r="AN2235" s="17"/>
      <c r="AO2235" s="17"/>
      <c r="AP2235" s="17"/>
      <c r="AQ2235" s="17"/>
      <c r="AR2235" s="17"/>
      <c r="AS2235" s="17"/>
      <c r="AT2235" s="17"/>
      <c r="AU2235" s="17"/>
    </row>
    <row r="2236" hidden="1">
      <c r="A2236" s="17">
        <v>2234</v>
      </c>
      <c r="B2236" s="17" t="s">
        <v>52</v>
      </c>
      <c r="C2236" s="41" t="s">
        <v>6548</v>
      </c>
      <c r="D2236" s="35" t="s">
        <v>5571</v>
      </c>
      <c r="E2236" s="17"/>
      <c r="F2236" s="17"/>
      <c r="G2236" s="17"/>
      <c r="H2236" s="17"/>
      <c r="I2236" s="17"/>
      <c r="J2236" s="17"/>
      <c r="K2236" s="17"/>
      <c r="L2236" s="17"/>
      <c r="M2236" s="17"/>
      <c r="N2236" s="17"/>
      <c r="O2236" s="17"/>
      <c r="P2236" s="17"/>
      <c r="Q2236" s="17"/>
      <c r="R2236" s="17"/>
      <c r="S2236" s="17"/>
      <c r="T2236" s="17"/>
      <c r="U2236" s="17"/>
      <c r="V2236" s="17"/>
      <c r="W2236" s="17"/>
      <c r="X2236" s="17"/>
      <c r="Y2236" s="17"/>
      <c r="Z2236" s="17"/>
      <c r="AA2236" s="17"/>
      <c r="AB2236" s="17"/>
      <c r="AC2236" s="17"/>
      <c r="AD2236" s="17"/>
      <c r="AE2236" s="17"/>
      <c r="AF2236" s="17"/>
      <c r="AG2236" s="17"/>
      <c r="AH2236" s="17"/>
      <c r="AI2236" s="17"/>
      <c r="AJ2236" s="17"/>
      <c r="AK2236" s="17"/>
      <c r="AL2236" s="17"/>
      <c r="AM2236" s="17"/>
      <c r="AN2236" s="17"/>
      <c r="AO2236" s="17"/>
      <c r="AP2236" s="17"/>
      <c r="AQ2236" s="17"/>
      <c r="AR2236" s="17"/>
      <c r="AS2236" s="17"/>
      <c r="AT2236" s="17"/>
      <c r="AU2236" s="17"/>
    </row>
    <row r="2237" hidden="1">
      <c r="A2237" s="17">
        <v>2235</v>
      </c>
      <c r="B2237" s="17" t="s">
        <v>52</v>
      </c>
      <c r="C2237" s="41" t="s">
        <v>6549</v>
      </c>
      <c r="D2237" s="35" t="s">
        <v>5571</v>
      </c>
      <c r="E2237" s="17"/>
      <c r="F2237" s="17"/>
      <c r="G2237" s="17"/>
      <c r="H2237" s="17"/>
      <c r="I2237" s="17"/>
      <c r="J2237" s="17"/>
      <c r="K2237" s="17"/>
      <c r="L2237" s="17"/>
      <c r="M2237" s="17"/>
      <c r="N2237" s="17"/>
      <c r="O2237" s="17"/>
      <c r="P2237" s="17"/>
      <c r="Q2237" s="17"/>
      <c r="R2237" s="17"/>
      <c r="S2237" s="17"/>
      <c r="T2237" s="17"/>
      <c r="U2237" s="17"/>
      <c r="V2237" s="17"/>
      <c r="W2237" s="17"/>
      <c r="X2237" s="17"/>
      <c r="Y2237" s="17"/>
      <c r="Z2237" s="17"/>
      <c r="AA2237" s="17"/>
      <c r="AB2237" s="17"/>
      <c r="AC2237" s="17"/>
      <c r="AD2237" s="17"/>
      <c r="AE2237" s="17"/>
      <c r="AF2237" s="17"/>
      <c r="AG2237" s="17"/>
      <c r="AH2237" s="17"/>
      <c r="AI2237" s="17"/>
      <c r="AJ2237" s="17"/>
      <c r="AK2237" s="17"/>
      <c r="AL2237" s="17"/>
      <c r="AM2237" s="17"/>
      <c r="AN2237" s="17"/>
      <c r="AO2237" s="17"/>
      <c r="AP2237" s="17"/>
      <c r="AQ2237" s="17"/>
      <c r="AR2237" s="17"/>
      <c r="AS2237" s="17"/>
      <c r="AT2237" s="17"/>
      <c r="AU2237" s="17"/>
    </row>
    <row r="2238" hidden="1">
      <c r="A2238" s="17">
        <v>2236</v>
      </c>
      <c r="B2238" s="17" t="s">
        <v>52</v>
      </c>
      <c r="C2238" s="41" t="s">
        <v>6550</v>
      </c>
      <c r="D2238" s="35" t="s">
        <v>5571</v>
      </c>
      <c r="E2238" s="17"/>
      <c r="F2238" s="17"/>
      <c r="G2238" s="17"/>
      <c r="H2238" s="17"/>
      <c r="I2238" s="17"/>
      <c r="J2238" s="17"/>
      <c r="K2238" s="17"/>
      <c r="L2238" s="17"/>
      <c r="M2238" s="17"/>
      <c r="N2238" s="17"/>
      <c r="O2238" s="17"/>
      <c r="P2238" s="17"/>
      <c r="Q2238" s="17"/>
      <c r="R2238" s="17"/>
      <c r="S2238" s="17"/>
      <c r="T2238" s="17"/>
      <c r="U2238" s="17"/>
      <c r="V2238" s="17"/>
      <c r="W2238" s="17"/>
      <c r="X2238" s="17"/>
      <c r="Y2238" s="17"/>
      <c r="Z2238" s="17"/>
      <c r="AA2238" s="17"/>
      <c r="AB2238" s="17"/>
      <c r="AC2238" s="17"/>
      <c r="AD2238" s="17"/>
      <c r="AE2238" s="17"/>
      <c r="AF2238" s="17"/>
      <c r="AG2238" s="17"/>
      <c r="AH2238" s="17"/>
      <c r="AI2238" s="17"/>
      <c r="AJ2238" s="17"/>
      <c r="AK2238" s="17"/>
      <c r="AL2238" s="17"/>
      <c r="AM2238" s="17"/>
      <c r="AN2238" s="17"/>
      <c r="AO2238" s="17"/>
      <c r="AP2238" s="17"/>
      <c r="AQ2238" s="17"/>
      <c r="AR2238" s="17"/>
      <c r="AS2238" s="17"/>
      <c r="AT2238" s="17"/>
      <c r="AU2238" s="17"/>
    </row>
    <row r="2239" hidden="1">
      <c r="A2239" s="17">
        <v>2237</v>
      </c>
      <c r="B2239" s="17" t="s">
        <v>52</v>
      </c>
      <c r="C2239" s="41" t="s">
        <v>6551</v>
      </c>
      <c r="D2239" s="35" t="s">
        <v>5571</v>
      </c>
      <c r="E2239" s="17"/>
      <c r="F2239" s="17"/>
      <c r="G2239" s="17"/>
      <c r="H2239" s="17"/>
      <c r="I2239" s="17"/>
      <c r="J2239" s="17"/>
      <c r="K2239" s="17"/>
      <c r="L2239" s="17"/>
      <c r="M2239" s="17"/>
      <c r="N2239" s="17"/>
      <c r="O2239" s="17"/>
      <c r="P2239" s="17"/>
      <c r="Q2239" s="17"/>
      <c r="R2239" s="17"/>
      <c r="S2239" s="17"/>
      <c r="T2239" s="17"/>
      <c r="U2239" s="17"/>
      <c r="V2239" s="17"/>
      <c r="W2239" s="17"/>
      <c r="X2239" s="17"/>
      <c r="Y2239" s="17"/>
      <c r="Z2239" s="17"/>
      <c r="AA2239" s="17"/>
      <c r="AB2239" s="17"/>
      <c r="AC2239" s="17"/>
      <c r="AD2239" s="17"/>
      <c r="AE2239" s="17"/>
      <c r="AF2239" s="17"/>
      <c r="AG2239" s="17"/>
      <c r="AH2239" s="17"/>
      <c r="AI2239" s="17"/>
      <c r="AJ2239" s="17"/>
      <c r="AK2239" s="17"/>
      <c r="AL2239" s="17"/>
      <c r="AM2239" s="17"/>
      <c r="AN2239" s="17"/>
      <c r="AO2239" s="17"/>
      <c r="AP2239" s="17"/>
      <c r="AQ2239" s="17"/>
      <c r="AR2239" s="17"/>
      <c r="AS2239" s="17"/>
      <c r="AT2239" s="17"/>
      <c r="AU2239" s="17"/>
    </row>
    <row r="2240" hidden="1">
      <c r="A2240" s="17">
        <v>2238</v>
      </c>
      <c r="B2240" s="17" t="s">
        <v>52</v>
      </c>
      <c r="C2240" s="41" t="s">
        <v>6552</v>
      </c>
      <c r="D2240" s="35" t="s">
        <v>5571</v>
      </c>
      <c r="E2240" s="17"/>
      <c r="F2240" s="17"/>
      <c r="G2240" s="17"/>
      <c r="H2240" s="17"/>
      <c r="I2240" s="17"/>
      <c r="J2240" s="17"/>
      <c r="K2240" s="17"/>
      <c r="L2240" s="17"/>
      <c r="M2240" s="17"/>
      <c r="N2240" s="17"/>
      <c r="O2240" s="17"/>
      <c r="P2240" s="17"/>
      <c r="Q2240" s="17"/>
      <c r="R2240" s="17"/>
      <c r="S2240" s="17"/>
      <c r="T2240" s="17"/>
      <c r="U2240" s="17"/>
      <c r="V2240" s="17"/>
      <c r="W2240" s="17"/>
      <c r="X2240" s="17"/>
      <c r="Y2240" s="17"/>
      <c r="Z2240" s="17"/>
      <c r="AA2240" s="17"/>
      <c r="AB2240" s="17"/>
      <c r="AC2240" s="17"/>
      <c r="AD2240" s="17"/>
      <c r="AE2240" s="17"/>
      <c r="AF2240" s="17"/>
      <c r="AG2240" s="17"/>
      <c r="AH2240" s="17"/>
      <c r="AI2240" s="17"/>
      <c r="AJ2240" s="17"/>
      <c r="AK2240" s="17"/>
      <c r="AL2240" s="17"/>
      <c r="AM2240" s="17"/>
      <c r="AN2240" s="17"/>
      <c r="AO2240" s="17"/>
      <c r="AP2240" s="17"/>
      <c r="AQ2240" s="17"/>
      <c r="AR2240" s="17"/>
      <c r="AS2240" s="17"/>
      <c r="AT2240" s="17"/>
      <c r="AU2240" s="17"/>
    </row>
    <row r="2241" hidden="1">
      <c r="A2241" s="17">
        <v>2239</v>
      </c>
      <c r="B2241" s="17" t="s">
        <v>52</v>
      </c>
      <c r="C2241" s="41" t="s">
        <v>6553</v>
      </c>
      <c r="D2241" s="35" t="s">
        <v>5571</v>
      </c>
      <c r="E2241" s="17"/>
      <c r="F2241" s="17"/>
      <c r="G2241" s="17"/>
      <c r="H2241" s="17"/>
      <c r="I2241" s="17"/>
      <c r="J2241" s="17"/>
      <c r="K2241" s="17"/>
      <c r="L2241" s="17"/>
      <c r="M2241" s="17"/>
      <c r="N2241" s="17"/>
      <c r="O2241" s="17"/>
      <c r="P2241" s="17"/>
      <c r="Q2241" s="17"/>
      <c r="R2241" s="17"/>
      <c r="S2241" s="17"/>
      <c r="T2241" s="17"/>
      <c r="U2241" s="17"/>
      <c r="V2241" s="17"/>
      <c r="W2241" s="17"/>
      <c r="X2241" s="17"/>
      <c r="Y2241" s="17"/>
      <c r="Z2241" s="17"/>
      <c r="AA2241" s="17"/>
      <c r="AB2241" s="17"/>
      <c r="AC2241" s="17"/>
      <c r="AD2241" s="17"/>
      <c r="AE2241" s="17"/>
      <c r="AF2241" s="17"/>
      <c r="AG2241" s="17"/>
      <c r="AH2241" s="17"/>
      <c r="AI2241" s="17"/>
      <c r="AJ2241" s="17"/>
      <c r="AK2241" s="17"/>
      <c r="AL2241" s="17"/>
      <c r="AM2241" s="17"/>
      <c r="AN2241" s="17"/>
      <c r="AO2241" s="17"/>
      <c r="AP2241" s="17"/>
      <c r="AQ2241" s="17"/>
      <c r="AR2241" s="17"/>
      <c r="AS2241" s="17"/>
      <c r="AT2241" s="17"/>
      <c r="AU2241" s="17"/>
    </row>
    <row r="2242" hidden="1">
      <c r="A2242" s="17">
        <v>2240</v>
      </c>
      <c r="B2242" s="17" t="s">
        <v>52</v>
      </c>
      <c r="C2242" s="41" t="s">
        <v>6554</v>
      </c>
      <c r="D2242" s="35" t="s">
        <v>5571</v>
      </c>
      <c r="E2242" s="17"/>
      <c r="F2242" s="17"/>
      <c r="G2242" s="17"/>
      <c r="H2242" s="17"/>
      <c r="I2242" s="17"/>
      <c r="J2242" s="17"/>
      <c r="K2242" s="17"/>
      <c r="L2242" s="17"/>
      <c r="M2242" s="17"/>
      <c r="N2242" s="17"/>
      <c r="O2242" s="17"/>
      <c r="P2242" s="17"/>
      <c r="Q2242" s="17"/>
      <c r="R2242" s="17"/>
      <c r="S2242" s="17"/>
      <c r="T2242" s="17"/>
      <c r="U2242" s="17"/>
      <c r="V2242" s="17"/>
      <c r="W2242" s="17"/>
      <c r="X2242" s="17"/>
      <c r="Y2242" s="17"/>
      <c r="Z2242" s="17"/>
      <c r="AA2242" s="17"/>
      <c r="AB2242" s="17"/>
      <c r="AC2242" s="17"/>
      <c r="AD2242" s="17"/>
      <c r="AE2242" s="17"/>
      <c r="AF2242" s="17"/>
      <c r="AG2242" s="17"/>
      <c r="AH2242" s="17"/>
      <c r="AI2242" s="17"/>
      <c r="AJ2242" s="17"/>
      <c r="AK2242" s="17"/>
      <c r="AL2242" s="17"/>
      <c r="AM2242" s="17"/>
      <c r="AN2242" s="17"/>
      <c r="AO2242" s="17"/>
      <c r="AP2242" s="17"/>
      <c r="AQ2242" s="17"/>
      <c r="AR2242" s="17"/>
      <c r="AS2242" s="17"/>
      <c r="AT2242" s="17"/>
      <c r="AU2242" s="17"/>
    </row>
    <row r="2243" hidden="1">
      <c r="A2243" s="17">
        <v>2241</v>
      </c>
      <c r="B2243" s="17" t="s">
        <v>52</v>
      </c>
      <c r="C2243" s="41" t="s">
        <v>6555</v>
      </c>
      <c r="D2243" s="35" t="s">
        <v>5571</v>
      </c>
      <c r="E2243" s="17"/>
      <c r="F2243" s="17"/>
      <c r="G2243" s="17"/>
      <c r="H2243" s="17"/>
      <c r="I2243" s="17"/>
      <c r="J2243" s="17"/>
      <c r="K2243" s="17"/>
      <c r="L2243" s="17"/>
      <c r="M2243" s="17"/>
      <c r="N2243" s="17"/>
      <c r="O2243" s="17"/>
      <c r="P2243" s="17"/>
      <c r="Q2243" s="17"/>
      <c r="R2243" s="17"/>
      <c r="S2243" s="17"/>
      <c r="T2243" s="17"/>
      <c r="U2243" s="17"/>
      <c r="V2243" s="17"/>
      <c r="W2243" s="17"/>
      <c r="X2243" s="17"/>
      <c r="Y2243" s="17"/>
      <c r="Z2243" s="17"/>
      <c r="AA2243" s="17"/>
      <c r="AB2243" s="17"/>
      <c r="AC2243" s="17"/>
      <c r="AD2243" s="17"/>
      <c r="AE2243" s="17"/>
      <c r="AF2243" s="17"/>
      <c r="AG2243" s="17"/>
      <c r="AH2243" s="17"/>
      <c r="AI2243" s="17"/>
      <c r="AJ2243" s="17"/>
      <c r="AK2243" s="17"/>
      <c r="AL2243" s="17"/>
      <c r="AM2243" s="17"/>
      <c r="AN2243" s="17"/>
      <c r="AO2243" s="17"/>
      <c r="AP2243" s="17"/>
      <c r="AQ2243" s="17"/>
      <c r="AR2243" s="17"/>
      <c r="AS2243" s="17"/>
      <c r="AT2243" s="17"/>
      <c r="AU2243" s="17"/>
    </row>
    <row r="2244" hidden="1">
      <c r="A2244" s="17">
        <v>2242</v>
      </c>
      <c r="B2244" s="17" t="s">
        <v>52</v>
      </c>
      <c r="C2244" s="41" t="s">
        <v>6556</v>
      </c>
      <c r="D2244" s="35" t="s">
        <v>5571</v>
      </c>
      <c r="E2244" s="17"/>
      <c r="F2244" s="17"/>
      <c r="G2244" s="17"/>
      <c r="H2244" s="17"/>
      <c r="I2244" s="17"/>
      <c r="J2244" s="17"/>
      <c r="K2244" s="17"/>
      <c r="L2244" s="17"/>
      <c r="M2244" s="17"/>
      <c r="N2244" s="17"/>
      <c r="O2244" s="17"/>
      <c r="P2244" s="17"/>
      <c r="Q2244" s="17"/>
      <c r="R2244" s="17"/>
      <c r="S2244" s="17"/>
      <c r="T2244" s="17"/>
      <c r="U2244" s="17"/>
      <c r="V2244" s="17"/>
      <c r="W2244" s="17"/>
      <c r="X2244" s="17"/>
      <c r="Y2244" s="17"/>
      <c r="Z2244" s="17"/>
      <c r="AA2244" s="17"/>
      <c r="AB2244" s="17"/>
      <c r="AC2244" s="17"/>
      <c r="AD2244" s="17"/>
      <c r="AE2244" s="17"/>
      <c r="AF2244" s="17"/>
      <c r="AG2244" s="17"/>
      <c r="AH2244" s="17"/>
      <c r="AI2244" s="17"/>
      <c r="AJ2244" s="17"/>
      <c r="AK2244" s="17"/>
      <c r="AL2244" s="17"/>
      <c r="AM2244" s="17"/>
      <c r="AN2244" s="17"/>
      <c r="AO2244" s="17"/>
      <c r="AP2244" s="17"/>
      <c r="AQ2244" s="17"/>
      <c r="AR2244" s="17"/>
      <c r="AS2244" s="17"/>
      <c r="AT2244" s="17"/>
      <c r="AU2244" s="17"/>
    </row>
    <row r="2245" hidden="1">
      <c r="A2245" s="17">
        <v>2243</v>
      </c>
      <c r="B2245" s="17" t="s">
        <v>52</v>
      </c>
      <c r="C2245" s="41" t="s">
        <v>6557</v>
      </c>
      <c r="D2245" s="35" t="s">
        <v>5571</v>
      </c>
      <c r="E2245" s="17"/>
      <c r="F2245" s="17"/>
      <c r="G2245" s="17"/>
      <c r="H2245" s="17"/>
      <c r="I2245" s="17"/>
      <c r="J2245" s="17"/>
      <c r="K2245" s="17"/>
      <c r="L2245" s="17"/>
      <c r="M2245" s="17"/>
      <c r="N2245" s="17"/>
      <c r="O2245" s="17"/>
      <c r="P2245" s="17"/>
      <c r="Q2245" s="17"/>
      <c r="R2245" s="17"/>
      <c r="S2245" s="17"/>
      <c r="T2245" s="17"/>
      <c r="U2245" s="17"/>
      <c r="V2245" s="17"/>
      <c r="W2245" s="17"/>
      <c r="X2245" s="17"/>
      <c r="Y2245" s="17"/>
      <c r="Z2245" s="17"/>
      <c r="AA2245" s="17"/>
      <c r="AB2245" s="17"/>
      <c r="AC2245" s="17"/>
      <c r="AD2245" s="17"/>
      <c r="AE2245" s="17"/>
      <c r="AF2245" s="17"/>
      <c r="AG2245" s="17"/>
      <c r="AH2245" s="17"/>
      <c r="AI2245" s="17"/>
      <c r="AJ2245" s="17"/>
      <c r="AK2245" s="17"/>
      <c r="AL2245" s="17"/>
      <c r="AM2245" s="17"/>
      <c r="AN2245" s="17"/>
      <c r="AO2245" s="17"/>
      <c r="AP2245" s="17"/>
      <c r="AQ2245" s="17"/>
      <c r="AR2245" s="17"/>
      <c r="AS2245" s="17"/>
      <c r="AT2245" s="17"/>
      <c r="AU2245" s="17"/>
    </row>
    <row r="2246" hidden="1">
      <c r="A2246" s="17">
        <v>2244</v>
      </c>
      <c r="B2246" s="17" t="s">
        <v>52</v>
      </c>
      <c r="C2246" s="41" t="s">
        <v>6558</v>
      </c>
      <c r="D2246" s="35" t="s">
        <v>5571</v>
      </c>
      <c r="E2246" s="17"/>
      <c r="F2246" s="17"/>
      <c r="G2246" s="17"/>
      <c r="H2246" s="17"/>
      <c r="I2246" s="17"/>
      <c r="J2246" s="17"/>
      <c r="K2246" s="17"/>
      <c r="L2246" s="17"/>
      <c r="M2246" s="17"/>
      <c r="N2246" s="17"/>
      <c r="O2246" s="17"/>
      <c r="P2246" s="17"/>
      <c r="Q2246" s="17"/>
      <c r="R2246" s="17"/>
      <c r="S2246" s="17"/>
      <c r="T2246" s="17"/>
      <c r="U2246" s="17"/>
      <c r="V2246" s="17"/>
      <c r="W2246" s="17"/>
      <c r="X2246" s="17"/>
      <c r="Y2246" s="17"/>
      <c r="Z2246" s="17"/>
      <c r="AA2246" s="17"/>
      <c r="AB2246" s="17"/>
      <c r="AC2246" s="17"/>
      <c r="AD2246" s="17"/>
      <c r="AE2246" s="17"/>
      <c r="AF2246" s="17"/>
      <c r="AG2246" s="17"/>
      <c r="AH2246" s="17"/>
      <c r="AI2246" s="17"/>
      <c r="AJ2246" s="17"/>
      <c r="AK2246" s="17"/>
      <c r="AL2246" s="17"/>
      <c r="AM2246" s="17"/>
      <c r="AN2246" s="17"/>
      <c r="AO2246" s="17"/>
      <c r="AP2246" s="17"/>
      <c r="AQ2246" s="17"/>
      <c r="AR2246" s="17"/>
      <c r="AS2246" s="17"/>
      <c r="AT2246" s="17"/>
      <c r="AU2246" s="17"/>
    </row>
    <row r="2247" hidden="1">
      <c r="A2247" s="17">
        <v>2245</v>
      </c>
      <c r="B2247" s="17" t="s">
        <v>52</v>
      </c>
      <c r="C2247" s="41" t="s">
        <v>6559</v>
      </c>
      <c r="D2247" s="35" t="s">
        <v>5571</v>
      </c>
      <c r="E2247" s="17"/>
      <c r="F2247" s="17"/>
      <c r="G2247" s="17"/>
      <c r="H2247" s="17"/>
      <c r="I2247" s="17"/>
      <c r="J2247" s="17"/>
      <c r="K2247" s="17"/>
      <c r="L2247" s="17"/>
      <c r="M2247" s="17"/>
      <c r="N2247" s="17"/>
      <c r="O2247" s="17"/>
      <c r="P2247" s="17"/>
      <c r="Q2247" s="17"/>
      <c r="R2247" s="17"/>
      <c r="S2247" s="17"/>
      <c r="T2247" s="17"/>
      <c r="U2247" s="17"/>
      <c r="V2247" s="17"/>
      <c r="W2247" s="17"/>
      <c r="X2247" s="17"/>
      <c r="Y2247" s="17"/>
      <c r="Z2247" s="17"/>
      <c r="AA2247" s="17"/>
      <c r="AB2247" s="17"/>
      <c r="AC2247" s="17"/>
      <c r="AD2247" s="17"/>
      <c r="AE2247" s="17"/>
      <c r="AF2247" s="17"/>
      <c r="AG2247" s="17"/>
      <c r="AH2247" s="17"/>
      <c r="AI2247" s="17"/>
      <c r="AJ2247" s="17"/>
      <c r="AK2247" s="17"/>
      <c r="AL2247" s="17"/>
      <c r="AM2247" s="17"/>
      <c r="AN2247" s="17"/>
      <c r="AO2247" s="17"/>
      <c r="AP2247" s="17"/>
      <c r="AQ2247" s="17"/>
      <c r="AR2247" s="17"/>
      <c r="AS2247" s="17"/>
      <c r="AT2247" s="17"/>
      <c r="AU2247" s="17"/>
    </row>
    <row r="2248" hidden="1">
      <c r="A2248" s="17">
        <v>2246</v>
      </c>
      <c r="B2248" s="17" t="s">
        <v>52</v>
      </c>
      <c r="C2248" s="41" t="s">
        <v>6560</v>
      </c>
      <c r="D2248" s="35" t="s">
        <v>5571</v>
      </c>
      <c r="E2248" s="17"/>
      <c r="F2248" s="17"/>
      <c r="G2248" s="17"/>
      <c r="H2248" s="17"/>
      <c r="I2248" s="17"/>
      <c r="J2248" s="17"/>
      <c r="K2248" s="17"/>
      <c r="L2248" s="17"/>
      <c r="M2248" s="17"/>
      <c r="N2248" s="17"/>
      <c r="O2248" s="17"/>
      <c r="P2248" s="17"/>
      <c r="Q2248" s="17"/>
      <c r="R2248" s="17"/>
      <c r="S2248" s="17"/>
      <c r="T2248" s="17"/>
      <c r="U2248" s="17"/>
      <c r="V2248" s="17"/>
      <c r="W2248" s="17"/>
      <c r="X2248" s="17"/>
      <c r="Y2248" s="17"/>
      <c r="Z2248" s="17"/>
      <c r="AA2248" s="17"/>
      <c r="AB2248" s="17"/>
      <c r="AC2248" s="17"/>
      <c r="AD2248" s="17"/>
      <c r="AE2248" s="17"/>
      <c r="AF2248" s="17"/>
      <c r="AG2248" s="17"/>
      <c r="AH2248" s="17"/>
      <c r="AI2248" s="17"/>
      <c r="AJ2248" s="17"/>
      <c r="AK2248" s="17"/>
      <c r="AL2248" s="17"/>
      <c r="AM2248" s="17"/>
      <c r="AN2248" s="17"/>
      <c r="AO2248" s="17"/>
      <c r="AP2248" s="17"/>
      <c r="AQ2248" s="17"/>
      <c r="AR2248" s="17"/>
      <c r="AS2248" s="17"/>
      <c r="AT2248" s="17"/>
      <c r="AU2248" s="17"/>
    </row>
    <row r="2249" hidden="1">
      <c r="A2249" s="17">
        <v>2247</v>
      </c>
      <c r="B2249" s="17" t="s">
        <v>52</v>
      </c>
      <c r="C2249" s="41" t="s">
        <v>6561</v>
      </c>
      <c r="D2249" s="35" t="s">
        <v>5571</v>
      </c>
      <c r="E2249" s="17"/>
      <c r="F2249" s="17"/>
      <c r="G2249" s="17"/>
      <c r="H2249" s="17"/>
      <c r="I2249" s="17"/>
      <c r="J2249" s="17"/>
      <c r="K2249" s="17"/>
      <c r="L2249" s="17"/>
      <c r="M2249" s="17"/>
      <c r="N2249" s="17"/>
      <c r="O2249" s="17"/>
      <c r="P2249" s="17"/>
      <c r="Q2249" s="17"/>
      <c r="R2249" s="17"/>
      <c r="S2249" s="17"/>
      <c r="T2249" s="17"/>
      <c r="U2249" s="17"/>
      <c r="V2249" s="17"/>
      <c r="W2249" s="17"/>
      <c r="X2249" s="17"/>
      <c r="Y2249" s="17"/>
      <c r="Z2249" s="17"/>
      <c r="AA2249" s="17"/>
      <c r="AB2249" s="17"/>
      <c r="AC2249" s="17"/>
      <c r="AD2249" s="17"/>
      <c r="AE2249" s="17"/>
      <c r="AF2249" s="17"/>
      <c r="AG2249" s="17"/>
      <c r="AH2249" s="17"/>
      <c r="AI2249" s="17"/>
      <c r="AJ2249" s="17"/>
      <c r="AK2249" s="17"/>
      <c r="AL2249" s="17"/>
      <c r="AM2249" s="17"/>
      <c r="AN2249" s="17"/>
      <c r="AO2249" s="17"/>
      <c r="AP2249" s="17"/>
      <c r="AQ2249" s="17"/>
      <c r="AR2249" s="17"/>
      <c r="AS2249" s="17"/>
      <c r="AT2249" s="17"/>
      <c r="AU2249" s="17"/>
    </row>
    <row r="2250" hidden="1">
      <c r="A2250" s="17">
        <v>2248</v>
      </c>
      <c r="B2250" s="17" t="s">
        <v>52</v>
      </c>
      <c r="C2250" s="41" t="s">
        <v>6562</v>
      </c>
      <c r="D2250" s="35" t="s">
        <v>5571</v>
      </c>
      <c r="E2250" s="17"/>
      <c r="F2250" s="17"/>
      <c r="G2250" s="17"/>
      <c r="H2250" s="17"/>
      <c r="I2250" s="17"/>
      <c r="J2250" s="17"/>
      <c r="K2250" s="17"/>
      <c r="L2250" s="17"/>
      <c r="M2250" s="17"/>
      <c r="N2250" s="17"/>
      <c r="O2250" s="17"/>
      <c r="P2250" s="17"/>
      <c r="Q2250" s="17"/>
      <c r="R2250" s="17"/>
      <c r="S2250" s="17"/>
      <c r="T2250" s="17"/>
      <c r="U2250" s="17"/>
      <c r="V2250" s="17"/>
      <c r="W2250" s="17"/>
      <c r="X2250" s="17"/>
      <c r="Y2250" s="17"/>
      <c r="Z2250" s="17"/>
      <c r="AA2250" s="17"/>
      <c r="AB2250" s="17"/>
      <c r="AC2250" s="17"/>
      <c r="AD2250" s="17"/>
      <c r="AE2250" s="17"/>
      <c r="AF2250" s="17"/>
      <c r="AG2250" s="17"/>
      <c r="AH2250" s="17"/>
      <c r="AI2250" s="17"/>
      <c r="AJ2250" s="17"/>
      <c r="AK2250" s="17"/>
      <c r="AL2250" s="17"/>
      <c r="AM2250" s="17"/>
      <c r="AN2250" s="17"/>
      <c r="AO2250" s="17"/>
      <c r="AP2250" s="17"/>
      <c r="AQ2250" s="17"/>
      <c r="AR2250" s="17"/>
      <c r="AS2250" s="17"/>
      <c r="AT2250" s="17"/>
      <c r="AU2250" s="17"/>
    </row>
    <row r="2251" hidden="1">
      <c r="A2251" s="17">
        <v>2249</v>
      </c>
      <c r="B2251" s="17" t="s">
        <v>52</v>
      </c>
      <c r="C2251" s="41" t="s">
        <v>6563</v>
      </c>
      <c r="D2251" s="35" t="s">
        <v>5571</v>
      </c>
      <c r="E2251" s="17"/>
      <c r="F2251" s="17"/>
      <c r="G2251" s="17"/>
      <c r="H2251" s="17"/>
      <c r="I2251" s="17"/>
      <c r="J2251" s="17"/>
      <c r="K2251" s="17"/>
      <c r="L2251" s="17"/>
      <c r="M2251" s="17"/>
      <c r="N2251" s="17"/>
      <c r="O2251" s="17"/>
      <c r="P2251" s="17"/>
      <c r="Q2251" s="17"/>
      <c r="R2251" s="17"/>
      <c r="S2251" s="17"/>
      <c r="T2251" s="17"/>
      <c r="U2251" s="17"/>
      <c r="V2251" s="17"/>
      <c r="W2251" s="17"/>
      <c r="X2251" s="17"/>
      <c r="Y2251" s="17"/>
      <c r="Z2251" s="17"/>
      <c r="AA2251" s="17"/>
      <c r="AB2251" s="17"/>
      <c r="AC2251" s="17"/>
      <c r="AD2251" s="17"/>
      <c r="AE2251" s="17"/>
      <c r="AF2251" s="17"/>
      <c r="AG2251" s="17"/>
      <c r="AH2251" s="17"/>
      <c r="AI2251" s="17"/>
      <c r="AJ2251" s="17"/>
      <c r="AK2251" s="17"/>
      <c r="AL2251" s="17"/>
      <c r="AM2251" s="17"/>
      <c r="AN2251" s="17"/>
      <c r="AO2251" s="17"/>
      <c r="AP2251" s="17"/>
      <c r="AQ2251" s="17"/>
      <c r="AR2251" s="17"/>
      <c r="AS2251" s="17"/>
      <c r="AT2251" s="17"/>
      <c r="AU2251" s="17"/>
    </row>
    <row r="2252" hidden="1">
      <c r="A2252" s="17">
        <v>2250</v>
      </c>
      <c r="B2252" s="17" t="s">
        <v>52</v>
      </c>
      <c r="C2252" s="41" t="s">
        <v>6564</v>
      </c>
      <c r="D2252" s="35" t="s">
        <v>5571</v>
      </c>
      <c r="E2252" s="17"/>
      <c r="F2252" s="17"/>
      <c r="G2252" s="17"/>
      <c r="H2252" s="17"/>
      <c r="I2252" s="17"/>
      <c r="J2252" s="17"/>
      <c r="K2252" s="17"/>
      <c r="L2252" s="17"/>
      <c r="M2252" s="17"/>
      <c r="N2252" s="17"/>
      <c r="O2252" s="17"/>
      <c r="P2252" s="17"/>
      <c r="Q2252" s="17"/>
      <c r="R2252" s="17"/>
      <c r="S2252" s="17"/>
      <c r="T2252" s="17"/>
      <c r="U2252" s="17"/>
      <c r="V2252" s="17"/>
      <c r="W2252" s="17"/>
      <c r="X2252" s="17"/>
      <c r="Y2252" s="17"/>
      <c r="Z2252" s="17"/>
      <c r="AA2252" s="17"/>
      <c r="AB2252" s="17"/>
      <c r="AC2252" s="17"/>
      <c r="AD2252" s="17"/>
      <c r="AE2252" s="17"/>
      <c r="AF2252" s="17"/>
      <c r="AG2252" s="17"/>
      <c r="AH2252" s="17"/>
      <c r="AI2252" s="17"/>
      <c r="AJ2252" s="17"/>
      <c r="AK2252" s="17"/>
      <c r="AL2252" s="17"/>
      <c r="AM2252" s="17"/>
      <c r="AN2252" s="17"/>
      <c r="AO2252" s="17"/>
      <c r="AP2252" s="17"/>
      <c r="AQ2252" s="17"/>
      <c r="AR2252" s="17"/>
      <c r="AS2252" s="17"/>
      <c r="AT2252" s="17"/>
      <c r="AU2252" s="17"/>
    </row>
    <row r="2253" hidden="1">
      <c r="A2253" s="17">
        <v>2251</v>
      </c>
      <c r="B2253" s="17" t="s">
        <v>52</v>
      </c>
      <c r="C2253" s="41" t="s">
        <v>6565</v>
      </c>
      <c r="D2253" s="35" t="s">
        <v>5571</v>
      </c>
      <c r="E2253" s="17"/>
      <c r="F2253" s="17"/>
      <c r="G2253" s="17"/>
      <c r="H2253" s="17"/>
      <c r="I2253" s="17"/>
      <c r="J2253" s="17"/>
      <c r="K2253" s="17"/>
      <c r="L2253" s="17"/>
      <c r="M2253" s="17"/>
      <c r="N2253" s="17"/>
      <c r="O2253" s="17"/>
      <c r="P2253" s="17"/>
      <c r="Q2253" s="17"/>
      <c r="R2253" s="17"/>
      <c r="S2253" s="17"/>
      <c r="T2253" s="17"/>
      <c r="U2253" s="17"/>
      <c r="V2253" s="17"/>
      <c r="W2253" s="17"/>
      <c r="X2253" s="17"/>
      <c r="Y2253" s="17"/>
      <c r="Z2253" s="17"/>
      <c r="AA2253" s="17"/>
      <c r="AB2253" s="17"/>
      <c r="AC2253" s="17"/>
      <c r="AD2253" s="17"/>
      <c r="AE2253" s="17"/>
      <c r="AF2253" s="17"/>
      <c r="AG2253" s="17"/>
      <c r="AH2253" s="17"/>
      <c r="AI2253" s="17"/>
      <c r="AJ2253" s="17"/>
      <c r="AK2253" s="17"/>
      <c r="AL2253" s="17"/>
      <c r="AM2253" s="17"/>
      <c r="AN2253" s="17"/>
      <c r="AO2253" s="17"/>
      <c r="AP2253" s="17"/>
      <c r="AQ2253" s="17"/>
      <c r="AR2253" s="17"/>
      <c r="AS2253" s="17"/>
      <c r="AT2253" s="17"/>
      <c r="AU2253" s="17"/>
    </row>
    <row r="2254" hidden="1">
      <c r="A2254" s="17">
        <v>2252</v>
      </c>
      <c r="B2254" s="17" t="s">
        <v>52</v>
      </c>
      <c r="C2254" s="41" t="s">
        <v>6566</v>
      </c>
      <c r="D2254" s="35" t="s">
        <v>5571</v>
      </c>
      <c r="E2254" s="17"/>
      <c r="F2254" s="17"/>
      <c r="G2254" s="17"/>
      <c r="H2254" s="17"/>
      <c r="I2254" s="17"/>
      <c r="J2254" s="17"/>
      <c r="K2254" s="17"/>
      <c r="L2254" s="17"/>
      <c r="M2254" s="17"/>
      <c r="N2254" s="17"/>
      <c r="O2254" s="17"/>
      <c r="P2254" s="17"/>
      <c r="Q2254" s="17"/>
      <c r="R2254" s="17"/>
      <c r="S2254" s="17"/>
      <c r="T2254" s="17"/>
      <c r="U2254" s="17"/>
      <c r="V2254" s="17"/>
      <c r="W2254" s="17"/>
      <c r="X2254" s="17"/>
      <c r="Y2254" s="17"/>
      <c r="Z2254" s="17"/>
      <c r="AA2254" s="17"/>
      <c r="AB2254" s="17"/>
      <c r="AC2254" s="17"/>
      <c r="AD2254" s="17"/>
      <c r="AE2254" s="17"/>
      <c r="AF2254" s="17"/>
      <c r="AG2254" s="17"/>
      <c r="AH2254" s="17"/>
      <c r="AI2254" s="17"/>
      <c r="AJ2254" s="17"/>
      <c r="AK2254" s="17"/>
      <c r="AL2254" s="17"/>
      <c r="AM2254" s="17"/>
      <c r="AN2254" s="17"/>
      <c r="AO2254" s="17"/>
      <c r="AP2254" s="17"/>
      <c r="AQ2254" s="17"/>
      <c r="AR2254" s="17"/>
      <c r="AS2254" s="17"/>
      <c r="AT2254" s="17"/>
      <c r="AU2254" s="17"/>
    </row>
    <row r="2255" hidden="1">
      <c r="A2255" s="17">
        <v>2253</v>
      </c>
      <c r="B2255" s="17" t="s">
        <v>52</v>
      </c>
      <c r="C2255" s="41" t="s">
        <v>6567</v>
      </c>
      <c r="D2255" s="35" t="s">
        <v>5571</v>
      </c>
      <c r="E2255" s="17"/>
      <c r="F2255" s="17"/>
      <c r="G2255" s="17"/>
      <c r="H2255" s="17"/>
      <c r="I2255" s="17"/>
      <c r="J2255" s="17"/>
      <c r="K2255" s="17"/>
      <c r="L2255" s="17"/>
      <c r="M2255" s="17"/>
      <c r="N2255" s="17"/>
      <c r="O2255" s="17"/>
      <c r="P2255" s="17"/>
      <c r="Q2255" s="17"/>
      <c r="R2255" s="17"/>
      <c r="S2255" s="17"/>
      <c r="T2255" s="17"/>
      <c r="U2255" s="17"/>
      <c r="V2255" s="17"/>
      <c r="W2255" s="17"/>
      <c r="X2255" s="17"/>
      <c r="Y2255" s="17"/>
      <c r="Z2255" s="17"/>
      <c r="AA2255" s="17"/>
      <c r="AB2255" s="17"/>
      <c r="AC2255" s="17"/>
      <c r="AD2255" s="17"/>
      <c r="AE2255" s="17"/>
      <c r="AF2255" s="17"/>
      <c r="AG2255" s="17"/>
      <c r="AH2255" s="17"/>
      <c r="AI2255" s="17"/>
      <c r="AJ2255" s="17"/>
      <c r="AK2255" s="17"/>
      <c r="AL2255" s="17"/>
      <c r="AM2255" s="17"/>
      <c r="AN2255" s="17"/>
      <c r="AO2255" s="17"/>
      <c r="AP2255" s="17"/>
      <c r="AQ2255" s="17"/>
      <c r="AR2255" s="17"/>
      <c r="AS2255" s="17"/>
      <c r="AT2255" s="17"/>
      <c r="AU2255" s="17"/>
    </row>
    <row r="2256" hidden="1">
      <c r="A2256" s="17">
        <v>2254</v>
      </c>
      <c r="B2256" s="17" t="s">
        <v>52</v>
      </c>
      <c r="C2256" s="41" t="s">
        <v>6568</v>
      </c>
      <c r="D2256" s="35" t="s">
        <v>5571</v>
      </c>
      <c r="E2256" s="17"/>
      <c r="F2256" s="17"/>
      <c r="G2256" s="17"/>
      <c r="H2256" s="17"/>
      <c r="I2256" s="17"/>
      <c r="J2256" s="17"/>
      <c r="K2256" s="17"/>
      <c r="L2256" s="17"/>
      <c r="M2256" s="17"/>
      <c r="N2256" s="17"/>
      <c r="O2256" s="17"/>
      <c r="P2256" s="17"/>
      <c r="Q2256" s="17"/>
      <c r="R2256" s="17"/>
      <c r="S2256" s="17"/>
      <c r="T2256" s="17"/>
      <c r="U2256" s="17"/>
      <c r="V2256" s="17"/>
      <c r="W2256" s="17"/>
      <c r="X2256" s="17"/>
      <c r="Y2256" s="17"/>
      <c r="Z2256" s="17"/>
      <c r="AA2256" s="17"/>
      <c r="AB2256" s="17"/>
      <c r="AC2256" s="17"/>
      <c r="AD2256" s="17"/>
      <c r="AE2256" s="17"/>
      <c r="AF2256" s="17"/>
      <c r="AG2256" s="17"/>
      <c r="AH2256" s="17"/>
      <c r="AI2256" s="17"/>
      <c r="AJ2256" s="17"/>
      <c r="AK2256" s="17"/>
      <c r="AL2256" s="17"/>
      <c r="AM2256" s="17"/>
      <c r="AN2256" s="17"/>
      <c r="AO2256" s="17"/>
      <c r="AP2256" s="17"/>
      <c r="AQ2256" s="17"/>
      <c r="AR2256" s="17"/>
      <c r="AS2256" s="17"/>
      <c r="AT2256" s="17"/>
      <c r="AU2256" s="17"/>
    </row>
    <row r="2257" hidden="1">
      <c r="A2257" s="17">
        <v>2255</v>
      </c>
      <c r="B2257" s="17" t="s">
        <v>52</v>
      </c>
      <c r="C2257" s="41" t="s">
        <v>6569</v>
      </c>
      <c r="D2257" s="35" t="s">
        <v>5571</v>
      </c>
      <c r="E2257" s="17"/>
      <c r="F2257" s="17"/>
      <c r="G2257" s="17"/>
      <c r="H2257" s="17"/>
      <c r="I2257" s="17"/>
      <c r="J2257" s="17"/>
      <c r="K2257" s="17"/>
      <c r="L2257" s="17"/>
      <c r="M2257" s="17"/>
      <c r="N2257" s="17"/>
      <c r="O2257" s="17"/>
      <c r="P2257" s="17"/>
      <c r="Q2257" s="17"/>
      <c r="R2257" s="17"/>
      <c r="S2257" s="17"/>
      <c r="T2257" s="17"/>
      <c r="U2257" s="17"/>
      <c r="V2257" s="17"/>
      <c r="W2257" s="17"/>
      <c r="X2257" s="17"/>
      <c r="Y2257" s="17"/>
      <c r="Z2257" s="17"/>
      <c r="AA2257" s="17"/>
      <c r="AB2257" s="17"/>
      <c r="AC2257" s="17"/>
      <c r="AD2257" s="17"/>
      <c r="AE2257" s="17"/>
      <c r="AF2257" s="17"/>
      <c r="AG2257" s="17"/>
      <c r="AH2257" s="17"/>
      <c r="AI2257" s="17"/>
      <c r="AJ2257" s="17"/>
      <c r="AK2257" s="17"/>
      <c r="AL2257" s="17"/>
      <c r="AM2257" s="17"/>
      <c r="AN2257" s="17"/>
      <c r="AO2257" s="17"/>
      <c r="AP2257" s="17"/>
      <c r="AQ2257" s="17"/>
      <c r="AR2257" s="17"/>
      <c r="AS2257" s="17"/>
      <c r="AT2257" s="17"/>
      <c r="AU2257" s="17"/>
    </row>
    <row r="2258" hidden="1">
      <c r="A2258" s="17">
        <v>2256</v>
      </c>
      <c r="B2258" s="17" t="s">
        <v>52</v>
      </c>
      <c r="C2258" s="41" t="s">
        <v>6570</v>
      </c>
      <c r="D2258" s="35" t="s">
        <v>5571</v>
      </c>
      <c r="E2258" s="17"/>
      <c r="F2258" s="17"/>
      <c r="G2258" s="17"/>
      <c r="H2258" s="17"/>
      <c r="I2258" s="17"/>
      <c r="J2258" s="17"/>
      <c r="K2258" s="17"/>
      <c r="L2258" s="17"/>
      <c r="M2258" s="17"/>
      <c r="N2258" s="17"/>
      <c r="O2258" s="17"/>
      <c r="P2258" s="17"/>
      <c r="Q2258" s="17"/>
      <c r="R2258" s="17"/>
      <c r="S2258" s="17"/>
      <c r="T2258" s="17"/>
      <c r="U2258" s="17"/>
      <c r="V2258" s="17"/>
      <c r="W2258" s="17"/>
      <c r="X2258" s="17"/>
      <c r="Y2258" s="17"/>
      <c r="Z2258" s="17"/>
      <c r="AA2258" s="17"/>
      <c r="AB2258" s="17"/>
      <c r="AC2258" s="17"/>
      <c r="AD2258" s="17"/>
      <c r="AE2258" s="17"/>
      <c r="AF2258" s="17"/>
      <c r="AG2258" s="17"/>
      <c r="AH2258" s="17"/>
      <c r="AI2258" s="17"/>
      <c r="AJ2258" s="17"/>
      <c r="AK2258" s="17"/>
      <c r="AL2258" s="17"/>
      <c r="AM2258" s="17"/>
      <c r="AN2258" s="17"/>
      <c r="AO2258" s="17"/>
      <c r="AP2258" s="17"/>
      <c r="AQ2258" s="17"/>
      <c r="AR2258" s="17"/>
      <c r="AS2258" s="17"/>
      <c r="AT2258" s="17"/>
      <c r="AU2258" s="17"/>
    </row>
    <row r="2259" hidden="1">
      <c r="A2259" s="17">
        <v>2257</v>
      </c>
      <c r="B2259" s="17" t="s">
        <v>52</v>
      </c>
      <c r="C2259" s="41" t="s">
        <v>6571</v>
      </c>
      <c r="D2259" s="35" t="s">
        <v>5571</v>
      </c>
      <c r="E2259" s="17"/>
      <c r="F2259" s="17"/>
      <c r="G2259" s="17"/>
      <c r="H2259" s="17"/>
      <c r="I2259" s="17"/>
      <c r="J2259" s="17"/>
      <c r="K2259" s="17"/>
      <c r="L2259" s="17"/>
      <c r="M2259" s="17"/>
      <c r="N2259" s="17"/>
      <c r="O2259" s="17"/>
      <c r="P2259" s="17"/>
      <c r="Q2259" s="17"/>
      <c r="R2259" s="17"/>
      <c r="S2259" s="17"/>
      <c r="T2259" s="17"/>
      <c r="U2259" s="17"/>
      <c r="V2259" s="17"/>
      <c r="W2259" s="17"/>
      <c r="X2259" s="17"/>
      <c r="Y2259" s="17"/>
      <c r="Z2259" s="17"/>
      <c r="AA2259" s="17"/>
      <c r="AB2259" s="17"/>
      <c r="AC2259" s="17"/>
      <c r="AD2259" s="17"/>
      <c r="AE2259" s="17"/>
      <c r="AF2259" s="17"/>
      <c r="AG2259" s="17"/>
      <c r="AH2259" s="17"/>
      <c r="AI2259" s="17"/>
      <c r="AJ2259" s="17"/>
      <c r="AK2259" s="17"/>
      <c r="AL2259" s="17"/>
      <c r="AM2259" s="17"/>
      <c r="AN2259" s="17"/>
      <c r="AO2259" s="17"/>
      <c r="AP2259" s="17"/>
      <c r="AQ2259" s="17"/>
      <c r="AR2259" s="17"/>
      <c r="AS2259" s="17"/>
      <c r="AT2259" s="17"/>
      <c r="AU2259" s="17"/>
    </row>
    <row r="2260" hidden="1">
      <c r="A2260" s="17">
        <v>2258</v>
      </c>
      <c r="B2260" s="17" t="s">
        <v>52</v>
      </c>
      <c r="C2260" s="41" t="s">
        <v>6572</v>
      </c>
      <c r="D2260" s="35" t="s">
        <v>5571</v>
      </c>
      <c r="E2260" s="17"/>
      <c r="F2260" s="17"/>
      <c r="G2260" s="17"/>
      <c r="H2260" s="17"/>
      <c r="I2260" s="17"/>
      <c r="J2260" s="17"/>
      <c r="K2260" s="17"/>
      <c r="L2260" s="17"/>
      <c r="M2260" s="17"/>
      <c r="N2260" s="17"/>
      <c r="O2260" s="17"/>
      <c r="P2260" s="17"/>
      <c r="Q2260" s="17"/>
      <c r="R2260" s="17"/>
      <c r="S2260" s="17"/>
      <c r="T2260" s="17"/>
      <c r="U2260" s="17"/>
      <c r="V2260" s="17"/>
      <c r="W2260" s="17"/>
      <c r="X2260" s="17"/>
      <c r="Y2260" s="17"/>
      <c r="Z2260" s="17"/>
      <c r="AA2260" s="17"/>
      <c r="AB2260" s="17"/>
      <c r="AC2260" s="17"/>
      <c r="AD2260" s="17"/>
      <c r="AE2260" s="17"/>
      <c r="AF2260" s="17"/>
      <c r="AG2260" s="17"/>
      <c r="AH2260" s="17"/>
      <c r="AI2260" s="17"/>
      <c r="AJ2260" s="17"/>
      <c r="AK2260" s="17"/>
      <c r="AL2260" s="17"/>
      <c r="AM2260" s="17"/>
      <c r="AN2260" s="17"/>
      <c r="AO2260" s="17"/>
      <c r="AP2260" s="17"/>
      <c r="AQ2260" s="17"/>
      <c r="AR2260" s="17"/>
      <c r="AS2260" s="17"/>
      <c r="AT2260" s="17"/>
      <c r="AU2260" s="17"/>
    </row>
    <row r="2261" hidden="1">
      <c r="A2261" s="17">
        <v>2259</v>
      </c>
      <c r="B2261" s="17" t="s">
        <v>52</v>
      </c>
      <c r="C2261" s="41" t="s">
        <v>6573</v>
      </c>
      <c r="D2261" s="35" t="s">
        <v>5571</v>
      </c>
      <c r="E2261" s="17"/>
      <c r="F2261" s="17"/>
      <c r="G2261" s="17"/>
      <c r="H2261" s="17"/>
      <c r="I2261" s="17"/>
      <c r="J2261" s="17"/>
      <c r="K2261" s="17"/>
      <c r="L2261" s="17"/>
      <c r="M2261" s="17"/>
      <c r="N2261" s="17"/>
      <c r="O2261" s="17"/>
      <c r="P2261" s="17"/>
      <c r="Q2261" s="17"/>
      <c r="R2261" s="17"/>
      <c r="S2261" s="17"/>
      <c r="T2261" s="17"/>
      <c r="U2261" s="17"/>
      <c r="V2261" s="17"/>
      <c r="W2261" s="17"/>
      <c r="X2261" s="17"/>
      <c r="Y2261" s="17"/>
      <c r="Z2261" s="17"/>
      <c r="AA2261" s="17"/>
      <c r="AB2261" s="17"/>
      <c r="AC2261" s="17"/>
      <c r="AD2261" s="17"/>
      <c r="AE2261" s="17"/>
      <c r="AF2261" s="17"/>
      <c r="AG2261" s="17"/>
      <c r="AH2261" s="17"/>
      <c r="AI2261" s="17"/>
      <c r="AJ2261" s="17"/>
      <c r="AK2261" s="17"/>
      <c r="AL2261" s="17"/>
      <c r="AM2261" s="17"/>
      <c r="AN2261" s="17"/>
      <c r="AO2261" s="17"/>
      <c r="AP2261" s="17"/>
      <c r="AQ2261" s="17"/>
      <c r="AR2261" s="17"/>
      <c r="AS2261" s="17"/>
      <c r="AT2261" s="17"/>
      <c r="AU2261" s="17"/>
    </row>
    <row r="2262" hidden="1">
      <c r="A2262" s="17">
        <v>2260</v>
      </c>
      <c r="B2262" s="17" t="s">
        <v>52</v>
      </c>
      <c r="C2262" s="42" t="s">
        <v>6574</v>
      </c>
      <c r="D2262" s="35" t="s">
        <v>5571</v>
      </c>
      <c r="E2262" s="17"/>
      <c r="F2262" s="17"/>
      <c r="G2262" s="17"/>
      <c r="H2262" s="17"/>
      <c r="I2262" s="17"/>
      <c r="J2262" s="17"/>
      <c r="K2262" s="17"/>
      <c r="L2262" s="17"/>
      <c r="M2262" s="17"/>
      <c r="N2262" s="17"/>
      <c r="O2262" s="17"/>
      <c r="P2262" s="17"/>
      <c r="Q2262" s="17"/>
      <c r="R2262" s="17"/>
      <c r="S2262" s="17"/>
      <c r="T2262" s="17"/>
      <c r="U2262" s="17"/>
      <c r="V2262" s="17"/>
      <c r="W2262" s="17"/>
      <c r="X2262" s="17"/>
      <c r="Y2262" s="17"/>
      <c r="Z2262" s="17"/>
      <c r="AA2262" s="17"/>
      <c r="AB2262" s="17"/>
      <c r="AC2262" s="17"/>
      <c r="AD2262" s="17"/>
      <c r="AE2262" s="17"/>
      <c r="AF2262" s="17"/>
      <c r="AG2262" s="17"/>
      <c r="AH2262" s="17"/>
      <c r="AI2262" s="17"/>
      <c r="AJ2262" s="17"/>
      <c r="AK2262" s="17"/>
      <c r="AL2262" s="17"/>
      <c r="AM2262" s="17"/>
      <c r="AN2262" s="17"/>
      <c r="AO2262" s="17"/>
      <c r="AP2262" s="17"/>
      <c r="AQ2262" s="17"/>
      <c r="AR2262" s="17"/>
      <c r="AS2262" s="17"/>
      <c r="AT2262" s="17"/>
      <c r="AU2262" s="17"/>
    </row>
    <row r="2263" hidden="1">
      <c r="A2263" s="17">
        <v>2261</v>
      </c>
      <c r="B2263" s="17" t="s">
        <v>52</v>
      </c>
      <c r="C2263" s="34" t="s">
        <v>6575</v>
      </c>
      <c r="D2263" s="35" t="s">
        <v>6576</v>
      </c>
      <c r="E2263" s="17"/>
      <c r="F2263" s="17"/>
      <c r="G2263" s="17"/>
      <c r="H2263" s="17"/>
      <c r="I2263" s="17"/>
      <c r="J2263" s="17"/>
      <c r="K2263" s="17"/>
      <c r="L2263" s="17"/>
      <c r="M2263" s="34" t="s">
        <v>6577</v>
      </c>
      <c r="N2263" s="17"/>
      <c r="O2263" s="17"/>
      <c r="P2263" s="17"/>
      <c r="Q2263" s="17"/>
      <c r="R2263" s="17"/>
      <c r="S2263" s="17"/>
      <c r="T2263" s="17"/>
      <c r="U2263" s="17"/>
      <c r="V2263" s="17"/>
      <c r="W2263" s="17"/>
      <c r="X2263" s="17"/>
      <c r="Y2263" s="17"/>
      <c r="Z2263" s="17"/>
      <c r="AA2263" s="17"/>
      <c r="AB2263" s="17"/>
      <c r="AC2263" s="17"/>
      <c r="AD2263" s="17"/>
      <c r="AE2263" s="17"/>
      <c r="AF2263" s="17"/>
      <c r="AG2263" s="17"/>
      <c r="AH2263" s="17"/>
      <c r="AI2263" s="17"/>
      <c r="AJ2263" s="17"/>
      <c r="AK2263" s="17"/>
      <c r="AL2263" s="17"/>
      <c r="AM2263" s="17"/>
      <c r="AN2263" s="17"/>
      <c r="AO2263" s="17"/>
      <c r="AP2263" s="17"/>
      <c r="AQ2263" s="17"/>
      <c r="AR2263" s="17"/>
      <c r="AS2263" s="17"/>
      <c r="AT2263" s="17"/>
      <c r="AU2263" s="17"/>
    </row>
    <row r="2264" hidden="1">
      <c r="A2264" s="17">
        <v>2262</v>
      </c>
      <c r="B2264" s="17" t="s">
        <v>52</v>
      </c>
      <c r="C2264" s="34" t="s">
        <v>6578</v>
      </c>
      <c r="D2264" s="35" t="s">
        <v>6576</v>
      </c>
      <c r="E2264" s="17" t="s">
        <v>6579</v>
      </c>
      <c r="F2264" s="17" t="s">
        <v>6580</v>
      </c>
      <c r="G2264" s="17">
        <v>22.037593999999999</v>
      </c>
      <c r="H2264" s="17">
        <v>87.828684999999993</v>
      </c>
      <c r="I2264" s="17"/>
      <c r="J2264" s="17"/>
      <c r="K2264" s="17"/>
      <c r="L2264" s="17"/>
      <c r="M2264" s="34" t="s">
        <v>6577</v>
      </c>
      <c r="N2264" s="17">
        <v>6289037005</v>
      </c>
      <c r="O2264" s="17">
        <v>20</v>
      </c>
      <c r="P2264" s="17">
        <v>100</v>
      </c>
      <c r="Q2264" s="17" t="s">
        <v>73</v>
      </c>
      <c r="R2264" s="17" t="s">
        <v>74</v>
      </c>
      <c r="S2264" s="17" t="s">
        <v>75</v>
      </c>
      <c r="T2264" s="17"/>
      <c r="U2264" s="17" t="s">
        <v>76</v>
      </c>
      <c r="V2264" s="17" t="s">
        <v>77</v>
      </c>
      <c r="W2264" s="17" t="s">
        <v>123</v>
      </c>
      <c r="X2264" s="17">
        <v>3</v>
      </c>
      <c r="Y2264" s="17">
        <v>0</v>
      </c>
      <c r="Z2264" s="17"/>
      <c r="AA2264" s="17" t="s">
        <v>73</v>
      </c>
      <c r="AB2264" s="17" t="s">
        <v>79</v>
      </c>
      <c r="AC2264" s="17">
        <v>2</v>
      </c>
      <c r="AD2264" s="17">
        <v>0</v>
      </c>
      <c r="AE2264" s="17">
        <v>0</v>
      </c>
      <c r="AF2264" s="17"/>
      <c r="AG2264" s="17" t="s">
        <v>81</v>
      </c>
      <c r="AH2264" s="17" t="s">
        <v>82</v>
      </c>
      <c r="AI2264" s="17" t="s">
        <v>83</v>
      </c>
      <c r="AJ2264" s="17">
        <v>2111</v>
      </c>
      <c r="AK2264" s="17" t="s">
        <v>75</v>
      </c>
      <c r="AL2264" s="17" t="s">
        <v>75</v>
      </c>
      <c r="AM2264" s="17" t="s">
        <v>75</v>
      </c>
      <c r="AN2264" s="17" t="s">
        <v>125</v>
      </c>
      <c r="AO2264" s="17" t="s">
        <v>75</v>
      </c>
      <c r="AP2264" s="17"/>
      <c r="AQ2264" s="17"/>
      <c r="AR2264" s="17"/>
      <c r="AS2264" s="17"/>
      <c r="AT2264" s="17" t="s">
        <v>6581</v>
      </c>
      <c r="AU2264" s="17" t="s">
        <v>111</v>
      </c>
    </row>
    <row r="2265" hidden="1">
      <c r="A2265" s="17">
        <v>2263</v>
      </c>
      <c r="B2265" s="17" t="s">
        <v>52</v>
      </c>
      <c r="C2265" s="34" t="s">
        <v>6582</v>
      </c>
      <c r="D2265" s="35" t="s">
        <v>6576</v>
      </c>
      <c r="E2265" s="17" t="s">
        <v>6583</v>
      </c>
      <c r="F2265" s="17" t="s">
        <v>6584</v>
      </c>
      <c r="G2265" s="17">
        <v>22.043679000000001</v>
      </c>
      <c r="H2265" s="17">
        <v>87.753674000000004</v>
      </c>
      <c r="I2265" s="17"/>
      <c r="J2265" s="17"/>
      <c r="K2265" s="17"/>
      <c r="L2265" s="17"/>
      <c r="M2265" s="34" t="s">
        <v>6577</v>
      </c>
      <c r="N2265" s="17">
        <v>6289037005</v>
      </c>
      <c r="O2265" s="17" t="s">
        <v>6585</v>
      </c>
      <c r="P2265" s="17"/>
      <c r="Q2265" s="17"/>
      <c r="R2265" s="17"/>
      <c r="S2265" s="17"/>
      <c r="T2265" s="17"/>
      <c r="U2265" s="17"/>
      <c r="V2265" s="17"/>
      <c r="W2265" s="17"/>
      <c r="X2265" s="17"/>
      <c r="Y2265" s="17"/>
      <c r="Z2265" s="17"/>
      <c r="AA2265" s="17"/>
      <c r="AB2265" s="17"/>
      <c r="AC2265" s="17"/>
      <c r="AD2265" s="17"/>
      <c r="AE2265" s="17"/>
      <c r="AF2265" s="17"/>
      <c r="AG2265" s="17"/>
      <c r="AH2265" s="17"/>
      <c r="AI2265" s="17"/>
      <c r="AJ2265" s="17"/>
      <c r="AK2265" s="17"/>
      <c r="AL2265" s="17"/>
      <c r="AM2265" s="17"/>
      <c r="AN2265" s="17"/>
      <c r="AO2265" s="17"/>
      <c r="AP2265" s="17"/>
      <c r="AQ2265" s="17"/>
      <c r="AR2265" s="17"/>
      <c r="AS2265" s="17"/>
      <c r="AT2265" s="17"/>
      <c r="AU2265" s="17"/>
    </row>
    <row r="2266" hidden="1">
      <c r="A2266" s="17">
        <v>2264</v>
      </c>
      <c r="B2266" s="17" t="s">
        <v>52</v>
      </c>
      <c r="C2266" s="34" t="s">
        <v>6586</v>
      </c>
      <c r="D2266" s="35" t="s">
        <v>6576</v>
      </c>
      <c r="E2266" s="17" t="s">
        <v>6587</v>
      </c>
      <c r="F2266" s="17" t="s">
        <v>6588</v>
      </c>
      <c r="G2266" s="17">
        <v>21.971634999999999</v>
      </c>
      <c r="H2266" s="17">
        <v>87.535184000000001</v>
      </c>
      <c r="I2266" s="17"/>
      <c r="J2266" s="17"/>
      <c r="K2266" s="17"/>
      <c r="L2266" s="17"/>
      <c r="M2266" s="34" t="s">
        <v>6589</v>
      </c>
      <c r="N2266" s="17">
        <v>8910125297</v>
      </c>
      <c r="O2266" s="17">
        <v>24</v>
      </c>
      <c r="P2266" s="17">
        <v>112</v>
      </c>
      <c r="Q2266" s="17" t="s">
        <v>73</v>
      </c>
      <c r="R2266" s="17" t="s">
        <v>142</v>
      </c>
      <c r="S2266" s="17" t="s">
        <v>75</v>
      </c>
      <c r="T2266" s="17"/>
      <c r="U2266" s="17" t="s">
        <v>160</v>
      </c>
      <c r="V2266" s="17" t="s">
        <v>77</v>
      </c>
      <c r="W2266" s="17" t="s">
        <v>252</v>
      </c>
      <c r="X2266" s="17">
        <v>5</v>
      </c>
      <c r="Y2266" s="17">
        <v>0</v>
      </c>
      <c r="Z2266" s="17"/>
      <c r="AA2266" s="17" t="s">
        <v>73</v>
      </c>
      <c r="AB2266" s="17" t="s">
        <v>79</v>
      </c>
      <c r="AC2266" s="17">
        <v>2</v>
      </c>
      <c r="AD2266" s="17">
        <v>0</v>
      </c>
      <c r="AE2266" s="17">
        <v>0</v>
      </c>
      <c r="AF2266" s="17"/>
      <c r="AG2266" s="17" t="s">
        <v>124</v>
      </c>
      <c r="AH2266" s="17" t="s">
        <v>162</v>
      </c>
      <c r="AI2266" s="17" t="s">
        <v>107</v>
      </c>
      <c r="AJ2266" s="17"/>
      <c r="AK2266" s="17" t="s">
        <v>137</v>
      </c>
      <c r="AL2266" s="17" t="s">
        <v>75</v>
      </c>
      <c r="AM2266" s="17" t="s">
        <v>163</v>
      </c>
      <c r="AN2266" s="17" t="s">
        <v>125</v>
      </c>
      <c r="AO2266" s="17" t="s">
        <v>75</v>
      </c>
      <c r="AP2266" s="17"/>
      <c r="AQ2266" s="17"/>
      <c r="AR2266" s="17"/>
      <c r="AS2266" s="17"/>
      <c r="AT2266" s="17" t="s">
        <v>80</v>
      </c>
      <c r="AU2266" s="17" t="s">
        <v>111</v>
      </c>
    </row>
    <row r="2267" hidden="1">
      <c r="A2267" s="17">
        <v>2265</v>
      </c>
      <c r="B2267" s="17" t="s">
        <v>52</v>
      </c>
      <c r="C2267" s="34" t="s">
        <v>6590</v>
      </c>
      <c r="D2267" s="35" t="s">
        <v>6576</v>
      </c>
      <c r="E2267" s="17" t="s">
        <v>6591</v>
      </c>
      <c r="F2267" s="17" t="s">
        <v>6592</v>
      </c>
      <c r="G2267" s="17">
        <v>21.94012</v>
      </c>
      <c r="H2267" s="17">
        <v>87.532859999999999</v>
      </c>
      <c r="I2267" s="17"/>
      <c r="J2267" s="17"/>
      <c r="K2267" s="17"/>
      <c r="L2267" s="17"/>
      <c r="M2267" s="34" t="s">
        <v>6589</v>
      </c>
      <c r="N2267" s="17">
        <v>8910125297</v>
      </c>
      <c r="O2267" s="17">
        <v>24</v>
      </c>
      <c r="P2267" s="17">
        <v>90</v>
      </c>
      <c r="Q2267" s="17" t="s">
        <v>73</v>
      </c>
      <c r="R2267" s="17" t="s">
        <v>142</v>
      </c>
      <c r="S2267" s="17" t="s">
        <v>75</v>
      </c>
      <c r="T2267" s="17"/>
      <c r="U2267" s="17" t="s">
        <v>160</v>
      </c>
      <c r="V2267" s="17" t="s">
        <v>77</v>
      </c>
      <c r="W2267" s="17" t="s">
        <v>252</v>
      </c>
      <c r="X2267" s="17">
        <v>5</v>
      </c>
      <c r="Y2267" s="17">
        <v>0</v>
      </c>
      <c r="Z2267" s="17"/>
      <c r="AA2267" s="17" t="s">
        <v>73</v>
      </c>
      <c r="AB2267" s="17" t="s">
        <v>79</v>
      </c>
      <c r="AC2267" s="17">
        <v>3</v>
      </c>
      <c r="AD2267" s="17">
        <v>0</v>
      </c>
      <c r="AE2267" s="17">
        <v>0</v>
      </c>
      <c r="AF2267" s="17"/>
      <c r="AG2267" s="17" t="s">
        <v>124</v>
      </c>
      <c r="AH2267" s="17" t="s">
        <v>162</v>
      </c>
      <c r="AI2267" s="17" t="s">
        <v>83</v>
      </c>
      <c r="AJ2267" s="17">
        <v>2112</v>
      </c>
      <c r="AK2267" s="17" t="s">
        <v>75</v>
      </c>
      <c r="AL2267" s="17" t="s">
        <v>75</v>
      </c>
      <c r="AM2267" s="17" t="s">
        <v>75</v>
      </c>
      <c r="AN2267" s="17" t="s">
        <v>125</v>
      </c>
      <c r="AO2267" s="17" t="s">
        <v>75</v>
      </c>
      <c r="AP2267" s="17"/>
      <c r="AQ2267" s="17"/>
      <c r="AR2267" s="17"/>
      <c r="AS2267" s="17"/>
      <c r="AT2267" s="17" t="s">
        <v>6593</v>
      </c>
      <c r="AU2267" s="17" t="s">
        <v>111</v>
      </c>
    </row>
    <row r="2268" hidden="1">
      <c r="A2268" s="17">
        <v>2266</v>
      </c>
      <c r="B2268" s="17" t="s">
        <v>52</v>
      </c>
      <c r="C2268" s="34" t="s">
        <v>6594</v>
      </c>
      <c r="D2268" s="35" t="s">
        <v>6576</v>
      </c>
      <c r="E2268" s="17" t="s">
        <v>6595</v>
      </c>
      <c r="F2268" s="17" t="s">
        <v>6596</v>
      </c>
      <c r="G2268" s="17">
        <v>22.036332999999999</v>
      </c>
      <c r="H2268" s="17">
        <v>87.509878999999998</v>
      </c>
      <c r="I2268" s="17"/>
      <c r="J2268" s="17"/>
      <c r="K2268" s="17"/>
      <c r="L2268" s="17"/>
      <c r="M2268" s="34" t="s">
        <v>6589</v>
      </c>
      <c r="N2268" s="17">
        <v>8910125297</v>
      </c>
      <c r="O2268" s="17">
        <v>24</v>
      </c>
      <c r="P2268" s="17">
        <v>80</v>
      </c>
      <c r="Q2268" s="17" t="s">
        <v>73</v>
      </c>
      <c r="R2268" s="17" t="s">
        <v>74</v>
      </c>
      <c r="S2268" s="17" t="s">
        <v>75</v>
      </c>
      <c r="T2268" s="17"/>
      <c r="U2268" s="17" t="s">
        <v>105</v>
      </c>
      <c r="V2268" s="17" t="s">
        <v>77</v>
      </c>
      <c r="W2268" s="17" t="s">
        <v>454</v>
      </c>
      <c r="X2268" s="17">
        <v>3</v>
      </c>
      <c r="Y2268" s="17">
        <v>0</v>
      </c>
      <c r="Z2268" s="17"/>
      <c r="AA2268" s="17" t="s">
        <v>73</v>
      </c>
      <c r="AB2268" s="17" t="s">
        <v>79</v>
      </c>
      <c r="AC2268" s="17">
        <v>2</v>
      </c>
      <c r="AD2268" s="17">
        <v>0</v>
      </c>
      <c r="AE2268" s="17">
        <v>1</v>
      </c>
      <c r="AF2268" s="17" t="s">
        <v>6597</v>
      </c>
      <c r="AG2268" s="17" t="s">
        <v>724</v>
      </c>
      <c r="AH2268" s="17"/>
      <c r="AI2268" s="17"/>
      <c r="AJ2268" s="17"/>
      <c r="AK2268" s="17"/>
      <c r="AL2268" s="17"/>
      <c r="AM2268" s="17"/>
      <c r="AN2268" s="17"/>
      <c r="AO2268" s="17"/>
      <c r="AP2268" s="17"/>
      <c r="AQ2268" s="17"/>
      <c r="AR2268" s="17"/>
      <c r="AS2268" s="17"/>
      <c r="AT2268" s="17" t="s">
        <v>6598</v>
      </c>
      <c r="AU2268" s="17" t="s">
        <v>127</v>
      </c>
    </row>
    <row r="2269" hidden="1">
      <c r="A2269" s="17">
        <v>2267</v>
      </c>
      <c r="B2269" s="17" t="s">
        <v>52</v>
      </c>
      <c r="C2269" s="34" t="s">
        <v>6599</v>
      </c>
      <c r="D2269" s="35" t="s">
        <v>6576</v>
      </c>
      <c r="E2269" s="17" t="s">
        <v>6600</v>
      </c>
      <c r="F2269" s="17" t="s">
        <v>6601</v>
      </c>
      <c r="G2269" s="17">
        <v>21.857868</v>
      </c>
      <c r="H2269" s="17">
        <v>87.459637000000001</v>
      </c>
      <c r="I2269" s="17"/>
      <c r="J2269" s="17"/>
      <c r="K2269" s="17"/>
      <c r="L2269" s="17"/>
      <c r="M2269" s="34" t="s">
        <v>6589</v>
      </c>
      <c r="N2269" s="17">
        <v>8910125297</v>
      </c>
      <c r="O2269" s="17">
        <v>24</v>
      </c>
      <c r="P2269" s="17">
        <v>85</v>
      </c>
      <c r="Q2269" s="17" t="s">
        <v>105</v>
      </c>
      <c r="R2269" s="17" t="s">
        <v>74</v>
      </c>
      <c r="S2269" s="17" t="s">
        <v>75</v>
      </c>
      <c r="T2269" s="17"/>
      <c r="U2269" s="17" t="s">
        <v>105</v>
      </c>
      <c r="V2269" s="17" t="s">
        <v>77</v>
      </c>
      <c r="W2269" s="17" t="s">
        <v>454</v>
      </c>
      <c r="X2269" s="17">
        <v>3</v>
      </c>
      <c r="Y2269" s="17">
        <v>1</v>
      </c>
      <c r="Z2269" s="17"/>
      <c r="AA2269" s="17" t="s">
        <v>105</v>
      </c>
      <c r="AB2269" s="17" t="s">
        <v>79</v>
      </c>
      <c r="AC2269" s="17">
        <v>2</v>
      </c>
      <c r="AD2269" s="17">
        <v>0</v>
      </c>
      <c r="AE2269" s="17">
        <v>1</v>
      </c>
      <c r="AF2269" s="17" t="s">
        <v>6602</v>
      </c>
      <c r="AG2269" s="17" t="s">
        <v>724</v>
      </c>
      <c r="AH2269" s="17"/>
      <c r="AI2269" s="17"/>
      <c r="AJ2269" s="17"/>
      <c r="AK2269" s="17"/>
      <c r="AL2269" s="17"/>
      <c r="AM2269" s="17"/>
      <c r="AN2269" s="17"/>
      <c r="AO2269" s="17"/>
      <c r="AP2269" s="17"/>
      <c r="AQ2269" s="17"/>
      <c r="AR2269" s="17"/>
      <c r="AS2269" s="17"/>
      <c r="AT2269" s="17" t="s">
        <v>80</v>
      </c>
      <c r="AU2269" s="17" t="s">
        <v>127</v>
      </c>
    </row>
    <row r="2270" hidden="1">
      <c r="A2270" s="17">
        <v>2268</v>
      </c>
      <c r="B2270" s="17" t="s">
        <v>52</v>
      </c>
      <c r="C2270" s="34" t="s">
        <v>6603</v>
      </c>
      <c r="D2270" s="35" t="s">
        <v>6576</v>
      </c>
      <c r="E2270" s="17"/>
      <c r="F2270" s="17"/>
      <c r="G2270" s="17"/>
      <c r="H2270" s="17"/>
      <c r="I2270" s="17"/>
      <c r="J2270" s="17"/>
      <c r="K2270" s="17"/>
      <c r="L2270" s="17"/>
      <c r="M2270" s="34" t="s">
        <v>6589</v>
      </c>
      <c r="N2270" s="17"/>
      <c r="O2270" s="17"/>
      <c r="P2270" s="17"/>
      <c r="Q2270" s="17"/>
      <c r="R2270" s="17"/>
      <c r="S2270" s="17"/>
      <c r="T2270" s="17"/>
      <c r="U2270" s="17"/>
      <c r="V2270" s="17"/>
      <c r="W2270" s="17"/>
      <c r="X2270" s="17"/>
      <c r="Y2270" s="17"/>
      <c r="Z2270" s="17"/>
      <c r="AA2270" s="17"/>
      <c r="AB2270" s="17"/>
      <c r="AC2270" s="17"/>
      <c r="AD2270" s="17"/>
      <c r="AE2270" s="17"/>
      <c r="AF2270" s="17"/>
      <c r="AG2270" s="17"/>
      <c r="AH2270" s="17"/>
      <c r="AI2270" s="17"/>
      <c r="AJ2270" s="17"/>
      <c r="AK2270" s="17"/>
      <c r="AL2270" s="17"/>
      <c r="AM2270" s="17"/>
      <c r="AN2270" s="17"/>
      <c r="AO2270" s="17"/>
      <c r="AP2270" s="17"/>
      <c r="AQ2270" s="17"/>
      <c r="AR2270" s="17"/>
      <c r="AS2270" s="17"/>
      <c r="AT2270" s="17"/>
      <c r="AU2270" s="17"/>
    </row>
    <row r="2271" hidden="1">
      <c r="A2271" s="17">
        <v>2269</v>
      </c>
      <c r="B2271" s="17" t="s">
        <v>52</v>
      </c>
      <c r="C2271" s="34" t="s">
        <v>6604</v>
      </c>
      <c r="D2271" s="35" t="s">
        <v>6576</v>
      </c>
      <c r="E2271" s="17"/>
      <c r="F2271" s="17"/>
      <c r="G2271" s="17"/>
      <c r="H2271" s="17"/>
      <c r="I2271" s="17"/>
      <c r="J2271" s="17"/>
      <c r="K2271" s="17"/>
      <c r="L2271" s="17"/>
      <c r="M2271" s="34" t="s">
        <v>6589</v>
      </c>
      <c r="N2271" s="17"/>
      <c r="O2271" s="17"/>
      <c r="P2271" s="17"/>
      <c r="Q2271" s="17"/>
      <c r="R2271" s="17"/>
      <c r="S2271" s="17"/>
      <c r="T2271" s="17"/>
      <c r="U2271" s="17"/>
      <c r="V2271" s="17"/>
      <c r="W2271" s="17"/>
      <c r="X2271" s="17"/>
      <c r="Y2271" s="17"/>
      <c r="Z2271" s="17"/>
      <c r="AA2271" s="17"/>
      <c r="AB2271" s="17"/>
      <c r="AC2271" s="17"/>
      <c r="AD2271" s="17"/>
      <c r="AE2271" s="17"/>
      <c r="AF2271" s="17"/>
      <c r="AG2271" s="17"/>
      <c r="AH2271" s="17"/>
      <c r="AI2271" s="17"/>
      <c r="AJ2271" s="17"/>
      <c r="AK2271" s="17"/>
      <c r="AL2271" s="17"/>
      <c r="AM2271" s="17"/>
      <c r="AN2271" s="17"/>
      <c r="AO2271" s="17"/>
      <c r="AP2271" s="17"/>
      <c r="AQ2271" s="17"/>
      <c r="AR2271" s="17"/>
      <c r="AS2271" s="17"/>
      <c r="AT2271" s="17"/>
      <c r="AU2271" s="17"/>
    </row>
    <row r="2272" hidden="1">
      <c r="A2272" s="17">
        <v>2270</v>
      </c>
      <c r="B2272" s="17" t="s">
        <v>52</v>
      </c>
      <c r="C2272" s="34" t="s">
        <v>6605</v>
      </c>
      <c r="D2272" s="35" t="s">
        <v>6576</v>
      </c>
      <c r="E2272" s="17"/>
      <c r="F2272" s="17"/>
      <c r="G2272" s="17"/>
      <c r="H2272" s="17"/>
      <c r="I2272" s="17"/>
      <c r="J2272" s="17"/>
      <c r="K2272" s="17"/>
      <c r="L2272" s="17"/>
      <c r="M2272" s="34" t="s">
        <v>6589</v>
      </c>
      <c r="N2272" s="17"/>
      <c r="O2272" s="17"/>
      <c r="P2272" s="17"/>
      <c r="Q2272" s="17"/>
      <c r="R2272" s="17"/>
      <c r="S2272" s="17"/>
      <c r="T2272" s="17"/>
      <c r="U2272" s="17"/>
      <c r="V2272" s="17"/>
      <c r="W2272" s="17"/>
      <c r="X2272" s="17"/>
      <c r="Y2272" s="17"/>
      <c r="Z2272" s="17"/>
      <c r="AA2272" s="17"/>
      <c r="AB2272" s="17"/>
      <c r="AC2272" s="17"/>
      <c r="AD2272" s="17"/>
      <c r="AE2272" s="17"/>
      <c r="AF2272" s="17"/>
      <c r="AG2272" s="17"/>
      <c r="AH2272" s="17"/>
      <c r="AI2272" s="17"/>
      <c r="AJ2272" s="17"/>
      <c r="AK2272" s="17"/>
      <c r="AL2272" s="17"/>
      <c r="AM2272" s="17"/>
      <c r="AN2272" s="17"/>
      <c r="AO2272" s="17"/>
      <c r="AP2272" s="17"/>
      <c r="AQ2272" s="17"/>
      <c r="AR2272" s="17"/>
      <c r="AS2272" s="17"/>
      <c r="AT2272" s="17"/>
      <c r="AU2272" s="17"/>
    </row>
    <row r="2273" hidden="1">
      <c r="A2273" s="17">
        <v>2271</v>
      </c>
      <c r="B2273" s="17" t="s">
        <v>52</v>
      </c>
      <c r="C2273" s="34" t="s">
        <v>6606</v>
      </c>
      <c r="D2273" s="35" t="s">
        <v>6576</v>
      </c>
      <c r="E2273" s="17"/>
      <c r="F2273" s="17"/>
      <c r="G2273" s="17"/>
      <c r="H2273" s="17"/>
      <c r="I2273" s="17"/>
      <c r="J2273" s="17"/>
      <c r="K2273" s="17"/>
      <c r="L2273" s="17"/>
      <c r="M2273" s="34" t="s">
        <v>6589</v>
      </c>
      <c r="N2273" s="17"/>
      <c r="O2273" s="17"/>
      <c r="P2273" s="17"/>
      <c r="Q2273" s="17"/>
      <c r="R2273" s="17"/>
      <c r="S2273" s="17"/>
      <c r="T2273" s="17"/>
      <c r="U2273" s="17"/>
      <c r="V2273" s="17"/>
      <c r="W2273" s="17"/>
      <c r="X2273" s="17"/>
      <c r="Y2273" s="17"/>
      <c r="Z2273" s="17"/>
      <c r="AA2273" s="17"/>
      <c r="AB2273" s="17"/>
      <c r="AC2273" s="17"/>
      <c r="AD2273" s="17"/>
      <c r="AE2273" s="17"/>
      <c r="AF2273" s="17"/>
      <c r="AG2273" s="17"/>
      <c r="AH2273" s="17"/>
      <c r="AI2273" s="17"/>
      <c r="AJ2273" s="17"/>
      <c r="AK2273" s="17"/>
      <c r="AL2273" s="17"/>
      <c r="AM2273" s="17"/>
      <c r="AN2273" s="17"/>
      <c r="AO2273" s="17"/>
      <c r="AP2273" s="17"/>
      <c r="AQ2273" s="17"/>
      <c r="AR2273" s="17"/>
      <c r="AS2273" s="17"/>
      <c r="AT2273" s="17"/>
      <c r="AU2273" s="17"/>
    </row>
    <row r="2274" hidden="1">
      <c r="A2274" s="17">
        <v>2272</v>
      </c>
      <c r="B2274" s="17" t="s">
        <v>52</v>
      </c>
      <c r="C2274" s="34" t="s">
        <v>6607</v>
      </c>
      <c r="D2274" s="35" t="s">
        <v>6576</v>
      </c>
      <c r="E2274" s="17"/>
      <c r="F2274" s="17"/>
      <c r="G2274" s="17"/>
      <c r="H2274" s="17"/>
      <c r="I2274" s="17"/>
      <c r="J2274" s="17"/>
      <c r="K2274" s="17"/>
      <c r="L2274" s="17"/>
      <c r="M2274" s="34" t="s">
        <v>6589</v>
      </c>
      <c r="N2274" s="17"/>
      <c r="O2274" s="17"/>
      <c r="P2274" s="17"/>
      <c r="Q2274" s="17"/>
      <c r="R2274" s="17"/>
      <c r="S2274" s="17"/>
      <c r="T2274" s="17"/>
      <c r="U2274" s="17"/>
      <c r="V2274" s="17"/>
      <c r="W2274" s="17"/>
      <c r="X2274" s="17"/>
      <c r="Y2274" s="17"/>
      <c r="Z2274" s="17"/>
      <c r="AA2274" s="17"/>
      <c r="AB2274" s="17"/>
      <c r="AC2274" s="17"/>
      <c r="AD2274" s="17"/>
      <c r="AE2274" s="17"/>
      <c r="AF2274" s="17"/>
      <c r="AG2274" s="17"/>
      <c r="AH2274" s="17"/>
      <c r="AI2274" s="17"/>
      <c r="AJ2274" s="17"/>
      <c r="AK2274" s="17"/>
      <c r="AL2274" s="17"/>
      <c r="AM2274" s="17"/>
      <c r="AN2274" s="17"/>
      <c r="AO2274" s="17"/>
      <c r="AP2274" s="17"/>
      <c r="AQ2274" s="17"/>
      <c r="AR2274" s="17"/>
      <c r="AS2274" s="17"/>
      <c r="AT2274" s="17"/>
      <c r="AU2274" s="17"/>
    </row>
    <row r="2275" hidden="1">
      <c r="A2275" s="17">
        <v>2273</v>
      </c>
      <c r="B2275" s="17" t="s">
        <v>52</v>
      </c>
      <c r="C2275" s="34" t="s">
        <v>6608</v>
      </c>
      <c r="D2275" s="35" t="s">
        <v>6576</v>
      </c>
      <c r="E2275" s="17"/>
      <c r="F2275" s="17"/>
      <c r="G2275" s="17"/>
      <c r="H2275" s="17"/>
      <c r="I2275" s="17"/>
      <c r="J2275" s="17"/>
      <c r="K2275" s="17"/>
      <c r="L2275" s="17"/>
      <c r="M2275" s="34" t="s">
        <v>6589</v>
      </c>
      <c r="N2275" s="17"/>
      <c r="O2275" s="17"/>
      <c r="P2275" s="17"/>
      <c r="Q2275" s="17"/>
      <c r="R2275" s="17"/>
      <c r="S2275" s="17"/>
      <c r="T2275" s="17"/>
      <c r="U2275" s="17"/>
      <c r="V2275" s="17"/>
      <c r="W2275" s="17"/>
      <c r="X2275" s="17"/>
      <c r="Y2275" s="17"/>
      <c r="Z2275" s="17"/>
      <c r="AA2275" s="17"/>
      <c r="AB2275" s="17"/>
      <c r="AC2275" s="17"/>
      <c r="AD2275" s="17"/>
      <c r="AE2275" s="17"/>
      <c r="AF2275" s="17"/>
      <c r="AG2275" s="17"/>
      <c r="AH2275" s="17"/>
      <c r="AI2275" s="17"/>
      <c r="AJ2275" s="17"/>
      <c r="AK2275" s="17"/>
      <c r="AL2275" s="17"/>
      <c r="AM2275" s="17"/>
      <c r="AN2275" s="17"/>
      <c r="AO2275" s="17"/>
      <c r="AP2275" s="17"/>
      <c r="AQ2275" s="17"/>
      <c r="AR2275" s="17"/>
      <c r="AS2275" s="17"/>
      <c r="AT2275" s="17"/>
      <c r="AU2275" s="17"/>
    </row>
    <row r="2276" hidden="1">
      <c r="A2276" s="17">
        <v>2274</v>
      </c>
      <c r="B2276" s="17" t="s">
        <v>52</v>
      </c>
      <c r="C2276" s="34" t="s">
        <v>6609</v>
      </c>
      <c r="D2276" s="35" t="s">
        <v>6576</v>
      </c>
      <c r="E2276" s="17"/>
      <c r="F2276" s="17"/>
      <c r="G2276" s="17"/>
      <c r="H2276" s="17"/>
      <c r="I2276" s="17"/>
      <c r="J2276" s="17"/>
      <c r="K2276" s="17"/>
      <c r="L2276" s="17"/>
      <c r="M2276" s="34" t="s">
        <v>6589</v>
      </c>
      <c r="N2276" s="17"/>
      <c r="O2276" s="17"/>
      <c r="P2276" s="17"/>
      <c r="Q2276" s="17"/>
      <c r="R2276" s="17"/>
      <c r="S2276" s="17"/>
      <c r="T2276" s="17"/>
      <c r="U2276" s="17"/>
      <c r="V2276" s="17"/>
      <c r="W2276" s="17"/>
      <c r="X2276" s="17"/>
      <c r="Y2276" s="17"/>
      <c r="Z2276" s="17"/>
      <c r="AA2276" s="17"/>
      <c r="AB2276" s="17"/>
      <c r="AC2276" s="17"/>
      <c r="AD2276" s="17"/>
      <c r="AE2276" s="17"/>
      <c r="AF2276" s="17"/>
      <c r="AG2276" s="17"/>
      <c r="AH2276" s="17"/>
      <c r="AI2276" s="17"/>
      <c r="AJ2276" s="17"/>
      <c r="AK2276" s="17"/>
      <c r="AL2276" s="17"/>
      <c r="AM2276" s="17"/>
      <c r="AN2276" s="17"/>
      <c r="AO2276" s="17"/>
      <c r="AP2276" s="17"/>
      <c r="AQ2276" s="17"/>
      <c r="AR2276" s="17"/>
      <c r="AS2276" s="17"/>
      <c r="AT2276" s="17"/>
      <c r="AU2276" s="17"/>
    </row>
    <row r="2277" hidden="1">
      <c r="A2277" s="17">
        <v>2275</v>
      </c>
      <c r="B2277" s="17" t="s">
        <v>52</v>
      </c>
      <c r="C2277" s="34" t="s">
        <v>6610</v>
      </c>
      <c r="D2277" s="35" t="s">
        <v>6576</v>
      </c>
      <c r="E2277" s="17"/>
      <c r="F2277" s="17"/>
      <c r="G2277" s="17"/>
      <c r="H2277" s="17"/>
      <c r="I2277" s="17"/>
      <c r="J2277" s="17"/>
      <c r="K2277" s="17"/>
      <c r="L2277" s="17"/>
      <c r="M2277" s="34" t="s">
        <v>6589</v>
      </c>
      <c r="N2277" s="17"/>
      <c r="O2277" s="17"/>
      <c r="P2277" s="17"/>
      <c r="Q2277" s="17"/>
      <c r="R2277" s="17"/>
      <c r="S2277" s="17"/>
      <c r="T2277" s="17"/>
      <c r="U2277" s="17"/>
      <c r="V2277" s="17"/>
      <c r="W2277" s="17"/>
      <c r="X2277" s="17"/>
      <c r="Y2277" s="17"/>
      <c r="Z2277" s="17"/>
      <c r="AA2277" s="17"/>
      <c r="AB2277" s="17"/>
      <c r="AC2277" s="17"/>
      <c r="AD2277" s="17"/>
      <c r="AE2277" s="17"/>
      <c r="AF2277" s="17"/>
      <c r="AG2277" s="17"/>
      <c r="AH2277" s="17"/>
      <c r="AI2277" s="17"/>
      <c r="AJ2277" s="17"/>
      <c r="AK2277" s="17"/>
      <c r="AL2277" s="17"/>
      <c r="AM2277" s="17"/>
      <c r="AN2277" s="17"/>
      <c r="AO2277" s="17"/>
      <c r="AP2277" s="17"/>
      <c r="AQ2277" s="17"/>
      <c r="AR2277" s="17"/>
      <c r="AS2277" s="17"/>
      <c r="AT2277" s="17"/>
      <c r="AU2277" s="17"/>
    </row>
    <row r="2278" hidden="1">
      <c r="A2278" s="17">
        <v>2276</v>
      </c>
      <c r="B2278" s="17" t="s">
        <v>52</v>
      </c>
      <c r="C2278" s="34" t="s">
        <v>6611</v>
      </c>
      <c r="D2278" s="35" t="s">
        <v>6576</v>
      </c>
      <c r="E2278" s="17"/>
      <c r="F2278" s="17"/>
      <c r="G2278" s="17"/>
      <c r="H2278" s="17"/>
      <c r="I2278" s="17"/>
      <c r="J2278" s="17"/>
      <c r="K2278" s="17"/>
      <c r="L2278" s="17"/>
      <c r="M2278" s="34" t="s">
        <v>6589</v>
      </c>
      <c r="N2278" s="17"/>
      <c r="O2278" s="17"/>
      <c r="P2278" s="17"/>
      <c r="Q2278" s="17"/>
      <c r="R2278" s="17"/>
      <c r="S2278" s="17"/>
      <c r="T2278" s="17"/>
      <c r="U2278" s="17"/>
      <c r="V2278" s="17"/>
      <c r="W2278" s="17"/>
      <c r="X2278" s="17"/>
      <c r="Y2278" s="17"/>
      <c r="Z2278" s="17"/>
      <c r="AA2278" s="17"/>
      <c r="AB2278" s="17"/>
      <c r="AC2278" s="17"/>
      <c r="AD2278" s="17"/>
      <c r="AE2278" s="17"/>
      <c r="AF2278" s="17"/>
      <c r="AG2278" s="17"/>
      <c r="AH2278" s="17"/>
      <c r="AI2278" s="17"/>
      <c r="AJ2278" s="17"/>
      <c r="AK2278" s="17"/>
      <c r="AL2278" s="17"/>
      <c r="AM2278" s="17"/>
      <c r="AN2278" s="17"/>
      <c r="AO2278" s="17"/>
      <c r="AP2278" s="17"/>
      <c r="AQ2278" s="17"/>
      <c r="AR2278" s="17"/>
      <c r="AS2278" s="17"/>
      <c r="AT2278" s="17"/>
      <c r="AU2278" s="17"/>
    </row>
    <row r="2279" hidden="1">
      <c r="A2279" s="17">
        <v>2277</v>
      </c>
      <c r="B2279" s="17" t="s">
        <v>52</v>
      </c>
      <c r="C2279" s="34" t="s">
        <v>6612</v>
      </c>
      <c r="D2279" s="35" t="s">
        <v>6576</v>
      </c>
      <c r="E2279" s="17"/>
      <c r="F2279" s="17"/>
      <c r="G2279" s="17"/>
      <c r="H2279" s="17"/>
      <c r="I2279" s="17"/>
      <c r="J2279" s="17"/>
      <c r="K2279" s="17"/>
      <c r="L2279" s="17"/>
      <c r="M2279" s="34" t="s">
        <v>6589</v>
      </c>
      <c r="N2279" s="17"/>
      <c r="O2279" s="17"/>
      <c r="P2279" s="17"/>
      <c r="Q2279" s="17"/>
      <c r="R2279" s="17"/>
      <c r="S2279" s="17"/>
      <c r="T2279" s="17"/>
      <c r="U2279" s="17"/>
      <c r="V2279" s="17"/>
      <c r="W2279" s="17"/>
      <c r="X2279" s="17"/>
      <c r="Y2279" s="17"/>
      <c r="Z2279" s="17"/>
      <c r="AA2279" s="17"/>
      <c r="AB2279" s="17"/>
      <c r="AC2279" s="17"/>
      <c r="AD2279" s="17"/>
      <c r="AE2279" s="17"/>
      <c r="AF2279" s="17"/>
      <c r="AG2279" s="17"/>
      <c r="AH2279" s="17"/>
      <c r="AI2279" s="17"/>
      <c r="AJ2279" s="17"/>
      <c r="AK2279" s="17"/>
      <c r="AL2279" s="17"/>
      <c r="AM2279" s="17"/>
      <c r="AN2279" s="17"/>
      <c r="AO2279" s="17"/>
      <c r="AP2279" s="17"/>
      <c r="AQ2279" s="17"/>
      <c r="AR2279" s="17"/>
      <c r="AS2279" s="17"/>
      <c r="AT2279" s="17"/>
      <c r="AU2279" s="17"/>
    </row>
    <row r="2280" hidden="1">
      <c r="A2280" s="17">
        <v>2278</v>
      </c>
      <c r="B2280" s="17" t="s">
        <v>52</v>
      </c>
      <c r="C2280" s="34" t="s">
        <v>6613</v>
      </c>
      <c r="D2280" s="35" t="s">
        <v>6576</v>
      </c>
      <c r="E2280" s="17"/>
      <c r="F2280" s="17"/>
      <c r="G2280" s="17"/>
      <c r="H2280" s="17"/>
      <c r="I2280" s="17"/>
      <c r="J2280" s="17"/>
      <c r="K2280" s="17"/>
      <c r="L2280" s="17"/>
      <c r="M2280" s="34" t="s">
        <v>6589</v>
      </c>
      <c r="N2280" s="17"/>
      <c r="O2280" s="17"/>
      <c r="P2280" s="17"/>
      <c r="Q2280" s="17"/>
      <c r="R2280" s="17"/>
      <c r="S2280" s="17"/>
      <c r="T2280" s="17"/>
      <c r="U2280" s="17"/>
      <c r="V2280" s="17"/>
      <c r="W2280" s="17"/>
      <c r="X2280" s="17"/>
      <c r="Y2280" s="17"/>
      <c r="Z2280" s="17"/>
      <c r="AA2280" s="17"/>
      <c r="AB2280" s="17"/>
      <c r="AC2280" s="17"/>
      <c r="AD2280" s="17"/>
      <c r="AE2280" s="17"/>
      <c r="AF2280" s="17"/>
      <c r="AG2280" s="17"/>
      <c r="AH2280" s="17"/>
      <c r="AI2280" s="17"/>
      <c r="AJ2280" s="17"/>
      <c r="AK2280" s="17"/>
      <c r="AL2280" s="17"/>
      <c r="AM2280" s="17"/>
      <c r="AN2280" s="17"/>
      <c r="AO2280" s="17"/>
      <c r="AP2280" s="17"/>
      <c r="AQ2280" s="17"/>
      <c r="AR2280" s="17"/>
      <c r="AS2280" s="17"/>
      <c r="AT2280" s="17"/>
      <c r="AU2280" s="17"/>
    </row>
    <row r="2281" hidden="1">
      <c r="A2281" s="17">
        <v>2279</v>
      </c>
      <c r="B2281" s="17" t="s">
        <v>52</v>
      </c>
      <c r="C2281" s="34" t="s">
        <v>6614</v>
      </c>
      <c r="D2281" s="35" t="s">
        <v>6576</v>
      </c>
      <c r="E2281" s="17"/>
      <c r="F2281" s="17"/>
      <c r="G2281" s="17"/>
      <c r="H2281" s="17"/>
      <c r="I2281" s="17"/>
      <c r="J2281" s="17"/>
      <c r="K2281" s="17"/>
      <c r="L2281" s="17"/>
      <c r="M2281" s="34" t="s">
        <v>6589</v>
      </c>
      <c r="N2281" s="17"/>
      <c r="O2281" s="17"/>
      <c r="P2281" s="17"/>
      <c r="Q2281" s="17"/>
      <c r="R2281" s="17"/>
      <c r="S2281" s="17"/>
      <c r="T2281" s="17"/>
      <c r="U2281" s="17"/>
      <c r="V2281" s="17"/>
      <c r="W2281" s="17"/>
      <c r="X2281" s="17"/>
      <c r="Y2281" s="17"/>
      <c r="Z2281" s="17"/>
      <c r="AA2281" s="17"/>
      <c r="AB2281" s="17"/>
      <c r="AC2281" s="17"/>
      <c r="AD2281" s="17"/>
      <c r="AE2281" s="17"/>
      <c r="AF2281" s="17"/>
      <c r="AG2281" s="17"/>
      <c r="AH2281" s="17"/>
      <c r="AI2281" s="17"/>
      <c r="AJ2281" s="17"/>
      <c r="AK2281" s="17"/>
      <c r="AL2281" s="17"/>
      <c r="AM2281" s="17"/>
      <c r="AN2281" s="17"/>
      <c r="AO2281" s="17"/>
      <c r="AP2281" s="17"/>
      <c r="AQ2281" s="17"/>
      <c r="AR2281" s="17"/>
      <c r="AS2281" s="17"/>
      <c r="AT2281" s="17"/>
      <c r="AU2281" s="17"/>
    </row>
    <row r="2282" hidden="1">
      <c r="A2282" s="17">
        <v>2280</v>
      </c>
      <c r="B2282" s="17" t="s">
        <v>52</v>
      </c>
      <c r="C2282" s="34" t="s">
        <v>6615</v>
      </c>
      <c r="D2282" s="35" t="s">
        <v>6576</v>
      </c>
      <c r="E2282" s="17"/>
      <c r="F2282" s="17"/>
      <c r="G2282" s="17"/>
      <c r="H2282" s="17"/>
      <c r="I2282" s="17"/>
      <c r="J2282" s="17"/>
      <c r="K2282" s="17"/>
      <c r="L2282" s="17"/>
      <c r="M2282" s="34" t="s">
        <v>6589</v>
      </c>
      <c r="N2282" s="17"/>
      <c r="O2282" s="17"/>
      <c r="P2282" s="17"/>
      <c r="Q2282" s="17"/>
      <c r="R2282" s="17"/>
      <c r="S2282" s="17"/>
      <c r="T2282" s="17"/>
      <c r="U2282" s="17"/>
      <c r="V2282" s="17"/>
      <c r="W2282" s="17"/>
      <c r="X2282" s="17"/>
      <c r="Y2282" s="17"/>
      <c r="Z2282" s="17"/>
      <c r="AA2282" s="17"/>
      <c r="AB2282" s="17"/>
      <c r="AC2282" s="17"/>
      <c r="AD2282" s="17"/>
      <c r="AE2282" s="17"/>
      <c r="AF2282" s="17"/>
      <c r="AG2282" s="17"/>
      <c r="AH2282" s="17"/>
      <c r="AI2282" s="17"/>
      <c r="AJ2282" s="17"/>
      <c r="AK2282" s="17"/>
      <c r="AL2282" s="17"/>
      <c r="AM2282" s="17"/>
      <c r="AN2282" s="17"/>
      <c r="AO2282" s="17"/>
      <c r="AP2282" s="17"/>
      <c r="AQ2282" s="17"/>
      <c r="AR2282" s="17"/>
      <c r="AS2282" s="17"/>
      <c r="AT2282" s="17"/>
      <c r="AU2282" s="17"/>
    </row>
    <row r="2283" hidden="1">
      <c r="A2283" s="17">
        <v>2281</v>
      </c>
      <c r="B2283" s="17" t="s">
        <v>52</v>
      </c>
      <c r="C2283" s="34" t="s">
        <v>6616</v>
      </c>
      <c r="D2283" s="35" t="s">
        <v>6576</v>
      </c>
      <c r="E2283" s="17"/>
      <c r="F2283" s="17"/>
      <c r="G2283" s="17"/>
      <c r="H2283" s="17"/>
      <c r="I2283" s="17"/>
      <c r="J2283" s="17"/>
      <c r="K2283" s="17"/>
      <c r="L2283" s="17"/>
      <c r="M2283" s="34" t="s">
        <v>6589</v>
      </c>
      <c r="N2283" s="17"/>
      <c r="O2283" s="17"/>
      <c r="P2283" s="17"/>
      <c r="Q2283" s="17"/>
      <c r="R2283" s="17"/>
      <c r="S2283" s="17"/>
      <c r="T2283" s="17"/>
      <c r="U2283" s="17"/>
      <c r="V2283" s="17"/>
      <c r="W2283" s="17"/>
      <c r="X2283" s="17"/>
      <c r="Y2283" s="17"/>
      <c r="Z2283" s="17"/>
      <c r="AA2283" s="17"/>
      <c r="AB2283" s="17"/>
      <c r="AC2283" s="17"/>
      <c r="AD2283" s="17"/>
      <c r="AE2283" s="17"/>
      <c r="AF2283" s="17"/>
      <c r="AG2283" s="17"/>
      <c r="AH2283" s="17"/>
      <c r="AI2283" s="17"/>
      <c r="AJ2283" s="17"/>
      <c r="AK2283" s="17"/>
      <c r="AL2283" s="17"/>
      <c r="AM2283" s="17"/>
      <c r="AN2283" s="17"/>
      <c r="AO2283" s="17"/>
      <c r="AP2283" s="17"/>
      <c r="AQ2283" s="17"/>
      <c r="AR2283" s="17"/>
      <c r="AS2283" s="17"/>
      <c r="AT2283" s="17"/>
      <c r="AU2283" s="17"/>
    </row>
    <row r="2284" hidden="1">
      <c r="A2284" s="17">
        <v>2282</v>
      </c>
      <c r="B2284" s="17" t="s">
        <v>52</v>
      </c>
      <c r="C2284" s="34" t="s">
        <v>6617</v>
      </c>
      <c r="D2284" s="35" t="s">
        <v>6576</v>
      </c>
      <c r="E2284" s="17"/>
      <c r="F2284" s="17"/>
      <c r="G2284" s="17"/>
      <c r="H2284" s="17"/>
      <c r="I2284" s="17"/>
      <c r="J2284" s="17"/>
      <c r="K2284" s="17"/>
      <c r="L2284" s="17"/>
      <c r="M2284" s="34" t="s">
        <v>6589</v>
      </c>
      <c r="N2284" s="17"/>
      <c r="O2284" s="17"/>
      <c r="P2284" s="17"/>
      <c r="Q2284" s="17"/>
      <c r="R2284" s="17"/>
      <c r="S2284" s="17"/>
      <c r="T2284" s="17"/>
      <c r="U2284" s="17"/>
      <c r="V2284" s="17"/>
      <c r="W2284" s="17"/>
      <c r="X2284" s="17"/>
      <c r="Y2284" s="17"/>
      <c r="Z2284" s="17"/>
      <c r="AA2284" s="17"/>
      <c r="AB2284" s="17"/>
      <c r="AC2284" s="17"/>
      <c r="AD2284" s="17"/>
      <c r="AE2284" s="17"/>
      <c r="AF2284" s="17"/>
      <c r="AG2284" s="17"/>
      <c r="AH2284" s="17"/>
      <c r="AI2284" s="17"/>
      <c r="AJ2284" s="17"/>
      <c r="AK2284" s="17"/>
      <c r="AL2284" s="17"/>
      <c r="AM2284" s="17"/>
      <c r="AN2284" s="17"/>
      <c r="AO2284" s="17"/>
      <c r="AP2284" s="17"/>
      <c r="AQ2284" s="17"/>
      <c r="AR2284" s="17"/>
      <c r="AS2284" s="17"/>
      <c r="AT2284" s="17"/>
      <c r="AU2284" s="17"/>
    </row>
    <row r="2285" hidden="1">
      <c r="A2285" s="17">
        <v>2283</v>
      </c>
      <c r="B2285" s="17" t="s">
        <v>52</v>
      </c>
      <c r="C2285" s="34" t="s">
        <v>6618</v>
      </c>
      <c r="D2285" s="35" t="s">
        <v>6576</v>
      </c>
      <c r="E2285" s="17"/>
      <c r="F2285" s="17"/>
      <c r="G2285" s="17"/>
      <c r="H2285" s="17"/>
      <c r="I2285" s="17"/>
      <c r="J2285" s="17"/>
      <c r="K2285" s="17"/>
      <c r="L2285" s="17"/>
      <c r="M2285" s="34" t="s">
        <v>6589</v>
      </c>
      <c r="N2285" s="17"/>
      <c r="O2285" s="17"/>
      <c r="P2285" s="17"/>
      <c r="Q2285" s="17"/>
      <c r="R2285" s="17"/>
      <c r="S2285" s="17"/>
      <c r="T2285" s="17"/>
      <c r="U2285" s="17"/>
      <c r="V2285" s="17"/>
      <c r="W2285" s="17"/>
      <c r="X2285" s="17"/>
      <c r="Y2285" s="17"/>
      <c r="Z2285" s="17"/>
      <c r="AA2285" s="17"/>
      <c r="AB2285" s="17"/>
      <c r="AC2285" s="17"/>
      <c r="AD2285" s="17"/>
      <c r="AE2285" s="17"/>
      <c r="AF2285" s="17"/>
      <c r="AG2285" s="17"/>
      <c r="AH2285" s="17"/>
      <c r="AI2285" s="17"/>
      <c r="AJ2285" s="17"/>
      <c r="AK2285" s="17"/>
      <c r="AL2285" s="17"/>
      <c r="AM2285" s="17"/>
      <c r="AN2285" s="17"/>
      <c r="AO2285" s="17"/>
      <c r="AP2285" s="17"/>
      <c r="AQ2285" s="17"/>
      <c r="AR2285" s="17"/>
      <c r="AS2285" s="17"/>
      <c r="AT2285" s="17"/>
      <c r="AU2285" s="17"/>
    </row>
    <row r="2286" hidden="1">
      <c r="A2286" s="17">
        <v>2284</v>
      </c>
      <c r="B2286" s="17" t="s">
        <v>52</v>
      </c>
      <c r="C2286" s="34" t="s">
        <v>6619</v>
      </c>
      <c r="D2286" s="35" t="s">
        <v>6576</v>
      </c>
      <c r="E2286" s="17"/>
      <c r="F2286" s="17"/>
      <c r="G2286" s="17"/>
      <c r="H2286" s="17"/>
      <c r="I2286" s="17"/>
      <c r="J2286" s="17"/>
      <c r="K2286" s="17"/>
      <c r="L2286" s="17"/>
      <c r="M2286" s="34" t="s">
        <v>6589</v>
      </c>
      <c r="N2286" s="17"/>
      <c r="O2286" s="17"/>
      <c r="P2286" s="17"/>
      <c r="Q2286" s="17"/>
      <c r="R2286" s="17"/>
      <c r="S2286" s="17"/>
      <c r="T2286" s="17"/>
      <c r="U2286" s="17"/>
      <c r="V2286" s="17"/>
      <c r="W2286" s="17"/>
      <c r="X2286" s="17"/>
      <c r="Y2286" s="17"/>
      <c r="Z2286" s="17"/>
      <c r="AA2286" s="17"/>
      <c r="AB2286" s="17"/>
      <c r="AC2286" s="17"/>
      <c r="AD2286" s="17"/>
      <c r="AE2286" s="17"/>
      <c r="AF2286" s="17"/>
      <c r="AG2286" s="17"/>
      <c r="AH2286" s="17"/>
      <c r="AI2286" s="17"/>
      <c r="AJ2286" s="17"/>
      <c r="AK2286" s="17"/>
      <c r="AL2286" s="17"/>
      <c r="AM2286" s="17"/>
      <c r="AN2286" s="17"/>
      <c r="AO2286" s="17"/>
      <c r="AP2286" s="17"/>
      <c r="AQ2286" s="17"/>
      <c r="AR2286" s="17"/>
      <c r="AS2286" s="17"/>
      <c r="AT2286" s="17"/>
      <c r="AU2286" s="17"/>
    </row>
    <row r="2287" hidden="1">
      <c r="A2287" s="17">
        <v>2285</v>
      </c>
      <c r="B2287" s="17" t="s">
        <v>52</v>
      </c>
      <c r="C2287" s="34" t="s">
        <v>6620</v>
      </c>
      <c r="D2287" s="35" t="s">
        <v>6576</v>
      </c>
      <c r="E2287" s="17"/>
      <c r="F2287" s="17"/>
      <c r="G2287" s="17"/>
      <c r="H2287" s="17"/>
      <c r="I2287" s="17"/>
      <c r="J2287" s="17"/>
      <c r="K2287" s="17"/>
      <c r="L2287" s="17"/>
      <c r="M2287" s="34" t="s">
        <v>6589</v>
      </c>
      <c r="N2287" s="17"/>
      <c r="O2287" s="17"/>
      <c r="P2287" s="17"/>
      <c r="Q2287" s="17"/>
      <c r="R2287" s="17"/>
      <c r="S2287" s="17"/>
      <c r="T2287" s="17"/>
      <c r="U2287" s="17"/>
      <c r="V2287" s="17"/>
      <c r="W2287" s="17"/>
      <c r="X2287" s="17"/>
      <c r="Y2287" s="17"/>
      <c r="Z2287" s="17"/>
      <c r="AA2287" s="17"/>
      <c r="AB2287" s="17"/>
      <c r="AC2287" s="17"/>
      <c r="AD2287" s="17"/>
      <c r="AE2287" s="17"/>
      <c r="AF2287" s="17"/>
      <c r="AG2287" s="17"/>
      <c r="AH2287" s="17"/>
      <c r="AI2287" s="17"/>
      <c r="AJ2287" s="17"/>
      <c r="AK2287" s="17"/>
      <c r="AL2287" s="17"/>
      <c r="AM2287" s="17"/>
      <c r="AN2287" s="17"/>
      <c r="AO2287" s="17"/>
      <c r="AP2287" s="17"/>
      <c r="AQ2287" s="17"/>
      <c r="AR2287" s="17"/>
      <c r="AS2287" s="17"/>
      <c r="AT2287" s="17"/>
      <c r="AU2287" s="17"/>
    </row>
    <row r="2288" hidden="1">
      <c r="A2288" s="17">
        <v>2286</v>
      </c>
      <c r="B2288" s="17" t="s">
        <v>52</v>
      </c>
      <c r="C2288" s="34" t="s">
        <v>6621</v>
      </c>
      <c r="D2288" s="35" t="s">
        <v>6576</v>
      </c>
      <c r="E2288" s="17"/>
      <c r="F2288" s="17"/>
      <c r="G2288" s="17"/>
      <c r="H2288" s="17"/>
      <c r="I2288" s="17"/>
      <c r="J2288" s="17"/>
      <c r="K2288" s="17"/>
      <c r="L2288" s="17"/>
      <c r="M2288" s="34" t="s">
        <v>6589</v>
      </c>
      <c r="N2288" s="17"/>
      <c r="O2288" s="17"/>
      <c r="P2288" s="17"/>
      <c r="Q2288" s="17"/>
      <c r="R2288" s="17"/>
      <c r="S2288" s="17"/>
      <c r="T2288" s="17"/>
      <c r="U2288" s="17"/>
      <c r="V2288" s="17"/>
      <c r="W2288" s="17"/>
      <c r="X2288" s="17"/>
      <c r="Y2288" s="17"/>
      <c r="Z2288" s="17"/>
      <c r="AA2288" s="17"/>
      <c r="AB2288" s="17"/>
      <c r="AC2288" s="17"/>
      <c r="AD2288" s="17"/>
      <c r="AE2288" s="17"/>
      <c r="AF2288" s="17"/>
      <c r="AG2288" s="17"/>
      <c r="AH2288" s="17"/>
      <c r="AI2288" s="17"/>
      <c r="AJ2288" s="17"/>
      <c r="AK2288" s="17"/>
      <c r="AL2288" s="17"/>
      <c r="AM2288" s="17"/>
      <c r="AN2288" s="17"/>
      <c r="AO2288" s="17"/>
      <c r="AP2288" s="17"/>
      <c r="AQ2288" s="17"/>
      <c r="AR2288" s="17"/>
      <c r="AS2288" s="17"/>
      <c r="AT2288" s="17"/>
      <c r="AU2288" s="17"/>
    </row>
    <row r="2289" hidden="1">
      <c r="A2289" s="17">
        <v>2287</v>
      </c>
      <c r="B2289" s="17" t="s">
        <v>52</v>
      </c>
      <c r="C2289" s="34" t="s">
        <v>6622</v>
      </c>
      <c r="D2289" s="35" t="s">
        <v>6576</v>
      </c>
      <c r="E2289" s="17"/>
      <c r="F2289" s="17"/>
      <c r="G2289" s="17"/>
      <c r="H2289" s="17"/>
      <c r="I2289" s="17"/>
      <c r="J2289" s="17"/>
      <c r="K2289" s="17"/>
      <c r="L2289" s="17"/>
      <c r="M2289" s="34" t="s">
        <v>6589</v>
      </c>
      <c r="N2289" s="17"/>
      <c r="O2289" s="17"/>
      <c r="P2289" s="17"/>
      <c r="Q2289" s="17"/>
      <c r="R2289" s="17"/>
      <c r="S2289" s="17"/>
      <c r="T2289" s="17"/>
      <c r="U2289" s="17"/>
      <c r="V2289" s="17"/>
      <c r="W2289" s="17"/>
      <c r="X2289" s="17"/>
      <c r="Y2289" s="17"/>
      <c r="Z2289" s="17"/>
      <c r="AA2289" s="17"/>
      <c r="AB2289" s="17"/>
      <c r="AC2289" s="17"/>
      <c r="AD2289" s="17"/>
      <c r="AE2289" s="17"/>
      <c r="AF2289" s="17"/>
      <c r="AG2289" s="17"/>
      <c r="AH2289" s="17"/>
      <c r="AI2289" s="17"/>
      <c r="AJ2289" s="17"/>
      <c r="AK2289" s="17"/>
      <c r="AL2289" s="17"/>
      <c r="AM2289" s="17"/>
      <c r="AN2289" s="17"/>
      <c r="AO2289" s="17"/>
      <c r="AP2289" s="17"/>
      <c r="AQ2289" s="17"/>
      <c r="AR2289" s="17"/>
      <c r="AS2289" s="17"/>
      <c r="AT2289" s="17"/>
      <c r="AU2289" s="17"/>
    </row>
    <row r="2290" hidden="1">
      <c r="A2290" s="17">
        <v>2288</v>
      </c>
      <c r="B2290" s="17" t="s">
        <v>52</v>
      </c>
      <c r="C2290" s="34" t="s">
        <v>6623</v>
      </c>
      <c r="D2290" s="35" t="s">
        <v>6576</v>
      </c>
      <c r="E2290" s="17"/>
      <c r="F2290" s="17"/>
      <c r="G2290" s="17"/>
      <c r="H2290" s="17"/>
      <c r="I2290" s="17"/>
      <c r="J2290" s="17"/>
      <c r="K2290" s="17"/>
      <c r="L2290" s="17"/>
      <c r="M2290" s="34" t="s">
        <v>6589</v>
      </c>
      <c r="N2290" s="17"/>
      <c r="O2290" s="17"/>
      <c r="P2290" s="17"/>
      <c r="Q2290" s="17"/>
      <c r="R2290" s="17"/>
      <c r="S2290" s="17"/>
      <c r="T2290" s="17"/>
      <c r="U2290" s="17"/>
      <c r="V2290" s="17"/>
      <c r="W2290" s="17"/>
      <c r="X2290" s="17"/>
      <c r="Y2290" s="17"/>
      <c r="Z2290" s="17"/>
      <c r="AA2290" s="17"/>
      <c r="AB2290" s="17"/>
      <c r="AC2290" s="17"/>
      <c r="AD2290" s="17"/>
      <c r="AE2290" s="17"/>
      <c r="AF2290" s="17"/>
      <c r="AG2290" s="17"/>
      <c r="AH2290" s="17"/>
      <c r="AI2290" s="17"/>
      <c r="AJ2290" s="17"/>
      <c r="AK2290" s="17"/>
      <c r="AL2290" s="17"/>
      <c r="AM2290" s="17"/>
      <c r="AN2290" s="17"/>
      <c r="AO2290" s="17"/>
      <c r="AP2290" s="17"/>
      <c r="AQ2290" s="17"/>
      <c r="AR2290" s="17"/>
      <c r="AS2290" s="17"/>
      <c r="AT2290" s="17"/>
      <c r="AU2290" s="17"/>
    </row>
    <row r="2291" hidden="1">
      <c r="A2291" s="17">
        <v>2289</v>
      </c>
      <c r="B2291" s="17" t="s">
        <v>52</v>
      </c>
      <c r="C2291" s="34" t="s">
        <v>6624</v>
      </c>
      <c r="D2291" s="35" t="s">
        <v>6576</v>
      </c>
      <c r="E2291" s="17"/>
      <c r="F2291" s="17"/>
      <c r="G2291" s="17"/>
      <c r="H2291" s="17"/>
      <c r="I2291" s="17"/>
      <c r="J2291" s="17"/>
      <c r="K2291" s="17"/>
      <c r="L2291" s="17"/>
      <c r="M2291" s="34" t="s">
        <v>6589</v>
      </c>
      <c r="N2291" s="17"/>
      <c r="O2291" s="17"/>
      <c r="P2291" s="17"/>
      <c r="Q2291" s="17"/>
      <c r="R2291" s="17"/>
      <c r="S2291" s="17"/>
      <c r="T2291" s="17"/>
      <c r="U2291" s="17"/>
      <c r="V2291" s="17"/>
      <c r="W2291" s="17"/>
      <c r="X2291" s="17"/>
      <c r="Y2291" s="17"/>
      <c r="Z2291" s="17"/>
      <c r="AA2291" s="17"/>
      <c r="AB2291" s="17"/>
      <c r="AC2291" s="17"/>
      <c r="AD2291" s="17"/>
      <c r="AE2291" s="17"/>
      <c r="AF2291" s="17"/>
      <c r="AG2291" s="17"/>
      <c r="AH2291" s="17"/>
      <c r="AI2291" s="17"/>
      <c r="AJ2291" s="17"/>
      <c r="AK2291" s="17"/>
      <c r="AL2291" s="17"/>
      <c r="AM2291" s="17"/>
      <c r="AN2291" s="17"/>
      <c r="AO2291" s="17"/>
      <c r="AP2291" s="17"/>
      <c r="AQ2291" s="17"/>
      <c r="AR2291" s="17"/>
      <c r="AS2291" s="17"/>
      <c r="AT2291" s="17"/>
      <c r="AU2291" s="17"/>
    </row>
    <row r="2292" hidden="1">
      <c r="A2292" s="17">
        <v>2290</v>
      </c>
      <c r="B2292" s="17" t="s">
        <v>52</v>
      </c>
      <c r="C2292" s="34" t="s">
        <v>6625</v>
      </c>
      <c r="D2292" s="35" t="s">
        <v>6576</v>
      </c>
      <c r="E2292" s="17" t="s">
        <v>6626</v>
      </c>
      <c r="F2292" s="17" t="s">
        <v>6627</v>
      </c>
      <c r="G2292" s="17">
        <v>21.915065999999999</v>
      </c>
      <c r="H2292" s="17">
        <v>87.515860000000004</v>
      </c>
      <c r="I2292" s="17"/>
      <c r="J2292" s="17"/>
      <c r="K2292" s="17"/>
      <c r="L2292" s="17"/>
      <c r="M2292" s="34" t="s">
        <v>6589</v>
      </c>
      <c r="N2292" s="17">
        <v>8910125297</v>
      </c>
      <c r="O2292" s="17"/>
      <c r="P2292" s="17"/>
      <c r="Q2292" s="17"/>
      <c r="R2292" s="17"/>
      <c r="S2292" s="17"/>
      <c r="T2292" s="17"/>
      <c r="U2292" s="17"/>
      <c r="V2292" s="17"/>
      <c r="W2292" s="17"/>
      <c r="X2292" s="17"/>
      <c r="Y2292" s="17"/>
      <c r="Z2292" s="17"/>
      <c r="AA2292" s="17"/>
      <c r="AB2292" s="17"/>
      <c r="AC2292" s="17"/>
      <c r="AD2292" s="17"/>
      <c r="AE2292" s="17"/>
      <c r="AF2292" s="17"/>
      <c r="AG2292" s="17"/>
      <c r="AH2292" s="17"/>
      <c r="AI2292" s="17"/>
      <c r="AJ2292" s="17"/>
      <c r="AK2292" s="17"/>
      <c r="AL2292" s="17"/>
      <c r="AM2292" s="17"/>
      <c r="AN2292" s="17"/>
      <c r="AO2292" s="17"/>
      <c r="AP2292" s="17"/>
      <c r="AQ2292" s="17"/>
      <c r="AR2292" s="17"/>
      <c r="AS2292" s="17"/>
      <c r="AT2292" s="17"/>
      <c r="AU2292" s="17"/>
    </row>
    <row r="2293" hidden="1">
      <c r="A2293" s="17">
        <v>2291</v>
      </c>
      <c r="B2293" s="17" t="s">
        <v>52</v>
      </c>
      <c r="C2293" s="34" t="s">
        <v>6628</v>
      </c>
      <c r="D2293" s="35" t="s">
        <v>6576</v>
      </c>
      <c r="E2293" s="17" t="s">
        <v>6629</v>
      </c>
      <c r="F2293" s="17" t="s">
        <v>6630</v>
      </c>
      <c r="G2293" s="17">
        <v>22.014105000000001</v>
      </c>
      <c r="H2293" s="17">
        <v>87.478838999999994</v>
      </c>
      <c r="I2293" s="17"/>
      <c r="J2293" s="17"/>
      <c r="K2293" s="17"/>
      <c r="L2293" s="17"/>
      <c r="M2293" s="34" t="s">
        <v>6589</v>
      </c>
      <c r="N2293" s="17">
        <v>8910125297</v>
      </c>
      <c r="O2293" s="17"/>
      <c r="P2293" s="17"/>
      <c r="Q2293" s="17"/>
      <c r="R2293" s="17"/>
      <c r="S2293" s="17"/>
      <c r="T2293" s="17"/>
      <c r="U2293" s="17"/>
      <c r="V2293" s="17"/>
      <c r="W2293" s="17"/>
      <c r="X2293" s="17"/>
      <c r="Y2293" s="17"/>
      <c r="Z2293" s="17"/>
      <c r="AA2293" s="17"/>
      <c r="AB2293" s="17"/>
      <c r="AC2293" s="17"/>
      <c r="AD2293" s="17"/>
      <c r="AE2293" s="17"/>
      <c r="AF2293" s="17"/>
      <c r="AG2293" s="17"/>
      <c r="AH2293" s="17"/>
      <c r="AI2293" s="17"/>
      <c r="AJ2293" s="17"/>
      <c r="AK2293" s="17"/>
      <c r="AL2293" s="17"/>
      <c r="AM2293" s="17"/>
      <c r="AN2293" s="17"/>
      <c r="AO2293" s="17"/>
      <c r="AP2293" s="17"/>
      <c r="AQ2293" s="17"/>
      <c r="AR2293" s="17"/>
      <c r="AS2293" s="17"/>
      <c r="AT2293" s="17"/>
      <c r="AU2293" s="17"/>
    </row>
    <row r="2294" hidden="1">
      <c r="A2294" s="17">
        <v>2292</v>
      </c>
      <c r="B2294" s="17" t="s">
        <v>52</v>
      </c>
      <c r="C2294" s="34" t="s">
        <v>6631</v>
      </c>
      <c r="D2294" s="35" t="s">
        <v>6576</v>
      </c>
      <c r="E2294" s="17" t="s">
        <v>6632</v>
      </c>
      <c r="F2294" s="17" t="s">
        <v>6633</v>
      </c>
      <c r="G2294" s="17">
        <v>22.053963</v>
      </c>
      <c r="H2294" s="17">
        <v>87.528791999999996</v>
      </c>
      <c r="I2294" s="17"/>
      <c r="J2294" s="17"/>
      <c r="K2294" s="17"/>
      <c r="L2294" s="17"/>
      <c r="M2294" s="34" t="s">
        <v>6589</v>
      </c>
      <c r="N2294" s="17">
        <v>8910125297</v>
      </c>
      <c r="O2294" s="17"/>
      <c r="P2294" s="17"/>
      <c r="Q2294" s="17"/>
      <c r="R2294" s="17"/>
      <c r="S2294" s="17"/>
      <c r="T2294" s="17"/>
      <c r="U2294" s="17"/>
      <c r="V2294" s="17"/>
      <c r="W2294" s="17"/>
      <c r="X2294" s="17"/>
      <c r="Y2294" s="17"/>
      <c r="Z2294" s="17"/>
      <c r="AA2294" s="17"/>
      <c r="AB2294" s="17"/>
      <c r="AC2294" s="17"/>
      <c r="AD2294" s="17"/>
      <c r="AE2294" s="17"/>
      <c r="AF2294" s="17"/>
      <c r="AG2294" s="17"/>
      <c r="AH2294" s="17"/>
      <c r="AI2294" s="17"/>
      <c r="AJ2294" s="17"/>
      <c r="AK2294" s="17"/>
      <c r="AL2294" s="17"/>
      <c r="AM2294" s="17"/>
      <c r="AN2294" s="17"/>
      <c r="AO2294" s="17"/>
      <c r="AP2294" s="17"/>
      <c r="AQ2294" s="17"/>
      <c r="AR2294" s="17"/>
      <c r="AS2294" s="17"/>
      <c r="AT2294" s="17"/>
      <c r="AU2294" s="17"/>
    </row>
    <row r="2295" hidden="1">
      <c r="A2295" s="17">
        <v>2293</v>
      </c>
      <c r="B2295" s="17" t="s">
        <v>52</v>
      </c>
      <c r="C2295" s="45" t="s">
        <v>6634</v>
      </c>
      <c r="D2295" s="35" t="s">
        <v>6576</v>
      </c>
      <c r="E2295" s="17"/>
      <c r="F2295" s="17"/>
      <c r="G2295" s="17"/>
      <c r="H2295" s="17"/>
      <c r="I2295" s="17"/>
      <c r="J2295" s="17"/>
      <c r="K2295" s="17"/>
      <c r="L2295" s="17"/>
      <c r="M2295" s="34" t="s">
        <v>6589</v>
      </c>
      <c r="N2295" s="17">
        <v>8910125297</v>
      </c>
      <c r="O2295" s="17"/>
      <c r="P2295" s="17"/>
      <c r="Q2295" s="17"/>
      <c r="R2295" s="17"/>
      <c r="S2295" s="17"/>
      <c r="T2295" s="17"/>
      <c r="U2295" s="17"/>
      <c r="V2295" s="17"/>
      <c r="W2295" s="17"/>
      <c r="X2295" s="17"/>
      <c r="Y2295" s="17"/>
      <c r="Z2295" s="17"/>
      <c r="AA2295" s="17"/>
      <c r="AB2295" s="17"/>
      <c r="AC2295" s="17"/>
      <c r="AD2295" s="17"/>
      <c r="AE2295" s="17"/>
      <c r="AF2295" s="17"/>
      <c r="AG2295" s="17"/>
      <c r="AH2295" s="17"/>
      <c r="AI2295" s="17"/>
      <c r="AJ2295" s="17"/>
      <c r="AK2295" s="17"/>
      <c r="AL2295" s="17"/>
      <c r="AM2295" s="17"/>
      <c r="AN2295" s="17"/>
      <c r="AO2295" s="17"/>
      <c r="AP2295" s="17"/>
      <c r="AQ2295" s="17"/>
      <c r="AR2295" s="17"/>
      <c r="AS2295" s="17"/>
      <c r="AT2295" s="17"/>
      <c r="AU2295" s="17"/>
    </row>
    <row r="2296" hidden="1">
      <c r="A2296" s="17">
        <v>2294</v>
      </c>
      <c r="B2296" s="17" t="s">
        <v>52</v>
      </c>
      <c r="C2296" s="34" t="s">
        <v>6635</v>
      </c>
      <c r="D2296" s="35" t="s">
        <v>6576</v>
      </c>
      <c r="E2296" s="17" t="s">
        <v>6636</v>
      </c>
      <c r="F2296" s="17" t="s">
        <v>6637</v>
      </c>
      <c r="G2296" s="17">
        <v>22.057338000000001</v>
      </c>
      <c r="H2296" s="17">
        <v>87.598022</v>
      </c>
      <c r="I2296" s="17"/>
      <c r="J2296" s="17"/>
      <c r="K2296" s="17"/>
      <c r="L2296" s="17"/>
      <c r="M2296" s="34" t="s">
        <v>6589</v>
      </c>
      <c r="N2296" s="17">
        <v>8910125297</v>
      </c>
      <c r="O2296" s="17"/>
      <c r="P2296" s="17"/>
      <c r="Q2296" s="17"/>
      <c r="R2296" s="17"/>
      <c r="S2296" s="17"/>
      <c r="T2296" s="17"/>
      <c r="U2296" s="17"/>
      <c r="V2296" s="17"/>
      <c r="W2296" s="17"/>
      <c r="X2296" s="17"/>
      <c r="Y2296" s="17"/>
      <c r="Z2296" s="17"/>
      <c r="AA2296" s="17"/>
      <c r="AB2296" s="17"/>
      <c r="AC2296" s="17"/>
      <c r="AD2296" s="17"/>
      <c r="AE2296" s="17"/>
      <c r="AF2296" s="17"/>
      <c r="AG2296" s="17"/>
      <c r="AH2296" s="17"/>
      <c r="AI2296" s="17"/>
      <c r="AJ2296" s="17"/>
      <c r="AK2296" s="17"/>
      <c r="AL2296" s="17"/>
      <c r="AM2296" s="17"/>
      <c r="AN2296" s="17"/>
      <c r="AO2296" s="17"/>
      <c r="AP2296" s="17"/>
      <c r="AQ2296" s="17"/>
      <c r="AR2296" s="17"/>
      <c r="AS2296" s="17"/>
      <c r="AT2296" s="17"/>
      <c r="AU2296" s="17"/>
    </row>
    <row r="2297" hidden="1">
      <c r="A2297" s="17">
        <v>2295</v>
      </c>
      <c r="B2297" s="17" t="s">
        <v>52</v>
      </c>
      <c r="C2297" s="34" t="s">
        <v>6638</v>
      </c>
      <c r="D2297" s="35" t="s">
        <v>6576</v>
      </c>
      <c r="E2297" s="17" t="s">
        <v>6639</v>
      </c>
      <c r="F2297" s="17" t="s">
        <v>6640</v>
      </c>
      <c r="G2297" s="17">
        <v>21.984179999999999</v>
      </c>
      <c r="H2297" s="17">
        <v>87.489243000000002</v>
      </c>
      <c r="I2297" s="17"/>
      <c r="J2297" s="17"/>
      <c r="K2297" s="17"/>
      <c r="L2297" s="17"/>
      <c r="M2297" s="34" t="s">
        <v>6589</v>
      </c>
      <c r="N2297" s="17">
        <v>8910125297</v>
      </c>
      <c r="O2297" s="17"/>
      <c r="P2297" s="17"/>
      <c r="Q2297" s="17"/>
      <c r="R2297" s="17"/>
      <c r="S2297" s="17"/>
      <c r="T2297" s="17"/>
      <c r="U2297" s="17"/>
      <c r="V2297" s="17"/>
      <c r="W2297" s="17"/>
      <c r="X2297" s="17"/>
      <c r="Y2297" s="17"/>
      <c r="Z2297" s="17"/>
      <c r="AA2297" s="17"/>
      <c r="AB2297" s="17"/>
      <c r="AC2297" s="17"/>
      <c r="AD2297" s="17"/>
      <c r="AE2297" s="17"/>
      <c r="AF2297" s="17"/>
      <c r="AG2297" s="17"/>
      <c r="AH2297" s="17"/>
      <c r="AI2297" s="17"/>
      <c r="AJ2297" s="17"/>
      <c r="AK2297" s="17"/>
      <c r="AL2297" s="17"/>
      <c r="AM2297" s="17"/>
      <c r="AN2297" s="17"/>
      <c r="AO2297" s="17"/>
      <c r="AP2297" s="17"/>
      <c r="AQ2297" s="17"/>
      <c r="AR2297" s="17"/>
      <c r="AS2297" s="17"/>
      <c r="AT2297" s="17"/>
      <c r="AU2297" s="17"/>
    </row>
    <row r="2298" hidden="1">
      <c r="A2298" s="17">
        <v>2296</v>
      </c>
      <c r="B2298" s="17" t="s">
        <v>52</v>
      </c>
      <c r="C2298" s="34" t="s">
        <v>6641</v>
      </c>
      <c r="D2298" s="35" t="s">
        <v>6576</v>
      </c>
      <c r="E2298" s="17" t="s">
        <v>6642</v>
      </c>
      <c r="F2298" s="17" t="s">
        <v>6643</v>
      </c>
      <c r="G2298" s="17">
        <v>21.892682000000001</v>
      </c>
      <c r="H2298" s="17">
        <v>87.539314000000005</v>
      </c>
      <c r="I2298" s="17"/>
      <c r="J2298" s="17"/>
      <c r="K2298" s="17"/>
      <c r="L2298" s="17"/>
      <c r="M2298" s="34" t="s">
        <v>6589</v>
      </c>
      <c r="N2298" s="17">
        <v>8910125297</v>
      </c>
      <c r="O2298" s="17"/>
      <c r="P2298" s="17"/>
      <c r="Q2298" s="17"/>
      <c r="R2298" s="17"/>
      <c r="S2298" s="17"/>
      <c r="T2298" s="17"/>
      <c r="U2298" s="17"/>
      <c r="V2298" s="17"/>
      <c r="W2298" s="17"/>
      <c r="X2298" s="17"/>
      <c r="Y2298" s="17"/>
      <c r="Z2298" s="17"/>
      <c r="AA2298" s="17"/>
      <c r="AB2298" s="17"/>
      <c r="AC2298" s="17"/>
      <c r="AD2298" s="17"/>
      <c r="AE2298" s="17"/>
      <c r="AF2298" s="17"/>
      <c r="AG2298" s="17"/>
      <c r="AH2298" s="17"/>
      <c r="AI2298" s="17"/>
      <c r="AJ2298" s="17"/>
      <c r="AK2298" s="17"/>
      <c r="AL2298" s="17"/>
      <c r="AM2298" s="17"/>
      <c r="AN2298" s="17"/>
      <c r="AO2298" s="17"/>
      <c r="AP2298" s="17"/>
      <c r="AQ2298" s="17"/>
      <c r="AR2298" s="17"/>
      <c r="AS2298" s="17"/>
      <c r="AT2298" s="17"/>
      <c r="AU2298" s="17"/>
    </row>
    <row r="2299" hidden="1">
      <c r="A2299" s="17">
        <v>2297</v>
      </c>
      <c r="B2299" s="17" t="s">
        <v>52</v>
      </c>
      <c r="C2299" s="34" t="s">
        <v>6644</v>
      </c>
      <c r="D2299" s="35" t="s">
        <v>6576</v>
      </c>
      <c r="E2299" s="17" t="s">
        <v>6645</v>
      </c>
      <c r="F2299" s="17" t="s">
        <v>6646</v>
      </c>
      <c r="G2299" s="17">
        <v>21.907754000000001</v>
      </c>
      <c r="H2299" s="17">
        <v>87.536017000000001</v>
      </c>
      <c r="I2299" s="17"/>
      <c r="J2299" s="17"/>
      <c r="K2299" s="17"/>
      <c r="L2299" s="17"/>
      <c r="M2299" s="34" t="s">
        <v>6589</v>
      </c>
      <c r="N2299" s="17">
        <v>8910125297</v>
      </c>
      <c r="O2299" s="17"/>
      <c r="P2299" s="17"/>
      <c r="Q2299" s="17"/>
      <c r="R2299" s="17"/>
      <c r="S2299" s="17"/>
      <c r="T2299" s="17"/>
      <c r="U2299" s="17"/>
      <c r="V2299" s="17"/>
      <c r="W2299" s="17"/>
      <c r="X2299" s="17"/>
      <c r="Y2299" s="17"/>
      <c r="Z2299" s="17"/>
      <c r="AA2299" s="17"/>
      <c r="AB2299" s="17"/>
      <c r="AC2299" s="17"/>
      <c r="AD2299" s="17"/>
      <c r="AE2299" s="17"/>
      <c r="AF2299" s="17"/>
      <c r="AG2299" s="17"/>
      <c r="AH2299" s="17"/>
      <c r="AI2299" s="17"/>
      <c r="AJ2299" s="17"/>
      <c r="AK2299" s="17"/>
      <c r="AL2299" s="17"/>
      <c r="AM2299" s="17"/>
      <c r="AN2299" s="17"/>
      <c r="AO2299" s="17"/>
      <c r="AP2299" s="17"/>
      <c r="AQ2299" s="17"/>
      <c r="AR2299" s="17"/>
      <c r="AS2299" s="17"/>
      <c r="AT2299" s="17"/>
      <c r="AU2299" s="17"/>
    </row>
    <row r="2300" hidden="1">
      <c r="A2300" s="17">
        <v>2298</v>
      </c>
      <c r="B2300" s="17" t="s">
        <v>52</v>
      </c>
      <c r="C2300" s="34" t="s">
        <v>6647</v>
      </c>
      <c r="D2300" s="35" t="s">
        <v>6576</v>
      </c>
      <c r="E2300" s="17" t="s">
        <v>6648</v>
      </c>
      <c r="F2300" s="17" t="s">
        <v>6649</v>
      </c>
      <c r="G2300" s="17">
        <v>21.916273</v>
      </c>
      <c r="H2300" s="17">
        <v>87.575894000000005</v>
      </c>
      <c r="I2300" s="17"/>
      <c r="J2300" s="17"/>
      <c r="K2300" s="17"/>
      <c r="L2300" s="17"/>
      <c r="M2300" s="34" t="s">
        <v>6589</v>
      </c>
      <c r="N2300" s="17">
        <v>8910125297</v>
      </c>
      <c r="O2300" s="17"/>
      <c r="P2300" s="17"/>
      <c r="Q2300" s="17"/>
      <c r="R2300" s="17"/>
      <c r="S2300" s="17"/>
      <c r="T2300" s="17"/>
      <c r="U2300" s="17"/>
      <c r="V2300" s="17"/>
      <c r="W2300" s="17"/>
      <c r="X2300" s="17"/>
      <c r="Y2300" s="17"/>
      <c r="Z2300" s="17"/>
      <c r="AA2300" s="17"/>
      <c r="AB2300" s="17"/>
      <c r="AC2300" s="17"/>
      <c r="AD2300" s="17"/>
      <c r="AE2300" s="17"/>
      <c r="AF2300" s="17"/>
      <c r="AG2300" s="17"/>
      <c r="AH2300" s="17"/>
      <c r="AI2300" s="17"/>
      <c r="AJ2300" s="17"/>
      <c r="AK2300" s="17"/>
      <c r="AL2300" s="17"/>
      <c r="AM2300" s="17"/>
      <c r="AN2300" s="17"/>
      <c r="AO2300" s="17"/>
      <c r="AP2300" s="17"/>
      <c r="AQ2300" s="17"/>
      <c r="AR2300" s="17"/>
      <c r="AS2300" s="17"/>
      <c r="AT2300" s="17"/>
      <c r="AU2300" s="17"/>
    </row>
    <row r="2301" hidden="1">
      <c r="A2301" s="17">
        <v>2299</v>
      </c>
      <c r="B2301" s="17" t="s">
        <v>52</v>
      </c>
      <c r="C2301" s="34" t="s">
        <v>6650</v>
      </c>
      <c r="D2301" s="35" t="s">
        <v>6576</v>
      </c>
      <c r="E2301" s="17" t="s">
        <v>6651</v>
      </c>
      <c r="F2301" s="17" t="s">
        <v>6652</v>
      </c>
      <c r="G2301" s="17">
        <v>21.964179000000001</v>
      </c>
      <c r="H2301" s="17">
        <v>87.478421999999995</v>
      </c>
      <c r="I2301" s="17"/>
      <c r="J2301" s="17"/>
      <c r="K2301" s="17"/>
      <c r="L2301" s="17"/>
      <c r="M2301" s="34" t="s">
        <v>6589</v>
      </c>
      <c r="N2301" s="17">
        <v>8910125297</v>
      </c>
      <c r="O2301" s="17"/>
      <c r="P2301" s="17"/>
      <c r="Q2301" s="17"/>
      <c r="R2301" s="17"/>
      <c r="S2301" s="17"/>
      <c r="T2301" s="17"/>
      <c r="U2301" s="17"/>
      <c r="V2301" s="17"/>
      <c r="W2301" s="17"/>
      <c r="X2301" s="17"/>
      <c r="Y2301" s="17"/>
      <c r="Z2301" s="17"/>
      <c r="AA2301" s="17"/>
      <c r="AB2301" s="17"/>
      <c r="AC2301" s="17"/>
      <c r="AD2301" s="17"/>
      <c r="AE2301" s="17"/>
      <c r="AF2301" s="17"/>
      <c r="AG2301" s="17"/>
      <c r="AH2301" s="17"/>
      <c r="AI2301" s="17"/>
      <c r="AJ2301" s="17"/>
      <c r="AK2301" s="17"/>
      <c r="AL2301" s="17"/>
      <c r="AM2301" s="17"/>
      <c r="AN2301" s="17"/>
      <c r="AO2301" s="17"/>
      <c r="AP2301" s="17"/>
      <c r="AQ2301" s="17"/>
      <c r="AR2301" s="17"/>
      <c r="AS2301" s="17"/>
      <c r="AT2301" s="17"/>
      <c r="AU2301" s="17"/>
    </row>
    <row r="2302" hidden="1">
      <c r="A2302" s="17">
        <v>2300</v>
      </c>
      <c r="B2302" s="17" t="s">
        <v>52</v>
      </c>
      <c r="C2302" s="34" t="s">
        <v>6653</v>
      </c>
      <c r="D2302" s="35" t="s">
        <v>6576</v>
      </c>
      <c r="E2302" s="17" t="s">
        <v>3719</v>
      </c>
      <c r="F2302" s="17" t="s">
        <v>6654</v>
      </c>
      <c r="G2302" s="17">
        <v>21.907188000000001</v>
      </c>
      <c r="H2302" s="17">
        <v>87.544768000000005</v>
      </c>
      <c r="I2302" s="17"/>
      <c r="J2302" s="17"/>
      <c r="K2302" s="17"/>
      <c r="L2302" s="17"/>
      <c r="M2302" s="34" t="s">
        <v>6589</v>
      </c>
      <c r="N2302" s="17">
        <v>8910125297</v>
      </c>
      <c r="O2302" s="17"/>
      <c r="P2302" s="17"/>
      <c r="Q2302" s="17"/>
      <c r="R2302" s="17"/>
      <c r="S2302" s="17"/>
      <c r="T2302" s="17"/>
      <c r="U2302" s="17"/>
      <c r="V2302" s="17"/>
      <c r="W2302" s="17"/>
      <c r="X2302" s="17"/>
      <c r="Y2302" s="17"/>
      <c r="Z2302" s="17"/>
      <c r="AA2302" s="17"/>
      <c r="AB2302" s="17"/>
      <c r="AC2302" s="17"/>
      <c r="AD2302" s="17"/>
      <c r="AE2302" s="17"/>
      <c r="AF2302" s="17"/>
      <c r="AG2302" s="17"/>
      <c r="AH2302" s="17"/>
      <c r="AI2302" s="17"/>
      <c r="AJ2302" s="17"/>
      <c r="AK2302" s="17"/>
      <c r="AL2302" s="17"/>
      <c r="AM2302" s="17"/>
      <c r="AN2302" s="17"/>
      <c r="AO2302" s="17"/>
      <c r="AP2302" s="17"/>
      <c r="AQ2302" s="17"/>
      <c r="AR2302" s="17"/>
      <c r="AS2302" s="17"/>
      <c r="AT2302" s="17"/>
      <c r="AU2302" s="17"/>
    </row>
    <row r="2303" hidden="1">
      <c r="A2303" s="17">
        <v>2301</v>
      </c>
      <c r="B2303" s="17" t="s">
        <v>52</v>
      </c>
      <c r="C2303" s="34" t="s">
        <v>6655</v>
      </c>
      <c r="D2303" s="35" t="s">
        <v>6576</v>
      </c>
      <c r="E2303" s="17" t="s">
        <v>6656</v>
      </c>
      <c r="F2303" s="17" t="s">
        <v>6657</v>
      </c>
      <c r="G2303" s="17">
        <v>22.072414999999999</v>
      </c>
      <c r="H2303" s="17">
        <v>87.483751999999996</v>
      </c>
      <c r="I2303" s="17"/>
      <c r="J2303" s="17"/>
      <c r="K2303" s="17"/>
      <c r="L2303" s="17"/>
      <c r="M2303" s="34" t="s">
        <v>6589</v>
      </c>
      <c r="N2303" s="17">
        <v>8910125297</v>
      </c>
      <c r="O2303" s="17"/>
      <c r="P2303" s="17"/>
      <c r="Q2303" s="17"/>
      <c r="R2303" s="17"/>
      <c r="S2303" s="17"/>
      <c r="T2303" s="17"/>
      <c r="U2303" s="17"/>
      <c r="V2303" s="17"/>
      <c r="W2303" s="17"/>
      <c r="X2303" s="17"/>
      <c r="Y2303" s="17"/>
      <c r="Z2303" s="17"/>
      <c r="AA2303" s="17"/>
      <c r="AB2303" s="17"/>
      <c r="AC2303" s="17"/>
      <c r="AD2303" s="17"/>
      <c r="AE2303" s="17"/>
      <c r="AF2303" s="17"/>
      <c r="AG2303" s="17"/>
      <c r="AH2303" s="17"/>
      <c r="AI2303" s="17"/>
      <c r="AJ2303" s="17"/>
      <c r="AK2303" s="17"/>
      <c r="AL2303" s="17"/>
      <c r="AM2303" s="17"/>
      <c r="AN2303" s="17"/>
      <c r="AO2303" s="17"/>
      <c r="AP2303" s="17"/>
      <c r="AQ2303" s="17"/>
      <c r="AR2303" s="17"/>
      <c r="AS2303" s="17"/>
      <c r="AT2303" s="17"/>
      <c r="AU2303" s="17"/>
    </row>
    <row r="2304" hidden="1">
      <c r="A2304" s="17">
        <v>2302</v>
      </c>
      <c r="B2304" s="17" t="s">
        <v>52</v>
      </c>
      <c r="C2304" s="34" t="s">
        <v>6658</v>
      </c>
      <c r="D2304" s="35" t="s">
        <v>6576</v>
      </c>
      <c r="E2304" s="17" t="s">
        <v>6659</v>
      </c>
      <c r="F2304" s="17" t="s">
        <v>6660</v>
      </c>
      <c r="G2304" s="17">
        <v>21.994219000000001</v>
      </c>
      <c r="H2304" s="17">
        <v>87.535416999999995</v>
      </c>
      <c r="I2304" s="17"/>
      <c r="J2304" s="17"/>
      <c r="K2304" s="17"/>
      <c r="L2304" s="17"/>
      <c r="M2304" s="34" t="s">
        <v>6589</v>
      </c>
      <c r="N2304" s="17">
        <v>8910125297</v>
      </c>
      <c r="O2304" s="17"/>
      <c r="P2304" s="17"/>
      <c r="Q2304" s="17"/>
      <c r="R2304" s="17"/>
      <c r="S2304" s="17"/>
      <c r="T2304" s="17"/>
      <c r="U2304" s="17"/>
      <c r="V2304" s="17"/>
      <c r="W2304" s="17"/>
      <c r="X2304" s="17"/>
      <c r="Y2304" s="17"/>
      <c r="Z2304" s="17"/>
      <c r="AA2304" s="17"/>
      <c r="AB2304" s="17"/>
      <c r="AC2304" s="17"/>
      <c r="AD2304" s="17"/>
      <c r="AE2304" s="17"/>
      <c r="AF2304" s="17"/>
      <c r="AG2304" s="17"/>
      <c r="AH2304" s="17"/>
      <c r="AI2304" s="17"/>
      <c r="AJ2304" s="17"/>
      <c r="AK2304" s="17"/>
      <c r="AL2304" s="17"/>
      <c r="AM2304" s="17"/>
      <c r="AN2304" s="17"/>
      <c r="AO2304" s="17"/>
      <c r="AP2304" s="17"/>
      <c r="AQ2304" s="17"/>
      <c r="AR2304" s="17"/>
      <c r="AS2304" s="17"/>
      <c r="AT2304" s="17"/>
      <c r="AU2304" s="17"/>
    </row>
    <row r="2305" hidden="1">
      <c r="A2305" s="17">
        <v>2303</v>
      </c>
      <c r="B2305" s="17" t="s">
        <v>52</v>
      </c>
      <c r="C2305" s="34" t="s">
        <v>6661</v>
      </c>
      <c r="D2305" s="35" t="s">
        <v>6576</v>
      </c>
      <c r="E2305" s="17" t="s">
        <v>6662</v>
      </c>
      <c r="F2305" s="17" t="s">
        <v>6663</v>
      </c>
      <c r="G2305" s="17">
        <v>22.011333</v>
      </c>
      <c r="H2305" s="17">
        <v>87.538781</v>
      </c>
      <c r="I2305" s="17"/>
      <c r="J2305" s="17"/>
      <c r="K2305" s="17"/>
      <c r="L2305" s="17"/>
      <c r="M2305" s="34" t="s">
        <v>6589</v>
      </c>
      <c r="N2305" s="17">
        <v>8910125297</v>
      </c>
      <c r="O2305" s="17"/>
      <c r="P2305" s="17"/>
      <c r="Q2305" s="17"/>
      <c r="R2305" s="17"/>
      <c r="S2305" s="17"/>
      <c r="T2305" s="17"/>
      <c r="U2305" s="17"/>
      <c r="V2305" s="17"/>
      <c r="W2305" s="17"/>
      <c r="X2305" s="17"/>
      <c r="Y2305" s="17"/>
      <c r="Z2305" s="17"/>
      <c r="AA2305" s="17"/>
      <c r="AB2305" s="17"/>
      <c r="AC2305" s="17"/>
      <c r="AD2305" s="17"/>
      <c r="AE2305" s="17"/>
      <c r="AF2305" s="17"/>
      <c r="AG2305" s="17"/>
      <c r="AH2305" s="17"/>
      <c r="AI2305" s="17"/>
      <c r="AJ2305" s="17"/>
      <c r="AK2305" s="17"/>
      <c r="AL2305" s="17"/>
      <c r="AM2305" s="17"/>
      <c r="AN2305" s="17"/>
      <c r="AO2305" s="17"/>
      <c r="AP2305" s="17"/>
      <c r="AQ2305" s="17"/>
      <c r="AR2305" s="17"/>
      <c r="AS2305" s="17"/>
      <c r="AT2305" s="17"/>
      <c r="AU2305" s="17"/>
    </row>
    <row r="2306" hidden="1">
      <c r="A2306" s="17">
        <v>2304</v>
      </c>
      <c r="B2306" s="17" t="s">
        <v>52</v>
      </c>
      <c r="C2306" s="34" t="s">
        <v>6664</v>
      </c>
      <c r="D2306" s="35" t="s">
        <v>6576</v>
      </c>
      <c r="E2306" s="17" t="s">
        <v>6665</v>
      </c>
      <c r="F2306" s="17" t="s">
        <v>6666</v>
      </c>
      <c r="G2306" s="17">
        <v>21.88777</v>
      </c>
      <c r="H2306" s="17">
        <v>87.486271000000002</v>
      </c>
      <c r="I2306" s="17"/>
      <c r="J2306" s="17"/>
      <c r="K2306" s="17"/>
      <c r="L2306" s="17"/>
      <c r="M2306" s="34" t="s">
        <v>6589</v>
      </c>
      <c r="N2306" s="17">
        <v>8910125297</v>
      </c>
      <c r="O2306" s="17"/>
      <c r="P2306" s="17"/>
      <c r="Q2306" s="17"/>
      <c r="R2306" s="17"/>
      <c r="S2306" s="17"/>
      <c r="T2306" s="17"/>
      <c r="U2306" s="17"/>
      <c r="V2306" s="17"/>
      <c r="W2306" s="17"/>
      <c r="X2306" s="17"/>
      <c r="Y2306" s="17"/>
      <c r="Z2306" s="17"/>
      <c r="AA2306" s="17"/>
      <c r="AB2306" s="17"/>
      <c r="AC2306" s="17"/>
      <c r="AD2306" s="17"/>
      <c r="AE2306" s="17"/>
      <c r="AF2306" s="17"/>
      <c r="AG2306" s="17"/>
      <c r="AH2306" s="17"/>
      <c r="AI2306" s="17"/>
      <c r="AJ2306" s="17"/>
      <c r="AK2306" s="17"/>
      <c r="AL2306" s="17"/>
      <c r="AM2306" s="17"/>
      <c r="AN2306" s="17"/>
      <c r="AO2306" s="17"/>
      <c r="AP2306" s="17"/>
      <c r="AQ2306" s="17"/>
      <c r="AR2306" s="17"/>
      <c r="AS2306" s="17"/>
      <c r="AT2306" s="17"/>
      <c r="AU2306" s="17"/>
    </row>
    <row r="2307" hidden="1">
      <c r="A2307" s="17">
        <v>2305</v>
      </c>
      <c r="B2307" s="17" t="s">
        <v>52</v>
      </c>
      <c r="C2307" s="34" t="s">
        <v>6667</v>
      </c>
      <c r="D2307" s="35" t="s">
        <v>6576</v>
      </c>
      <c r="E2307" s="17" t="s">
        <v>6668</v>
      </c>
      <c r="F2307" s="17" t="s">
        <v>6669</v>
      </c>
      <c r="G2307" s="17">
        <v>21.808351999999999</v>
      </c>
      <c r="H2307" s="17">
        <v>87.450461000000004</v>
      </c>
      <c r="I2307" s="17"/>
      <c r="J2307" s="17"/>
      <c r="K2307" s="17"/>
      <c r="L2307" s="17"/>
      <c r="M2307" s="34" t="s">
        <v>6589</v>
      </c>
      <c r="N2307" s="17">
        <v>8910125297</v>
      </c>
      <c r="O2307" s="17"/>
      <c r="P2307" s="17"/>
      <c r="Q2307" s="17"/>
      <c r="R2307" s="17"/>
      <c r="S2307" s="17"/>
      <c r="T2307" s="17"/>
      <c r="U2307" s="17"/>
      <c r="V2307" s="17"/>
      <c r="W2307" s="17"/>
      <c r="X2307" s="17"/>
      <c r="Y2307" s="17"/>
      <c r="Z2307" s="17"/>
      <c r="AA2307" s="17"/>
      <c r="AB2307" s="17"/>
      <c r="AC2307" s="17"/>
      <c r="AD2307" s="17"/>
      <c r="AE2307" s="17"/>
      <c r="AF2307" s="17"/>
      <c r="AG2307" s="17"/>
      <c r="AH2307" s="17"/>
      <c r="AI2307" s="17"/>
      <c r="AJ2307" s="17"/>
      <c r="AK2307" s="17"/>
      <c r="AL2307" s="17"/>
      <c r="AM2307" s="17"/>
      <c r="AN2307" s="17"/>
      <c r="AO2307" s="17"/>
      <c r="AP2307" s="17"/>
      <c r="AQ2307" s="17"/>
      <c r="AR2307" s="17"/>
      <c r="AS2307" s="17"/>
      <c r="AT2307" s="17"/>
      <c r="AU2307" s="17"/>
    </row>
    <row r="2308" hidden="1">
      <c r="A2308" s="17">
        <v>2306</v>
      </c>
      <c r="B2308" s="17" t="s">
        <v>52</v>
      </c>
      <c r="C2308" s="34" t="s">
        <v>6670</v>
      </c>
      <c r="D2308" s="35" t="s">
        <v>6576</v>
      </c>
      <c r="E2308" s="17" t="s">
        <v>6671</v>
      </c>
      <c r="F2308" s="17" t="s">
        <v>6672</v>
      </c>
      <c r="G2308" s="17">
        <v>21.884716999999998</v>
      </c>
      <c r="H2308" s="17">
        <v>87.538715999999994</v>
      </c>
      <c r="I2308" s="17"/>
      <c r="J2308" s="17"/>
      <c r="K2308" s="17"/>
      <c r="L2308" s="17"/>
      <c r="M2308" s="34" t="s">
        <v>6589</v>
      </c>
      <c r="N2308" s="17">
        <v>8910125297</v>
      </c>
      <c r="O2308" s="17">
        <v>24</v>
      </c>
      <c r="P2308" s="17">
        <v>120</v>
      </c>
      <c r="Q2308" s="17" t="s">
        <v>187</v>
      </c>
      <c r="R2308" s="17" t="s">
        <v>142</v>
      </c>
      <c r="S2308" s="17" t="s">
        <v>75</v>
      </c>
      <c r="T2308" s="17"/>
      <c r="U2308" s="17" t="s">
        <v>105</v>
      </c>
      <c r="V2308" s="17" t="s">
        <v>77</v>
      </c>
      <c r="W2308" s="17" t="s">
        <v>330</v>
      </c>
      <c r="X2308" s="17">
        <v>5</v>
      </c>
      <c r="Y2308" s="17">
        <v>0</v>
      </c>
      <c r="Z2308" s="17"/>
      <c r="AA2308" s="17" t="s">
        <v>187</v>
      </c>
      <c r="AB2308" s="17" t="s">
        <v>79</v>
      </c>
      <c r="AC2308" s="17">
        <v>4</v>
      </c>
      <c r="AD2308" s="17">
        <v>0</v>
      </c>
      <c r="AE2308" s="17">
        <v>0</v>
      </c>
      <c r="AF2308" s="17"/>
      <c r="AG2308" s="17" t="s">
        <v>124</v>
      </c>
      <c r="AH2308" s="17" t="s">
        <v>1344</v>
      </c>
      <c r="AI2308" s="17" t="s">
        <v>83</v>
      </c>
      <c r="AJ2308" s="17">
        <v>2112</v>
      </c>
      <c r="AK2308" s="17" t="s">
        <v>75</v>
      </c>
      <c r="AL2308" s="17" t="s">
        <v>75</v>
      </c>
      <c r="AM2308" s="17" t="s">
        <v>75</v>
      </c>
      <c r="AN2308" s="17" t="s">
        <v>125</v>
      </c>
      <c r="AO2308" s="17" t="s">
        <v>6673</v>
      </c>
      <c r="AP2308" s="17"/>
      <c r="AQ2308" s="17"/>
      <c r="AR2308" s="17"/>
      <c r="AS2308" s="17"/>
      <c r="AT2308" s="17" t="s">
        <v>6674</v>
      </c>
      <c r="AU2308" s="17" t="s">
        <v>127</v>
      </c>
      <c r="AV2308" t="s">
        <v>6675</v>
      </c>
    </row>
    <row r="2309" hidden="1">
      <c r="A2309" s="17">
        <v>2307</v>
      </c>
      <c r="B2309" s="17" t="s">
        <v>52</v>
      </c>
      <c r="C2309" s="34" t="s">
        <v>6676</v>
      </c>
      <c r="D2309" s="35" t="s">
        <v>6576</v>
      </c>
      <c r="E2309" s="17" t="s">
        <v>6677</v>
      </c>
      <c r="F2309" s="17" t="s">
        <v>6678</v>
      </c>
      <c r="G2309" s="17">
        <v>21.932195</v>
      </c>
      <c r="H2309" s="17">
        <v>87.554609999999997</v>
      </c>
      <c r="I2309" s="17"/>
      <c r="J2309" s="17"/>
      <c r="K2309" s="17"/>
      <c r="L2309" s="17"/>
      <c r="M2309" s="34" t="s">
        <v>6589</v>
      </c>
      <c r="N2309" s="17">
        <v>8910125297</v>
      </c>
      <c r="O2309" s="17">
        <v>24</v>
      </c>
      <c r="P2309" s="17">
        <v>102</v>
      </c>
      <c r="Q2309" s="17" t="s">
        <v>187</v>
      </c>
      <c r="R2309" s="17" t="s">
        <v>142</v>
      </c>
      <c r="S2309" s="17" t="s">
        <v>75</v>
      </c>
      <c r="T2309" s="17"/>
      <c r="U2309" s="17" t="s">
        <v>105</v>
      </c>
      <c r="V2309" s="17" t="s">
        <v>77</v>
      </c>
      <c r="W2309" s="17" t="s">
        <v>78</v>
      </c>
      <c r="X2309" s="17">
        <v>3</v>
      </c>
      <c r="Y2309" s="17">
        <v>0</v>
      </c>
      <c r="Z2309" s="17"/>
      <c r="AA2309" s="17" t="s">
        <v>187</v>
      </c>
      <c r="AB2309" s="17" t="s">
        <v>79</v>
      </c>
      <c r="AC2309" s="17">
        <v>4</v>
      </c>
      <c r="AD2309" s="17">
        <v>0</v>
      </c>
      <c r="AE2309" s="17">
        <v>0</v>
      </c>
      <c r="AF2309" s="17"/>
      <c r="AG2309" s="17" t="s">
        <v>81</v>
      </c>
      <c r="AH2309" s="17" t="s">
        <v>162</v>
      </c>
      <c r="AI2309" s="17" t="s">
        <v>83</v>
      </c>
      <c r="AJ2309" s="17">
        <v>2112</v>
      </c>
      <c r="AK2309" s="17" t="s">
        <v>75</v>
      </c>
      <c r="AL2309" s="17" t="s">
        <v>75</v>
      </c>
      <c r="AM2309" s="17" t="s">
        <v>75</v>
      </c>
      <c r="AN2309" s="17" t="s">
        <v>125</v>
      </c>
      <c r="AO2309" s="17" t="s">
        <v>137</v>
      </c>
      <c r="AP2309" s="17"/>
      <c r="AQ2309" s="17"/>
      <c r="AR2309" s="17"/>
      <c r="AS2309" s="17"/>
      <c r="AT2309" s="17" t="s">
        <v>6679</v>
      </c>
      <c r="AU2309" s="17" t="s">
        <v>111</v>
      </c>
    </row>
    <row r="2310" hidden="1">
      <c r="A2310" s="17">
        <v>2308</v>
      </c>
      <c r="B2310" s="17" t="s">
        <v>52</v>
      </c>
      <c r="C2310" s="34" t="s">
        <v>6680</v>
      </c>
      <c r="D2310" s="35" t="s">
        <v>6576</v>
      </c>
      <c r="E2310" s="17" t="s">
        <v>6681</v>
      </c>
      <c r="F2310" s="17" t="s">
        <v>6682</v>
      </c>
      <c r="G2310" s="17">
        <v>21.83785</v>
      </c>
      <c r="H2310" s="17">
        <v>87.527974999999998</v>
      </c>
      <c r="I2310" s="17"/>
      <c r="J2310" s="17"/>
      <c r="K2310" s="17"/>
      <c r="L2310" s="17"/>
      <c r="M2310" s="34" t="s">
        <v>6589</v>
      </c>
      <c r="N2310" s="17">
        <v>8910125297</v>
      </c>
      <c r="O2310" s="17">
        <v>24</v>
      </c>
      <c r="P2310" s="17">
        <v>90</v>
      </c>
      <c r="Q2310" s="17" t="s">
        <v>73</v>
      </c>
      <c r="R2310" s="17" t="s">
        <v>74</v>
      </c>
      <c r="S2310" s="17" t="s">
        <v>75</v>
      </c>
      <c r="T2310" s="17"/>
      <c r="U2310" s="17" t="s">
        <v>76</v>
      </c>
      <c r="V2310" s="17" t="s">
        <v>77</v>
      </c>
      <c r="W2310" s="17" t="s">
        <v>330</v>
      </c>
      <c r="X2310" s="17">
        <v>3</v>
      </c>
      <c r="Y2310" s="17">
        <v>0</v>
      </c>
      <c r="Z2310" s="17"/>
      <c r="AA2310" s="17" t="s">
        <v>73</v>
      </c>
      <c r="AB2310" s="17" t="s">
        <v>79</v>
      </c>
      <c r="AC2310" s="17">
        <v>2</v>
      </c>
      <c r="AD2310" s="17">
        <v>0</v>
      </c>
      <c r="AE2310" s="17">
        <v>0</v>
      </c>
      <c r="AF2310" s="17"/>
      <c r="AG2310" s="17" t="s">
        <v>724</v>
      </c>
      <c r="AH2310" s="17"/>
      <c r="AI2310" s="17"/>
      <c r="AJ2310" s="17"/>
      <c r="AK2310" s="17"/>
      <c r="AL2310" s="17"/>
      <c r="AM2310" s="17"/>
      <c r="AN2310" s="17"/>
      <c r="AO2310" s="17"/>
      <c r="AP2310" s="17"/>
      <c r="AQ2310" s="17"/>
      <c r="AR2310" s="17"/>
      <c r="AS2310" s="17"/>
      <c r="AT2310" s="17"/>
      <c r="AU2310" s="17" t="s">
        <v>127</v>
      </c>
    </row>
    <row r="2311" hidden="1">
      <c r="A2311" s="17">
        <v>2309</v>
      </c>
      <c r="B2311" s="17" t="s">
        <v>52</v>
      </c>
      <c r="C2311" s="34" t="s">
        <v>6683</v>
      </c>
      <c r="D2311" s="35" t="s">
        <v>6576</v>
      </c>
      <c r="E2311" s="17" t="s">
        <v>6684</v>
      </c>
      <c r="F2311" s="17" t="s">
        <v>6685</v>
      </c>
      <c r="G2311" s="17">
        <v>21.815759</v>
      </c>
      <c r="H2311" s="17">
        <v>87.538684000000003</v>
      </c>
      <c r="I2311" s="17"/>
      <c r="J2311" s="17"/>
      <c r="K2311" s="17"/>
      <c r="L2311" s="17"/>
      <c r="M2311" s="34" t="s">
        <v>6589</v>
      </c>
      <c r="N2311" s="17">
        <v>8910125297</v>
      </c>
      <c r="O2311" s="17">
        <v>20</v>
      </c>
      <c r="P2311" s="17">
        <v>102</v>
      </c>
      <c r="Q2311" s="17" t="s">
        <v>187</v>
      </c>
      <c r="R2311" s="17" t="s">
        <v>74</v>
      </c>
      <c r="S2311" s="17" t="s">
        <v>75</v>
      </c>
      <c r="T2311" s="17"/>
      <c r="U2311" s="17" t="s">
        <v>160</v>
      </c>
      <c r="V2311" s="17" t="s">
        <v>77</v>
      </c>
      <c r="W2311" s="17" t="s">
        <v>330</v>
      </c>
      <c r="X2311" s="17">
        <v>5</v>
      </c>
      <c r="Y2311" s="17">
        <v>0</v>
      </c>
      <c r="Z2311" s="17"/>
      <c r="AA2311" s="17" t="s">
        <v>187</v>
      </c>
      <c r="AB2311" s="17" t="s">
        <v>79</v>
      </c>
      <c r="AC2311" s="17">
        <v>3</v>
      </c>
      <c r="AD2311" s="17">
        <v>0</v>
      </c>
      <c r="AE2311" s="17">
        <v>0</v>
      </c>
      <c r="AF2311" s="17"/>
      <c r="AG2311" s="17" t="s">
        <v>81</v>
      </c>
      <c r="AH2311" s="17" t="s">
        <v>82</v>
      </c>
      <c r="AI2311" s="17" t="s">
        <v>83</v>
      </c>
      <c r="AJ2311" s="17">
        <v>2111</v>
      </c>
      <c r="AK2311" s="17" t="s">
        <v>75</v>
      </c>
      <c r="AL2311" s="17" t="s">
        <v>75</v>
      </c>
      <c r="AM2311" s="17" t="s">
        <v>75</v>
      </c>
      <c r="AN2311" s="17" t="s">
        <v>125</v>
      </c>
      <c r="AO2311" s="17" t="s">
        <v>75</v>
      </c>
      <c r="AP2311" s="17"/>
      <c r="AQ2311" s="17"/>
      <c r="AR2311" s="17"/>
      <c r="AS2311" s="17"/>
      <c r="AT2311" s="17"/>
      <c r="AU2311" s="17"/>
    </row>
    <row r="2312" hidden="1">
      <c r="A2312" s="17">
        <v>2310</v>
      </c>
      <c r="B2312" s="17" t="s">
        <v>52</v>
      </c>
      <c r="C2312" s="34" t="s">
        <v>6686</v>
      </c>
      <c r="D2312" s="35" t="s">
        <v>6576</v>
      </c>
      <c r="E2312" s="17" t="s">
        <v>6687</v>
      </c>
      <c r="F2312" s="17" t="s">
        <v>6688</v>
      </c>
      <c r="G2312" s="17">
        <v>21.834316999999999</v>
      </c>
      <c r="H2312" s="17">
        <v>87.455507999999995</v>
      </c>
      <c r="I2312" s="17"/>
      <c r="J2312" s="17"/>
      <c r="K2312" s="17"/>
      <c r="L2312" s="17"/>
      <c r="M2312" s="34" t="s">
        <v>6589</v>
      </c>
      <c r="N2312" s="17">
        <v>8910125297</v>
      </c>
      <c r="O2312" s="17">
        <v>20</v>
      </c>
      <c r="P2312" s="17">
        <v>95</v>
      </c>
      <c r="Q2312" s="17" t="s">
        <v>413</v>
      </c>
      <c r="R2312" s="17" t="s">
        <v>339</v>
      </c>
      <c r="S2312" s="17" t="s">
        <v>75</v>
      </c>
      <c r="T2312" s="17"/>
      <c r="U2312" s="17" t="s">
        <v>105</v>
      </c>
      <c r="V2312" s="17" t="s">
        <v>77</v>
      </c>
      <c r="W2312" s="17" t="s">
        <v>330</v>
      </c>
      <c r="X2312" s="17">
        <v>5</v>
      </c>
      <c r="Y2312" s="17">
        <v>0</v>
      </c>
      <c r="Z2312" s="17"/>
      <c r="AA2312" s="17" t="s">
        <v>413</v>
      </c>
      <c r="AB2312" s="17" t="s">
        <v>79</v>
      </c>
      <c r="AC2312" s="17">
        <v>3</v>
      </c>
      <c r="AD2312" s="17">
        <v>0</v>
      </c>
      <c r="AE2312" s="17">
        <v>0</v>
      </c>
      <c r="AF2312" s="17"/>
      <c r="AG2312" s="17" t="s">
        <v>124</v>
      </c>
      <c r="AH2312" s="17" t="s">
        <v>1344</v>
      </c>
      <c r="AI2312" s="17" t="s">
        <v>83</v>
      </c>
      <c r="AJ2312" s="17">
        <v>2112</v>
      </c>
      <c r="AK2312" s="17" t="s">
        <v>75</v>
      </c>
      <c r="AL2312" s="17" t="s">
        <v>137</v>
      </c>
      <c r="AM2312" s="17" t="s">
        <v>75</v>
      </c>
      <c r="AN2312" s="17" t="s">
        <v>84</v>
      </c>
      <c r="AO2312" s="17" t="s">
        <v>75</v>
      </c>
      <c r="AP2312" s="17"/>
      <c r="AQ2312" s="17"/>
      <c r="AR2312" s="17"/>
      <c r="AS2312" s="17"/>
      <c r="AT2312" s="17" t="s">
        <v>6689</v>
      </c>
      <c r="AU2312" s="17" t="s">
        <v>127</v>
      </c>
    </row>
    <row r="2313" hidden="1">
      <c r="A2313" s="17">
        <v>2311</v>
      </c>
      <c r="B2313" s="17" t="s">
        <v>52</v>
      </c>
      <c r="C2313" s="34" t="s">
        <v>6690</v>
      </c>
      <c r="D2313" s="35" t="s">
        <v>6576</v>
      </c>
      <c r="E2313" s="17" t="s">
        <v>6645</v>
      </c>
      <c r="F2313" s="17" t="s">
        <v>6691</v>
      </c>
      <c r="G2313" s="17">
        <v>21.899895000000001</v>
      </c>
      <c r="H2313" s="17">
        <v>87.535749999999993</v>
      </c>
      <c r="I2313" s="17"/>
      <c r="J2313" s="17"/>
      <c r="K2313" s="17"/>
      <c r="L2313" s="17"/>
      <c r="M2313" s="34" t="s">
        <v>6589</v>
      </c>
      <c r="N2313" s="17">
        <v>8910125297</v>
      </c>
      <c r="O2313" s="17">
        <v>24</v>
      </c>
      <c r="P2313" s="17">
        <v>153</v>
      </c>
      <c r="Q2313" s="17" t="s">
        <v>187</v>
      </c>
      <c r="R2313" s="17" t="s">
        <v>142</v>
      </c>
      <c r="S2313" s="17" t="s">
        <v>75</v>
      </c>
      <c r="T2313" s="17"/>
      <c r="U2313" s="17" t="s">
        <v>441</v>
      </c>
      <c r="V2313" s="17" t="s">
        <v>442</v>
      </c>
      <c r="W2313" s="17" t="s">
        <v>449</v>
      </c>
      <c r="X2313" s="17">
        <v>7</v>
      </c>
      <c r="Y2313" s="17">
        <v>2</v>
      </c>
      <c r="Z2313" s="17" t="s">
        <v>6692</v>
      </c>
      <c r="AA2313" s="17" t="s">
        <v>187</v>
      </c>
      <c r="AB2313" s="17" t="s">
        <v>79</v>
      </c>
      <c r="AC2313" s="17">
        <v>4</v>
      </c>
      <c r="AD2313" s="17">
        <v>0</v>
      </c>
      <c r="AE2313" s="17">
        <v>0</v>
      </c>
      <c r="AF2313" s="17"/>
      <c r="AG2313" s="17" t="s">
        <v>6693</v>
      </c>
      <c r="AH2313" s="17" t="s">
        <v>415</v>
      </c>
      <c r="AI2313" s="17" t="s">
        <v>414</v>
      </c>
      <c r="AJ2313" s="17" t="s">
        <v>416</v>
      </c>
      <c r="AK2313" s="17" t="s">
        <v>137</v>
      </c>
      <c r="AL2313" s="17" t="s">
        <v>137</v>
      </c>
      <c r="AM2313" s="17" t="s">
        <v>163</v>
      </c>
      <c r="AN2313" s="17" t="s">
        <v>84</v>
      </c>
      <c r="AO2313" s="17" t="s">
        <v>75</v>
      </c>
      <c r="AP2313" s="17"/>
      <c r="AQ2313" s="17"/>
      <c r="AR2313" s="17"/>
      <c r="AS2313" s="17"/>
      <c r="AT2313" s="17" t="s">
        <v>6694</v>
      </c>
      <c r="AU2313" s="17" t="s">
        <v>127</v>
      </c>
    </row>
    <row r="2314" hidden="1">
      <c r="A2314" s="17">
        <v>2312</v>
      </c>
      <c r="B2314" s="17" t="s">
        <v>52</v>
      </c>
      <c r="C2314" s="34" t="s">
        <v>6695</v>
      </c>
      <c r="D2314" s="35" t="s">
        <v>6576</v>
      </c>
      <c r="E2314" s="17" t="s">
        <v>6696</v>
      </c>
      <c r="F2314" s="17" t="s">
        <v>6697</v>
      </c>
      <c r="G2314" s="17">
        <v>21.902882999999999</v>
      </c>
      <c r="H2314" s="17">
        <v>87.545103999999995</v>
      </c>
      <c r="I2314" s="17"/>
      <c r="J2314" s="17"/>
      <c r="K2314" s="17"/>
      <c r="L2314" s="17"/>
      <c r="M2314" s="34" t="s">
        <v>6589</v>
      </c>
      <c r="N2314" s="17">
        <v>8910125297</v>
      </c>
      <c r="O2314" s="17">
        <v>24</v>
      </c>
      <c r="P2314" s="17">
        <v>183</v>
      </c>
      <c r="Q2314" s="17" t="s">
        <v>73</v>
      </c>
      <c r="R2314" s="17" t="s">
        <v>142</v>
      </c>
      <c r="S2314" s="17" t="s">
        <v>75</v>
      </c>
      <c r="T2314" s="17"/>
      <c r="U2314" s="17" t="s">
        <v>105</v>
      </c>
      <c r="V2314" s="17" t="s">
        <v>77</v>
      </c>
      <c r="W2314" s="17" t="s">
        <v>252</v>
      </c>
      <c r="X2314" s="17">
        <v>7</v>
      </c>
      <c r="Y2314" s="17">
        <v>0</v>
      </c>
      <c r="Z2314" s="17"/>
      <c r="AA2314" s="17" t="s">
        <v>73</v>
      </c>
      <c r="AB2314" s="17" t="s">
        <v>79</v>
      </c>
      <c r="AC2314" s="17">
        <v>5</v>
      </c>
      <c r="AD2314" s="17">
        <v>0</v>
      </c>
      <c r="AE2314" s="17">
        <v>0</v>
      </c>
      <c r="AF2314" s="17"/>
      <c r="AG2314" s="17" t="s">
        <v>414</v>
      </c>
      <c r="AH2314" s="17" t="s">
        <v>415</v>
      </c>
      <c r="AI2314" s="17" t="s">
        <v>414</v>
      </c>
      <c r="AJ2314" s="17" t="s">
        <v>416</v>
      </c>
      <c r="AK2314" s="17" t="s">
        <v>137</v>
      </c>
      <c r="AL2314" s="17" t="s">
        <v>75</v>
      </c>
      <c r="AM2314" s="17" t="s">
        <v>163</v>
      </c>
      <c r="AN2314" s="17" t="s">
        <v>84</v>
      </c>
      <c r="AO2314" s="17" t="s">
        <v>75</v>
      </c>
      <c r="AP2314" s="17"/>
      <c r="AQ2314" s="17"/>
      <c r="AR2314" s="17"/>
      <c r="AS2314" s="17"/>
      <c r="AT2314" s="17" t="s">
        <v>678</v>
      </c>
      <c r="AU2314" s="17" t="s">
        <v>111</v>
      </c>
    </row>
    <row r="2315" hidden="1">
      <c r="A2315" s="17">
        <v>2313</v>
      </c>
      <c r="B2315" s="17" t="s">
        <v>52</v>
      </c>
      <c r="C2315" s="34" t="s">
        <v>6698</v>
      </c>
      <c r="D2315" s="35" t="s">
        <v>6576</v>
      </c>
      <c r="E2315" s="17" t="s">
        <v>6699</v>
      </c>
      <c r="F2315" s="17" t="s">
        <v>6700</v>
      </c>
      <c r="G2315" s="17">
        <v>22.047540000000001</v>
      </c>
      <c r="H2315" s="17">
        <v>87.58708</v>
      </c>
      <c r="I2315" s="17"/>
      <c r="J2315" s="17"/>
      <c r="K2315" s="17"/>
      <c r="L2315" s="17"/>
      <c r="M2315" s="34" t="s">
        <v>6589</v>
      </c>
      <c r="N2315" s="17">
        <v>8910125297</v>
      </c>
      <c r="O2315" s="17">
        <v>24</v>
      </c>
      <c r="P2315" s="17">
        <v>93</v>
      </c>
      <c r="Q2315" s="17" t="s">
        <v>105</v>
      </c>
      <c r="R2315" s="17" t="s">
        <v>74</v>
      </c>
      <c r="S2315" s="17" t="s">
        <v>75</v>
      </c>
      <c r="T2315" s="17"/>
      <c r="U2315" s="17" t="s">
        <v>160</v>
      </c>
      <c r="V2315" s="17" t="s">
        <v>77</v>
      </c>
      <c r="W2315" s="17" t="s">
        <v>78</v>
      </c>
      <c r="X2315" s="17">
        <v>3</v>
      </c>
      <c r="Y2315" s="17">
        <v>0</v>
      </c>
      <c r="Z2315" s="17"/>
      <c r="AA2315" s="17" t="s">
        <v>105</v>
      </c>
      <c r="AB2315" s="17" t="s">
        <v>79</v>
      </c>
      <c r="AC2315" s="17">
        <v>5</v>
      </c>
      <c r="AD2315" s="17">
        <v>0</v>
      </c>
      <c r="AE2315" s="17">
        <v>0</v>
      </c>
      <c r="AF2315" s="17" t="s">
        <v>6701</v>
      </c>
      <c r="AG2315" s="17" t="s">
        <v>414</v>
      </c>
      <c r="AH2315" s="17" t="s">
        <v>415</v>
      </c>
      <c r="AI2315" s="17" t="s">
        <v>414</v>
      </c>
      <c r="AJ2315" s="17" t="s">
        <v>416</v>
      </c>
      <c r="AK2315" s="17" t="s">
        <v>75</v>
      </c>
      <c r="AL2315" s="17" t="s">
        <v>75</v>
      </c>
      <c r="AM2315" s="17" t="s">
        <v>75</v>
      </c>
      <c r="AN2315" s="17" t="s">
        <v>84</v>
      </c>
      <c r="AO2315" s="17" t="s">
        <v>75</v>
      </c>
      <c r="AP2315" s="17"/>
      <c r="AQ2315" s="17"/>
      <c r="AR2315" s="17"/>
      <c r="AS2315" s="17"/>
      <c r="AT2315" s="17" t="s">
        <v>6702</v>
      </c>
      <c r="AU2315" s="17" t="s">
        <v>127</v>
      </c>
    </row>
    <row r="2316" hidden="1">
      <c r="A2316" s="17">
        <v>2314</v>
      </c>
      <c r="B2316" s="17" t="s">
        <v>52</v>
      </c>
      <c r="C2316" s="34" t="s">
        <v>6703</v>
      </c>
      <c r="D2316" s="35" t="s">
        <v>6576</v>
      </c>
      <c r="E2316" s="17" t="s">
        <v>6704</v>
      </c>
      <c r="F2316" s="17" t="s">
        <v>6705</v>
      </c>
      <c r="G2316" s="17">
        <v>22.072057000000001</v>
      </c>
      <c r="H2316" s="17">
        <v>87.510690999999994</v>
      </c>
      <c r="I2316" s="17"/>
      <c r="J2316" s="17"/>
      <c r="K2316" s="17"/>
      <c r="L2316" s="17"/>
      <c r="M2316" s="34" t="s">
        <v>6589</v>
      </c>
      <c r="N2316" s="17">
        <v>8910125297</v>
      </c>
      <c r="O2316" s="17">
        <v>18</v>
      </c>
      <c r="P2316" s="17">
        <v>113</v>
      </c>
      <c r="Q2316" s="17" t="s">
        <v>105</v>
      </c>
      <c r="R2316" s="17" t="s">
        <v>74</v>
      </c>
      <c r="S2316" s="17" t="s">
        <v>75</v>
      </c>
      <c r="T2316" s="17"/>
      <c r="U2316" s="17" t="s">
        <v>105</v>
      </c>
      <c r="V2316" s="17" t="s">
        <v>77</v>
      </c>
      <c r="W2316" s="17" t="s">
        <v>78</v>
      </c>
      <c r="X2316" s="17">
        <v>3</v>
      </c>
      <c r="Y2316" s="17">
        <v>1</v>
      </c>
      <c r="Z2316" s="17"/>
      <c r="AA2316" s="17" t="s">
        <v>105</v>
      </c>
      <c r="AB2316" s="17" t="s">
        <v>79</v>
      </c>
      <c r="AC2316" s="17">
        <v>5</v>
      </c>
      <c r="AD2316" s="17">
        <v>0</v>
      </c>
      <c r="AE2316" s="17">
        <v>0</v>
      </c>
      <c r="AF2316" s="17" t="s">
        <v>6701</v>
      </c>
      <c r="AG2316" s="17" t="s">
        <v>414</v>
      </c>
      <c r="AH2316" s="17" t="s">
        <v>415</v>
      </c>
      <c r="AI2316" s="17" t="s">
        <v>414</v>
      </c>
      <c r="AJ2316" s="17" t="s">
        <v>416</v>
      </c>
      <c r="AK2316" s="17" t="s">
        <v>137</v>
      </c>
      <c r="AL2316" s="17" t="s">
        <v>75</v>
      </c>
      <c r="AM2316" s="17" t="s">
        <v>75</v>
      </c>
      <c r="AN2316" s="17" t="s">
        <v>84</v>
      </c>
      <c r="AO2316" s="17" t="s">
        <v>75</v>
      </c>
      <c r="AP2316" s="17"/>
      <c r="AQ2316" s="17"/>
      <c r="AR2316" s="17"/>
      <c r="AS2316" s="17"/>
      <c r="AT2316" s="17" t="s">
        <v>6706</v>
      </c>
      <c r="AU2316" s="17" t="s">
        <v>678</v>
      </c>
    </row>
    <row r="2317" hidden="1">
      <c r="A2317" s="17">
        <v>2315</v>
      </c>
      <c r="B2317" s="17" t="s">
        <v>52</v>
      </c>
      <c r="C2317" s="34" t="s">
        <v>6707</v>
      </c>
      <c r="D2317" s="35" t="s">
        <v>6576</v>
      </c>
      <c r="E2317" s="17" t="s">
        <v>6708</v>
      </c>
      <c r="F2317" s="17" t="s">
        <v>6709</v>
      </c>
      <c r="G2317" s="17">
        <v>22.023402999999998</v>
      </c>
      <c r="H2317" s="17">
        <v>87.539497999999995</v>
      </c>
      <c r="I2317" s="17"/>
      <c r="J2317" s="17"/>
      <c r="K2317" s="17"/>
      <c r="L2317" s="17"/>
      <c r="M2317" s="34" t="s">
        <v>6589</v>
      </c>
      <c r="N2317" s="17">
        <v>8910125297</v>
      </c>
      <c r="O2317" s="17">
        <v>24</v>
      </c>
      <c r="P2317" s="17">
        <v>160</v>
      </c>
      <c r="Q2317" s="17" t="s">
        <v>413</v>
      </c>
      <c r="R2317" s="17" t="s">
        <v>339</v>
      </c>
      <c r="S2317" s="17" t="s">
        <v>75</v>
      </c>
      <c r="T2317" s="17"/>
      <c r="U2317" s="17" t="s">
        <v>105</v>
      </c>
      <c r="V2317" s="17" t="s">
        <v>77</v>
      </c>
      <c r="W2317" s="17" t="s">
        <v>330</v>
      </c>
      <c r="X2317" s="17">
        <v>5</v>
      </c>
      <c r="Y2317" s="17">
        <v>0</v>
      </c>
      <c r="Z2317" s="17"/>
      <c r="AA2317" s="17" t="s">
        <v>413</v>
      </c>
      <c r="AB2317" s="17" t="s">
        <v>79</v>
      </c>
      <c r="AC2317" s="17">
        <v>2</v>
      </c>
      <c r="AD2317" s="17">
        <v>0</v>
      </c>
      <c r="AE2317" s="17">
        <v>1</v>
      </c>
      <c r="AF2317" s="17" t="s">
        <v>600</v>
      </c>
      <c r="AG2317" s="17" t="s">
        <v>414</v>
      </c>
      <c r="AH2317" s="17" t="s">
        <v>415</v>
      </c>
      <c r="AI2317" s="17" t="s">
        <v>414</v>
      </c>
      <c r="AJ2317" s="17" t="s">
        <v>416</v>
      </c>
      <c r="AK2317" s="17" t="s">
        <v>137</v>
      </c>
      <c r="AL2317" s="17" t="s">
        <v>75</v>
      </c>
      <c r="AM2317" s="17" t="s">
        <v>75</v>
      </c>
      <c r="AN2317" s="17" t="s">
        <v>84</v>
      </c>
      <c r="AO2317" s="17" t="s">
        <v>75</v>
      </c>
      <c r="AP2317" s="17"/>
      <c r="AQ2317" s="17"/>
      <c r="AR2317" s="17"/>
      <c r="AS2317" s="17"/>
      <c r="AT2317" s="17" t="s">
        <v>600</v>
      </c>
      <c r="AU2317" s="17" t="s">
        <v>111</v>
      </c>
    </row>
    <row r="2318" hidden="1">
      <c r="A2318" s="17">
        <v>2316</v>
      </c>
      <c r="B2318" s="17" t="s">
        <v>52</v>
      </c>
      <c r="C2318" s="34" t="s">
        <v>6710</v>
      </c>
      <c r="D2318" s="35" t="s">
        <v>6576</v>
      </c>
      <c r="E2318" s="17" t="s">
        <v>6711</v>
      </c>
      <c r="F2318" s="17" t="s">
        <v>6712</v>
      </c>
      <c r="G2318" s="17">
        <v>21.859724</v>
      </c>
      <c r="H2318" s="17">
        <v>87.497861</v>
      </c>
      <c r="I2318" s="17"/>
      <c r="J2318" s="17"/>
      <c r="K2318" s="17"/>
      <c r="L2318" s="17"/>
      <c r="M2318" s="34" t="s">
        <v>6589</v>
      </c>
      <c r="N2318" s="17">
        <v>8910125297</v>
      </c>
      <c r="O2318" s="17">
        <v>20</v>
      </c>
      <c r="P2318" s="17">
        <v>190</v>
      </c>
      <c r="Q2318" s="17" t="s">
        <v>73</v>
      </c>
      <c r="R2318" s="17" t="s">
        <v>74</v>
      </c>
      <c r="S2318" s="17" t="s">
        <v>137</v>
      </c>
      <c r="T2318" s="17" t="s">
        <v>6713</v>
      </c>
      <c r="U2318" s="17" t="s">
        <v>76</v>
      </c>
      <c r="V2318" s="17" t="s">
        <v>77</v>
      </c>
      <c r="W2318" s="17" t="s">
        <v>330</v>
      </c>
      <c r="X2318" s="17">
        <v>5</v>
      </c>
      <c r="Y2318" s="17">
        <v>0</v>
      </c>
      <c r="Z2318" s="17"/>
      <c r="AA2318" s="17" t="s">
        <v>73</v>
      </c>
      <c r="AB2318" s="17" t="s">
        <v>79</v>
      </c>
      <c r="AC2318" s="17">
        <v>3</v>
      </c>
      <c r="AD2318" s="17">
        <v>0</v>
      </c>
      <c r="AE2318" s="17">
        <v>0</v>
      </c>
      <c r="AF2318" s="17"/>
      <c r="AG2318" s="17" t="s">
        <v>414</v>
      </c>
      <c r="AH2318" s="17" t="s">
        <v>415</v>
      </c>
      <c r="AI2318" s="17" t="s">
        <v>414</v>
      </c>
      <c r="AJ2318" s="17" t="s">
        <v>416</v>
      </c>
      <c r="AK2318" s="17" t="s">
        <v>137</v>
      </c>
      <c r="AL2318" s="17" t="s">
        <v>75</v>
      </c>
      <c r="AM2318" s="17" t="s">
        <v>75</v>
      </c>
      <c r="AN2318" s="17" t="s">
        <v>84</v>
      </c>
      <c r="AO2318" s="17" t="s">
        <v>75</v>
      </c>
      <c r="AP2318" s="17"/>
      <c r="AQ2318" s="17"/>
      <c r="AR2318" s="17"/>
      <c r="AS2318" s="17"/>
      <c r="AT2318" s="17" t="s">
        <v>6714</v>
      </c>
      <c r="AU2318" s="17" t="s">
        <v>111</v>
      </c>
    </row>
    <row r="2319" hidden="1">
      <c r="A2319" s="17">
        <v>2317</v>
      </c>
      <c r="B2319" s="17" t="s">
        <v>52</v>
      </c>
      <c r="C2319" s="34" t="s">
        <v>6715</v>
      </c>
      <c r="D2319" s="35" t="s">
        <v>6576</v>
      </c>
      <c r="E2319" s="17" t="s">
        <v>6716</v>
      </c>
      <c r="F2319" s="17" t="s">
        <v>6717</v>
      </c>
      <c r="G2319" s="17">
        <v>21.646819000000001</v>
      </c>
      <c r="H2319" s="17">
        <v>87.532055999999997</v>
      </c>
      <c r="I2319" s="17"/>
      <c r="J2319" s="17"/>
      <c r="K2319" s="17"/>
      <c r="L2319" s="17"/>
      <c r="M2319" s="34" t="s">
        <v>6718</v>
      </c>
      <c r="N2319" s="17">
        <v>8240997306</v>
      </c>
      <c r="O2319" s="17">
        <v>20</v>
      </c>
      <c r="P2319" s="17">
        <v>100</v>
      </c>
      <c r="Q2319" s="17" t="s">
        <v>73</v>
      </c>
      <c r="R2319" s="17" t="s">
        <v>142</v>
      </c>
      <c r="S2319" s="17" t="s">
        <v>75</v>
      </c>
      <c r="T2319" s="17"/>
      <c r="U2319" s="17" t="s">
        <v>160</v>
      </c>
      <c r="V2319" s="17" t="s">
        <v>77</v>
      </c>
      <c r="W2319" s="17" t="s">
        <v>5486</v>
      </c>
      <c r="X2319" s="17">
        <v>5</v>
      </c>
      <c r="Y2319" s="17">
        <v>1</v>
      </c>
      <c r="Z2319" s="17" t="s">
        <v>6719</v>
      </c>
      <c r="AA2319" s="17" t="s">
        <v>73</v>
      </c>
      <c r="AB2319" s="17" t="s">
        <v>79</v>
      </c>
      <c r="AC2319" s="17">
        <v>3</v>
      </c>
      <c r="AD2319" s="17">
        <v>0</v>
      </c>
      <c r="AE2319" s="17">
        <v>1</v>
      </c>
      <c r="AF2319" s="17"/>
      <c r="AG2319" s="17" t="s">
        <v>81</v>
      </c>
      <c r="AH2319" s="17" t="s">
        <v>6720</v>
      </c>
      <c r="AI2319" s="17" t="s">
        <v>6721</v>
      </c>
      <c r="AJ2319" s="17" t="s">
        <v>6722</v>
      </c>
      <c r="AK2319" s="17" t="s">
        <v>137</v>
      </c>
      <c r="AL2319" s="17" t="s">
        <v>137</v>
      </c>
      <c r="AM2319" s="17" t="s">
        <v>137</v>
      </c>
      <c r="AN2319" s="17" t="s">
        <v>84</v>
      </c>
      <c r="AO2319" s="17" t="s">
        <v>137</v>
      </c>
      <c r="AP2319" s="17"/>
      <c r="AQ2319" s="17"/>
      <c r="AR2319" s="17"/>
      <c r="AS2319" s="17"/>
      <c r="AT2319" s="17" t="s">
        <v>6723</v>
      </c>
      <c r="AU2319" s="17" t="s">
        <v>111</v>
      </c>
    </row>
    <row r="2320" hidden="1">
      <c r="A2320" s="17">
        <v>2318</v>
      </c>
      <c r="B2320" s="17" t="s">
        <v>52</v>
      </c>
      <c r="C2320" s="34" t="s">
        <v>6724</v>
      </c>
      <c r="D2320" s="35" t="s">
        <v>6576</v>
      </c>
      <c r="E2320" s="17" t="s">
        <v>6725</v>
      </c>
      <c r="F2320" s="17" t="s">
        <v>6726</v>
      </c>
      <c r="G2320" s="17">
        <v>21.674156</v>
      </c>
      <c r="H2320" s="17">
        <v>87.560424999999995</v>
      </c>
      <c r="I2320" s="17"/>
      <c r="J2320" s="17"/>
      <c r="K2320" s="17"/>
      <c r="L2320" s="17"/>
      <c r="M2320" s="34" t="s">
        <v>6718</v>
      </c>
      <c r="N2320" s="17">
        <v>8240997306</v>
      </c>
      <c r="O2320" s="17">
        <v>20</v>
      </c>
      <c r="P2320" s="17">
        <v>100</v>
      </c>
      <c r="Q2320" s="17" t="s">
        <v>73</v>
      </c>
      <c r="R2320" s="17" t="s">
        <v>142</v>
      </c>
      <c r="S2320" s="17"/>
      <c r="T2320" s="17"/>
      <c r="U2320" s="17" t="s">
        <v>160</v>
      </c>
      <c r="V2320" s="17" t="s">
        <v>77</v>
      </c>
      <c r="W2320" s="17" t="s">
        <v>252</v>
      </c>
      <c r="X2320" s="17">
        <v>5</v>
      </c>
      <c r="Y2320" s="17">
        <v>1</v>
      </c>
      <c r="Z2320" s="17" t="s">
        <v>6727</v>
      </c>
      <c r="AA2320" s="17" t="s">
        <v>73</v>
      </c>
      <c r="AB2320" s="17" t="s">
        <v>79</v>
      </c>
      <c r="AC2320" s="17">
        <v>1</v>
      </c>
      <c r="AD2320" s="17">
        <v>0</v>
      </c>
      <c r="AE2320" s="17">
        <v>0</v>
      </c>
      <c r="AF2320" s="17" t="s">
        <v>919</v>
      </c>
      <c r="AG2320" s="17" t="s">
        <v>6728</v>
      </c>
      <c r="AH2320" s="17"/>
      <c r="AI2320" s="17"/>
      <c r="AJ2320" s="17"/>
      <c r="AK2320" s="17"/>
      <c r="AL2320" s="17"/>
      <c r="AM2320" s="17"/>
      <c r="AN2320" s="17"/>
      <c r="AO2320" s="17"/>
      <c r="AP2320" s="17"/>
      <c r="AQ2320" s="17"/>
      <c r="AR2320" s="17"/>
      <c r="AS2320" s="17"/>
      <c r="AT2320" s="17"/>
      <c r="AU2320" s="17" t="s">
        <v>111</v>
      </c>
    </row>
    <row r="2321" hidden="1">
      <c r="A2321" s="17">
        <v>2319</v>
      </c>
      <c r="B2321" s="17" t="s">
        <v>52</v>
      </c>
      <c r="C2321" s="34" t="s">
        <v>6729</v>
      </c>
      <c r="D2321" s="35" t="s">
        <v>6576</v>
      </c>
      <c r="E2321" s="17"/>
      <c r="F2321" s="17"/>
      <c r="G2321" s="17"/>
      <c r="H2321" s="17"/>
      <c r="I2321" s="17"/>
      <c r="J2321" s="17"/>
      <c r="K2321" s="17"/>
      <c r="L2321" s="17"/>
      <c r="M2321" s="34" t="s">
        <v>6718</v>
      </c>
      <c r="N2321" s="17"/>
      <c r="O2321" s="17"/>
      <c r="P2321" s="17"/>
      <c r="Q2321" s="17"/>
      <c r="R2321" s="17"/>
      <c r="S2321" s="17"/>
      <c r="T2321" s="17"/>
      <c r="U2321" s="17"/>
      <c r="V2321" s="17"/>
      <c r="W2321" s="17"/>
      <c r="X2321" s="17"/>
      <c r="Y2321" s="17"/>
      <c r="Z2321" s="17"/>
      <c r="AA2321" s="17"/>
      <c r="AB2321" s="17"/>
      <c r="AC2321" s="17"/>
      <c r="AD2321" s="17"/>
      <c r="AE2321" s="17"/>
      <c r="AF2321" s="17"/>
      <c r="AG2321" s="17"/>
      <c r="AH2321" s="17"/>
      <c r="AI2321" s="17"/>
      <c r="AJ2321" s="17"/>
      <c r="AK2321" s="17"/>
      <c r="AL2321" s="17"/>
      <c r="AM2321" s="17"/>
      <c r="AN2321" s="17"/>
      <c r="AO2321" s="17"/>
      <c r="AP2321" s="17"/>
      <c r="AQ2321" s="17"/>
      <c r="AR2321" s="17"/>
      <c r="AS2321" s="17"/>
      <c r="AT2321" s="17"/>
      <c r="AU2321" s="17"/>
    </row>
    <row r="2322" hidden="1">
      <c r="A2322" s="17">
        <v>2320</v>
      </c>
      <c r="B2322" s="17" t="s">
        <v>52</v>
      </c>
      <c r="C2322" s="34" t="s">
        <v>6730</v>
      </c>
      <c r="D2322" s="35" t="s">
        <v>6576</v>
      </c>
      <c r="E2322" s="17"/>
      <c r="F2322" s="17"/>
      <c r="G2322" s="17"/>
      <c r="H2322" s="17"/>
      <c r="I2322" s="17"/>
      <c r="J2322" s="17"/>
      <c r="K2322" s="17"/>
      <c r="L2322" s="17"/>
      <c r="M2322" s="34" t="s">
        <v>6718</v>
      </c>
      <c r="N2322" s="17"/>
      <c r="O2322" s="17"/>
      <c r="P2322" s="17"/>
      <c r="Q2322" s="17"/>
      <c r="R2322" s="17"/>
      <c r="S2322" s="17"/>
      <c r="T2322" s="17"/>
      <c r="U2322" s="17"/>
      <c r="V2322" s="17"/>
      <c r="W2322" s="17"/>
      <c r="X2322" s="17"/>
      <c r="Y2322" s="17"/>
      <c r="Z2322" s="17"/>
      <c r="AA2322" s="17"/>
      <c r="AB2322" s="17"/>
      <c r="AC2322" s="17"/>
      <c r="AD2322" s="17"/>
      <c r="AE2322" s="17"/>
      <c r="AF2322" s="17"/>
      <c r="AG2322" s="17"/>
      <c r="AH2322" s="17"/>
      <c r="AI2322" s="17"/>
      <c r="AJ2322" s="17"/>
      <c r="AK2322" s="17"/>
      <c r="AL2322" s="17"/>
      <c r="AM2322" s="17"/>
      <c r="AN2322" s="17"/>
      <c r="AO2322" s="17"/>
      <c r="AP2322" s="17"/>
      <c r="AQ2322" s="17"/>
      <c r="AR2322" s="17"/>
      <c r="AS2322" s="17"/>
      <c r="AT2322" s="17"/>
      <c r="AU2322" s="17"/>
    </row>
    <row r="2323" hidden="1">
      <c r="A2323" s="17">
        <v>2321</v>
      </c>
      <c r="B2323" s="17" t="s">
        <v>52</v>
      </c>
      <c r="C2323" s="34" t="s">
        <v>6731</v>
      </c>
      <c r="D2323" s="35" t="s">
        <v>6576</v>
      </c>
      <c r="E2323" s="17"/>
      <c r="F2323" s="17"/>
      <c r="G2323" s="17"/>
      <c r="H2323" s="17"/>
      <c r="I2323" s="17"/>
      <c r="J2323" s="17"/>
      <c r="K2323" s="17"/>
      <c r="L2323" s="17"/>
      <c r="M2323" s="34" t="s">
        <v>6718</v>
      </c>
      <c r="N2323" s="17"/>
      <c r="O2323" s="17"/>
      <c r="P2323" s="17"/>
      <c r="Q2323" s="17"/>
      <c r="R2323" s="17"/>
      <c r="S2323" s="17"/>
      <c r="T2323" s="17"/>
      <c r="U2323" s="17"/>
      <c r="V2323" s="17"/>
      <c r="W2323" s="17"/>
      <c r="X2323" s="17"/>
      <c r="Y2323" s="17"/>
      <c r="Z2323" s="17"/>
      <c r="AA2323" s="17"/>
      <c r="AB2323" s="17"/>
      <c r="AC2323" s="17"/>
      <c r="AD2323" s="17"/>
      <c r="AE2323" s="17"/>
      <c r="AF2323" s="17"/>
      <c r="AG2323" s="17"/>
      <c r="AH2323" s="17"/>
      <c r="AI2323" s="17"/>
      <c r="AJ2323" s="17"/>
      <c r="AK2323" s="17"/>
      <c r="AL2323" s="17"/>
      <c r="AM2323" s="17"/>
      <c r="AN2323" s="17"/>
      <c r="AO2323" s="17"/>
      <c r="AP2323" s="17"/>
      <c r="AQ2323" s="17"/>
      <c r="AR2323" s="17"/>
      <c r="AS2323" s="17"/>
      <c r="AT2323" s="17"/>
      <c r="AU2323" s="17"/>
    </row>
    <row r="2324" hidden="1">
      <c r="A2324" s="17">
        <v>2322</v>
      </c>
      <c r="B2324" s="17" t="s">
        <v>52</v>
      </c>
      <c r="C2324" s="34" t="s">
        <v>6732</v>
      </c>
      <c r="D2324" s="35" t="s">
        <v>6576</v>
      </c>
      <c r="E2324" s="17"/>
      <c r="F2324" s="17"/>
      <c r="G2324" s="17"/>
      <c r="H2324" s="17"/>
      <c r="I2324" s="17"/>
      <c r="J2324" s="17"/>
      <c r="K2324" s="17"/>
      <c r="L2324" s="17"/>
      <c r="M2324" s="34" t="s">
        <v>6718</v>
      </c>
      <c r="N2324" s="17"/>
      <c r="O2324" s="17"/>
      <c r="P2324" s="17"/>
      <c r="Q2324" s="17"/>
      <c r="R2324" s="17"/>
      <c r="S2324" s="17"/>
      <c r="T2324" s="17"/>
      <c r="U2324" s="17"/>
      <c r="V2324" s="17"/>
      <c r="W2324" s="17"/>
      <c r="X2324" s="17"/>
      <c r="Y2324" s="17"/>
      <c r="Z2324" s="17"/>
      <c r="AA2324" s="17"/>
      <c r="AB2324" s="17"/>
      <c r="AC2324" s="17"/>
      <c r="AD2324" s="17"/>
      <c r="AE2324" s="17"/>
      <c r="AF2324" s="17"/>
      <c r="AG2324" s="17"/>
      <c r="AH2324" s="17"/>
      <c r="AI2324" s="17"/>
      <c r="AJ2324" s="17"/>
      <c r="AK2324" s="17"/>
      <c r="AL2324" s="17"/>
      <c r="AM2324" s="17"/>
      <c r="AN2324" s="17"/>
      <c r="AO2324" s="17"/>
      <c r="AP2324" s="17"/>
      <c r="AQ2324" s="17"/>
      <c r="AR2324" s="17"/>
      <c r="AS2324" s="17"/>
      <c r="AT2324" s="17"/>
      <c r="AU2324" s="17"/>
    </row>
    <row r="2325" hidden="1">
      <c r="A2325" s="17">
        <v>2323</v>
      </c>
      <c r="B2325" s="17" t="s">
        <v>52</v>
      </c>
      <c r="C2325" s="34" t="s">
        <v>6733</v>
      </c>
      <c r="D2325" s="35" t="s">
        <v>6576</v>
      </c>
      <c r="E2325" s="17"/>
      <c r="F2325" s="17"/>
      <c r="G2325" s="17"/>
      <c r="H2325" s="17"/>
      <c r="I2325" s="17"/>
      <c r="J2325" s="17"/>
      <c r="K2325" s="17"/>
      <c r="L2325" s="17"/>
      <c r="M2325" s="34" t="s">
        <v>6718</v>
      </c>
      <c r="N2325" s="17"/>
      <c r="O2325" s="17"/>
      <c r="P2325" s="17"/>
      <c r="Q2325" s="17"/>
      <c r="R2325" s="17"/>
      <c r="S2325" s="17"/>
      <c r="T2325" s="17"/>
      <c r="U2325" s="17"/>
      <c r="V2325" s="17"/>
      <c r="W2325" s="17"/>
      <c r="X2325" s="17"/>
      <c r="Y2325" s="17"/>
      <c r="Z2325" s="17"/>
      <c r="AA2325" s="17"/>
      <c r="AB2325" s="17"/>
      <c r="AC2325" s="17"/>
      <c r="AD2325" s="17"/>
      <c r="AE2325" s="17"/>
      <c r="AF2325" s="17"/>
      <c r="AG2325" s="17"/>
      <c r="AH2325" s="17"/>
      <c r="AI2325" s="17"/>
      <c r="AJ2325" s="17"/>
      <c r="AK2325" s="17"/>
      <c r="AL2325" s="17"/>
      <c r="AM2325" s="17"/>
      <c r="AN2325" s="17"/>
      <c r="AO2325" s="17"/>
      <c r="AP2325" s="17"/>
      <c r="AQ2325" s="17"/>
      <c r="AR2325" s="17"/>
      <c r="AS2325" s="17"/>
      <c r="AT2325" s="17"/>
      <c r="AU2325" s="17"/>
    </row>
    <row r="2326" hidden="1">
      <c r="A2326" s="17">
        <v>2324</v>
      </c>
      <c r="B2326" s="17" t="s">
        <v>52</v>
      </c>
      <c r="C2326" s="34" t="s">
        <v>6734</v>
      </c>
      <c r="D2326" s="35" t="s">
        <v>6576</v>
      </c>
      <c r="E2326" s="17"/>
      <c r="F2326" s="17"/>
      <c r="G2326" s="17"/>
      <c r="H2326" s="17"/>
      <c r="I2326" s="17"/>
      <c r="J2326" s="17"/>
      <c r="K2326" s="17"/>
      <c r="L2326" s="17"/>
      <c r="M2326" s="34" t="s">
        <v>6718</v>
      </c>
      <c r="N2326" s="17"/>
      <c r="O2326" s="17"/>
      <c r="P2326" s="17"/>
      <c r="Q2326" s="17"/>
      <c r="R2326" s="17"/>
      <c r="S2326" s="17"/>
      <c r="T2326" s="17"/>
      <c r="U2326" s="17"/>
      <c r="V2326" s="17"/>
      <c r="W2326" s="17"/>
      <c r="X2326" s="17"/>
      <c r="Y2326" s="17"/>
      <c r="Z2326" s="17"/>
      <c r="AA2326" s="17"/>
      <c r="AB2326" s="17"/>
      <c r="AC2326" s="17"/>
      <c r="AD2326" s="17"/>
      <c r="AE2326" s="17"/>
      <c r="AF2326" s="17"/>
      <c r="AG2326" s="17"/>
      <c r="AH2326" s="17"/>
      <c r="AI2326" s="17"/>
      <c r="AJ2326" s="17"/>
      <c r="AK2326" s="17"/>
      <c r="AL2326" s="17"/>
      <c r="AM2326" s="17"/>
      <c r="AN2326" s="17"/>
      <c r="AO2326" s="17"/>
      <c r="AP2326" s="17"/>
      <c r="AQ2326" s="17"/>
      <c r="AR2326" s="17"/>
      <c r="AS2326" s="17"/>
      <c r="AT2326" s="17"/>
      <c r="AU2326" s="17"/>
    </row>
    <row r="2327" hidden="1">
      <c r="A2327" s="17">
        <v>2325</v>
      </c>
      <c r="B2327" s="17" t="s">
        <v>52</v>
      </c>
      <c r="C2327" s="34" t="s">
        <v>6735</v>
      </c>
      <c r="D2327" s="35" t="s">
        <v>6576</v>
      </c>
      <c r="E2327" s="17"/>
      <c r="F2327" s="17"/>
      <c r="G2327" s="17"/>
      <c r="H2327" s="17"/>
      <c r="I2327" s="17"/>
      <c r="J2327" s="17"/>
      <c r="K2327" s="17"/>
      <c r="L2327" s="17"/>
      <c r="M2327" s="34" t="s">
        <v>6718</v>
      </c>
      <c r="N2327" s="17"/>
      <c r="O2327" s="17"/>
      <c r="P2327" s="17"/>
      <c r="Q2327" s="17"/>
      <c r="R2327" s="17"/>
      <c r="S2327" s="17"/>
      <c r="T2327" s="17"/>
      <c r="U2327" s="17"/>
      <c r="V2327" s="17"/>
      <c r="W2327" s="17"/>
      <c r="X2327" s="17"/>
      <c r="Y2327" s="17"/>
      <c r="Z2327" s="17"/>
      <c r="AA2327" s="17"/>
      <c r="AB2327" s="17"/>
      <c r="AC2327" s="17"/>
      <c r="AD2327" s="17"/>
      <c r="AE2327" s="17"/>
      <c r="AF2327" s="17"/>
      <c r="AG2327" s="17"/>
      <c r="AH2327" s="17"/>
      <c r="AI2327" s="17"/>
      <c r="AJ2327" s="17"/>
      <c r="AK2327" s="17"/>
      <c r="AL2327" s="17"/>
      <c r="AM2327" s="17"/>
      <c r="AN2327" s="17"/>
      <c r="AO2327" s="17"/>
      <c r="AP2327" s="17"/>
      <c r="AQ2327" s="17"/>
      <c r="AR2327" s="17"/>
      <c r="AS2327" s="17"/>
      <c r="AT2327" s="17"/>
      <c r="AU2327" s="17"/>
    </row>
    <row r="2328" hidden="1">
      <c r="A2328" s="17">
        <v>2326</v>
      </c>
      <c r="B2328" s="17" t="s">
        <v>52</v>
      </c>
      <c r="C2328" s="34" t="s">
        <v>6736</v>
      </c>
      <c r="D2328" s="35" t="s">
        <v>6576</v>
      </c>
      <c r="E2328" s="17"/>
      <c r="F2328" s="17"/>
      <c r="G2328" s="17"/>
      <c r="H2328" s="17"/>
      <c r="I2328" s="17"/>
      <c r="J2328" s="17"/>
      <c r="K2328" s="17"/>
      <c r="L2328" s="17"/>
      <c r="M2328" s="34" t="s">
        <v>6718</v>
      </c>
      <c r="N2328" s="17"/>
      <c r="O2328" s="17"/>
      <c r="P2328" s="17"/>
      <c r="Q2328" s="17"/>
      <c r="R2328" s="17"/>
      <c r="S2328" s="17"/>
      <c r="T2328" s="17"/>
      <c r="U2328" s="17"/>
      <c r="V2328" s="17"/>
      <c r="W2328" s="17"/>
      <c r="X2328" s="17"/>
      <c r="Y2328" s="17"/>
      <c r="Z2328" s="17"/>
      <c r="AA2328" s="17"/>
      <c r="AB2328" s="17"/>
      <c r="AC2328" s="17"/>
      <c r="AD2328" s="17"/>
      <c r="AE2328" s="17"/>
      <c r="AF2328" s="17"/>
      <c r="AG2328" s="17"/>
      <c r="AH2328" s="17"/>
      <c r="AI2328" s="17"/>
      <c r="AJ2328" s="17"/>
      <c r="AK2328" s="17"/>
      <c r="AL2328" s="17"/>
      <c r="AM2328" s="17"/>
      <c r="AN2328" s="17"/>
      <c r="AO2328" s="17"/>
      <c r="AP2328" s="17"/>
      <c r="AQ2328" s="17"/>
      <c r="AR2328" s="17"/>
      <c r="AS2328" s="17"/>
      <c r="AT2328" s="17"/>
      <c r="AU2328" s="17"/>
    </row>
    <row r="2329" hidden="1">
      <c r="A2329" s="17">
        <v>2327</v>
      </c>
      <c r="B2329" s="17" t="s">
        <v>52</v>
      </c>
      <c r="C2329" s="34" t="s">
        <v>6737</v>
      </c>
      <c r="D2329" s="35" t="s">
        <v>6576</v>
      </c>
      <c r="E2329" s="17"/>
      <c r="F2329" s="17"/>
      <c r="G2329" s="17"/>
      <c r="H2329" s="17"/>
      <c r="I2329" s="17"/>
      <c r="J2329" s="17"/>
      <c r="K2329" s="17"/>
      <c r="L2329" s="17"/>
      <c r="M2329" s="34" t="s">
        <v>6718</v>
      </c>
      <c r="N2329" s="17"/>
      <c r="O2329" s="17"/>
      <c r="P2329" s="17"/>
      <c r="Q2329" s="17"/>
      <c r="R2329" s="17"/>
      <c r="S2329" s="17"/>
      <c r="T2329" s="17"/>
      <c r="U2329" s="17"/>
      <c r="V2329" s="17"/>
      <c r="W2329" s="17"/>
      <c r="X2329" s="17"/>
      <c r="Y2329" s="17"/>
      <c r="Z2329" s="17"/>
      <c r="AA2329" s="17"/>
      <c r="AB2329" s="17"/>
      <c r="AC2329" s="17"/>
      <c r="AD2329" s="17"/>
      <c r="AE2329" s="17"/>
      <c r="AF2329" s="17"/>
      <c r="AG2329" s="17"/>
      <c r="AH2329" s="17"/>
      <c r="AI2329" s="17"/>
      <c r="AJ2329" s="17"/>
      <c r="AK2329" s="17"/>
      <c r="AL2329" s="17"/>
      <c r="AM2329" s="17"/>
      <c r="AN2329" s="17"/>
      <c r="AO2329" s="17"/>
      <c r="AP2329" s="17"/>
      <c r="AQ2329" s="17"/>
      <c r="AR2329" s="17"/>
      <c r="AS2329" s="17"/>
      <c r="AT2329" s="17"/>
      <c r="AU2329" s="17"/>
    </row>
    <row r="2330" hidden="1">
      <c r="A2330" s="17">
        <v>2328</v>
      </c>
      <c r="B2330" s="17" t="s">
        <v>52</v>
      </c>
      <c r="C2330" s="34" t="s">
        <v>6738</v>
      </c>
      <c r="D2330" s="35" t="s">
        <v>6576</v>
      </c>
      <c r="E2330" s="17"/>
      <c r="F2330" s="17"/>
      <c r="G2330" s="17"/>
      <c r="H2330" s="17"/>
      <c r="I2330" s="17"/>
      <c r="J2330" s="17"/>
      <c r="K2330" s="17"/>
      <c r="L2330" s="17"/>
      <c r="M2330" s="34" t="s">
        <v>6718</v>
      </c>
      <c r="N2330" s="17"/>
      <c r="O2330" s="17"/>
      <c r="P2330" s="17"/>
      <c r="Q2330" s="17"/>
      <c r="R2330" s="17"/>
      <c r="S2330" s="17"/>
      <c r="T2330" s="17"/>
      <c r="U2330" s="17"/>
      <c r="V2330" s="17"/>
      <c r="W2330" s="17"/>
      <c r="X2330" s="17"/>
      <c r="Y2330" s="17"/>
      <c r="Z2330" s="17"/>
      <c r="AA2330" s="17"/>
      <c r="AB2330" s="17"/>
      <c r="AC2330" s="17"/>
      <c r="AD2330" s="17"/>
      <c r="AE2330" s="17"/>
      <c r="AF2330" s="17"/>
      <c r="AG2330" s="17"/>
      <c r="AH2330" s="17"/>
      <c r="AI2330" s="17"/>
      <c r="AJ2330" s="17"/>
      <c r="AK2330" s="17"/>
      <c r="AL2330" s="17"/>
      <c r="AM2330" s="17"/>
      <c r="AN2330" s="17"/>
      <c r="AO2330" s="17"/>
      <c r="AP2330" s="17"/>
      <c r="AQ2330" s="17"/>
      <c r="AR2330" s="17"/>
      <c r="AS2330" s="17"/>
      <c r="AT2330" s="17"/>
      <c r="AU2330" s="17"/>
    </row>
    <row r="2331" hidden="1">
      <c r="A2331" s="17">
        <v>2329</v>
      </c>
      <c r="B2331" s="17" t="s">
        <v>52</v>
      </c>
      <c r="C2331" s="34" t="s">
        <v>6739</v>
      </c>
      <c r="D2331" s="35" t="s">
        <v>6576</v>
      </c>
      <c r="E2331" s="17"/>
      <c r="F2331" s="17"/>
      <c r="G2331" s="17"/>
      <c r="H2331" s="17"/>
      <c r="I2331" s="17"/>
      <c r="J2331" s="17"/>
      <c r="K2331" s="17"/>
      <c r="L2331" s="17"/>
      <c r="M2331" s="34" t="s">
        <v>6718</v>
      </c>
      <c r="N2331" s="17"/>
      <c r="O2331" s="17"/>
      <c r="P2331" s="17"/>
      <c r="Q2331" s="17"/>
      <c r="R2331" s="17"/>
      <c r="S2331" s="17"/>
      <c r="T2331" s="17"/>
      <c r="U2331" s="17"/>
      <c r="V2331" s="17"/>
      <c r="W2331" s="17"/>
      <c r="X2331" s="17"/>
      <c r="Y2331" s="17"/>
      <c r="Z2331" s="17"/>
      <c r="AA2331" s="17"/>
      <c r="AB2331" s="17"/>
      <c r="AC2331" s="17"/>
      <c r="AD2331" s="17"/>
      <c r="AE2331" s="17"/>
      <c r="AF2331" s="17"/>
      <c r="AG2331" s="17"/>
      <c r="AH2331" s="17"/>
      <c r="AI2331" s="17"/>
      <c r="AJ2331" s="17"/>
      <c r="AK2331" s="17"/>
      <c r="AL2331" s="17"/>
      <c r="AM2331" s="17"/>
      <c r="AN2331" s="17"/>
      <c r="AO2331" s="17"/>
      <c r="AP2331" s="17"/>
      <c r="AQ2331" s="17"/>
      <c r="AR2331" s="17"/>
      <c r="AS2331" s="17"/>
      <c r="AT2331" s="17"/>
      <c r="AU2331" s="17"/>
    </row>
    <row r="2332" hidden="1">
      <c r="A2332" s="17">
        <v>2330</v>
      </c>
      <c r="B2332" s="17" t="s">
        <v>52</v>
      </c>
      <c r="C2332" s="34" t="s">
        <v>6740</v>
      </c>
      <c r="D2332" s="35" t="s">
        <v>6576</v>
      </c>
      <c r="E2332" s="17"/>
      <c r="F2332" s="17"/>
      <c r="G2332" s="17"/>
      <c r="H2332" s="17"/>
      <c r="I2332" s="17"/>
      <c r="J2332" s="17"/>
      <c r="K2332" s="17"/>
      <c r="L2332" s="17"/>
      <c r="M2332" s="34" t="s">
        <v>6718</v>
      </c>
      <c r="N2332" s="17"/>
      <c r="O2332" s="17"/>
      <c r="P2332" s="17"/>
      <c r="Q2332" s="17"/>
      <c r="R2332" s="17"/>
      <c r="S2332" s="17"/>
      <c r="T2332" s="17"/>
      <c r="U2332" s="17"/>
      <c r="V2332" s="17"/>
      <c r="W2332" s="17"/>
      <c r="X2332" s="17"/>
      <c r="Y2332" s="17"/>
      <c r="Z2332" s="17"/>
      <c r="AA2332" s="17"/>
      <c r="AB2332" s="17"/>
      <c r="AC2332" s="17"/>
      <c r="AD2332" s="17"/>
      <c r="AE2332" s="17"/>
      <c r="AF2332" s="17"/>
      <c r="AG2332" s="17"/>
      <c r="AH2332" s="17"/>
      <c r="AI2332" s="17"/>
      <c r="AJ2332" s="17"/>
      <c r="AK2332" s="17"/>
      <c r="AL2332" s="17"/>
      <c r="AM2332" s="17"/>
      <c r="AN2332" s="17"/>
      <c r="AO2332" s="17"/>
      <c r="AP2332" s="17"/>
      <c r="AQ2332" s="17"/>
      <c r="AR2332" s="17"/>
      <c r="AS2332" s="17"/>
      <c r="AT2332" s="17"/>
      <c r="AU2332" s="17"/>
    </row>
    <row r="2333" hidden="1">
      <c r="A2333" s="17">
        <v>2331</v>
      </c>
      <c r="B2333" s="17" t="s">
        <v>52</v>
      </c>
      <c r="C2333" s="34" t="s">
        <v>6741</v>
      </c>
      <c r="D2333" s="35" t="s">
        <v>6576</v>
      </c>
      <c r="E2333" s="17"/>
      <c r="F2333" s="17"/>
      <c r="G2333" s="17"/>
      <c r="H2333" s="17"/>
      <c r="I2333" s="17"/>
      <c r="J2333" s="17"/>
      <c r="K2333" s="17"/>
      <c r="L2333" s="17"/>
      <c r="M2333" s="34" t="s">
        <v>6718</v>
      </c>
      <c r="N2333" s="17"/>
      <c r="O2333" s="17"/>
      <c r="P2333" s="17"/>
      <c r="Q2333" s="17"/>
      <c r="R2333" s="17"/>
      <c r="S2333" s="17"/>
      <c r="T2333" s="17"/>
      <c r="U2333" s="17"/>
      <c r="V2333" s="17"/>
      <c r="W2333" s="17"/>
      <c r="X2333" s="17"/>
      <c r="Y2333" s="17"/>
      <c r="Z2333" s="17"/>
      <c r="AA2333" s="17"/>
      <c r="AB2333" s="17"/>
      <c r="AC2333" s="17"/>
      <c r="AD2333" s="17"/>
      <c r="AE2333" s="17"/>
      <c r="AF2333" s="17"/>
      <c r="AG2333" s="17"/>
      <c r="AH2333" s="17"/>
      <c r="AI2333" s="17"/>
      <c r="AJ2333" s="17"/>
      <c r="AK2333" s="17"/>
      <c r="AL2333" s="17"/>
      <c r="AM2333" s="17"/>
      <c r="AN2333" s="17"/>
      <c r="AO2333" s="17"/>
      <c r="AP2333" s="17"/>
      <c r="AQ2333" s="17"/>
      <c r="AR2333" s="17"/>
      <c r="AS2333" s="17"/>
      <c r="AT2333" s="17"/>
      <c r="AU2333" s="17"/>
    </row>
    <row r="2334" hidden="1">
      <c r="A2334" s="17">
        <v>2332</v>
      </c>
      <c r="B2334" s="17" t="s">
        <v>52</v>
      </c>
      <c r="C2334" s="34" t="s">
        <v>6742</v>
      </c>
      <c r="D2334" s="35" t="s">
        <v>6576</v>
      </c>
      <c r="E2334" s="17" t="s">
        <v>6743</v>
      </c>
      <c r="F2334" s="17" t="s">
        <v>6744</v>
      </c>
      <c r="G2334" s="17">
        <v>21.626123</v>
      </c>
      <c r="H2334" s="17">
        <v>87.524513999999996</v>
      </c>
      <c r="I2334" s="17"/>
      <c r="J2334" s="17"/>
      <c r="K2334" s="17"/>
      <c r="L2334" s="17"/>
      <c r="M2334" s="34" t="s">
        <v>6718</v>
      </c>
      <c r="N2334" s="17">
        <v>8240997306</v>
      </c>
      <c r="O2334" s="17"/>
      <c r="P2334" s="17"/>
      <c r="Q2334" s="17"/>
      <c r="R2334" s="17"/>
      <c r="S2334" s="17"/>
      <c r="T2334" s="17"/>
      <c r="U2334" s="17"/>
      <c r="V2334" s="17"/>
      <c r="W2334" s="17"/>
      <c r="X2334" s="17"/>
      <c r="Y2334" s="17"/>
      <c r="Z2334" s="17"/>
      <c r="AA2334" s="17"/>
      <c r="AB2334" s="17"/>
      <c r="AC2334" s="17"/>
      <c r="AD2334" s="17"/>
      <c r="AE2334" s="17"/>
      <c r="AF2334" s="17"/>
      <c r="AG2334" s="17"/>
      <c r="AH2334" s="17"/>
      <c r="AI2334" s="17"/>
      <c r="AJ2334" s="17"/>
      <c r="AK2334" s="17"/>
      <c r="AL2334" s="17"/>
      <c r="AM2334" s="17"/>
      <c r="AN2334" s="17"/>
      <c r="AO2334" s="17"/>
      <c r="AP2334" s="17"/>
      <c r="AQ2334" s="17"/>
      <c r="AR2334" s="17"/>
      <c r="AS2334" s="17"/>
      <c r="AT2334" s="17"/>
      <c r="AU2334" s="17"/>
    </row>
    <row r="2335" hidden="1">
      <c r="A2335" s="17">
        <v>2333</v>
      </c>
      <c r="B2335" s="17" t="s">
        <v>52</v>
      </c>
      <c r="C2335" s="34" t="s">
        <v>6745</v>
      </c>
      <c r="D2335" s="35" t="s">
        <v>6576</v>
      </c>
      <c r="E2335" s="17" t="s">
        <v>6746</v>
      </c>
      <c r="F2335" s="17" t="s">
        <v>6747</v>
      </c>
      <c r="G2335" s="17">
        <v>21.684089</v>
      </c>
      <c r="H2335" s="17">
        <v>87.629885000000002</v>
      </c>
      <c r="I2335" s="17"/>
      <c r="J2335" s="17"/>
      <c r="K2335" s="17"/>
      <c r="L2335" s="17"/>
      <c r="M2335" s="34" t="s">
        <v>6718</v>
      </c>
      <c r="N2335" s="17">
        <v>8240997306</v>
      </c>
      <c r="O2335" s="17"/>
      <c r="P2335" s="17"/>
      <c r="Q2335" s="17"/>
      <c r="R2335" s="17"/>
      <c r="S2335" s="17"/>
      <c r="T2335" s="17"/>
      <c r="U2335" s="17"/>
      <c r="V2335" s="17"/>
      <c r="W2335" s="17"/>
      <c r="X2335" s="17"/>
      <c r="Y2335" s="17"/>
      <c r="Z2335" s="17"/>
      <c r="AA2335" s="17"/>
      <c r="AB2335" s="17"/>
      <c r="AC2335" s="17"/>
      <c r="AD2335" s="17"/>
      <c r="AE2335" s="17"/>
      <c r="AF2335" s="17"/>
      <c r="AG2335" s="17"/>
      <c r="AH2335" s="17"/>
      <c r="AI2335" s="17"/>
      <c r="AJ2335" s="17"/>
      <c r="AK2335" s="17"/>
      <c r="AL2335" s="17"/>
      <c r="AM2335" s="17"/>
      <c r="AN2335" s="17"/>
      <c r="AO2335" s="17"/>
      <c r="AP2335" s="17"/>
      <c r="AQ2335" s="17"/>
      <c r="AR2335" s="17"/>
      <c r="AS2335" s="17"/>
      <c r="AT2335" s="17"/>
      <c r="AU2335" s="17"/>
    </row>
    <row r="2336" hidden="1">
      <c r="A2336" s="17">
        <v>2334</v>
      </c>
      <c r="B2336" s="17" t="s">
        <v>52</v>
      </c>
      <c r="C2336" s="34" t="s">
        <v>6748</v>
      </c>
      <c r="D2336" s="35" t="s">
        <v>6576</v>
      </c>
      <c r="E2336" s="17" t="s">
        <v>6749</v>
      </c>
      <c r="F2336" s="17" t="s">
        <v>6750</v>
      </c>
      <c r="G2336" s="17">
        <v>21.719622999999999</v>
      </c>
      <c r="H2336" s="17">
        <v>87.557766999999998</v>
      </c>
      <c r="I2336" s="17"/>
      <c r="J2336" s="17"/>
      <c r="K2336" s="17"/>
      <c r="L2336" s="17"/>
      <c r="M2336" s="34" t="s">
        <v>6718</v>
      </c>
      <c r="N2336" s="17">
        <v>8240997306</v>
      </c>
      <c r="O2336" s="17"/>
      <c r="P2336" s="17"/>
      <c r="Q2336" s="17"/>
      <c r="R2336" s="17"/>
      <c r="S2336" s="17"/>
      <c r="T2336" s="17"/>
      <c r="U2336" s="17"/>
      <c r="V2336" s="17"/>
      <c r="W2336" s="17"/>
      <c r="X2336" s="17"/>
      <c r="Y2336" s="17"/>
      <c r="Z2336" s="17"/>
      <c r="AA2336" s="17"/>
      <c r="AB2336" s="17"/>
      <c r="AC2336" s="17"/>
      <c r="AD2336" s="17"/>
      <c r="AE2336" s="17"/>
      <c r="AF2336" s="17"/>
      <c r="AG2336" s="17"/>
      <c r="AH2336" s="17"/>
      <c r="AI2336" s="17"/>
      <c r="AJ2336" s="17"/>
      <c r="AK2336" s="17"/>
      <c r="AL2336" s="17"/>
      <c r="AM2336" s="17"/>
      <c r="AN2336" s="17"/>
      <c r="AO2336" s="17"/>
      <c r="AP2336" s="17"/>
      <c r="AQ2336" s="17"/>
      <c r="AR2336" s="17"/>
      <c r="AS2336" s="17"/>
      <c r="AT2336" s="17"/>
      <c r="AU2336" s="17"/>
    </row>
    <row r="2337" hidden="1">
      <c r="A2337" s="17">
        <v>2335</v>
      </c>
      <c r="B2337" s="17" t="s">
        <v>52</v>
      </c>
      <c r="C2337" s="34" t="s">
        <v>6751</v>
      </c>
      <c r="D2337" s="35" t="s">
        <v>6576</v>
      </c>
      <c r="E2337" s="17" t="s">
        <v>6752</v>
      </c>
      <c r="F2337" s="17" t="s">
        <v>6753</v>
      </c>
      <c r="G2337" s="17">
        <v>21.68693</v>
      </c>
      <c r="H2337" s="17">
        <v>87.562901999999994</v>
      </c>
      <c r="I2337" s="17"/>
      <c r="J2337" s="17"/>
      <c r="K2337" s="17"/>
      <c r="L2337" s="17"/>
      <c r="M2337" s="34" t="s">
        <v>6718</v>
      </c>
      <c r="N2337" s="17">
        <v>8240997306</v>
      </c>
      <c r="O2337" s="17"/>
      <c r="P2337" s="17"/>
      <c r="Q2337" s="17"/>
      <c r="R2337" s="17"/>
      <c r="S2337" s="17"/>
      <c r="T2337" s="17"/>
      <c r="U2337" s="17"/>
      <c r="V2337" s="17"/>
      <c r="W2337" s="17"/>
      <c r="X2337" s="17"/>
      <c r="Y2337" s="17"/>
      <c r="Z2337" s="17"/>
      <c r="AA2337" s="17"/>
      <c r="AB2337" s="17"/>
      <c r="AC2337" s="17"/>
      <c r="AD2337" s="17"/>
      <c r="AE2337" s="17"/>
      <c r="AF2337" s="17"/>
      <c r="AG2337" s="17"/>
      <c r="AH2337" s="17"/>
      <c r="AI2337" s="17"/>
      <c r="AJ2337" s="17"/>
      <c r="AK2337" s="17"/>
      <c r="AL2337" s="17"/>
      <c r="AM2337" s="17"/>
      <c r="AN2337" s="17"/>
      <c r="AO2337" s="17"/>
      <c r="AP2337" s="17"/>
      <c r="AQ2337" s="17"/>
      <c r="AR2337" s="17"/>
      <c r="AS2337" s="17"/>
      <c r="AT2337" s="17"/>
      <c r="AU2337" s="17"/>
    </row>
    <row r="2338" hidden="1">
      <c r="A2338" s="17">
        <v>2336</v>
      </c>
      <c r="B2338" s="17" t="s">
        <v>52</v>
      </c>
      <c r="C2338" s="34" t="s">
        <v>6754</v>
      </c>
      <c r="D2338" s="35" t="s">
        <v>6576</v>
      </c>
      <c r="E2338" s="17" t="s">
        <v>6755</v>
      </c>
      <c r="F2338" s="17" t="s">
        <v>6756</v>
      </c>
      <c r="G2338" s="17">
        <v>21.699338000000001</v>
      </c>
      <c r="H2338" s="17">
        <v>87.510097000000002</v>
      </c>
      <c r="I2338" s="17"/>
      <c r="J2338" s="17"/>
      <c r="K2338" s="17"/>
      <c r="L2338" s="17"/>
      <c r="M2338" s="34" t="s">
        <v>6718</v>
      </c>
      <c r="N2338" s="17">
        <v>8240997306</v>
      </c>
      <c r="O2338" s="17"/>
      <c r="P2338" s="17"/>
      <c r="Q2338" s="17"/>
      <c r="R2338" s="17"/>
      <c r="S2338" s="17"/>
      <c r="T2338" s="17"/>
      <c r="U2338" s="17"/>
      <c r="V2338" s="17"/>
      <c r="W2338" s="17"/>
      <c r="X2338" s="17"/>
      <c r="Y2338" s="17"/>
      <c r="Z2338" s="17"/>
      <c r="AA2338" s="17"/>
      <c r="AB2338" s="17"/>
      <c r="AC2338" s="17"/>
      <c r="AD2338" s="17"/>
      <c r="AE2338" s="17"/>
      <c r="AF2338" s="17"/>
      <c r="AG2338" s="17"/>
      <c r="AH2338" s="17"/>
      <c r="AI2338" s="17"/>
      <c r="AJ2338" s="17"/>
      <c r="AK2338" s="17"/>
      <c r="AL2338" s="17"/>
      <c r="AM2338" s="17"/>
      <c r="AN2338" s="17"/>
      <c r="AO2338" s="17"/>
      <c r="AP2338" s="17"/>
      <c r="AQ2338" s="17"/>
      <c r="AR2338" s="17"/>
      <c r="AS2338" s="17"/>
      <c r="AT2338" s="17"/>
      <c r="AU2338" s="17"/>
    </row>
    <row r="2339" hidden="1">
      <c r="A2339" s="17">
        <v>2337</v>
      </c>
      <c r="B2339" s="17" t="s">
        <v>52</v>
      </c>
      <c r="C2339" s="34" t="s">
        <v>6757</v>
      </c>
      <c r="D2339" s="35" t="s">
        <v>6576</v>
      </c>
      <c r="E2339" s="17" t="s">
        <v>6758</v>
      </c>
      <c r="F2339" s="17" t="s">
        <v>6759</v>
      </c>
      <c r="G2339" s="17">
        <v>21.619848000000001</v>
      </c>
      <c r="H2339" s="17">
        <v>87.504126999999997</v>
      </c>
      <c r="I2339" s="17"/>
      <c r="J2339" s="17"/>
      <c r="K2339" s="17"/>
      <c r="L2339" s="17"/>
      <c r="M2339" s="34" t="s">
        <v>6718</v>
      </c>
      <c r="N2339" s="17">
        <v>8240997306</v>
      </c>
      <c r="O2339" s="17"/>
      <c r="P2339" s="17"/>
      <c r="Q2339" s="17"/>
      <c r="R2339" s="17"/>
      <c r="S2339" s="17"/>
      <c r="T2339" s="17"/>
      <c r="U2339" s="17"/>
      <c r="V2339" s="17"/>
      <c r="W2339" s="17"/>
      <c r="X2339" s="17"/>
      <c r="Y2339" s="17"/>
      <c r="Z2339" s="17"/>
      <c r="AA2339" s="17"/>
      <c r="AB2339" s="17"/>
      <c r="AC2339" s="17"/>
      <c r="AD2339" s="17"/>
      <c r="AE2339" s="17"/>
      <c r="AF2339" s="17"/>
      <c r="AG2339" s="17"/>
      <c r="AH2339" s="17"/>
      <c r="AI2339" s="17"/>
      <c r="AJ2339" s="17"/>
      <c r="AK2339" s="17"/>
      <c r="AL2339" s="17"/>
      <c r="AM2339" s="17"/>
      <c r="AN2339" s="17"/>
      <c r="AO2339" s="17"/>
      <c r="AP2339" s="17"/>
      <c r="AQ2339" s="17"/>
      <c r="AR2339" s="17"/>
      <c r="AS2339" s="17"/>
      <c r="AT2339" s="17"/>
      <c r="AU2339" s="17"/>
    </row>
    <row r="2340" hidden="1">
      <c r="A2340" s="17">
        <v>2338</v>
      </c>
      <c r="B2340" s="17" t="s">
        <v>52</v>
      </c>
      <c r="C2340" s="34" t="s">
        <v>6760</v>
      </c>
      <c r="D2340" s="35" t="s">
        <v>6576</v>
      </c>
      <c r="E2340" s="17" t="s">
        <v>6761</v>
      </c>
      <c r="F2340" s="17" t="s">
        <v>6762</v>
      </c>
      <c r="G2340" s="17">
        <v>21.683015999999999</v>
      </c>
      <c r="H2340" s="17">
        <v>87.482938000000004</v>
      </c>
      <c r="I2340" s="17"/>
      <c r="J2340" s="17"/>
      <c r="K2340" s="17"/>
      <c r="L2340" s="17"/>
      <c r="M2340" s="34" t="s">
        <v>6718</v>
      </c>
      <c r="N2340" s="17">
        <v>8240997306</v>
      </c>
      <c r="O2340" s="17"/>
      <c r="P2340" s="17"/>
      <c r="Q2340" s="17"/>
      <c r="R2340" s="17"/>
      <c r="S2340" s="17"/>
      <c r="T2340" s="17"/>
      <c r="U2340" s="17"/>
      <c r="V2340" s="17"/>
      <c r="W2340" s="17"/>
      <c r="X2340" s="17"/>
      <c r="Y2340" s="17"/>
      <c r="Z2340" s="17"/>
      <c r="AA2340" s="17"/>
      <c r="AB2340" s="17"/>
      <c r="AC2340" s="17"/>
      <c r="AD2340" s="17"/>
      <c r="AE2340" s="17"/>
      <c r="AF2340" s="17"/>
      <c r="AG2340" s="17"/>
      <c r="AH2340" s="17"/>
      <c r="AI2340" s="17"/>
      <c r="AJ2340" s="17"/>
      <c r="AK2340" s="17"/>
      <c r="AL2340" s="17"/>
      <c r="AM2340" s="17"/>
      <c r="AN2340" s="17"/>
      <c r="AO2340" s="17"/>
      <c r="AP2340" s="17"/>
      <c r="AQ2340" s="17"/>
      <c r="AR2340" s="17"/>
      <c r="AS2340" s="17"/>
      <c r="AT2340" s="17"/>
      <c r="AU2340" s="17"/>
    </row>
    <row r="2341" hidden="1">
      <c r="A2341" s="17">
        <v>2339</v>
      </c>
      <c r="B2341" s="17" t="s">
        <v>52</v>
      </c>
      <c r="C2341" s="34" t="s">
        <v>6763</v>
      </c>
      <c r="D2341" s="35" t="s">
        <v>6576</v>
      </c>
      <c r="E2341" s="17" t="s">
        <v>6764</v>
      </c>
      <c r="F2341" s="17" t="s">
        <v>6765</v>
      </c>
      <c r="G2341" s="17">
        <v>21.678951000000001</v>
      </c>
      <c r="H2341" s="17">
        <v>87.577167000000003</v>
      </c>
      <c r="I2341" s="17"/>
      <c r="J2341" s="17"/>
      <c r="K2341" s="17"/>
      <c r="L2341" s="17"/>
      <c r="M2341" s="34" t="s">
        <v>6718</v>
      </c>
      <c r="N2341" s="17">
        <v>8240997306</v>
      </c>
      <c r="O2341" s="17"/>
      <c r="P2341" s="17"/>
      <c r="Q2341" s="17"/>
      <c r="R2341" s="17"/>
      <c r="S2341" s="17"/>
      <c r="T2341" s="17"/>
      <c r="U2341" s="17"/>
      <c r="V2341" s="17"/>
      <c r="W2341" s="17"/>
      <c r="X2341" s="17"/>
      <c r="Y2341" s="17"/>
      <c r="Z2341" s="17"/>
      <c r="AA2341" s="17"/>
      <c r="AB2341" s="17"/>
      <c r="AC2341" s="17"/>
      <c r="AD2341" s="17"/>
      <c r="AE2341" s="17"/>
      <c r="AF2341" s="17"/>
      <c r="AG2341" s="17"/>
      <c r="AH2341" s="17"/>
      <c r="AI2341" s="17"/>
      <c r="AJ2341" s="17"/>
      <c r="AK2341" s="17"/>
      <c r="AL2341" s="17"/>
      <c r="AM2341" s="17"/>
      <c r="AN2341" s="17"/>
      <c r="AO2341" s="17"/>
      <c r="AP2341" s="17"/>
      <c r="AQ2341" s="17"/>
      <c r="AR2341" s="17"/>
      <c r="AS2341" s="17"/>
      <c r="AT2341" s="17"/>
      <c r="AU2341" s="17"/>
    </row>
    <row r="2342" hidden="1">
      <c r="A2342" s="17">
        <v>2340</v>
      </c>
      <c r="B2342" s="17" t="s">
        <v>52</v>
      </c>
      <c r="C2342" s="34" t="s">
        <v>6766</v>
      </c>
      <c r="D2342" s="35" t="s">
        <v>6576</v>
      </c>
      <c r="E2342" s="17" t="s">
        <v>6767</v>
      </c>
      <c r="F2342" s="17" t="s">
        <v>6768</v>
      </c>
      <c r="G2342" s="17">
        <v>21.627327000000001</v>
      </c>
      <c r="H2342" s="17">
        <v>87.494943000000006</v>
      </c>
      <c r="I2342" s="17"/>
      <c r="J2342" s="17"/>
      <c r="K2342" s="17"/>
      <c r="L2342" s="17"/>
      <c r="M2342" s="34" t="s">
        <v>6718</v>
      </c>
      <c r="N2342" s="17">
        <v>8240997306</v>
      </c>
      <c r="O2342" s="17"/>
      <c r="P2342" s="17"/>
      <c r="Q2342" s="17"/>
      <c r="R2342" s="17"/>
      <c r="S2342" s="17"/>
      <c r="T2342" s="17"/>
      <c r="U2342" s="17"/>
      <c r="V2342" s="17"/>
      <c r="W2342" s="17"/>
      <c r="X2342" s="17"/>
      <c r="Y2342" s="17"/>
      <c r="Z2342" s="17"/>
      <c r="AA2342" s="17"/>
      <c r="AB2342" s="17"/>
      <c r="AC2342" s="17"/>
      <c r="AD2342" s="17"/>
      <c r="AE2342" s="17"/>
      <c r="AF2342" s="17"/>
      <c r="AG2342" s="17"/>
      <c r="AH2342" s="17"/>
      <c r="AI2342" s="17"/>
      <c r="AJ2342" s="17"/>
      <c r="AK2342" s="17"/>
      <c r="AL2342" s="17"/>
      <c r="AM2342" s="17"/>
      <c r="AN2342" s="17"/>
      <c r="AO2342" s="17"/>
      <c r="AP2342" s="17"/>
      <c r="AQ2342" s="17"/>
      <c r="AR2342" s="17"/>
      <c r="AS2342" s="17"/>
      <c r="AT2342" s="17"/>
      <c r="AU2342" s="17"/>
    </row>
    <row r="2343" hidden="1">
      <c r="A2343" s="17">
        <v>2341</v>
      </c>
      <c r="B2343" s="17" t="s">
        <v>52</v>
      </c>
      <c r="C2343" s="34" t="s">
        <v>6769</v>
      </c>
      <c r="D2343" s="35" t="s">
        <v>6576</v>
      </c>
      <c r="E2343" s="17" t="s">
        <v>6770</v>
      </c>
      <c r="F2343" s="17" t="s">
        <v>6771</v>
      </c>
      <c r="G2343" s="17">
        <v>21.659452999999999</v>
      </c>
      <c r="H2343" s="17">
        <v>87.477733000000001</v>
      </c>
      <c r="I2343" s="17"/>
      <c r="J2343" s="17"/>
      <c r="K2343" s="17"/>
      <c r="L2343" s="17"/>
      <c r="M2343" s="34" t="s">
        <v>6718</v>
      </c>
      <c r="N2343" s="17">
        <v>8240997306</v>
      </c>
      <c r="O2343" s="17"/>
      <c r="P2343" s="17"/>
      <c r="Q2343" s="17"/>
      <c r="R2343" s="17"/>
      <c r="S2343" s="17"/>
      <c r="T2343" s="17"/>
      <c r="U2343" s="17"/>
      <c r="V2343" s="17"/>
      <c r="W2343" s="17"/>
      <c r="X2343" s="17"/>
      <c r="Y2343" s="17"/>
      <c r="Z2343" s="17"/>
      <c r="AA2343" s="17"/>
      <c r="AB2343" s="17"/>
      <c r="AC2343" s="17"/>
      <c r="AD2343" s="17"/>
      <c r="AE2343" s="17"/>
      <c r="AF2343" s="17"/>
      <c r="AG2343" s="17"/>
      <c r="AH2343" s="17"/>
      <c r="AI2343" s="17"/>
      <c r="AJ2343" s="17"/>
      <c r="AK2343" s="17"/>
      <c r="AL2343" s="17"/>
      <c r="AM2343" s="17"/>
      <c r="AN2343" s="17"/>
      <c r="AO2343" s="17"/>
      <c r="AP2343" s="17"/>
      <c r="AQ2343" s="17"/>
      <c r="AR2343" s="17"/>
      <c r="AS2343" s="17"/>
      <c r="AT2343" s="17"/>
      <c r="AU2343" s="17"/>
    </row>
    <row r="2344" hidden="1">
      <c r="A2344" s="17">
        <v>2342</v>
      </c>
      <c r="B2344" s="17" t="s">
        <v>52</v>
      </c>
      <c r="C2344" s="34" t="s">
        <v>6772</v>
      </c>
      <c r="D2344" s="35" t="s">
        <v>6576</v>
      </c>
      <c r="E2344" s="17" t="s">
        <v>6773</v>
      </c>
      <c r="F2344" s="17" t="s">
        <v>6774</v>
      </c>
      <c r="G2344" s="17">
        <v>21.650458</v>
      </c>
      <c r="H2344" s="17">
        <v>87.510332000000005</v>
      </c>
      <c r="I2344" s="17"/>
      <c r="J2344" s="17"/>
      <c r="K2344" s="17"/>
      <c r="L2344" s="17"/>
      <c r="M2344" s="34" t="s">
        <v>6718</v>
      </c>
      <c r="N2344" s="17">
        <v>8240997306</v>
      </c>
      <c r="O2344" s="17"/>
      <c r="P2344" s="17"/>
      <c r="Q2344" s="17"/>
      <c r="R2344" s="17"/>
      <c r="S2344" s="17"/>
      <c r="T2344" s="17"/>
      <c r="U2344" s="17"/>
      <c r="V2344" s="17"/>
      <c r="W2344" s="17"/>
      <c r="X2344" s="17"/>
      <c r="Y2344" s="17"/>
      <c r="Z2344" s="17"/>
      <c r="AA2344" s="17"/>
      <c r="AB2344" s="17"/>
      <c r="AC2344" s="17"/>
      <c r="AD2344" s="17"/>
      <c r="AE2344" s="17"/>
      <c r="AF2344" s="17"/>
      <c r="AG2344" s="17"/>
      <c r="AH2344" s="17"/>
      <c r="AI2344" s="17"/>
      <c r="AJ2344" s="17"/>
      <c r="AK2344" s="17"/>
      <c r="AL2344" s="17"/>
      <c r="AM2344" s="17"/>
      <c r="AN2344" s="17"/>
      <c r="AO2344" s="17"/>
      <c r="AP2344" s="17"/>
      <c r="AQ2344" s="17"/>
      <c r="AR2344" s="17"/>
      <c r="AS2344" s="17"/>
      <c r="AT2344" s="17"/>
      <c r="AU2344" s="17"/>
    </row>
    <row r="2345" hidden="1">
      <c r="A2345" s="17">
        <v>2343</v>
      </c>
      <c r="B2345" s="17" t="s">
        <v>52</v>
      </c>
      <c r="C2345" s="34" t="s">
        <v>6775</v>
      </c>
      <c r="D2345" s="35" t="s">
        <v>6576</v>
      </c>
      <c r="E2345" s="17" t="s">
        <v>54</v>
      </c>
      <c r="F2345" s="17" t="s">
        <v>6776</v>
      </c>
      <c r="G2345" s="17">
        <v>21.689435</v>
      </c>
      <c r="H2345" s="17">
        <v>87.531470999999996</v>
      </c>
      <c r="I2345" s="17"/>
      <c r="J2345" s="17"/>
      <c r="K2345" s="17"/>
      <c r="L2345" s="17"/>
      <c r="M2345" s="34" t="s">
        <v>6718</v>
      </c>
      <c r="N2345" s="17">
        <v>8240997306</v>
      </c>
      <c r="O2345" s="17"/>
      <c r="P2345" s="17"/>
      <c r="Q2345" s="17"/>
      <c r="R2345" s="17"/>
      <c r="S2345" s="17"/>
      <c r="T2345" s="17"/>
      <c r="U2345" s="17"/>
      <c r="V2345" s="17"/>
      <c r="W2345" s="17"/>
      <c r="X2345" s="17"/>
      <c r="Y2345" s="17"/>
      <c r="Z2345" s="17"/>
      <c r="AA2345" s="17"/>
      <c r="AB2345" s="17"/>
      <c r="AC2345" s="17"/>
      <c r="AD2345" s="17"/>
      <c r="AE2345" s="17"/>
      <c r="AF2345" s="17"/>
      <c r="AG2345" s="17"/>
      <c r="AH2345" s="17"/>
      <c r="AI2345" s="17"/>
      <c r="AJ2345" s="17"/>
      <c r="AK2345" s="17"/>
      <c r="AL2345" s="17"/>
      <c r="AM2345" s="17"/>
      <c r="AN2345" s="17"/>
      <c r="AO2345" s="17"/>
      <c r="AP2345" s="17"/>
      <c r="AQ2345" s="17"/>
      <c r="AR2345" s="17"/>
      <c r="AS2345" s="17"/>
      <c r="AT2345" s="17"/>
      <c r="AU2345" s="17"/>
    </row>
    <row r="2346" hidden="1">
      <c r="A2346" s="17">
        <v>2344</v>
      </c>
      <c r="B2346" s="17" t="s">
        <v>52</v>
      </c>
      <c r="C2346" s="34" t="s">
        <v>6777</v>
      </c>
      <c r="D2346" s="35" t="s">
        <v>6576</v>
      </c>
      <c r="E2346" s="17" t="s">
        <v>6778</v>
      </c>
      <c r="F2346" s="17" t="s">
        <v>6779</v>
      </c>
      <c r="G2346" s="17">
        <v>21.672978000000001</v>
      </c>
      <c r="H2346" s="17">
        <v>87.546295000000001</v>
      </c>
      <c r="I2346" s="17"/>
      <c r="J2346" s="17"/>
      <c r="K2346" s="17"/>
      <c r="L2346" s="17"/>
      <c r="M2346" s="34" t="s">
        <v>6718</v>
      </c>
      <c r="N2346" s="17">
        <v>8240997306</v>
      </c>
      <c r="O2346" s="17"/>
      <c r="P2346" s="17"/>
      <c r="Q2346" s="17"/>
      <c r="R2346" s="17"/>
      <c r="S2346" s="17"/>
      <c r="T2346" s="17"/>
      <c r="U2346" s="17"/>
      <c r="V2346" s="17"/>
      <c r="W2346" s="17"/>
      <c r="X2346" s="17"/>
      <c r="Y2346" s="17"/>
      <c r="Z2346" s="17"/>
      <c r="AA2346" s="17"/>
      <c r="AB2346" s="17"/>
      <c r="AC2346" s="17"/>
      <c r="AD2346" s="17"/>
      <c r="AE2346" s="17"/>
      <c r="AF2346" s="17"/>
      <c r="AG2346" s="17"/>
      <c r="AH2346" s="17"/>
      <c r="AI2346" s="17"/>
      <c r="AJ2346" s="17"/>
      <c r="AK2346" s="17"/>
      <c r="AL2346" s="17"/>
      <c r="AM2346" s="17"/>
      <c r="AN2346" s="17"/>
      <c r="AO2346" s="17"/>
      <c r="AP2346" s="17"/>
      <c r="AQ2346" s="17"/>
      <c r="AR2346" s="17"/>
      <c r="AS2346" s="17"/>
      <c r="AT2346" s="17"/>
      <c r="AU2346" s="17"/>
    </row>
    <row r="2347" hidden="1">
      <c r="A2347" s="17">
        <v>2345</v>
      </c>
      <c r="B2347" s="17" t="s">
        <v>52</v>
      </c>
      <c r="C2347" s="34" t="s">
        <v>6780</v>
      </c>
      <c r="D2347" s="35" t="s">
        <v>6576</v>
      </c>
      <c r="E2347" s="17" t="s">
        <v>6781</v>
      </c>
      <c r="F2347" s="17" t="s">
        <v>6782</v>
      </c>
      <c r="G2347" s="17">
        <v>21.629857999999999</v>
      </c>
      <c r="H2347" s="17">
        <v>87.532679000000002</v>
      </c>
      <c r="I2347" s="17"/>
      <c r="J2347" s="17"/>
      <c r="K2347" s="17"/>
      <c r="L2347" s="17"/>
      <c r="M2347" s="34" t="s">
        <v>6718</v>
      </c>
      <c r="N2347" s="17">
        <v>8240997306</v>
      </c>
      <c r="O2347" s="17"/>
      <c r="P2347" s="17"/>
      <c r="Q2347" s="17"/>
      <c r="R2347" s="17"/>
      <c r="S2347" s="17"/>
      <c r="T2347" s="17"/>
      <c r="U2347" s="17"/>
      <c r="V2347" s="17"/>
      <c r="W2347" s="17"/>
      <c r="X2347" s="17"/>
      <c r="Y2347" s="17"/>
      <c r="Z2347" s="17"/>
      <c r="AA2347" s="17"/>
      <c r="AB2347" s="17"/>
      <c r="AC2347" s="17"/>
      <c r="AD2347" s="17"/>
      <c r="AE2347" s="17"/>
      <c r="AF2347" s="17"/>
      <c r="AG2347" s="17"/>
      <c r="AH2347" s="17"/>
      <c r="AI2347" s="17"/>
      <c r="AJ2347" s="17"/>
      <c r="AK2347" s="17"/>
      <c r="AL2347" s="17"/>
      <c r="AM2347" s="17"/>
      <c r="AN2347" s="17"/>
      <c r="AO2347" s="17"/>
      <c r="AP2347" s="17"/>
      <c r="AQ2347" s="17"/>
      <c r="AR2347" s="17"/>
      <c r="AS2347" s="17"/>
      <c r="AT2347" s="17"/>
      <c r="AU2347" s="17"/>
    </row>
    <row r="2348" hidden="1">
      <c r="A2348" s="17">
        <v>2346</v>
      </c>
      <c r="B2348" s="17" t="s">
        <v>52</v>
      </c>
      <c r="C2348" s="34" t="s">
        <v>6783</v>
      </c>
      <c r="D2348" s="35" t="s">
        <v>6576</v>
      </c>
      <c r="E2348" s="17" t="s">
        <v>6752</v>
      </c>
      <c r="F2348" s="17" t="s">
        <v>6784</v>
      </c>
      <c r="G2348" s="17">
        <v>21.712592000000001</v>
      </c>
      <c r="H2348" s="17">
        <v>87.504208000000006</v>
      </c>
      <c r="I2348" s="17"/>
      <c r="J2348" s="17"/>
      <c r="K2348" s="17"/>
      <c r="L2348" s="17"/>
      <c r="M2348" s="34" t="s">
        <v>6718</v>
      </c>
      <c r="N2348" s="17">
        <v>8240997306</v>
      </c>
      <c r="O2348" s="17"/>
      <c r="P2348" s="17"/>
      <c r="Q2348" s="17"/>
      <c r="R2348" s="17"/>
      <c r="S2348" s="17"/>
      <c r="T2348" s="17"/>
      <c r="U2348" s="17"/>
      <c r="V2348" s="17"/>
      <c r="W2348" s="17"/>
      <c r="X2348" s="17"/>
      <c r="Y2348" s="17"/>
      <c r="Z2348" s="17"/>
      <c r="AA2348" s="17"/>
      <c r="AB2348" s="17"/>
      <c r="AC2348" s="17"/>
      <c r="AD2348" s="17"/>
      <c r="AE2348" s="17"/>
      <c r="AF2348" s="17"/>
      <c r="AG2348" s="17"/>
      <c r="AH2348" s="17"/>
      <c r="AI2348" s="17"/>
      <c r="AJ2348" s="17"/>
      <c r="AK2348" s="17"/>
      <c r="AL2348" s="17"/>
      <c r="AM2348" s="17"/>
      <c r="AN2348" s="17"/>
      <c r="AO2348" s="17"/>
      <c r="AP2348" s="17"/>
      <c r="AQ2348" s="17"/>
      <c r="AR2348" s="17"/>
      <c r="AS2348" s="17"/>
      <c r="AT2348" s="17"/>
      <c r="AU2348" s="17"/>
    </row>
    <row r="2349" hidden="1">
      <c r="A2349" s="17">
        <v>2347</v>
      </c>
      <c r="B2349" s="17" t="s">
        <v>52</v>
      </c>
      <c r="C2349" s="34" t="s">
        <v>6785</v>
      </c>
      <c r="D2349" s="35" t="s">
        <v>6576</v>
      </c>
      <c r="E2349" s="17" t="s">
        <v>6786</v>
      </c>
      <c r="F2349" s="17" t="s">
        <v>6787</v>
      </c>
      <c r="G2349" s="17">
        <v>21.729303999999999</v>
      </c>
      <c r="H2349" s="17">
        <v>87.552779999999998</v>
      </c>
      <c r="I2349" s="17"/>
      <c r="J2349" s="17"/>
      <c r="K2349" s="17"/>
      <c r="L2349" s="17"/>
      <c r="M2349" s="34" t="s">
        <v>6718</v>
      </c>
      <c r="N2349" s="17">
        <v>8240997306</v>
      </c>
      <c r="O2349" s="17">
        <v>16</v>
      </c>
      <c r="P2349" s="17">
        <v>90</v>
      </c>
      <c r="Q2349" s="17" t="s">
        <v>73</v>
      </c>
      <c r="R2349" s="17" t="s">
        <v>74</v>
      </c>
      <c r="S2349" s="17"/>
      <c r="T2349" s="17"/>
      <c r="U2349" s="17" t="s">
        <v>76</v>
      </c>
      <c r="V2349" s="17" t="s">
        <v>77</v>
      </c>
      <c r="W2349" s="17" t="s">
        <v>78</v>
      </c>
      <c r="X2349" s="17">
        <v>5</v>
      </c>
      <c r="Y2349" s="17">
        <v>2</v>
      </c>
      <c r="Z2349" s="17"/>
      <c r="AA2349" s="17" t="s">
        <v>73</v>
      </c>
      <c r="AB2349" s="17" t="s">
        <v>79</v>
      </c>
      <c r="AC2349" s="17">
        <v>2</v>
      </c>
      <c r="AD2349" s="17">
        <v>0</v>
      </c>
      <c r="AE2349" s="17">
        <v>0</v>
      </c>
      <c r="AF2349" s="17"/>
      <c r="AG2349" s="17" t="s">
        <v>81</v>
      </c>
      <c r="AH2349" s="17" t="s">
        <v>82</v>
      </c>
      <c r="AI2349" s="17" t="s">
        <v>107</v>
      </c>
      <c r="AJ2349" s="17"/>
      <c r="AK2349" s="17" t="s">
        <v>75</v>
      </c>
      <c r="AL2349" s="17" t="s">
        <v>75</v>
      </c>
      <c r="AM2349" s="17" t="s">
        <v>75</v>
      </c>
      <c r="AN2349" s="17" t="s">
        <v>84</v>
      </c>
      <c r="AO2349" s="17" t="s">
        <v>75</v>
      </c>
      <c r="AP2349" s="17"/>
      <c r="AQ2349" s="17"/>
      <c r="AR2349" s="17"/>
      <c r="AS2349" s="17"/>
      <c r="AT2349" s="17" t="s">
        <v>6788</v>
      </c>
      <c r="AU2349" s="17" t="s">
        <v>111</v>
      </c>
    </row>
    <row r="2350" hidden="1">
      <c r="A2350" s="17">
        <v>2348</v>
      </c>
      <c r="B2350" s="17" t="s">
        <v>52</v>
      </c>
      <c r="C2350" s="34" t="s">
        <v>6789</v>
      </c>
      <c r="D2350" s="35" t="s">
        <v>6576</v>
      </c>
      <c r="E2350" s="17" t="s">
        <v>6790</v>
      </c>
      <c r="F2350" s="17" t="s">
        <v>6791</v>
      </c>
      <c r="G2350" s="17">
        <v>21.679447</v>
      </c>
      <c r="H2350" s="17">
        <v>87.602552000000003</v>
      </c>
      <c r="I2350" s="17"/>
      <c r="J2350" s="17"/>
      <c r="K2350" s="17"/>
      <c r="L2350" s="17"/>
      <c r="M2350" s="34" t="s">
        <v>6718</v>
      </c>
      <c r="N2350" s="17">
        <v>8240997306</v>
      </c>
      <c r="O2350" s="17">
        <v>15</v>
      </c>
      <c r="P2350" s="17">
        <v>100</v>
      </c>
      <c r="Q2350" s="17" t="s">
        <v>73</v>
      </c>
      <c r="R2350" s="17" t="s">
        <v>142</v>
      </c>
      <c r="S2350" s="17" t="s">
        <v>137</v>
      </c>
      <c r="T2350" s="17" t="s">
        <v>6792</v>
      </c>
      <c r="U2350" s="17" t="s">
        <v>105</v>
      </c>
      <c r="V2350" s="17" t="s">
        <v>77</v>
      </c>
      <c r="W2350" s="17" t="s">
        <v>252</v>
      </c>
      <c r="X2350" s="17">
        <v>5</v>
      </c>
      <c r="Y2350" s="17">
        <v>0</v>
      </c>
      <c r="Z2350" s="17"/>
      <c r="AA2350" s="17" t="s">
        <v>73</v>
      </c>
      <c r="AB2350" s="17" t="s">
        <v>79</v>
      </c>
      <c r="AC2350" s="17">
        <v>3</v>
      </c>
      <c r="AD2350" s="17">
        <v>0</v>
      </c>
      <c r="AE2350" s="17">
        <v>0</v>
      </c>
      <c r="AF2350" s="17"/>
      <c r="AG2350" s="17" t="s">
        <v>124</v>
      </c>
      <c r="AH2350" s="17" t="s">
        <v>82</v>
      </c>
      <c r="AI2350" s="17" t="s">
        <v>83</v>
      </c>
      <c r="AJ2350" s="17">
        <v>2111</v>
      </c>
      <c r="AK2350" s="17" t="s">
        <v>75</v>
      </c>
      <c r="AL2350" s="17" t="s">
        <v>75</v>
      </c>
      <c r="AM2350" s="17" t="s">
        <v>75</v>
      </c>
      <c r="AN2350" s="17" t="s">
        <v>84</v>
      </c>
      <c r="AO2350" s="17" t="s">
        <v>75</v>
      </c>
      <c r="AP2350" s="17"/>
      <c r="AQ2350" s="17"/>
      <c r="AR2350" s="17"/>
      <c r="AS2350" s="17"/>
      <c r="AT2350" s="17"/>
      <c r="AU2350" s="17" t="s">
        <v>111</v>
      </c>
    </row>
    <row r="2351" hidden="1">
      <c r="A2351" s="17">
        <v>2349</v>
      </c>
      <c r="B2351" s="17" t="s">
        <v>52</v>
      </c>
      <c r="C2351" s="34" t="s">
        <v>6793</v>
      </c>
      <c r="D2351" s="35" t="s">
        <v>6576</v>
      </c>
      <c r="E2351" s="17" t="s">
        <v>6794</v>
      </c>
      <c r="F2351" s="17" t="s">
        <v>6795</v>
      </c>
      <c r="G2351" s="17">
        <v>21.718143000000001</v>
      </c>
      <c r="H2351" s="17">
        <v>87.586952999999994</v>
      </c>
      <c r="I2351" s="17"/>
      <c r="J2351" s="17"/>
      <c r="K2351" s="17"/>
      <c r="L2351" s="17"/>
      <c r="M2351" s="34" t="s">
        <v>6718</v>
      </c>
      <c r="N2351" s="17">
        <v>8240997306</v>
      </c>
      <c r="O2351" s="17">
        <v>14</v>
      </c>
      <c r="P2351" s="17">
        <v>60</v>
      </c>
      <c r="Q2351" s="17" t="s">
        <v>73</v>
      </c>
      <c r="R2351" s="17" t="s">
        <v>74</v>
      </c>
      <c r="S2351" s="17" t="s">
        <v>75</v>
      </c>
      <c r="T2351" s="17"/>
      <c r="U2351" s="17" t="s">
        <v>105</v>
      </c>
      <c r="V2351" s="17" t="s">
        <v>77</v>
      </c>
      <c r="W2351" s="17" t="s">
        <v>123</v>
      </c>
      <c r="X2351" s="17">
        <v>3</v>
      </c>
      <c r="Y2351" s="17">
        <v>1</v>
      </c>
      <c r="Z2351" s="17"/>
      <c r="AA2351" s="17" t="s">
        <v>73</v>
      </c>
      <c r="AB2351" s="17" t="s">
        <v>79</v>
      </c>
      <c r="AC2351" s="17">
        <v>1</v>
      </c>
      <c r="AD2351" s="17">
        <v>0</v>
      </c>
      <c r="AE2351" s="17">
        <v>0</v>
      </c>
      <c r="AF2351" s="17"/>
      <c r="AG2351" s="17" t="s">
        <v>124</v>
      </c>
      <c r="AH2351" s="17" t="s">
        <v>82</v>
      </c>
      <c r="AI2351" s="17" t="s">
        <v>83</v>
      </c>
      <c r="AJ2351" s="17">
        <v>2111</v>
      </c>
      <c r="AK2351" s="17" t="s">
        <v>75</v>
      </c>
      <c r="AL2351" s="17" t="s">
        <v>75</v>
      </c>
      <c r="AM2351" s="17" t="s">
        <v>75</v>
      </c>
      <c r="AN2351" s="17" t="s">
        <v>125</v>
      </c>
      <c r="AO2351" s="17" t="s">
        <v>75</v>
      </c>
      <c r="AP2351" s="17"/>
      <c r="AQ2351" s="17"/>
      <c r="AR2351" s="17"/>
      <c r="AS2351" s="17"/>
      <c r="AT2351" s="17" t="s">
        <v>6796</v>
      </c>
      <c r="AU2351" s="17" t="s">
        <v>111</v>
      </c>
    </row>
    <row r="2352" hidden="1">
      <c r="A2352" s="17">
        <v>2350</v>
      </c>
      <c r="B2352" s="17" t="s">
        <v>52</v>
      </c>
      <c r="C2352" s="34" t="s">
        <v>6797</v>
      </c>
      <c r="D2352" s="35" t="s">
        <v>6576</v>
      </c>
      <c r="E2352" s="17" t="s">
        <v>6798</v>
      </c>
      <c r="F2352" s="17" t="s">
        <v>6799</v>
      </c>
      <c r="G2352" s="17">
        <v>21.703790999999999</v>
      </c>
      <c r="H2352" s="17">
        <v>87.561459999999997</v>
      </c>
      <c r="I2352" s="17"/>
      <c r="J2352" s="17"/>
      <c r="K2352" s="17"/>
      <c r="L2352" s="17"/>
      <c r="M2352" s="34" t="s">
        <v>6718</v>
      </c>
      <c r="N2352" s="17">
        <v>8240997306</v>
      </c>
      <c r="O2352" s="17">
        <v>20</v>
      </c>
      <c r="P2352" s="17">
        <v>130</v>
      </c>
      <c r="Q2352" s="17" t="s">
        <v>187</v>
      </c>
      <c r="R2352" s="17" t="s">
        <v>142</v>
      </c>
      <c r="S2352" s="17" t="s">
        <v>75</v>
      </c>
      <c r="T2352" s="17"/>
      <c r="U2352" s="17" t="s">
        <v>105</v>
      </c>
      <c r="V2352" s="17" t="s">
        <v>77</v>
      </c>
      <c r="W2352" s="17" t="s">
        <v>123</v>
      </c>
      <c r="X2352" s="17">
        <v>5</v>
      </c>
      <c r="Y2352" s="17">
        <v>0</v>
      </c>
      <c r="Z2352" s="17"/>
      <c r="AA2352" s="17" t="s">
        <v>187</v>
      </c>
      <c r="AB2352" s="17" t="s">
        <v>79</v>
      </c>
      <c r="AC2352" s="17">
        <v>7</v>
      </c>
      <c r="AD2352" s="17">
        <v>0</v>
      </c>
      <c r="AE2352" s="17">
        <v>0</v>
      </c>
      <c r="AF2352" s="17"/>
      <c r="AG2352" s="17" t="s">
        <v>81</v>
      </c>
      <c r="AH2352" s="17" t="s">
        <v>82</v>
      </c>
      <c r="AI2352" s="17" t="s">
        <v>107</v>
      </c>
      <c r="AJ2352" s="17"/>
      <c r="AK2352" s="17" t="s">
        <v>75</v>
      </c>
      <c r="AL2352" s="17" t="s">
        <v>75</v>
      </c>
      <c r="AM2352" s="17" t="s">
        <v>75</v>
      </c>
      <c r="AN2352" s="17" t="s">
        <v>84</v>
      </c>
      <c r="AO2352" s="17" t="s">
        <v>75</v>
      </c>
      <c r="AP2352" s="17"/>
      <c r="AQ2352" s="17"/>
      <c r="AR2352" s="17"/>
      <c r="AS2352" s="17"/>
      <c r="AT2352" s="17" t="s">
        <v>6800</v>
      </c>
      <c r="AU2352" s="17" t="s">
        <v>111</v>
      </c>
    </row>
    <row r="2353" hidden="1">
      <c r="A2353" s="17">
        <v>2351</v>
      </c>
      <c r="B2353" s="17" t="s">
        <v>52</v>
      </c>
      <c r="C2353" s="34" t="s">
        <v>6801</v>
      </c>
      <c r="D2353" s="35" t="s">
        <v>6576</v>
      </c>
      <c r="E2353" s="17" t="s">
        <v>6802</v>
      </c>
      <c r="F2353" s="17" t="s">
        <v>6803</v>
      </c>
      <c r="G2353" s="17">
        <v>21.696704</v>
      </c>
      <c r="H2353" s="17">
        <v>87.546231000000006</v>
      </c>
      <c r="I2353" s="17"/>
      <c r="J2353" s="17"/>
      <c r="K2353" s="17"/>
      <c r="L2353" s="17"/>
      <c r="M2353" s="34" t="s">
        <v>6718</v>
      </c>
      <c r="N2353" s="17">
        <v>8240997306</v>
      </c>
      <c r="O2353" s="17">
        <v>15</v>
      </c>
      <c r="P2353" s="17">
        <v>90</v>
      </c>
      <c r="Q2353" s="17" t="s">
        <v>73</v>
      </c>
      <c r="R2353" s="17" t="s">
        <v>74</v>
      </c>
      <c r="S2353" s="17" t="s">
        <v>75</v>
      </c>
      <c r="T2353" s="17"/>
      <c r="U2353" s="17" t="s">
        <v>105</v>
      </c>
      <c r="V2353" s="17" t="s">
        <v>77</v>
      </c>
      <c r="W2353" s="17" t="s">
        <v>123</v>
      </c>
      <c r="X2353" s="17">
        <v>3</v>
      </c>
      <c r="Y2353" s="17">
        <v>1</v>
      </c>
      <c r="Z2353" s="17"/>
      <c r="AA2353" s="17" t="s">
        <v>73</v>
      </c>
      <c r="AB2353" s="17" t="s">
        <v>79</v>
      </c>
      <c r="AC2353" s="17">
        <v>3</v>
      </c>
      <c r="AD2353" s="17">
        <v>0</v>
      </c>
      <c r="AE2353" s="17">
        <v>0</v>
      </c>
      <c r="AF2353" s="17"/>
      <c r="AG2353" s="17" t="s">
        <v>81</v>
      </c>
      <c r="AH2353" s="17" t="s">
        <v>82</v>
      </c>
      <c r="AI2353" s="17" t="s">
        <v>107</v>
      </c>
      <c r="AJ2353" s="17"/>
      <c r="AK2353" s="17" t="s">
        <v>75</v>
      </c>
      <c r="AL2353" s="17" t="s">
        <v>75</v>
      </c>
      <c r="AM2353" s="17" t="s">
        <v>75</v>
      </c>
      <c r="AN2353" s="17" t="s">
        <v>125</v>
      </c>
      <c r="AO2353" s="17" t="s">
        <v>75</v>
      </c>
      <c r="AP2353" s="17"/>
      <c r="AQ2353" s="17"/>
      <c r="AR2353" s="17"/>
      <c r="AS2353" s="17"/>
      <c r="AT2353" s="17" t="s">
        <v>6804</v>
      </c>
      <c r="AU2353" s="17" t="s">
        <v>111</v>
      </c>
    </row>
    <row r="2354" hidden="1">
      <c r="A2354" s="17">
        <v>2352</v>
      </c>
      <c r="B2354" s="17" t="s">
        <v>52</v>
      </c>
      <c r="C2354" s="34" t="s">
        <v>6805</v>
      </c>
      <c r="D2354" s="35" t="s">
        <v>6576</v>
      </c>
      <c r="E2354" s="17" t="s">
        <v>6806</v>
      </c>
      <c r="F2354" s="17" t="s">
        <v>6807</v>
      </c>
      <c r="G2354" s="17">
        <v>21.691842999999999</v>
      </c>
      <c r="H2354" s="17">
        <v>87.64752</v>
      </c>
      <c r="I2354" s="17"/>
      <c r="J2354" s="17"/>
      <c r="K2354" s="17"/>
      <c r="L2354" s="17"/>
      <c r="M2354" s="34" t="s">
        <v>6718</v>
      </c>
      <c r="N2354" s="17">
        <v>8240997306</v>
      </c>
      <c r="O2354" s="17">
        <v>16</v>
      </c>
      <c r="P2354" s="17">
        <v>130</v>
      </c>
      <c r="Q2354" s="17" t="s">
        <v>73</v>
      </c>
      <c r="R2354" s="17" t="s">
        <v>74</v>
      </c>
      <c r="S2354" s="17" t="s">
        <v>75</v>
      </c>
      <c r="T2354" s="17"/>
      <c r="U2354" s="17" t="s">
        <v>105</v>
      </c>
      <c r="V2354" s="17" t="s">
        <v>77</v>
      </c>
      <c r="W2354" s="17" t="s">
        <v>330</v>
      </c>
      <c r="X2354" s="17">
        <v>6</v>
      </c>
      <c r="Y2354" s="17">
        <v>1</v>
      </c>
      <c r="Z2354" s="17"/>
      <c r="AA2354" s="17" t="s">
        <v>73</v>
      </c>
      <c r="AB2354" s="17" t="s">
        <v>79</v>
      </c>
      <c r="AC2354" s="17">
        <v>2</v>
      </c>
      <c r="AD2354" s="17">
        <v>0</v>
      </c>
      <c r="AE2354" s="17">
        <v>0</v>
      </c>
      <c r="AF2354" s="17" t="s">
        <v>80</v>
      </c>
      <c r="AG2354" s="17" t="s">
        <v>124</v>
      </c>
      <c r="AH2354" s="17" t="s">
        <v>82</v>
      </c>
      <c r="AI2354" s="17" t="s">
        <v>83</v>
      </c>
      <c r="AJ2354" s="17">
        <v>2111</v>
      </c>
      <c r="AK2354" s="17" t="s">
        <v>75</v>
      </c>
      <c r="AL2354" s="17" t="s">
        <v>75</v>
      </c>
      <c r="AM2354" s="17" t="s">
        <v>75</v>
      </c>
      <c r="AN2354" s="17" t="s">
        <v>84</v>
      </c>
      <c r="AO2354" s="17" t="s">
        <v>75</v>
      </c>
      <c r="AP2354" s="17"/>
      <c r="AQ2354" s="17"/>
      <c r="AR2354" s="17"/>
      <c r="AS2354" s="17"/>
      <c r="AT2354" s="17" t="s">
        <v>6808</v>
      </c>
      <c r="AU2354" s="17" t="s">
        <v>127</v>
      </c>
    </row>
    <row r="2355" hidden="1">
      <c r="A2355" s="17">
        <v>2353</v>
      </c>
      <c r="B2355" s="17" t="s">
        <v>52</v>
      </c>
      <c r="C2355" s="34" t="s">
        <v>6809</v>
      </c>
      <c r="D2355" s="35" t="s">
        <v>6576</v>
      </c>
      <c r="E2355" s="17" t="s">
        <v>6810</v>
      </c>
      <c r="F2355" s="17" t="s">
        <v>6811</v>
      </c>
      <c r="G2355" s="17">
        <v>21.689378000000001</v>
      </c>
      <c r="H2355" s="17">
        <v>87.611290999999994</v>
      </c>
      <c r="I2355" s="17"/>
      <c r="J2355" s="17"/>
      <c r="K2355" s="17"/>
      <c r="L2355" s="17"/>
      <c r="M2355" s="34" t="s">
        <v>6718</v>
      </c>
      <c r="N2355" s="17">
        <v>8240997306</v>
      </c>
      <c r="O2355" s="17">
        <v>15</v>
      </c>
      <c r="P2355" s="17">
        <v>60</v>
      </c>
      <c r="Q2355" s="17" t="s">
        <v>73</v>
      </c>
      <c r="R2355" s="17" t="s">
        <v>74</v>
      </c>
      <c r="S2355" s="17" t="s">
        <v>75</v>
      </c>
      <c r="T2355" s="17"/>
      <c r="U2355" s="17" t="s">
        <v>105</v>
      </c>
      <c r="V2355" s="17" t="s">
        <v>77</v>
      </c>
      <c r="W2355" s="17" t="s">
        <v>330</v>
      </c>
      <c r="X2355" s="17">
        <v>3</v>
      </c>
      <c r="Y2355" s="17">
        <v>0</v>
      </c>
      <c r="Z2355" s="17"/>
      <c r="AA2355" s="17" t="s">
        <v>73</v>
      </c>
      <c r="AB2355" s="17" t="s">
        <v>79</v>
      </c>
      <c r="AC2355" s="17">
        <v>1</v>
      </c>
      <c r="AD2355" s="17">
        <v>0</v>
      </c>
      <c r="AE2355" s="17">
        <v>0</v>
      </c>
      <c r="AF2355" s="17"/>
      <c r="AG2355" s="17" t="s">
        <v>81</v>
      </c>
      <c r="AH2355" s="17" t="s">
        <v>82</v>
      </c>
      <c r="AI2355" s="17" t="s">
        <v>107</v>
      </c>
      <c r="AJ2355" s="17"/>
      <c r="AK2355" s="17" t="s">
        <v>75</v>
      </c>
      <c r="AL2355" s="17" t="s">
        <v>75</v>
      </c>
      <c r="AM2355" s="17" t="s">
        <v>75</v>
      </c>
      <c r="AN2355" s="17" t="s">
        <v>84</v>
      </c>
      <c r="AO2355" s="17" t="s">
        <v>75</v>
      </c>
      <c r="AP2355" s="17"/>
      <c r="AQ2355" s="17"/>
      <c r="AR2355" s="17"/>
      <c r="AS2355" s="17"/>
      <c r="AT2355" s="17"/>
      <c r="AU2355" s="17" t="s">
        <v>111</v>
      </c>
    </row>
    <row r="2356" hidden="1">
      <c r="A2356" s="17">
        <v>2354</v>
      </c>
      <c r="B2356" s="17" t="s">
        <v>52</v>
      </c>
      <c r="C2356" s="34" t="s">
        <v>6812</v>
      </c>
      <c r="D2356" s="35" t="s">
        <v>6576</v>
      </c>
      <c r="E2356" s="17" t="s">
        <v>6813</v>
      </c>
      <c r="F2356" s="17" t="s">
        <v>6814</v>
      </c>
      <c r="G2356" s="17">
        <v>21.692056000000001</v>
      </c>
      <c r="H2356" s="17">
        <v>87.584532999999993</v>
      </c>
      <c r="I2356" s="17"/>
      <c r="J2356" s="17"/>
      <c r="K2356" s="17"/>
      <c r="L2356" s="17"/>
      <c r="M2356" s="34" t="s">
        <v>6718</v>
      </c>
      <c r="N2356" s="17">
        <v>8240997306</v>
      </c>
      <c r="O2356" s="17">
        <v>16</v>
      </c>
      <c r="P2356" s="17">
        <v>90</v>
      </c>
      <c r="Q2356" s="17" t="s">
        <v>73</v>
      </c>
      <c r="R2356" s="17" t="s">
        <v>74</v>
      </c>
      <c r="S2356" s="17" t="s">
        <v>75</v>
      </c>
      <c r="T2356" s="17"/>
      <c r="U2356" s="17" t="s">
        <v>76</v>
      </c>
      <c r="V2356" s="17" t="s">
        <v>77</v>
      </c>
      <c r="W2356" s="17" t="s">
        <v>252</v>
      </c>
      <c r="X2356" s="17">
        <v>5</v>
      </c>
      <c r="Y2356" s="17">
        <v>1</v>
      </c>
      <c r="Z2356" s="17"/>
      <c r="AA2356" s="17" t="s">
        <v>73</v>
      </c>
      <c r="AB2356" s="17" t="s">
        <v>79</v>
      </c>
      <c r="AC2356" s="17">
        <v>2</v>
      </c>
      <c r="AD2356" s="17">
        <v>0</v>
      </c>
      <c r="AE2356" s="17">
        <v>0</v>
      </c>
      <c r="AF2356" s="17"/>
      <c r="AG2356" s="17" t="s">
        <v>81</v>
      </c>
      <c r="AH2356" s="17" t="s">
        <v>82</v>
      </c>
      <c r="AI2356" s="17" t="s">
        <v>83</v>
      </c>
      <c r="AJ2356" s="17">
        <v>2111</v>
      </c>
      <c r="AK2356" s="17" t="s">
        <v>75</v>
      </c>
      <c r="AL2356" s="17" t="s">
        <v>75</v>
      </c>
      <c r="AM2356" s="17" t="s">
        <v>75</v>
      </c>
      <c r="AN2356" s="17" t="s">
        <v>84</v>
      </c>
      <c r="AO2356" s="17" t="s">
        <v>75</v>
      </c>
      <c r="AP2356" s="17"/>
      <c r="AQ2356" s="17"/>
      <c r="AR2356" s="17"/>
      <c r="AS2356" s="17"/>
      <c r="AT2356" s="17"/>
      <c r="AU2356" s="17" t="s">
        <v>111</v>
      </c>
    </row>
    <row r="2357" hidden="1">
      <c r="A2357" s="17">
        <v>2355</v>
      </c>
      <c r="B2357" s="17" t="s">
        <v>52</v>
      </c>
      <c r="C2357" s="34" t="s">
        <v>6815</v>
      </c>
      <c r="D2357" s="35" t="s">
        <v>6576</v>
      </c>
      <c r="E2357" s="17" t="s">
        <v>6816</v>
      </c>
      <c r="F2357" s="17" t="s">
        <v>6817</v>
      </c>
      <c r="G2357" s="17">
        <v>21.708966</v>
      </c>
      <c r="H2357" s="17">
        <v>87.608701999999994</v>
      </c>
      <c r="I2357" s="17"/>
      <c r="J2357" s="17"/>
      <c r="K2357" s="17"/>
      <c r="L2357" s="17"/>
      <c r="M2357" s="34" t="s">
        <v>6718</v>
      </c>
      <c r="N2357" s="17">
        <v>8240997306</v>
      </c>
      <c r="O2357" s="17">
        <v>16</v>
      </c>
      <c r="P2357" s="17">
        <v>120</v>
      </c>
      <c r="Q2357" s="17" t="s">
        <v>105</v>
      </c>
      <c r="R2357" s="17" t="s">
        <v>142</v>
      </c>
      <c r="S2357" s="17" t="s">
        <v>75</v>
      </c>
      <c r="T2357" s="17"/>
      <c r="U2357" s="17" t="s">
        <v>105</v>
      </c>
      <c r="V2357" s="17" t="s">
        <v>77</v>
      </c>
      <c r="W2357" s="17" t="s">
        <v>143</v>
      </c>
      <c r="X2357" s="17">
        <v>3</v>
      </c>
      <c r="Y2357" s="17">
        <v>1</v>
      </c>
      <c r="Z2357" s="17"/>
      <c r="AA2357" s="17" t="s">
        <v>105</v>
      </c>
      <c r="AB2357" s="17" t="s">
        <v>79</v>
      </c>
      <c r="AC2357" s="17">
        <v>4</v>
      </c>
      <c r="AD2357" s="17">
        <v>0</v>
      </c>
      <c r="AE2357" s="17">
        <v>0</v>
      </c>
      <c r="AF2357" s="17" t="s">
        <v>6818</v>
      </c>
      <c r="AG2357" s="17" t="s">
        <v>81</v>
      </c>
      <c r="AH2357" s="17" t="s">
        <v>82</v>
      </c>
      <c r="AI2357" s="17" t="s">
        <v>107</v>
      </c>
      <c r="AJ2357" s="17"/>
      <c r="AK2357" s="17" t="s">
        <v>75</v>
      </c>
      <c r="AL2357" s="17" t="s">
        <v>75</v>
      </c>
      <c r="AM2357" s="17" t="s">
        <v>75</v>
      </c>
      <c r="AN2357" s="17" t="s">
        <v>84</v>
      </c>
      <c r="AO2357" s="17" t="s">
        <v>75</v>
      </c>
      <c r="AP2357" s="17"/>
      <c r="AQ2357" s="17"/>
      <c r="AR2357" s="17"/>
      <c r="AS2357" s="17"/>
      <c r="AT2357" s="17" t="s">
        <v>6819</v>
      </c>
      <c r="AU2357" s="17" t="s">
        <v>111</v>
      </c>
    </row>
    <row r="2358" hidden="1">
      <c r="A2358" s="17">
        <v>2356</v>
      </c>
      <c r="B2358" s="17" t="s">
        <v>52</v>
      </c>
      <c r="C2358" s="34" t="s">
        <v>6820</v>
      </c>
      <c r="D2358" s="35" t="s">
        <v>6576</v>
      </c>
      <c r="E2358" s="17"/>
      <c r="F2358" s="17"/>
      <c r="G2358" s="17"/>
      <c r="H2358" s="17"/>
      <c r="I2358" s="17"/>
      <c r="J2358" s="17"/>
      <c r="K2358" s="17"/>
      <c r="L2358" s="17"/>
      <c r="M2358" s="34" t="s">
        <v>6718</v>
      </c>
      <c r="N2358" s="17">
        <v>8240997306</v>
      </c>
      <c r="O2358" s="17" t="s">
        <v>6821</v>
      </c>
      <c r="P2358" s="17"/>
      <c r="Q2358" s="17"/>
      <c r="R2358" s="17"/>
      <c r="S2358" s="17"/>
      <c r="T2358" s="17"/>
      <c r="U2358" s="17"/>
      <c r="V2358" s="17"/>
      <c r="W2358" s="17"/>
      <c r="X2358" s="17"/>
      <c r="Y2358" s="17"/>
      <c r="Z2358" s="17"/>
      <c r="AA2358" s="17"/>
      <c r="AB2358" s="17"/>
      <c r="AC2358" s="17"/>
      <c r="AD2358" s="17"/>
      <c r="AE2358" s="17"/>
      <c r="AF2358" s="17"/>
      <c r="AG2358" s="17"/>
      <c r="AH2358" s="17"/>
      <c r="AI2358" s="17"/>
      <c r="AJ2358" s="17"/>
      <c r="AK2358" s="17"/>
      <c r="AL2358" s="17"/>
      <c r="AM2358" s="17"/>
      <c r="AN2358" s="17"/>
      <c r="AO2358" s="17"/>
      <c r="AP2358" s="17"/>
      <c r="AQ2358" s="17"/>
      <c r="AR2358" s="17"/>
      <c r="AS2358" s="17"/>
      <c r="AT2358" s="17"/>
      <c r="AU2358" s="17"/>
    </row>
    <row r="2359" hidden="1">
      <c r="A2359" s="17">
        <v>2357</v>
      </c>
      <c r="B2359" s="17" t="s">
        <v>52</v>
      </c>
      <c r="C2359" s="34" t="s">
        <v>6822</v>
      </c>
      <c r="D2359" s="35" t="s">
        <v>6576</v>
      </c>
      <c r="E2359" s="17" t="s">
        <v>6823</v>
      </c>
      <c r="F2359" s="17" t="s">
        <v>6824</v>
      </c>
      <c r="G2359" s="17">
        <v>21.724443999999998</v>
      </c>
      <c r="H2359" s="17">
        <v>87.612121999999999</v>
      </c>
      <c r="I2359" s="17"/>
      <c r="J2359" s="17"/>
      <c r="K2359" s="17"/>
      <c r="L2359" s="17"/>
      <c r="M2359" s="34" t="s">
        <v>6718</v>
      </c>
      <c r="N2359" s="17">
        <v>8240997306</v>
      </c>
      <c r="O2359" s="17">
        <v>14</v>
      </c>
      <c r="P2359" s="17">
        <v>60</v>
      </c>
      <c r="Q2359" s="17" t="s">
        <v>73</v>
      </c>
      <c r="R2359" s="17" t="s">
        <v>74</v>
      </c>
      <c r="S2359" s="17" t="s">
        <v>75</v>
      </c>
      <c r="T2359" s="17"/>
      <c r="U2359" s="17" t="s">
        <v>76</v>
      </c>
      <c r="V2359" s="17" t="s">
        <v>77</v>
      </c>
      <c r="W2359" s="17" t="s">
        <v>78</v>
      </c>
      <c r="X2359" s="17">
        <v>3</v>
      </c>
      <c r="Y2359" s="17">
        <v>1</v>
      </c>
      <c r="Z2359" s="17"/>
      <c r="AA2359" s="17" t="s">
        <v>73</v>
      </c>
      <c r="AB2359" s="17" t="s">
        <v>79</v>
      </c>
      <c r="AC2359" s="17">
        <v>2</v>
      </c>
      <c r="AD2359" s="17">
        <v>0</v>
      </c>
      <c r="AE2359" s="17">
        <v>0</v>
      </c>
      <c r="AF2359" s="17" t="s">
        <v>6825</v>
      </c>
      <c r="AG2359" s="17" t="s">
        <v>124</v>
      </c>
      <c r="AH2359" s="17" t="s">
        <v>82</v>
      </c>
      <c r="AI2359" s="17" t="s">
        <v>83</v>
      </c>
      <c r="AJ2359" s="17">
        <v>2111</v>
      </c>
      <c r="AK2359" s="17" t="s">
        <v>75</v>
      </c>
      <c r="AL2359" s="17" t="s">
        <v>75</v>
      </c>
      <c r="AM2359" s="17" t="s">
        <v>75</v>
      </c>
      <c r="AN2359" s="17" t="s">
        <v>84</v>
      </c>
      <c r="AO2359" s="17" t="s">
        <v>75</v>
      </c>
      <c r="AP2359" s="17"/>
      <c r="AQ2359" s="17"/>
      <c r="AR2359" s="17"/>
      <c r="AS2359" s="17"/>
      <c r="AT2359" s="17"/>
      <c r="AU2359" s="17" t="s">
        <v>127</v>
      </c>
    </row>
    <row r="2360" hidden="1">
      <c r="A2360" s="17">
        <v>2358</v>
      </c>
      <c r="B2360" s="17" t="s">
        <v>52</v>
      </c>
      <c r="C2360" s="34" t="s">
        <v>6826</v>
      </c>
      <c r="D2360" s="35" t="s">
        <v>6576</v>
      </c>
      <c r="E2360" s="17" t="s">
        <v>6827</v>
      </c>
      <c r="F2360" s="17" t="s">
        <v>6828</v>
      </c>
      <c r="G2360" s="17">
        <v>21.70824</v>
      </c>
      <c r="H2360" s="17">
        <v>87.532889999999995</v>
      </c>
      <c r="I2360" s="17"/>
      <c r="J2360" s="17"/>
      <c r="K2360" s="17"/>
      <c r="L2360" s="17"/>
      <c r="M2360" s="34" t="s">
        <v>6718</v>
      </c>
      <c r="N2360" s="17">
        <v>8240997306</v>
      </c>
      <c r="O2360" s="17">
        <v>16</v>
      </c>
      <c r="P2360" s="17">
        <v>60</v>
      </c>
      <c r="Q2360" s="17" t="s">
        <v>73</v>
      </c>
      <c r="R2360" s="17" t="s">
        <v>74</v>
      </c>
      <c r="S2360" s="17" t="s">
        <v>75</v>
      </c>
      <c r="T2360" s="17"/>
      <c r="U2360" s="17" t="s">
        <v>105</v>
      </c>
      <c r="V2360" s="17" t="s">
        <v>77</v>
      </c>
      <c r="W2360" s="17" t="s">
        <v>330</v>
      </c>
      <c r="X2360" s="17">
        <v>3</v>
      </c>
      <c r="Y2360" s="17">
        <v>0</v>
      </c>
      <c r="Z2360" s="17"/>
      <c r="AA2360" s="17" t="s">
        <v>73</v>
      </c>
      <c r="AB2360" s="17" t="s">
        <v>79</v>
      </c>
      <c r="AC2360" s="17">
        <v>2</v>
      </c>
      <c r="AD2360" s="17">
        <v>0</v>
      </c>
      <c r="AE2360" s="17">
        <v>0</v>
      </c>
      <c r="AF2360" s="17"/>
      <c r="AG2360" s="17" t="s">
        <v>124</v>
      </c>
      <c r="AH2360" s="17" t="s">
        <v>82</v>
      </c>
      <c r="AI2360" s="17" t="s">
        <v>83</v>
      </c>
      <c r="AJ2360" s="17">
        <v>2111</v>
      </c>
      <c r="AK2360" s="17" t="s">
        <v>75</v>
      </c>
      <c r="AL2360" s="17" t="s">
        <v>75</v>
      </c>
      <c r="AM2360" s="17" t="s">
        <v>75</v>
      </c>
      <c r="AN2360" s="17" t="s">
        <v>84</v>
      </c>
      <c r="AO2360" s="17" t="s">
        <v>75</v>
      </c>
      <c r="AP2360" s="17"/>
      <c r="AQ2360" s="17"/>
      <c r="AR2360" s="17"/>
      <c r="AS2360" s="17"/>
      <c r="AT2360" s="17"/>
      <c r="AU2360" s="17" t="s">
        <v>111</v>
      </c>
    </row>
    <row r="2361" hidden="1">
      <c r="A2361" s="17">
        <v>2359</v>
      </c>
      <c r="B2361" s="17" t="s">
        <v>52</v>
      </c>
      <c r="C2361" s="34" t="s">
        <v>6829</v>
      </c>
      <c r="D2361" s="35" t="s">
        <v>6576</v>
      </c>
      <c r="E2361" s="17" t="s">
        <v>6830</v>
      </c>
      <c r="F2361" s="17" t="s">
        <v>6831</v>
      </c>
      <c r="G2361" s="17">
        <v>21.682860000000002</v>
      </c>
      <c r="H2361" s="17">
        <v>87.591250000000002</v>
      </c>
      <c r="I2361" s="17"/>
      <c r="J2361" s="17"/>
      <c r="K2361" s="17"/>
      <c r="L2361" s="17"/>
      <c r="M2361" s="34" t="s">
        <v>6718</v>
      </c>
      <c r="N2361" s="17">
        <v>8240997306</v>
      </c>
      <c r="O2361" s="17">
        <v>20</v>
      </c>
      <c r="P2361" s="17">
        <v>100</v>
      </c>
      <c r="Q2361" s="17" t="s">
        <v>105</v>
      </c>
      <c r="R2361" s="17" t="s">
        <v>238</v>
      </c>
      <c r="S2361" s="17" t="s">
        <v>75</v>
      </c>
      <c r="T2361" s="17"/>
      <c r="U2361" s="17" t="s">
        <v>160</v>
      </c>
      <c r="V2361" s="17" t="s">
        <v>77</v>
      </c>
      <c r="W2361" s="17" t="s">
        <v>454</v>
      </c>
      <c r="X2361" s="17">
        <v>3</v>
      </c>
      <c r="Y2361" s="17">
        <v>0</v>
      </c>
      <c r="Z2361" s="17"/>
      <c r="AA2361" s="17" t="s">
        <v>105</v>
      </c>
      <c r="AB2361" s="17" t="s">
        <v>239</v>
      </c>
      <c r="AC2361" s="17">
        <v>3</v>
      </c>
      <c r="AD2361" s="17">
        <v>0</v>
      </c>
      <c r="AE2361" s="17">
        <v>0</v>
      </c>
      <c r="AF2361" s="17"/>
      <c r="AG2361" s="17" t="s">
        <v>124</v>
      </c>
      <c r="AH2361" s="17" t="s">
        <v>82</v>
      </c>
      <c r="AI2361" s="17" t="s">
        <v>83</v>
      </c>
      <c r="AJ2361" s="17">
        <v>2111</v>
      </c>
      <c r="AK2361" s="17" t="s">
        <v>75</v>
      </c>
      <c r="AL2361" s="17" t="s">
        <v>75</v>
      </c>
      <c r="AM2361" s="17" t="s">
        <v>75</v>
      </c>
      <c r="AN2361" s="17" t="s">
        <v>125</v>
      </c>
      <c r="AO2361" s="17" t="s">
        <v>75</v>
      </c>
      <c r="AP2361" s="17"/>
      <c r="AQ2361" s="17"/>
      <c r="AR2361" s="17"/>
      <c r="AS2361" s="17"/>
      <c r="AT2361" s="17"/>
      <c r="AU2361" s="17" t="s">
        <v>111</v>
      </c>
    </row>
    <row r="2362" hidden="1">
      <c r="A2362" s="17">
        <v>2360</v>
      </c>
      <c r="B2362" s="17" t="s">
        <v>52</v>
      </c>
      <c r="C2362" s="34" t="s">
        <v>6832</v>
      </c>
      <c r="D2362" s="35" t="s">
        <v>6576</v>
      </c>
      <c r="E2362" s="17" t="s">
        <v>6833</v>
      </c>
      <c r="F2362" s="17" t="s">
        <v>6834</v>
      </c>
      <c r="G2362" s="17">
        <v>21.664064</v>
      </c>
      <c r="H2362" s="17">
        <v>87.529245000000003</v>
      </c>
      <c r="I2362" s="17"/>
      <c r="J2362" s="17"/>
      <c r="K2362" s="17"/>
      <c r="L2362" s="17"/>
      <c r="M2362" s="34" t="s">
        <v>6718</v>
      </c>
      <c r="N2362" s="17">
        <v>8240997306</v>
      </c>
      <c r="O2362" s="17">
        <v>20</v>
      </c>
      <c r="P2362" s="17">
        <v>80</v>
      </c>
      <c r="Q2362" s="17" t="s">
        <v>413</v>
      </c>
      <c r="R2362" s="17" t="s">
        <v>74</v>
      </c>
      <c r="S2362" s="17" t="s">
        <v>75</v>
      </c>
      <c r="T2362" s="17"/>
      <c r="U2362" s="17" t="s">
        <v>76</v>
      </c>
      <c r="V2362" s="17" t="s">
        <v>340</v>
      </c>
      <c r="W2362" s="17" t="s">
        <v>123</v>
      </c>
      <c r="X2362" s="17">
        <v>5</v>
      </c>
      <c r="Y2362" s="17">
        <v>2</v>
      </c>
      <c r="Z2362" s="17" t="s">
        <v>6835</v>
      </c>
      <c r="AA2362" s="17" t="s">
        <v>413</v>
      </c>
      <c r="AB2362" s="17" t="s">
        <v>79</v>
      </c>
      <c r="AC2362" s="17">
        <v>4</v>
      </c>
      <c r="AD2362" s="17">
        <v>0</v>
      </c>
      <c r="AE2362" s="17">
        <v>0</v>
      </c>
      <c r="AF2362" s="17"/>
      <c r="AG2362" s="17" t="s">
        <v>124</v>
      </c>
      <c r="AH2362" s="17" t="s">
        <v>82</v>
      </c>
      <c r="AI2362" s="17" t="s">
        <v>83</v>
      </c>
      <c r="AJ2362" s="17">
        <v>2111</v>
      </c>
      <c r="AK2362" s="17" t="s">
        <v>75</v>
      </c>
      <c r="AL2362" s="17" t="s">
        <v>75</v>
      </c>
      <c r="AM2362" s="17" t="s">
        <v>75</v>
      </c>
      <c r="AN2362" s="17" t="s">
        <v>125</v>
      </c>
      <c r="AO2362" s="17" t="s">
        <v>75</v>
      </c>
      <c r="AP2362" s="17"/>
      <c r="AQ2362" s="17"/>
      <c r="AR2362" s="17"/>
      <c r="AS2362" s="17"/>
      <c r="AT2362" s="17" t="s">
        <v>6836</v>
      </c>
      <c r="AU2362" s="17" t="s">
        <v>111</v>
      </c>
    </row>
    <row r="2363" hidden="1">
      <c r="A2363" s="17">
        <v>2361</v>
      </c>
      <c r="B2363" s="17" t="s">
        <v>52</v>
      </c>
      <c r="C2363" s="34" t="s">
        <v>6837</v>
      </c>
      <c r="D2363" s="35" t="s">
        <v>6576</v>
      </c>
      <c r="E2363" s="17" t="s">
        <v>6838</v>
      </c>
      <c r="F2363" s="17" t="s">
        <v>6839</v>
      </c>
      <c r="G2363" s="17">
        <v>21.629155999999998</v>
      </c>
      <c r="H2363" s="17">
        <v>87.507801000000001</v>
      </c>
      <c r="I2363" s="17"/>
      <c r="J2363" s="17"/>
      <c r="K2363" s="17"/>
      <c r="L2363" s="17"/>
      <c r="M2363" s="34" t="s">
        <v>6718</v>
      </c>
      <c r="N2363" s="17">
        <v>8240997306</v>
      </c>
      <c r="O2363" s="17">
        <v>24</v>
      </c>
      <c r="P2363" s="17">
        <v>100</v>
      </c>
      <c r="Q2363" s="17" t="s">
        <v>413</v>
      </c>
      <c r="R2363" s="17" t="s">
        <v>74</v>
      </c>
      <c r="S2363" s="17" t="s">
        <v>75</v>
      </c>
      <c r="T2363" s="17"/>
      <c r="U2363" s="17" t="s">
        <v>76</v>
      </c>
      <c r="V2363" s="17" t="s">
        <v>77</v>
      </c>
      <c r="W2363" s="17" t="s">
        <v>123</v>
      </c>
      <c r="X2363" s="17">
        <v>3</v>
      </c>
      <c r="Y2363" s="17">
        <v>0</v>
      </c>
      <c r="Z2363" s="17" t="s">
        <v>6840</v>
      </c>
      <c r="AA2363" s="17" t="s">
        <v>413</v>
      </c>
      <c r="AB2363" s="17" t="s">
        <v>79</v>
      </c>
      <c r="AC2363" s="17">
        <v>5</v>
      </c>
      <c r="AD2363" s="17">
        <v>0</v>
      </c>
      <c r="AE2363" s="17">
        <v>2</v>
      </c>
      <c r="AF2363" s="17"/>
      <c r="AG2363" s="17" t="s">
        <v>124</v>
      </c>
      <c r="AH2363" s="17" t="s">
        <v>82</v>
      </c>
      <c r="AI2363" s="17" t="s">
        <v>83</v>
      </c>
      <c r="AJ2363" s="17">
        <v>2111</v>
      </c>
      <c r="AK2363" s="17" t="s">
        <v>75</v>
      </c>
      <c r="AL2363" s="17" t="s">
        <v>75</v>
      </c>
      <c r="AM2363" s="17" t="s">
        <v>163</v>
      </c>
      <c r="AN2363" s="17" t="s">
        <v>84</v>
      </c>
      <c r="AO2363" s="17" t="s">
        <v>137</v>
      </c>
      <c r="AP2363" s="17"/>
      <c r="AQ2363" s="17"/>
      <c r="AR2363" s="17"/>
      <c r="AS2363" s="17"/>
      <c r="AT2363" s="17" t="s">
        <v>6841</v>
      </c>
      <c r="AU2363" s="17" t="s">
        <v>127</v>
      </c>
    </row>
    <row r="2364" hidden="1">
      <c r="A2364" s="17">
        <v>2362</v>
      </c>
      <c r="B2364" s="17" t="s">
        <v>52</v>
      </c>
      <c r="C2364" s="34" t="s">
        <v>6842</v>
      </c>
      <c r="D2364" s="35" t="s">
        <v>6576</v>
      </c>
      <c r="E2364" s="17" t="s">
        <v>6843</v>
      </c>
      <c r="F2364" s="17" t="s">
        <v>6844</v>
      </c>
      <c r="G2364" s="17">
        <v>21.719541</v>
      </c>
      <c r="H2364" s="17">
        <v>87.523253999999994</v>
      </c>
      <c r="I2364" s="17"/>
      <c r="J2364" s="17"/>
      <c r="K2364" s="17"/>
      <c r="L2364" s="17"/>
      <c r="M2364" s="34" t="s">
        <v>6718</v>
      </c>
      <c r="N2364" s="17">
        <v>8240997306</v>
      </c>
      <c r="O2364" s="17">
        <v>16</v>
      </c>
      <c r="P2364" s="17">
        <v>80</v>
      </c>
      <c r="Q2364" s="17" t="s">
        <v>413</v>
      </c>
      <c r="R2364" s="17" t="s">
        <v>142</v>
      </c>
      <c r="S2364" s="17" t="s">
        <v>75</v>
      </c>
      <c r="T2364" s="17"/>
      <c r="U2364" s="17" t="s">
        <v>503</v>
      </c>
      <c r="V2364" s="17" t="s">
        <v>504</v>
      </c>
      <c r="W2364" s="17" t="s">
        <v>151</v>
      </c>
      <c r="X2364" s="17">
        <v>4</v>
      </c>
      <c r="Y2364" s="17">
        <v>0</v>
      </c>
      <c r="Z2364" s="17"/>
      <c r="AA2364" s="17" t="s">
        <v>413</v>
      </c>
      <c r="AB2364" s="17" t="s">
        <v>79</v>
      </c>
      <c r="AC2364" s="17">
        <v>4</v>
      </c>
      <c r="AD2364" s="17">
        <v>0</v>
      </c>
      <c r="AE2364" s="17">
        <v>1</v>
      </c>
      <c r="AF2364" s="17"/>
      <c r="AG2364" s="17" t="s">
        <v>81</v>
      </c>
      <c r="AH2364" s="17" t="s">
        <v>82</v>
      </c>
      <c r="AI2364" s="17" t="s">
        <v>83</v>
      </c>
      <c r="AJ2364" s="17">
        <v>2111</v>
      </c>
      <c r="AK2364" s="17" t="s">
        <v>75</v>
      </c>
      <c r="AL2364" s="17" t="s">
        <v>75</v>
      </c>
      <c r="AM2364" s="17" t="s">
        <v>75</v>
      </c>
      <c r="AN2364" s="17" t="s">
        <v>84</v>
      </c>
      <c r="AO2364" s="17" t="s">
        <v>109</v>
      </c>
      <c r="AP2364" s="17"/>
      <c r="AQ2364" s="17"/>
      <c r="AR2364" s="17"/>
      <c r="AS2364" s="17"/>
      <c r="AT2364" s="17" t="s">
        <v>6845</v>
      </c>
      <c r="AU2364" s="17" t="s">
        <v>111</v>
      </c>
    </row>
    <row r="2365" hidden="1">
      <c r="A2365" s="17">
        <v>2363</v>
      </c>
      <c r="B2365" s="17" t="s">
        <v>52</v>
      </c>
      <c r="C2365" s="34" t="s">
        <v>6846</v>
      </c>
      <c r="D2365" s="35" t="s">
        <v>6576</v>
      </c>
      <c r="E2365" s="17" t="s">
        <v>6847</v>
      </c>
      <c r="F2365" s="17" t="s">
        <v>6848</v>
      </c>
      <c r="G2365" s="17">
        <v>21.658550000000002</v>
      </c>
      <c r="H2365" s="17">
        <v>87.591099</v>
      </c>
      <c r="I2365" s="17"/>
      <c r="J2365" s="17"/>
      <c r="K2365" s="17"/>
      <c r="L2365" s="17"/>
      <c r="M2365" s="34" t="s">
        <v>6718</v>
      </c>
      <c r="N2365" s="17">
        <v>8240997306</v>
      </c>
      <c r="O2365" s="17">
        <v>16</v>
      </c>
      <c r="P2365" s="17">
        <v>90</v>
      </c>
      <c r="Q2365" s="17" t="s">
        <v>105</v>
      </c>
      <c r="R2365" s="17" t="s">
        <v>142</v>
      </c>
      <c r="S2365" s="17" t="s">
        <v>75</v>
      </c>
      <c r="T2365" s="17"/>
      <c r="U2365" s="17" t="s">
        <v>160</v>
      </c>
      <c r="V2365" s="17" t="s">
        <v>77</v>
      </c>
      <c r="W2365" s="17" t="s">
        <v>252</v>
      </c>
      <c r="X2365" s="17">
        <v>5</v>
      </c>
      <c r="Y2365" s="17">
        <v>0</v>
      </c>
      <c r="Z2365" s="17"/>
      <c r="AA2365" s="17" t="s">
        <v>105</v>
      </c>
      <c r="AB2365" s="17" t="s">
        <v>79</v>
      </c>
      <c r="AC2365" s="17">
        <v>4</v>
      </c>
      <c r="AD2365" s="17">
        <v>0</v>
      </c>
      <c r="AE2365" s="17">
        <v>1</v>
      </c>
      <c r="AF2365" s="17"/>
      <c r="AG2365" s="17" t="s">
        <v>124</v>
      </c>
      <c r="AH2365" s="17" t="s">
        <v>82</v>
      </c>
      <c r="AI2365" s="17" t="s">
        <v>83</v>
      </c>
      <c r="AJ2365" s="17">
        <v>2111</v>
      </c>
      <c r="AK2365" s="17" t="s">
        <v>75</v>
      </c>
      <c r="AL2365" s="17" t="s">
        <v>75</v>
      </c>
      <c r="AM2365" s="17" t="s">
        <v>75</v>
      </c>
      <c r="AN2365" s="17" t="s">
        <v>84</v>
      </c>
      <c r="AO2365" s="17" t="s">
        <v>75</v>
      </c>
      <c r="AP2365" s="17" t="s">
        <v>105</v>
      </c>
      <c r="AQ2365" s="17" t="s">
        <v>741</v>
      </c>
      <c r="AR2365" s="17">
        <v>2</v>
      </c>
      <c r="AS2365" s="17">
        <v>0</v>
      </c>
      <c r="AT2365" s="17" t="s">
        <v>6849</v>
      </c>
      <c r="AU2365" s="17" t="s">
        <v>111</v>
      </c>
    </row>
    <row r="2366" hidden="1">
      <c r="A2366" s="17">
        <v>2364</v>
      </c>
      <c r="B2366" s="17" t="s">
        <v>52</v>
      </c>
      <c r="C2366" s="34" t="s">
        <v>6850</v>
      </c>
      <c r="D2366" s="35" t="s">
        <v>6576</v>
      </c>
      <c r="E2366" s="17" t="s">
        <v>1883</v>
      </c>
      <c r="F2366" s="17" t="s">
        <v>6851</v>
      </c>
      <c r="G2366" s="17">
        <v>21.649034</v>
      </c>
      <c r="H2366" s="17">
        <v>87.488759000000002</v>
      </c>
      <c r="I2366" s="17"/>
      <c r="J2366" s="17"/>
      <c r="K2366" s="17"/>
      <c r="L2366" s="17"/>
      <c r="M2366" s="34" t="s">
        <v>6718</v>
      </c>
      <c r="N2366" s="17">
        <v>8240997306</v>
      </c>
      <c r="O2366" s="17">
        <v>16</v>
      </c>
      <c r="P2366" s="17">
        <v>60</v>
      </c>
      <c r="Q2366" s="17" t="s">
        <v>187</v>
      </c>
      <c r="R2366" s="17" t="s">
        <v>74</v>
      </c>
      <c r="S2366" s="17" t="s">
        <v>75</v>
      </c>
      <c r="T2366" s="17"/>
      <c r="U2366" s="17" t="s">
        <v>105</v>
      </c>
      <c r="V2366" s="17" t="s">
        <v>77</v>
      </c>
      <c r="W2366" s="17" t="s">
        <v>78</v>
      </c>
      <c r="X2366" s="17">
        <v>3</v>
      </c>
      <c r="Y2366" s="17">
        <v>1</v>
      </c>
      <c r="Z2366" s="17"/>
      <c r="AA2366" s="17" t="s">
        <v>187</v>
      </c>
      <c r="AB2366" s="17" t="s">
        <v>79</v>
      </c>
      <c r="AC2366" s="17">
        <v>1</v>
      </c>
      <c r="AD2366" s="17">
        <v>0</v>
      </c>
      <c r="AE2366" s="17">
        <v>0</v>
      </c>
      <c r="AF2366" s="17"/>
      <c r="AG2366" s="17" t="s">
        <v>724</v>
      </c>
      <c r="AH2366" s="17"/>
      <c r="AI2366" s="17"/>
      <c r="AJ2366" s="17"/>
      <c r="AK2366" s="17"/>
      <c r="AL2366" s="17"/>
      <c r="AM2366" s="17"/>
      <c r="AN2366" s="17"/>
      <c r="AO2366" s="17"/>
      <c r="AP2366" s="17"/>
      <c r="AQ2366" s="17"/>
      <c r="AR2366" s="17"/>
      <c r="AS2366" s="17"/>
      <c r="AT2366" s="17" t="s">
        <v>429</v>
      </c>
      <c r="AU2366" s="17" t="s">
        <v>111</v>
      </c>
    </row>
    <row r="2367" hidden="1">
      <c r="A2367" s="17">
        <v>2365</v>
      </c>
      <c r="B2367" s="17" t="s">
        <v>52</v>
      </c>
      <c r="C2367" s="34" t="s">
        <v>6852</v>
      </c>
      <c r="D2367" s="35" t="s">
        <v>6576</v>
      </c>
      <c r="E2367" s="17" t="s">
        <v>6853</v>
      </c>
      <c r="F2367" s="17" t="s">
        <v>6854</v>
      </c>
      <c r="G2367" s="17">
        <v>21.688593999999998</v>
      </c>
      <c r="H2367" s="17">
        <v>87.503122000000005</v>
      </c>
      <c r="I2367" s="17"/>
      <c r="J2367" s="17"/>
      <c r="K2367" s="17"/>
      <c r="L2367" s="17"/>
      <c r="M2367" s="34" t="s">
        <v>6718</v>
      </c>
      <c r="N2367" s="17">
        <v>8240997306</v>
      </c>
      <c r="O2367" s="17">
        <v>16</v>
      </c>
      <c r="P2367" s="17">
        <v>90</v>
      </c>
      <c r="Q2367" s="17" t="s">
        <v>73</v>
      </c>
      <c r="R2367" s="17" t="s">
        <v>74</v>
      </c>
      <c r="S2367" s="17" t="s">
        <v>75</v>
      </c>
      <c r="T2367" s="17"/>
      <c r="U2367" s="17" t="s">
        <v>76</v>
      </c>
      <c r="V2367" s="17" t="s">
        <v>77</v>
      </c>
      <c r="W2367" s="17" t="s">
        <v>252</v>
      </c>
      <c r="X2367" s="17">
        <v>5</v>
      </c>
      <c r="Y2367" s="17">
        <v>0</v>
      </c>
      <c r="Z2367" s="17"/>
      <c r="AA2367" s="17" t="s">
        <v>73</v>
      </c>
      <c r="AB2367" s="17" t="s">
        <v>79</v>
      </c>
      <c r="AC2367" s="17">
        <v>3</v>
      </c>
      <c r="AD2367" s="17">
        <v>0</v>
      </c>
      <c r="AE2367" s="17">
        <v>0</v>
      </c>
      <c r="AF2367" s="17"/>
      <c r="AG2367" s="17" t="s">
        <v>81</v>
      </c>
      <c r="AH2367" s="17" t="s">
        <v>82</v>
      </c>
      <c r="AI2367" s="17" t="s">
        <v>83</v>
      </c>
      <c r="AJ2367" s="17">
        <v>2111</v>
      </c>
      <c r="AK2367" s="17" t="s">
        <v>75</v>
      </c>
      <c r="AL2367" s="17" t="s">
        <v>75</v>
      </c>
      <c r="AM2367" s="17" t="s">
        <v>75</v>
      </c>
      <c r="AN2367" s="17" t="s">
        <v>84</v>
      </c>
      <c r="AO2367" s="17" t="s">
        <v>75</v>
      </c>
      <c r="AP2367" s="17"/>
      <c r="AQ2367" s="17"/>
      <c r="AR2367" s="17"/>
      <c r="AS2367" s="17"/>
      <c r="AT2367" s="17" t="s">
        <v>6855</v>
      </c>
      <c r="AU2367" s="17" t="s">
        <v>111</v>
      </c>
    </row>
    <row r="2368" hidden="1">
      <c r="A2368" s="17">
        <v>2366</v>
      </c>
      <c r="B2368" s="17" t="s">
        <v>52</v>
      </c>
      <c r="C2368" s="34" t="s">
        <v>6856</v>
      </c>
      <c r="D2368" s="35" t="s">
        <v>6576</v>
      </c>
      <c r="E2368" s="17" t="s">
        <v>6857</v>
      </c>
      <c r="F2368" s="17" t="s">
        <v>6858</v>
      </c>
      <c r="G2368" s="17">
        <v>21.623065</v>
      </c>
      <c r="H2368" s="17">
        <v>87.500451999999996</v>
      </c>
      <c r="I2368" s="17"/>
      <c r="J2368" s="17"/>
      <c r="K2368" s="17"/>
      <c r="L2368" s="17"/>
      <c r="M2368" s="34" t="s">
        <v>6718</v>
      </c>
      <c r="N2368" s="17">
        <v>8240997306</v>
      </c>
      <c r="O2368" s="17">
        <v>24</v>
      </c>
      <c r="P2368" s="17">
        <v>100</v>
      </c>
      <c r="Q2368" s="17" t="s">
        <v>73</v>
      </c>
      <c r="R2368" s="17" t="s">
        <v>74</v>
      </c>
      <c r="S2368" s="17" t="s">
        <v>137</v>
      </c>
      <c r="T2368" s="17" t="s">
        <v>6859</v>
      </c>
      <c r="U2368" s="17" t="s">
        <v>76</v>
      </c>
      <c r="V2368" s="17" t="s">
        <v>77</v>
      </c>
      <c r="W2368" s="17" t="s">
        <v>143</v>
      </c>
      <c r="X2368" s="17">
        <v>5</v>
      </c>
      <c r="Y2368" s="17">
        <v>4</v>
      </c>
      <c r="Z2368" s="17"/>
      <c r="AA2368" s="17" t="s">
        <v>73</v>
      </c>
      <c r="AB2368" s="17" t="s">
        <v>79</v>
      </c>
      <c r="AC2368" s="17">
        <v>2</v>
      </c>
      <c r="AD2368" s="17">
        <v>0</v>
      </c>
      <c r="AE2368" s="17">
        <v>0</v>
      </c>
      <c r="AF2368" s="17"/>
      <c r="AG2368" s="17" t="s">
        <v>81</v>
      </c>
      <c r="AH2368" s="17" t="s">
        <v>82</v>
      </c>
      <c r="AI2368" s="17" t="s">
        <v>107</v>
      </c>
      <c r="AJ2368" s="17"/>
      <c r="AK2368" s="17" t="s">
        <v>75</v>
      </c>
      <c r="AL2368" s="17" t="s">
        <v>75</v>
      </c>
      <c r="AM2368" s="17" t="s">
        <v>75</v>
      </c>
      <c r="AN2368" s="17" t="s">
        <v>84</v>
      </c>
      <c r="AO2368" s="17" t="s">
        <v>75</v>
      </c>
      <c r="AP2368" s="17"/>
      <c r="AQ2368" s="17"/>
      <c r="AR2368" s="17"/>
      <c r="AS2368" s="17"/>
      <c r="AT2368" s="17" t="s">
        <v>6860</v>
      </c>
      <c r="AU2368" s="17" t="s">
        <v>127</v>
      </c>
    </row>
    <row r="2369" hidden="1">
      <c r="A2369" s="17">
        <v>2367</v>
      </c>
      <c r="B2369" s="17" t="s">
        <v>52</v>
      </c>
      <c r="C2369" s="34" t="s">
        <v>6861</v>
      </c>
      <c r="D2369" s="35" t="s">
        <v>6576</v>
      </c>
      <c r="E2369" s="17" t="s">
        <v>6862</v>
      </c>
      <c r="F2369" s="17" t="s">
        <v>6863</v>
      </c>
      <c r="G2369" s="17">
        <v>21.625489000000002</v>
      </c>
      <c r="H2369" s="17">
        <v>87.504603000000003</v>
      </c>
      <c r="I2369" s="17"/>
      <c r="J2369" s="17"/>
      <c r="K2369" s="17"/>
      <c r="L2369" s="17"/>
      <c r="M2369" s="34" t="s">
        <v>6718</v>
      </c>
      <c r="N2369" s="17">
        <v>8240997306</v>
      </c>
      <c r="O2369" s="17">
        <v>24</v>
      </c>
      <c r="P2369" s="17">
        <v>100</v>
      </c>
      <c r="Q2369" s="17" t="s">
        <v>73</v>
      </c>
      <c r="R2369" s="17" t="s">
        <v>74</v>
      </c>
      <c r="S2369" s="17"/>
      <c r="T2369" s="17"/>
      <c r="U2369" s="17" t="s">
        <v>160</v>
      </c>
      <c r="V2369" s="17" t="s">
        <v>77</v>
      </c>
      <c r="W2369" s="17" t="s">
        <v>252</v>
      </c>
      <c r="X2369" s="17">
        <v>5</v>
      </c>
      <c r="Y2369" s="17">
        <v>0</v>
      </c>
      <c r="Z2369" s="17"/>
      <c r="AA2369" s="17" t="s">
        <v>73</v>
      </c>
      <c r="AB2369" s="17" t="s">
        <v>79</v>
      </c>
      <c r="AC2369" s="17">
        <v>2</v>
      </c>
      <c r="AD2369" s="17">
        <v>0</v>
      </c>
      <c r="AE2369" s="17">
        <v>0</v>
      </c>
      <c r="AF2369" s="17"/>
      <c r="AG2369" s="17" t="s">
        <v>81</v>
      </c>
      <c r="AH2369" s="17" t="s">
        <v>82</v>
      </c>
      <c r="AI2369" s="17" t="s">
        <v>107</v>
      </c>
      <c r="AJ2369" s="17"/>
      <c r="AK2369" s="17" t="s">
        <v>75</v>
      </c>
      <c r="AL2369" s="17" t="s">
        <v>137</v>
      </c>
      <c r="AM2369" s="17" t="s">
        <v>163</v>
      </c>
      <c r="AN2369" s="17" t="s">
        <v>84</v>
      </c>
      <c r="AO2369" s="17" t="s">
        <v>137</v>
      </c>
      <c r="AP2369" s="17"/>
      <c r="AQ2369" s="17"/>
      <c r="AR2369" s="17"/>
      <c r="AS2369" s="17"/>
      <c r="AT2369" s="17" t="s">
        <v>6864</v>
      </c>
      <c r="AU2369" s="17" t="s">
        <v>127</v>
      </c>
    </row>
    <row r="2370" hidden="1">
      <c r="A2370" s="17">
        <v>2368</v>
      </c>
      <c r="B2370" s="17" t="s">
        <v>52</v>
      </c>
      <c r="C2370" s="34" t="s">
        <v>6865</v>
      </c>
      <c r="D2370" s="35" t="s">
        <v>6576</v>
      </c>
      <c r="E2370" s="17" t="s">
        <v>6866</v>
      </c>
      <c r="F2370" s="17" t="s">
        <v>6867</v>
      </c>
      <c r="G2370" s="17">
        <v>21.635674000000002</v>
      </c>
      <c r="H2370" s="17">
        <v>87.489892999999995</v>
      </c>
      <c r="I2370" s="17"/>
      <c r="J2370" s="17"/>
      <c r="K2370" s="17"/>
      <c r="L2370" s="17"/>
      <c r="M2370" s="34" t="s">
        <v>6718</v>
      </c>
      <c r="N2370" s="17">
        <v>8240997306</v>
      </c>
      <c r="O2370" s="17">
        <v>16</v>
      </c>
      <c r="P2370" s="17">
        <v>80</v>
      </c>
      <c r="Q2370" s="17" t="s">
        <v>105</v>
      </c>
      <c r="R2370" s="17" t="s">
        <v>74</v>
      </c>
      <c r="S2370" s="17" t="s">
        <v>137</v>
      </c>
      <c r="T2370" s="17" t="s">
        <v>6868</v>
      </c>
      <c r="U2370" s="17" t="s">
        <v>76</v>
      </c>
      <c r="V2370" s="17" t="s">
        <v>77</v>
      </c>
      <c r="W2370" s="17" t="s">
        <v>252</v>
      </c>
      <c r="X2370" s="17">
        <v>5</v>
      </c>
      <c r="Y2370" s="17">
        <v>0</v>
      </c>
      <c r="Z2370" s="17"/>
      <c r="AA2370" s="17" t="s">
        <v>105</v>
      </c>
      <c r="AB2370" s="17" t="s">
        <v>79</v>
      </c>
      <c r="AC2370" s="17">
        <v>2</v>
      </c>
      <c r="AD2370" s="17">
        <v>0</v>
      </c>
      <c r="AE2370" s="17">
        <v>0</v>
      </c>
      <c r="AF2370" s="17" t="s">
        <v>600</v>
      </c>
      <c r="AG2370" s="17" t="s">
        <v>81</v>
      </c>
      <c r="AH2370" s="17" t="s">
        <v>82</v>
      </c>
      <c r="AI2370" s="17" t="s">
        <v>83</v>
      </c>
      <c r="AJ2370" s="17">
        <v>2111</v>
      </c>
      <c r="AK2370" s="17" t="s">
        <v>75</v>
      </c>
      <c r="AL2370" s="17" t="s">
        <v>75</v>
      </c>
      <c r="AM2370" s="17" t="s">
        <v>75</v>
      </c>
      <c r="AN2370" s="17" t="s">
        <v>84</v>
      </c>
      <c r="AO2370" s="17" t="s">
        <v>75</v>
      </c>
      <c r="AP2370" s="17" t="s">
        <v>105</v>
      </c>
      <c r="AQ2370" s="17" t="s">
        <v>2343</v>
      </c>
      <c r="AR2370" s="17">
        <v>3</v>
      </c>
      <c r="AS2370" s="17">
        <v>2</v>
      </c>
      <c r="AT2370" s="17" t="s">
        <v>6869</v>
      </c>
      <c r="AU2370" s="17" t="s">
        <v>127</v>
      </c>
    </row>
    <row r="2371" hidden="1">
      <c r="A2371" s="17">
        <v>2369</v>
      </c>
      <c r="B2371" s="17" t="s">
        <v>52</v>
      </c>
      <c r="C2371" s="34" t="s">
        <v>6870</v>
      </c>
      <c r="D2371" s="35" t="s">
        <v>6576</v>
      </c>
      <c r="E2371" s="17" t="s">
        <v>6871</v>
      </c>
      <c r="F2371" s="17" t="s">
        <v>6872</v>
      </c>
      <c r="G2371" s="17">
        <v>21.640709999999999</v>
      </c>
      <c r="H2371" s="17">
        <v>87.506569999999996</v>
      </c>
      <c r="I2371" s="17"/>
      <c r="J2371" s="17"/>
      <c r="K2371" s="17"/>
      <c r="L2371" s="17"/>
      <c r="M2371" s="34" t="s">
        <v>6718</v>
      </c>
      <c r="N2371" s="17">
        <v>8240997306</v>
      </c>
      <c r="O2371" s="17">
        <v>16</v>
      </c>
      <c r="P2371" s="17">
        <v>55</v>
      </c>
      <c r="Q2371" s="17" t="s">
        <v>105</v>
      </c>
      <c r="R2371" s="17" t="s">
        <v>238</v>
      </c>
      <c r="S2371" s="17" t="s">
        <v>75</v>
      </c>
      <c r="T2371" s="17"/>
      <c r="U2371" s="17" t="s">
        <v>160</v>
      </c>
      <c r="V2371" s="17" t="s">
        <v>77</v>
      </c>
      <c r="W2371" s="17" t="s">
        <v>443</v>
      </c>
      <c r="X2371" s="17">
        <v>3</v>
      </c>
      <c r="Y2371" s="17">
        <v>2</v>
      </c>
      <c r="Z2371" s="17"/>
      <c r="AA2371" s="17" t="s">
        <v>105</v>
      </c>
      <c r="AB2371" s="17" t="s">
        <v>239</v>
      </c>
      <c r="AC2371" s="17">
        <v>2</v>
      </c>
      <c r="AD2371" s="17">
        <v>0</v>
      </c>
      <c r="AE2371" s="17">
        <v>0</v>
      </c>
      <c r="AF2371" s="17" t="s">
        <v>6873</v>
      </c>
      <c r="AG2371" s="17" t="s">
        <v>124</v>
      </c>
      <c r="AH2371" s="17" t="s">
        <v>82</v>
      </c>
      <c r="AI2371" s="17" t="s">
        <v>83</v>
      </c>
      <c r="AJ2371" s="17">
        <v>2111</v>
      </c>
      <c r="AK2371" s="17" t="s">
        <v>75</v>
      </c>
      <c r="AL2371" s="17" t="s">
        <v>75</v>
      </c>
      <c r="AM2371" s="17" t="s">
        <v>75</v>
      </c>
      <c r="AN2371" s="17" t="s">
        <v>84</v>
      </c>
      <c r="AO2371" s="17" t="s">
        <v>75</v>
      </c>
      <c r="AP2371" s="17"/>
      <c r="AQ2371" s="17"/>
      <c r="AR2371" s="17"/>
      <c r="AS2371" s="17"/>
      <c r="AT2371" s="17"/>
      <c r="AU2371" s="17" t="s">
        <v>111</v>
      </c>
    </row>
    <row r="2372" hidden="1">
      <c r="A2372" s="17">
        <v>2370</v>
      </c>
      <c r="B2372" s="17" t="s">
        <v>52</v>
      </c>
      <c r="C2372" s="34" t="s">
        <v>6874</v>
      </c>
      <c r="D2372" s="35" t="s">
        <v>6576</v>
      </c>
      <c r="E2372" s="17" t="s">
        <v>6875</v>
      </c>
      <c r="F2372" s="17" t="s">
        <v>6876</v>
      </c>
      <c r="G2372" s="17">
        <v>21.644545999999998</v>
      </c>
      <c r="H2372" s="17">
        <v>87.542547999999996</v>
      </c>
      <c r="I2372" s="17"/>
      <c r="J2372" s="17"/>
      <c r="K2372" s="17"/>
      <c r="L2372" s="17"/>
      <c r="M2372" s="34" t="s">
        <v>6718</v>
      </c>
      <c r="N2372" s="17">
        <v>8240997306</v>
      </c>
      <c r="O2372" s="17">
        <v>16</v>
      </c>
      <c r="P2372" s="17">
        <v>100</v>
      </c>
      <c r="Q2372" s="17" t="s">
        <v>73</v>
      </c>
      <c r="R2372" s="17" t="s">
        <v>74</v>
      </c>
      <c r="S2372" s="17" t="s">
        <v>75</v>
      </c>
      <c r="T2372" s="17"/>
      <c r="U2372" s="17" t="s">
        <v>105</v>
      </c>
      <c r="V2372" s="17" t="s">
        <v>77</v>
      </c>
      <c r="W2372" s="17" t="s">
        <v>252</v>
      </c>
      <c r="X2372" s="17">
        <v>5</v>
      </c>
      <c r="Y2372" s="17">
        <v>0</v>
      </c>
      <c r="Z2372" s="17"/>
      <c r="AA2372" s="17" t="s">
        <v>73</v>
      </c>
      <c r="AB2372" s="17" t="s">
        <v>79</v>
      </c>
      <c r="AC2372" s="17">
        <v>2</v>
      </c>
      <c r="AD2372" s="17">
        <v>0</v>
      </c>
      <c r="AE2372" s="17">
        <v>0</v>
      </c>
      <c r="AF2372" s="17"/>
      <c r="AG2372" s="17" t="s">
        <v>81</v>
      </c>
      <c r="AH2372" s="17" t="s">
        <v>82</v>
      </c>
      <c r="AI2372" s="17" t="s">
        <v>107</v>
      </c>
      <c r="AJ2372" s="17"/>
      <c r="AK2372" s="17" t="s">
        <v>75</v>
      </c>
      <c r="AL2372" s="17" t="s">
        <v>75</v>
      </c>
      <c r="AM2372" s="17" t="s">
        <v>75</v>
      </c>
      <c r="AN2372" s="17" t="s">
        <v>84</v>
      </c>
      <c r="AO2372" s="17" t="s">
        <v>75</v>
      </c>
      <c r="AP2372" s="17" t="s">
        <v>73</v>
      </c>
      <c r="AQ2372" s="17" t="s">
        <v>79</v>
      </c>
      <c r="AR2372" s="17">
        <v>1</v>
      </c>
      <c r="AS2372" s="17">
        <v>0</v>
      </c>
      <c r="AT2372" s="17"/>
      <c r="AU2372" s="17" t="s">
        <v>111</v>
      </c>
    </row>
    <row r="2373" hidden="1">
      <c r="A2373" s="17">
        <v>2371</v>
      </c>
      <c r="B2373" s="17" t="s">
        <v>52</v>
      </c>
      <c r="C2373" s="34" t="s">
        <v>6877</v>
      </c>
      <c r="D2373" s="35" t="s">
        <v>6576</v>
      </c>
      <c r="E2373" s="17" t="s">
        <v>6878</v>
      </c>
      <c r="F2373" s="17" t="s">
        <v>6879</v>
      </c>
      <c r="G2373" s="17">
        <v>21.652450999999999</v>
      </c>
      <c r="H2373" s="17">
        <v>87.628378999999995</v>
      </c>
      <c r="I2373" s="17"/>
      <c r="J2373" s="17"/>
      <c r="K2373" s="17"/>
      <c r="L2373" s="17"/>
      <c r="M2373" s="34" t="s">
        <v>6718</v>
      </c>
      <c r="N2373" s="17">
        <v>8240997306</v>
      </c>
      <c r="O2373" s="17">
        <v>16</v>
      </c>
      <c r="P2373" s="17">
        <v>120</v>
      </c>
      <c r="Q2373" s="17" t="s">
        <v>73</v>
      </c>
      <c r="R2373" s="17" t="s">
        <v>74</v>
      </c>
      <c r="S2373" s="17" t="s">
        <v>75</v>
      </c>
      <c r="T2373" s="17"/>
      <c r="U2373" s="17" t="s">
        <v>441</v>
      </c>
      <c r="V2373" s="17" t="s">
        <v>442</v>
      </c>
      <c r="W2373" s="17" t="s">
        <v>78</v>
      </c>
      <c r="X2373" s="17">
        <v>8</v>
      </c>
      <c r="Y2373" s="17">
        <v>0</v>
      </c>
      <c r="Z2373" s="17"/>
      <c r="AA2373" s="17" t="s">
        <v>73</v>
      </c>
      <c r="AB2373" s="17" t="s">
        <v>79</v>
      </c>
      <c r="AC2373" s="17">
        <v>2</v>
      </c>
      <c r="AD2373" s="17">
        <v>0</v>
      </c>
      <c r="AE2373" s="17">
        <v>0</v>
      </c>
      <c r="AF2373" s="17" t="s">
        <v>600</v>
      </c>
      <c r="AG2373" s="17" t="s">
        <v>124</v>
      </c>
      <c r="AH2373" s="17" t="s">
        <v>82</v>
      </c>
      <c r="AI2373" s="17" t="s">
        <v>83</v>
      </c>
      <c r="AJ2373" s="17">
        <v>2111</v>
      </c>
      <c r="AK2373" s="17" t="s">
        <v>75</v>
      </c>
      <c r="AL2373" s="17" t="s">
        <v>75</v>
      </c>
      <c r="AM2373" s="17" t="s">
        <v>75</v>
      </c>
      <c r="AN2373" s="17" t="s">
        <v>84</v>
      </c>
      <c r="AO2373" s="17" t="s">
        <v>75</v>
      </c>
      <c r="AP2373" s="17"/>
      <c r="AQ2373" s="17"/>
      <c r="AR2373" s="17"/>
      <c r="AS2373" s="17"/>
      <c r="AT2373" s="17" t="s">
        <v>6880</v>
      </c>
      <c r="AU2373" s="17" t="s">
        <v>127</v>
      </c>
    </row>
    <row r="2374" hidden="1">
      <c r="A2374" s="17">
        <v>2372</v>
      </c>
      <c r="B2374" s="17" t="s">
        <v>52</v>
      </c>
      <c r="C2374" s="34" t="s">
        <v>6881</v>
      </c>
      <c r="D2374" s="35" t="s">
        <v>6576</v>
      </c>
      <c r="E2374" s="17" t="s">
        <v>6882</v>
      </c>
      <c r="F2374" s="17" t="s">
        <v>6883</v>
      </c>
      <c r="G2374" s="17">
        <v>21.673611000000001</v>
      </c>
      <c r="H2374" s="17">
        <v>87.520184</v>
      </c>
      <c r="I2374" s="17"/>
      <c r="J2374" s="17"/>
      <c r="K2374" s="17"/>
      <c r="L2374" s="17"/>
      <c r="M2374" s="34" t="s">
        <v>6718</v>
      </c>
      <c r="N2374" s="17">
        <v>8240997306</v>
      </c>
      <c r="O2374" s="17">
        <v>16</v>
      </c>
      <c r="P2374" s="17">
        <v>80</v>
      </c>
      <c r="Q2374" s="17" t="s">
        <v>73</v>
      </c>
      <c r="R2374" s="17" t="s">
        <v>74</v>
      </c>
      <c r="S2374" s="17" t="s">
        <v>75</v>
      </c>
      <c r="T2374" s="17"/>
      <c r="U2374" s="17" t="s">
        <v>76</v>
      </c>
      <c r="V2374" s="17" t="s">
        <v>77</v>
      </c>
      <c r="W2374" s="17" t="s">
        <v>252</v>
      </c>
      <c r="X2374" s="17">
        <v>5</v>
      </c>
      <c r="Y2374" s="17">
        <v>0</v>
      </c>
      <c r="Z2374" s="17"/>
      <c r="AA2374" s="17" t="s">
        <v>73</v>
      </c>
      <c r="AB2374" s="17" t="s">
        <v>79</v>
      </c>
      <c r="AC2374" s="17">
        <v>2</v>
      </c>
      <c r="AD2374" s="17">
        <v>0</v>
      </c>
      <c r="AE2374" s="17">
        <v>0</v>
      </c>
      <c r="AF2374" s="17"/>
      <c r="AG2374" s="17" t="s">
        <v>81</v>
      </c>
      <c r="AH2374" s="17" t="s">
        <v>82</v>
      </c>
      <c r="AI2374" s="17" t="s">
        <v>107</v>
      </c>
      <c r="AJ2374" s="17"/>
      <c r="AK2374" s="17" t="s">
        <v>75</v>
      </c>
      <c r="AL2374" s="17" t="s">
        <v>75</v>
      </c>
      <c r="AM2374" s="17" t="s">
        <v>75</v>
      </c>
      <c r="AN2374" s="17" t="s">
        <v>84</v>
      </c>
      <c r="AO2374" s="17" t="s">
        <v>75</v>
      </c>
      <c r="AP2374" s="17"/>
      <c r="AQ2374" s="17"/>
      <c r="AR2374" s="17"/>
      <c r="AS2374" s="17"/>
      <c r="AT2374" s="17"/>
      <c r="AU2374" s="17" t="s">
        <v>111</v>
      </c>
    </row>
    <row r="2375" hidden="1">
      <c r="A2375" s="17">
        <v>2373</v>
      </c>
      <c r="B2375" s="17" t="s">
        <v>52</v>
      </c>
      <c r="C2375" s="34" t="s">
        <v>6884</v>
      </c>
      <c r="D2375" s="35" t="s">
        <v>6576</v>
      </c>
      <c r="E2375" s="17" t="s">
        <v>6885</v>
      </c>
      <c r="F2375" s="17" t="s">
        <v>6886</v>
      </c>
      <c r="G2375" s="17">
        <v>21.662789</v>
      </c>
      <c r="H2375" s="17">
        <v>87.507631000000003</v>
      </c>
      <c r="I2375" s="17"/>
      <c r="J2375" s="17"/>
      <c r="K2375" s="17"/>
      <c r="L2375" s="17"/>
      <c r="M2375" s="34" t="s">
        <v>6718</v>
      </c>
      <c r="N2375" s="17">
        <v>8240997306</v>
      </c>
      <c r="O2375" s="17">
        <v>16</v>
      </c>
      <c r="P2375" s="17">
        <v>80</v>
      </c>
      <c r="Q2375" s="17" t="s">
        <v>73</v>
      </c>
      <c r="R2375" s="17" t="s">
        <v>74</v>
      </c>
      <c r="S2375" s="17" t="s">
        <v>75</v>
      </c>
      <c r="T2375" s="17"/>
      <c r="U2375" s="17" t="s">
        <v>105</v>
      </c>
      <c r="V2375" s="17" t="s">
        <v>77</v>
      </c>
      <c r="W2375" s="17" t="s">
        <v>252</v>
      </c>
      <c r="X2375" s="17">
        <v>5</v>
      </c>
      <c r="Y2375" s="17">
        <v>0</v>
      </c>
      <c r="Z2375" s="17"/>
      <c r="AA2375" s="17" t="s">
        <v>73</v>
      </c>
      <c r="AB2375" s="17" t="s">
        <v>79</v>
      </c>
      <c r="AC2375" s="17">
        <v>2</v>
      </c>
      <c r="AD2375" s="17">
        <v>0</v>
      </c>
      <c r="AE2375" s="17">
        <v>0</v>
      </c>
      <c r="AF2375" s="17"/>
      <c r="AG2375" s="17" t="s">
        <v>81</v>
      </c>
      <c r="AH2375" s="17" t="s">
        <v>82</v>
      </c>
      <c r="AI2375" s="17" t="s">
        <v>107</v>
      </c>
      <c r="AJ2375" s="17"/>
      <c r="AK2375" s="17" t="s">
        <v>75</v>
      </c>
      <c r="AL2375" s="17" t="s">
        <v>75</v>
      </c>
      <c r="AM2375" s="17" t="s">
        <v>75</v>
      </c>
      <c r="AN2375" s="17" t="s">
        <v>84</v>
      </c>
      <c r="AO2375" s="17" t="s">
        <v>75</v>
      </c>
      <c r="AP2375" s="17"/>
      <c r="AQ2375" s="17"/>
      <c r="AR2375" s="17"/>
      <c r="AS2375" s="17"/>
      <c r="AT2375" s="17" t="s">
        <v>6869</v>
      </c>
      <c r="AU2375" s="17" t="s">
        <v>111</v>
      </c>
    </row>
    <row r="2376" hidden="1">
      <c r="A2376" s="17">
        <v>2374</v>
      </c>
      <c r="B2376" s="17" t="s">
        <v>52</v>
      </c>
      <c r="C2376" s="34" t="s">
        <v>6887</v>
      </c>
      <c r="D2376" s="35" t="s">
        <v>6576</v>
      </c>
      <c r="E2376" s="17" t="s">
        <v>6888</v>
      </c>
      <c r="F2376" s="17" t="s">
        <v>6889</v>
      </c>
      <c r="G2376" s="17">
        <v>21.666723999999999</v>
      </c>
      <c r="H2376" s="17">
        <v>87.476386000000005</v>
      </c>
      <c r="I2376" s="17"/>
      <c r="J2376" s="17"/>
      <c r="K2376" s="17"/>
      <c r="L2376" s="17"/>
      <c r="M2376" s="34" t="s">
        <v>6718</v>
      </c>
      <c r="N2376" s="17">
        <v>8240997306</v>
      </c>
      <c r="O2376" s="17">
        <v>16</v>
      </c>
      <c r="P2376" s="17">
        <v>60</v>
      </c>
      <c r="Q2376" s="17" t="s">
        <v>73</v>
      </c>
      <c r="R2376" s="17" t="s">
        <v>1180</v>
      </c>
      <c r="S2376" s="17" t="s">
        <v>75</v>
      </c>
      <c r="T2376" s="17"/>
      <c r="U2376" s="17" t="s">
        <v>76</v>
      </c>
      <c r="V2376" s="17" t="s">
        <v>77</v>
      </c>
      <c r="W2376" s="17" t="s">
        <v>78</v>
      </c>
      <c r="X2376" s="17">
        <v>3</v>
      </c>
      <c r="Y2376" s="17">
        <v>1</v>
      </c>
      <c r="Z2376" s="17"/>
      <c r="AA2376" s="17" t="s">
        <v>73</v>
      </c>
      <c r="AB2376" s="17" t="s">
        <v>79</v>
      </c>
      <c r="AC2376" s="17">
        <v>2</v>
      </c>
      <c r="AD2376" s="17">
        <v>0</v>
      </c>
      <c r="AE2376" s="17">
        <v>0</v>
      </c>
      <c r="AF2376" s="17"/>
      <c r="AG2376" s="17" t="s">
        <v>81</v>
      </c>
      <c r="AH2376" s="17" t="s">
        <v>82</v>
      </c>
      <c r="AI2376" s="17" t="s">
        <v>107</v>
      </c>
      <c r="AJ2376" s="17"/>
      <c r="AK2376" s="17" t="s">
        <v>75</v>
      </c>
      <c r="AL2376" s="17" t="s">
        <v>75</v>
      </c>
      <c r="AM2376" s="17" t="s">
        <v>75</v>
      </c>
      <c r="AN2376" s="17" t="s">
        <v>84</v>
      </c>
      <c r="AO2376" s="17" t="s">
        <v>75</v>
      </c>
      <c r="AP2376" s="17"/>
      <c r="AQ2376" s="17"/>
      <c r="AR2376" s="17"/>
      <c r="AS2376" s="17"/>
      <c r="AT2376" s="17"/>
      <c r="AU2376" s="17" t="s">
        <v>111</v>
      </c>
    </row>
    <row r="2377" hidden="1">
      <c r="A2377" s="17">
        <v>2375</v>
      </c>
      <c r="B2377" s="17" t="s">
        <v>52</v>
      </c>
      <c r="C2377" s="34" t="s">
        <v>6890</v>
      </c>
      <c r="D2377" s="35" t="s">
        <v>6576</v>
      </c>
      <c r="E2377" s="17" t="s">
        <v>6891</v>
      </c>
      <c r="F2377" s="17" t="s">
        <v>6892</v>
      </c>
      <c r="G2377" s="17">
        <v>21.677510000000002</v>
      </c>
      <c r="H2377" s="17">
        <v>87.535060000000001</v>
      </c>
      <c r="I2377" s="17"/>
      <c r="J2377" s="17"/>
      <c r="K2377" s="17"/>
      <c r="L2377" s="17"/>
      <c r="M2377" s="34" t="s">
        <v>6718</v>
      </c>
      <c r="N2377" s="17">
        <v>8240997306</v>
      </c>
      <c r="O2377" s="17">
        <v>16</v>
      </c>
      <c r="P2377" s="17">
        <v>60</v>
      </c>
      <c r="Q2377" s="17" t="s">
        <v>105</v>
      </c>
      <c r="R2377" s="17" t="s">
        <v>238</v>
      </c>
      <c r="S2377" s="17" t="s">
        <v>75</v>
      </c>
      <c r="T2377" s="17"/>
      <c r="U2377" s="17" t="s">
        <v>160</v>
      </c>
      <c r="V2377" s="17" t="s">
        <v>77</v>
      </c>
      <c r="W2377" s="17" t="s">
        <v>330</v>
      </c>
      <c r="X2377" s="17">
        <v>3</v>
      </c>
      <c r="Y2377" s="17">
        <v>0</v>
      </c>
      <c r="Z2377" s="17"/>
      <c r="AA2377" s="17" t="s">
        <v>105</v>
      </c>
      <c r="AB2377" s="17" t="s">
        <v>239</v>
      </c>
      <c r="AC2377" s="17">
        <v>2</v>
      </c>
      <c r="AD2377" s="17">
        <v>0</v>
      </c>
      <c r="AE2377" s="17">
        <v>0</v>
      </c>
      <c r="AF2377" s="17" t="s">
        <v>6893</v>
      </c>
      <c r="AG2377" s="17" t="s">
        <v>124</v>
      </c>
      <c r="AH2377" s="17" t="s">
        <v>82</v>
      </c>
      <c r="AI2377" s="17" t="s">
        <v>83</v>
      </c>
      <c r="AJ2377" s="17">
        <v>2111</v>
      </c>
      <c r="AK2377" s="17" t="s">
        <v>75</v>
      </c>
      <c r="AL2377" s="17" t="s">
        <v>75</v>
      </c>
      <c r="AM2377" s="17" t="s">
        <v>75</v>
      </c>
      <c r="AN2377" s="17" t="s">
        <v>84</v>
      </c>
      <c r="AO2377" s="17" t="s">
        <v>75</v>
      </c>
      <c r="AP2377" s="17"/>
      <c r="AQ2377" s="17"/>
      <c r="AR2377" s="17"/>
      <c r="AS2377" s="17"/>
      <c r="AT2377" s="17"/>
      <c r="AU2377" s="17" t="s">
        <v>111</v>
      </c>
    </row>
    <row r="2378" hidden="1">
      <c r="A2378" s="17">
        <v>2376</v>
      </c>
      <c r="B2378" s="17" t="s">
        <v>52</v>
      </c>
      <c r="C2378" s="34" t="s">
        <v>6894</v>
      </c>
      <c r="D2378" s="35" t="s">
        <v>6576</v>
      </c>
      <c r="E2378" s="17" t="s">
        <v>6895</v>
      </c>
      <c r="F2378" s="17" t="s">
        <v>6896</v>
      </c>
      <c r="G2378" s="17">
        <v>21.676259999999999</v>
      </c>
      <c r="H2378" s="17">
        <v>87.506270000000001</v>
      </c>
      <c r="I2378" s="17"/>
      <c r="J2378" s="17"/>
      <c r="K2378" s="17"/>
      <c r="L2378" s="17"/>
      <c r="M2378" s="34" t="s">
        <v>6718</v>
      </c>
      <c r="N2378" s="17">
        <v>8240997306</v>
      </c>
      <c r="O2378" s="17">
        <v>16</v>
      </c>
      <c r="P2378" s="17">
        <v>60</v>
      </c>
      <c r="Q2378" s="17" t="s">
        <v>73</v>
      </c>
      <c r="R2378" s="17" t="s">
        <v>104</v>
      </c>
      <c r="S2378" s="17" t="s">
        <v>75</v>
      </c>
      <c r="T2378" s="17"/>
      <c r="U2378" s="17" t="s">
        <v>160</v>
      </c>
      <c r="V2378" s="17" t="s">
        <v>77</v>
      </c>
      <c r="W2378" s="17" t="s">
        <v>330</v>
      </c>
      <c r="X2378" s="17">
        <v>3</v>
      </c>
      <c r="Y2378" s="17">
        <v>0</v>
      </c>
      <c r="Z2378" s="17"/>
      <c r="AA2378" s="17" t="s">
        <v>73</v>
      </c>
      <c r="AB2378" s="17" t="s">
        <v>79</v>
      </c>
      <c r="AC2378" s="17">
        <v>2</v>
      </c>
      <c r="AD2378" s="17">
        <v>0</v>
      </c>
      <c r="AE2378" s="17">
        <v>0</v>
      </c>
      <c r="AF2378" s="17"/>
      <c r="AG2378" s="17" t="s">
        <v>124</v>
      </c>
      <c r="AH2378" s="17" t="s">
        <v>82</v>
      </c>
      <c r="AI2378" s="17" t="s">
        <v>83</v>
      </c>
      <c r="AJ2378" s="17">
        <v>2111</v>
      </c>
      <c r="AK2378" s="17" t="s">
        <v>75</v>
      </c>
      <c r="AL2378" s="17" t="s">
        <v>75</v>
      </c>
      <c r="AM2378" s="17" t="s">
        <v>75</v>
      </c>
      <c r="AN2378" s="17" t="s">
        <v>84</v>
      </c>
      <c r="AO2378" s="17" t="s">
        <v>75</v>
      </c>
      <c r="AP2378" s="17"/>
      <c r="AQ2378" s="17"/>
      <c r="AR2378" s="17"/>
      <c r="AS2378" s="17"/>
      <c r="AT2378" s="17" t="s">
        <v>6897</v>
      </c>
      <c r="AU2378" s="17" t="s">
        <v>111</v>
      </c>
    </row>
    <row r="2379" hidden="1">
      <c r="A2379" s="17">
        <v>2377</v>
      </c>
      <c r="B2379" s="17" t="s">
        <v>52</v>
      </c>
      <c r="C2379" s="34" t="s">
        <v>6898</v>
      </c>
      <c r="D2379" s="35" t="s">
        <v>6576</v>
      </c>
      <c r="E2379" s="17" t="s">
        <v>6899</v>
      </c>
      <c r="F2379" s="17" t="s">
        <v>6900</v>
      </c>
      <c r="G2379" s="17">
        <v>21.640989000000001</v>
      </c>
      <c r="H2379" s="17">
        <v>87.580781999999999</v>
      </c>
      <c r="I2379" s="17"/>
      <c r="J2379" s="17"/>
      <c r="K2379" s="17"/>
      <c r="L2379" s="17"/>
      <c r="M2379" s="34" t="s">
        <v>6718</v>
      </c>
      <c r="N2379" s="17">
        <v>8240997306</v>
      </c>
      <c r="O2379" s="17">
        <v>16</v>
      </c>
      <c r="P2379" s="17">
        <v>80</v>
      </c>
      <c r="Q2379" s="17" t="s">
        <v>73</v>
      </c>
      <c r="R2379" s="17" t="s">
        <v>74</v>
      </c>
      <c r="S2379" s="17" t="s">
        <v>75</v>
      </c>
      <c r="T2379" s="17"/>
      <c r="U2379" s="17" t="s">
        <v>160</v>
      </c>
      <c r="V2379" s="17" t="s">
        <v>77</v>
      </c>
      <c r="W2379" s="17" t="s">
        <v>252</v>
      </c>
      <c r="X2379" s="17">
        <v>5</v>
      </c>
      <c r="Y2379" s="17">
        <v>0</v>
      </c>
      <c r="Z2379" s="17"/>
      <c r="AA2379" s="17" t="s">
        <v>73</v>
      </c>
      <c r="AB2379" s="17" t="s">
        <v>79</v>
      </c>
      <c r="AC2379" s="17">
        <v>3</v>
      </c>
      <c r="AD2379" s="17">
        <v>0</v>
      </c>
      <c r="AE2379" s="17">
        <v>0</v>
      </c>
      <c r="AF2379" s="17"/>
      <c r="AG2379" s="17" t="s">
        <v>124</v>
      </c>
      <c r="AH2379" s="17" t="s">
        <v>82</v>
      </c>
      <c r="AI2379" s="17" t="s">
        <v>83</v>
      </c>
      <c r="AJ2379" s="17">
        <v>2111</v>
      </c>
      <c r="AK2379" s="17" t="s">
        <v>75</v>
      </c>
      <c r="AL2379" s="17" t="s">
        <v>75</v>
      </c>
      <c r="AM2379" s="17" t="s">
        <v>75</v>
      </c>
      <c r="AN2379" s="17" t="s">
        <v>84</v>
      </c>
      <c r="AO2379" s="17" t="s">
        <v>75</v>
      </c>
      <c r="AP2379" s="17"/>
      <c r="AQ2379" s="17"/>
      <c r="AR2379" s="17"/>
      <c r="AS2379" s="17"/>
      <c r="AT2379" s="17"/>
      <c r="AU2379" s="17" t="s">
        <v>111</v>
      </c>
    </row>
    <row r="2380" hidden="1">
      <c r="A2380" s="17">
        <v>2378</v>
      </c>
      <c r="B2380" s="17" t="s">
        <v>52</v>
      </c>
      <c r="C2380" s="34" t="s">
        <v>6901</v>
      </c>
      <c r="D2380" s="35" t="s">
        <v>6576</v>
      </c>
      <c r="E2380" s="17" t="s">
        <v>6838</v>
      </c>
      <c r="F2380" s="17" t="s">
        <v>6902</v>
      </c>
      <c r="G2380" s="17">
        <v>21.620605000000001</v>
      </c>
      <c r="H2380" s="17">
        <v>87.497202999999999</v>
      </c>
      <c r="I2380" s="17"/>
      <c r="J2380" s="17"/>
      <c r="K2380" s="17"/>
      <c r="L2380" s="17"/>
      <c r="M2380" s="34" t="s">
        <v>6718</v>
      </c>
      <c r="N2380" s="17">
        <v>8240997306</v>
      </c>
      <c r="O2380" s="17">
        <v>24</v>
      </c>
      <c r="P2380" s="17">
        <v>100</v>
      </c>
      <c r="Q2380" s="17" t="s">
        <v>73</v>
      </c>
      <c r="R2380" s="17" t="s">
        <v>74</v>
      </c>
      <c r="S2380" s="17" t="s">
        <v>75</v>
      </c>
      <c r="T2380" s="17"/>
      <c r="U2380" s="17" t="s">
        <v>105</v>
      </c>
      <c r="V2380" s="17" t="s">
        <v>77</v>
      </c>
      <c r="W2380" s="17" t="s">
        <v>454</v>
      </c>
      <c r="X2380" s="17">
        <v>3</v>
      </c>
      <c r="Y2380" s="17">
        <v>0</v>
      </c>
      <c r="Z2380" s="17"/>
      <c r="AA2380" s="17" t="s">
        <v>73</v>
      </c>
      <c r="AB2380" s="17" t="s">
        <v>79</v>
      </c>
      <c r="AC2380" s="17">
        <v>3</v>
      </c>
      <c r="AD2380" s="17">
        <v>0</v>
      </c>
      <c r="AE2380" s="17">
        <v>0</v>
      </c>
      <c r="AF2380" s="17"/>
      <c r="AG2380" s="17" t="s">
        <v>81</v>
      </c>
      <c r="AH2380" s="17" t="s">
        <v>82</v>
      </c>
      <c r="AI2380" s="17" t="s">
        <v>107</v>
      </c>
      <c r="AJ2380" s="17"/>
      <c r="AK2380" s="17" t="s">
        <v>75</v>
      </c>
      <c r="AL2380" s="17" t="s">
        <v>75</v>
      </c>
      <c r="AM2380" s="17" t="s">
        <v>163</v>
      </c>
      <c r="AN2380" s="17" t="s">
        <v>84</v>
      </c>
      <c r="AO2380" s="17" t="s">
        <v>137</v>
      </c>
      <c r="AP2380" s="17"/>
      <c r="AQ2380" s="17"/>
      <c r="AR2380" s="17"/>
      <c r="AS2380" s="17"/>
      <c r="AT2380" s="17" t="s">
        <v>6903</v>
      </c>
      <c r="AU2380" s="17" t="s">
        <v>127</v>
      </c>
    </row>
    <row r="2381" hidden="1">
      <c r="A2381" s="17">
        <v>2379</v>
      </c>
      <c r="B2381" s="17" t="s">
        <v>52</v>
      </c>
      <c r="C2381" s="34" t="s">
        <v>6904</v>
      </c>
      <c r="D2381" s="35" t="s">
        <v>6576</v>
      </c>
      <c r="E2381" s="17"/>
      <c r="F2381" s="17">
        <v>0</v>
      </c>
      <c r="G2381" s="17">
        <v>21.68608</v>
      </c>
      <c r="H2381" s="17">
        <v>87.562200000000004</v>
      </c>
      <c r="I2381" s="17"/>
      <c r="J2381" s="17"/>
      <c r="K2381" s="17"/>
      <c r="L2381" s="17"/>
      <c r="M2381" s="34" t="s">
        <v>6718</v>
      </c>
      <c r="N2381" s="17">
        <v>8240997306</v>
      </c>
      <c r="O2381" s="17">
        <v>18</v>
      </c>
      <c r="P2381" s="17">
        <v>100</v>
      </c>
      <c r="Q2381" s="17" t="s">
        <v>73</v>
      </c>
      <c r="R2381" s="17" t="s">
        <v>142</v>
      </c>
      <c r="S2381" s="17" t="s">
        <v>75</v>
      </c>
      <c r="T2381" s="17"/>
      <c r="U2381" s="17" t="s">
        <v>160</v>
      </c>
      <c r="V2381" s="17" t="s">
        <v>77</v>
      </c>
      <c r="W2381" s="17" t="s">
        <v>252</v>
      </c>
      <c r="X2381" s="17">
        <v>5</v>
      </c>
      <c r="Y2381" s="17">
        <v>0</v>
      </c>
      <c r="Z2381" s="17"/>
      <c r="AA2381" s="17" t="s">
        <v>73</v>
      </c>
      <c r="AB2381" s="17" t="s">
        <v>79</v>
      </c>
      <c r="AC2381" s="17">
        <v>3</v>
      </c>
      <c r="AD2381" s="17">
        <v>0</v>
      </c>
      <c r="AE2381" s="17">
        <v>0</v>
      </c>
      <c r="AF2381" s="17"/>
      <c r="AG2381" s="17" t="s">
        <v>124</v>
      </c>
      <c r="AH2381" s="17" t="s">
        <v>162</v>
      </c>
      <c r="AI2381" s="17" t="s">
        <v>83</v>
      </c>
      <c r="AJ2381" s="17">
        <v>2112</v>
      </c>
      <c r="AK2381" s="17" t="s">
        <v>75</v>
      </c>
      <c r="AL2381" s="17" t="s">
        <v>137</v>
      </c>
      <c r="AM2381" s="17" t="s">
        <v>75</v>
      </c>
      <c r="AN2381" s="17" t="s">
        <v>84</v>
      </c>
      <c r="AO2381" s="17" t="s">
        <v>75</v>
      </c>
      <c r="AP2381" s="17"/>
      <c r="AQ2381" s="17"/>
      <c r="AR2381" s="17"/>
      <c r="AS2381" s="17"/>
      <c r="AT2381" s="17" t="s">
        <v>6905</v>
      </c>
      <c r="AU2381" s="17" t="s">
        <v>111</v>
      </c>
    </row>
    <row r="2382" hidden="1">
      <c r="A2382" s="17">
        <v>2380</v>
      </c>
      <c r="B2382" s="17" t="s">
        <v>52</v>
      </c>
      <c r="C2382" s="34" t="s">
        <v>6906</v>
      </c>
      <c r="D2382" s="35" t="s">
        <v>6576</v>
      </c>
      <c r="E2382" s="17"/>
      <c r="F2382" s="17"/>
      <c r="G2382" s="17"/>
      <c r="H2382" s="17"/>
      <c r="I2382" s="17"/>
      <c r="J2382" s="17"/>
      <c r="K2382" s="17"/>
      <c r="L2382" s="17"/>
      <c r="M2382" s="34" t="s">
        <v>103</v>
      </c>
      <c r="N2382" s="17"/>
      <c r="O2382" s="17"/>
      <c r="P2382" s="17"/>
      <c r="Q2382" s="17"/>
      <c r="R2382" s="17"/>
      <c r="S2382" s="17"/>
      <c r="T2382" s="17"/>
      <c r="U2382" s="17"/>
      <c r="V2382" s="17"/>
      <c r="W2382" s="17"/>
      <c r="X2382" s="17"/>
      <c r="Y2382" s="17"/>
      <c r="Z2382" s="17"/>
      <c r="AA2382" s="17"/>
      <c r="AB2382" s="17"/>
      <c r="AC2382" s="17"/>
      <c r="AD2382" s="17"/>
      <c r="AE2382" s="17"/>
      <c r="AF2382" s="17"/>
      <c r="AG2382" s="17"/>
      <c r="AH2382" s="17"/>
      <c r="AI2382" s="17"/>
      <c r="AJ2382" s="17"/>
      <c r="AK2382" s="17"/>
      <c r="AL2382" s="17"/>
      <c r="AM2382" s="17"/>
      <c r="AN2382" s="17"/>
      <c r="AO2382" s="17"/>
      <c r="AP2382" s="17"/>
      <c r="AQ2382" s="17"/>
      <c r="AR2382" s="17"/>
      <c r="AS2382" s="17"/>
      <c r="AT2382" s="17"/>
      <c r="AU2382" s="17"/>
    </row>
    <row r="2383" hidden="1">
      <c r="A2383" s="17">
        <v>2381</v>
      </c>
      <c r="B2383" s="17" t="s">
        <v>52</v>
      </c>
      <c r="C2383" s="34" t="s">
        <v>6907</v>
      </c>
      <c r="D2383" s="35" t="s">
        <v>6576</v>
      </c>
      <c r="E2383" s="17"/>
      <c r="F2383" s="17"/>
      <c r="G2383" s="17"/>
      <c r="H2383" s="17"/>
      <c r="I2383" s="17"/>
      <c r="J2383" s="17"/>
      <c r="K2383" s="17"/>
      <c r="L2383" s="17"/>
      <c r="M2383" s="34" t="s">
        <v>103</v>
      </c>
      <c r="N2383" s="17"/>
      <c r="O2383" s="17"/>
      <c r="P2383" s="17"/>
      <c r="Q2383" s="17"/>
      <c r="R2383" s="17"/>
      <c r="S2383" s="17"/>
      <c r="T2383" s="17"/>
      <c r="U2383" s="17"/>
      <c r="V2383" s="17"/>
      <c r="W2383" s="17"/>
      <c r="X2383" s="17"/>
      <c r="Y2383" s="17"/>
      <c r="Z2383" s="17"/>
      <c r="AA2383" s="17"/>
      <c r="AB2383" s="17"/>
      <c r="AC2383" s="17"/>
      <c r="AD2383" s="17"/>
      <c r="AE2383" s="17"/>
      <c r="AF2383" s="17"/>
      <c r="AG2383" s="17"/>
      <c r="AH2383" s="17"/>
      <c r="AI2383" s="17"/>
      <c r="AJ2383" s="17"/>
      <c r="AK2383" s="17"/>
      <c r="AL2383" s="17"/>
      <c r="AM2383" s="17"/>
      <c r="AN2383" s="17"/>
      <c r="AO2383" s="17"/>
      <c r="AP2383" s="17"/>
      <c r="AQ2383" s="17"/>
      <c r="AR2383" s="17"/>
      <c r="AS2383" s="17"/>
      <c r="AT2383" s="17"/>
      <c r="AU2383" s="17"/>
    </row>
    <row r="2384" hidden="1">
      <c r="A2384" s="17">
        <v>2382</v>
      </c>
      <c r="B2384" s="17" t="s">
        <v>52</v>
      </c>
      <c r="C2384" s="34" t="s">
        <v>6908</v>
      </c>
      <c r="D2384" s="35" t="s">
        <v>6576</v>
      </c>
      <c r="E2384" s="17"/>
      <c r="F2384" s="17"/>
      <c r="G2384" s="17"/>
      <c r="H2384" s="17"/>
      <c r="I2384" s="17"/>
      <c r="J2384" s="17"/>
      <c r="K2384" s="17"/>
      <c r="L2384" s="17"/>
      <c r="M2384" s="34" t="s">
        <v>103</v>
      </c>
      <c r="N2384" s="17"/>
      <c r="O2384" s="17"/>
      <c r="P2384" s="17"/>
      <c r="Q2384" s="17"/>
      <c r="R2384" s="17"/>
      <c r="S2384" s="17"/>
      <c r="T2384" s="17"/>
      <c r="U2384" s="17"/>
      <c r="V2384" s="17"/>
      <c r="W2384" s="17"/>
      <c r="X2384" s="17"/>
      <c r="Y2384" s="17"/>
      <c r="Z2384" s="17"/>
      <c r="AA2384" s="17"/>
      <c r="AB2384" s="17"/>
      <c r="AC2384" s="17"/>
      <c r="AD2384" s="17"/>
      <c r="AE2384" s="17"/>
      <c r="AF2384" s="17"/>
      <c r="AG2384" s="17"/>
      <c r="AH2384" s="17"/>
      <c r="AI2384" s="17"/>
      <c r="AJ2384" s="17"/>
      <c r="AK2384" s="17"/>
      <c r="AL2384" s="17"/>
      <c r="AM2384" s="17"/>
      <c r="AN2384" s="17"/>
      <c r="AO2384" s="17"/>
      <c r="AP2384" s="17"/>
      <c r="AQ2384" s="17"/>
      <c r="AR2384" s="17"/>
      <c r="AS2384" s="17"/>
      <c r="AT2384" s="17"/>
      <c r="AU2384" s="17"/>
    </row>
    <row r="2385" hidden="1">
      <c r="A2385" s="17">
        <v>2383</v>
      </c>
      <c r="B2385" s="17" t="s">
        <v>52</v>
      </c>
      <c r="C2385" s="34" t="s">
        <v>6909</v>
      </c>
      <c r="D2385" s="35" t="s">
        <v>6576</v>
      </c>
      <c r="E2385" s="17"/>
      <c r="F2385" s="17"/>
      <c r="G2385" s="17"/>
      <c r="H2385" s="17"/>
      <c r="I2385" s="17"/>
      <c r="J2385" s="17"/>
      <c r="K2385" s="17"/>
      <c r="L2385" s="17"/>
      <c r="M2385" s="34" t="s">
        <v>103</v>
      </c>
      <c r="N2385" s="17"/>
      <c r="O2385" s="17"/>
      <c r="P2385" s="17"/>
      <c r="Q2385" s="17"/>
      <c r="R2385" s="17"/>
      <c r="S2385" s="17"/>
      <c r="T2385" s="17"/>
      <c r="U2385" s="17"/>
      <c r="V2385" s="17"/>
      <c r="W2385" s="17"/>
      <c r="X2385" s="17"/>
      <c r="Y2385" s="17"/>
      <c r="Z2385" s="17"/>
      <c r="AA2385" s="17"/>
      <c r="AB2385" s="17"/>
      <c r="AC2385" s="17"/>
      <c r="AD2385" s="17"/>
      <c r="AE2385" s="17"/>
      <c r="AF2385" s="17"/>
      <c r="AG2385" s="17"/>
      <c r="AH2385" s="17"/>
      <c r="AI2385" s="17"/>
      <c r="AJ2385" s="17"/>
      <c r="AK2385" s="17"/>
      <c r="AL2385" s="17"/>
      <c r="AM2385" s="17"/>
      <c r="AN2385" s="17"/>
      <c r="AO2385" s="17"/>
      <c r="AP2385" s="17"/>
      <c r="AQ2385" s="17"/>
      <c r="AR2385" s="17"/>
      <c r="AS2385" s="17"/>
      <c r="AT2385" s="17"/>
      <c r="AU2385" s="17"/>
    </row>
    <row r="2386" hidden="1">
      <c r="A2386" s="17">
        <v>2384</v>
      </c>
      <c r="B2386" s="17" t="s">
        <v>52</v>
      </c>
      <c r="C2386" s="34" t="s">
        <v>6910</v>
      </c>
      <c r="D2386" s="35" t="s">
        <v>6576</v>
      </c>
      <c r="E2386" s="17"/>
      <c r="F2386" s="17"/>
      <c r="G2386" s="17"/>
      <c r="H2386" s="17"/>
      <c r="I2386" s="17"/>
      <c r="J2386" s="17"/>
      <c r="K2386" s="17"/>
      <c r="L2386" s="17"/>
      <c r="M2386" s="34" t="s">
        <v>103</v>
      </c>
      <c r="N2386" s="17"/>
      <c r="O2386" s="17"/>
      <c r="P2386" s="17"/>
      <c r="Q2386" s="17"/>
      <c r="R2386" s="17"/>
      <c r="S2386" s="17"/>
      <c r="T2386" s="17"/>
      <c r="U2386" s="17"/>
      <c r="V2386" s="17"/>
      <c r="W2386" s="17"/>
      <c r="X2386" s="17"/>
      <c r="Y2386" s="17"/>
      <c r="Z2386" s="17"/>
      <c r="AA2386" s="17"/>
      <c r="AB2386" s="17"/>
      <c r="AC2386" s="17"/>
      <c r="AD2386" s="17"/>
      <c r="AE2386" s="17"/>
      <c r="AF2386" s="17"/>
      <c r="AG2386" s="17"/>
      <c r="AH2386" s="17"/>
      <c r="AI2386" s="17"/>
      <c r="AJ2386" s="17"/>
      <c r="AK2386" s="17"/>
      <c r="AL2386" s="17"/>
      <c r="AM2386" s="17"/>
      <c r="AN2386" s="17"/>
      <c r="AO2386" s="17"/>
      <c r="AP2386" s="17"/>
      <c r="AQ2386" s="17"/>
      <c r="AR2386" s="17"/>
      <c r="AS2386" s="17"/>
      <c r="AT2386" s="17"/>
      <c r="AU2386" s="17"/>
    </row>
    <row r="2387" hidden="1">
      <c r="A2387" s="17">
        <v>2385</v>
      </c>
      <c r="B2387" s="17" t="s">
        <v>52</v>
      </c>
      <c r="C2387" s="34" t="s">
        <v>6911</v>
      </c>
      <c r="D2387" s="35" t="s">
        <v>6576</v>
      </c>
      <c r="E2387" s="17"/>
      <c r="F2387" s="17"/>
      <c r="G2387" s="17"/>
      <c r="H2387" s="17"/>
      <c r="I2387" s="17"/>
      <c r="J2387" s="17"/>
      <c r="K2387" s="17"/>
      <c r="L2387" s="17"/>
      <c r="M2387" s="34" t="s">
        <v>103</v>
      </c>
      <c r="N2387" s="17"/>
      <c r="O2387" s="17"/>
      <c r="P2387" s="17"/>
      <c r="Q2387" s="17"/>
      <c r="R2387" s="17"/>
      <c r="S2387" s="17"/>
      <c r="T2387" s="17"/>
      <c r="U2387" s="17"/>
      <c r="V2387" s="17"/>
      <c r="W2387" s="17"/>
      <c r="X2387" s="17"/>
      <c r="Y2387" s="17"/>
      <c r="Z2387" s="17"/>
      <c r="AA2387" s="17"/>
      <c r="AB2387" s="17"/>
      <c r="AC2387" s="17"/>
      <c r="AD2387" s="17"/>
      <c r="AE2387" s="17"/>
      <c r="AF2387" s="17"/>
      <c r="AG2387" s="17"/>
      <c r="AH2387" s="17"/>
      <c r="AI2387" s="17"/>
      <c r="AJ2387" s="17"/>
      <c r="AK2387" s="17"/>
      <c r="AL2387" s="17"/>
      <c r="AM2387" s="17"/>
      <c r="AN2387" s="17"/>
      <c r="AO2387" s="17"/>
      <c r="AP2387" s="17"/>
      <c r="AQ2387" s="17"/>
      <c r="AR2387" s="17"/>
      <c r="AS2387" s="17"/>
      <c r="AT2387" s="17"/>
      <c r="AU2387" s="17"/>
    </row>
    <row r="2388" hidden="1">
      <c r="A2388" s="17">
        <v>2386</v>
      </c>
      <c r="B2388" s="17" t="s">
        <v>52</v>
      </c>
      <c r="C2388" s="34" t="s">
        <v>6912</v>
      </c>
      <c r="D2388" s="35" t="s">
        <v>6576</v>
      </c>
      <c r="E2388" s="17"/>
      <c r="F2388" s="17"/>
      <c r="G2388" s="17"/>
      <c r="H2388" s="17"/>
      <c r="I2388" s="17"/>
      <c r="J2388" s="17"/>
      <c r="K2388" s="17"/>
      <c r="L2388" s="17"/>
      <c r="M2388" s="34" t="s">
        <v>103</v>
      </c>
      <c r="N2388" s="17"/>
      <c r="O2388" s="17"/>
      <c r="P2388" s="17"/>
      <c r="Q2388" s="17"/>
      <c r="R2388" s="17"/>
      <c r="S2388" s="17"/>
      <c r="T2388" s="17"/>
      <c r="U2388" s="17"/>
      <c r="V2388" s="17"/>
      <c r="W2388" s="17"/>
      <c r="X2388" s="17"/>
      <c r="Y2388" s="17"/>
      <c r="Z2388" s="17"/>
      <c r="AA2388" s="17"/>
      <c r="AB2388" s="17"/>
      <c r="AC2388" s="17"/>
      <c r="AD2388" s="17"/>
      <c r="AE2388" s="17"/>
      <c r="AF2388" s="17"/>
      <c r="AG2388" s="17"/>
      <c r="AH2388" s="17"/>
      <c r="AI2388" s="17"/>
      <c r="AJ2388" s="17"/>
      <c r="AK2388" s="17"/>
      <c r="AL2388" s="17"/>
      <c r="AM2388" s="17"/>
      <c r="AN2388" s="17"/>
      <c r="AO2388" s="17"/>
      <c r="AP2388" s="17"/>
      <c r="AQ2388" s="17"/>
      <c r="AR2388" s="17"/>
      <c r="AS2388" s="17"/>
      <c r="AT2388" s="17"/>
      <c r="AU2388" s="17"/>
    </row>
    <row r="2389" hidden="1">
      <c r="A2389" s="17">
        <v>2387</v>
      </c>
      <c r="B2389" s="17" t="s">
        <v>52</v>
      </c>
      <c r="C2389" s="34" t="s">
        <v>6913</v>
      </c>
      <c r="D2389" s="35" t="s">
        <v>6576</v>
      </c>
      <c r="E2389" s="17"/>
      <c r="F2389" s="17"/>
      <c r="G2389" s="17"/>
      <c r="H2389" s="17"/>
      <c r="I2389" s="17"/>
      <c r="J2389" s="17"/>
      <c r="K2389" s="17"/>
      <c r="L2389" s="17"/>
      <c r="M2389" s="34" t="s">
        <v>103</v>
      </c>
      <c r="N2389" s="17"/>
      <c r="O2389" s="17"/>
      <c r="P2389" s="17"/>
      <c r="Q2389" s="17"/>
      <c r="R2389" s="17"/>
      <c r="S2389" s="17"/>
      <c r="T2389" s="17"/>
      <c r="U2389" s="17"/>
      <c r="V2389" s="17"/>
      <c r="W2389" s="17"/>
      <c r="X2389" s="17"/>
      <c r="Y2389" s="17"/>
      <c r="Z2389" s="17"/>
      <c r="AA2389" s="17"/>
      <c r="AB2389" s="17"/>
      <c r="AC2389" s="17"/>
      <c r="AD2389" s="17"/>
      <c r="AE2389" s="17"/>
      <c r="AF2389" s="17"/>
      <c r="AG2389" s="17"/>
      <c r="AH2389" s="17"/>
      <c r="AI2389" s="17"/>
      <c r="AJ2389" s="17"/>
      <c r="AK2389" s="17"/>
      <c r="AL2389" s="17"/>
      <c r="AM2389" s="17"/>
      <c r="AN2389" s="17"/>
      <c r="AO2389" s="17"/>
      <c r="AP2389" s="17"/>
      <c r="AQ2389" s="17"/>
      <c r="AR2389" s="17"/>
      <c r="AS2389" s="17"/>
      <c r="AT2389" s="17"/>
      <c r="AU2389" s="17"/>
    </row>
    <row r="2390" hidden="1">
      <c r="A2390" s="17">
        <v>2388</v>
      </c>
      <c r="B2390" s="17" t="s">
        <v>52</v>
      </c>
      <c r="C2390" s="34" t="s">
        <v>6914</v>
      </c>
      <c r="D2390" s="35" t="s">
        <v>6576</v>
      </c>
      <c r="E2390" s="17"/>
      <c r="F2390" s="17"/>
      <c r="G2390" s="17"/>
      <c r="H2390" s="17"/>
      <c r="I2390" s="17"/>
      <c r="J2390" s="17"/>
      <c r="K2390" s="17"/>
      <c r="L2390" s="17"/>
      <c r="M2390" s="34" t="s">
        <v>103</v>
      </c>
      <c r="N2390" s="17"/>
      <c r="O2390" s="17"/>
      <c r="P2390" s="17"/>
      <c r="Q2390" s="17"/>
      <c r="R2390" s="17"/>
      <c r="S2390" s="17"/>
      <c r="T2390" s="17"/>
      <c r="U2390" s="17"/>
      <c r="V2390" s="17"/>
      <c r="W2390" s="17"/>
      <c r="X2390" s="17"/>
      <c r="Y2390" s="17"/>
      <c r="Z2390" s="17"/>
      <c r="AA2390" s="17"/>
      <c r="AB2390" s="17"/>
      <c r="AC2390" s="17"/>
      <c r="AD2390" s="17"/>
      <c r="AE2390" s="17"/>
      <c r="AF2390" s="17"/>
      <c r="AG2390" s="17"/>
      <c r="AH2390" s="17"/>
      <c r="AI2390" s="17"/>
      <c r="AJ2390" s="17"/>
      <c r="AK2390" s="17"/>
      <c r="AL2390" s="17"/>
      <c r="AM2390" s="17"/>
      <c r="AN2390" s="17"/>
      <c r="AO2390" s="17"/>
      <c r="AP2390" s="17"/>
      <c r="AQ2390" s="17"/>
      <c r="AR2390" s="17"/>
      <c r="AS2390" s="17"/>
      <c r="AT2390" s="17"/>
      <c r="AU2390" s="17"/>
    </row>
    <row r="2391" hidden="1">
      <c r="A2391" s="17">
        <v>2389</v>
      </c>
      <c r="B2391" s="17" t="s">
        <v>52</v>
      </c>
      <c r="C2391" s="34" t="s">
        <v>6915</v>
      </c>
      <c r="D2391" s="35" t="s">
        <v>6576</v>
      </c>
      <c r="E2391" s="17"/>
      <c r="F2391" s="17"/>
      <c r="G2391" s="17"/>
      <c r="H2391" s="17"/>
      <c r="I2391" s="17"/>
      <c r="J2391" s="17"/>
      <c r="K2391" s="17"/>
      <c r="L2391" s="17"/>
      <c r="M2391" s="34" t="s">
        <v>103</v>
      </c>
      <c r="N2391" s="17"/>
      <c r="O2391" s="17"/>
      <c r="P2391" s="17"/>
      <c r="Q2391" s="17"/>
      <c r="R2391" s="17"/>
      <c r="S2391" s="17"/>
      <c r="T2391" s="17"/>
      <c r="U2391" s="17"/>
      <c r="V2391" s="17"/>
      <c r="W2391" s="17"/>
      <c r="X2391" s="17"/>
      <c r="Y2391" s="17"/>
      <c r="Z2391" s="17"/>
      <c r="AA2391" s="17"/>
      <c r="AB2391" s="17"/>
      <c r="AC2391" s="17"/>
      <c r="AD2391" s="17"/>
      <c r="AE2391" s="17"/>
      <c r="AF2391" s="17"/>
      <c r="AG2391" s="17"/>
      <c r="AH2391" s="17"/>
      <c r="AI2391" s="17"/>
      <c r="AJ2391" s="17"/>
      <c r="AK2391" s="17"/>
      <c r="AL2391" s="17"/>
      <c r="AM2391" s="17"/>
      <c r="AN2391" s="17"/>
      <c r="AO2391" s="17"/>
      <c r="AP2391" s="17"/>
      <c r="AQ2391" s="17"/>
      <c r="AR2391" s="17"/>
      <c r="AS2391" s="17"/>
      <c r="AT2391" s="17"/>
      <c r="AU2391" s="17"/>
    </row>
    <row r="2392" hidden="1">
      <c r="A2392" s="17">
        <v>2390</v>
      </c>
      <c r="B2392" s="17" t="s">
        <v>52</v>
      </c>
      <c r="C2392" s="34" t="s">
        <v>6916</v>
      </c>
      <c r="D2392" s="35" t="s">
        <v>6576</v>
      </c>
      <c r="E2392" s="17"/>
      <c r="F2392" s="17"/>
      <c r="G2392" s="17"/>
      <c r="H2392" s="17"/>
      <c r="I2392" s="17"/>
      <c r="J2392" s="17"/>
      <c r="K2392" s="17"/>
      <c r="L2392" s="17"/>
      <c r="M2392" s="34" t="s">
        <v>103</v>
      </c>
      <c r="N2392" s="17"/>
      <c r="O2392" s="17"/>
      <c r="P2392" s="17"/>
      <c r="Q2392" s="17"/>
      <c r="R2392" s="17"/>
      <c r="S2392" s="17"/>
      <c r="T2392" s="17"/>
      <c r="U2392" s="17"/>
      <c r="V2392" s="17"/>
      <c r="W2392" s="17"/>
      <c r="X2392" s="17"/>
      <c r="Y2392" s="17"/>
      <c r="Z2392" s="17"/>
      <c r="AA2392" s="17"/>
      <c r="AB2392" s="17"/>
      <c r="AC2392" s="17"/>
      <c r="AD2392" s="17"/>
      <c r="AE2392" s="17"/>
      <c r="AF2392" s="17"/>
      <c r="AG2392" s="17"/>
      <c r="AH2392" s="17"/>
      <c r="AI2392" s="17"/>
      <c r="AJ2392" s="17"/>
      <c r="AK2392" s="17"/>
      <c r="AL2392" s="17"/>
      <c r="AM2392" s="17"/>
      <c r="AN2392" s="17"/>
      <c r="AO2392" s="17"/>
      <c r="AP2392" s="17"/>
      <c r="AQ2392" s="17"/>
      <c r="AR2392" s="17"/>
      <c r="AS2392" s="17"/>
      <c r="AT2392" s="17"/>
      <c r="AU2392" s="17"/>
    </row>
    <row r="2393" hidden="1">
      <c r="A2393" s="17">
        <v>2391</v>
      </c>
      <c r="B2393" s="17" t="s">
        <v>52</v>
      </c>
      <c r="C2393" s="34" t="s">
        <v>6917</v>
      </c>
      <c r="D2393" s="35" t="s">
        <v>6576</v>
      </c>
      <c r="E2393" s="17"/>
      <c r="F2393" s="17"/>
      <c r="G2393" s="17"/>
      <c r="H2393" s="17"/>
      <c r="I2393" s="17"/>
      <c r="J2393" s="17"/>
      <c r="K2393" s="17"/>
      <c r="L2393" s="17"/>
      <c r="M2393" s="34" t="s">
        <v>103</v>
      </c>
      <c r="N2393" s="17"/>
      <c r="O2393" s="17"/>
      <c r="P2393" s="17"/>
      <c r="Q2393" s="17"/>
      <c r="R2393" s="17"/>
      <c r="S2393" s="17"/>
      <c r="T2393" s="17"/>
      <c r="U2393" s="17"/>
      <c r="V2393" s="17"/>
      <c r="W2393" s="17"/>
      <c r="X2393" s="17"/>
      <c r="Y2393" s="17"/>
      <c r="Z2393" s="17"/>
      <c r="AA2393" s="17"/>
      <c r="AB2393" s="17"/>
      <c r="AC2393" s="17"/>
      <c r="AD2393" s="17"/>
      <c r="AE2393" s="17"/>
      <c r="AF2393" s="17"/>
      <c r="AG2393" s="17"/>
      <c r="AH2393" s="17"/>
      <c r="AI2393" s="17"/>
      <c r="AJ2393" s="17"/>
      <c r="AK2393" s="17"/>
      <c r="AL2393" s="17"/>
      <c r="AM2393" s="17"/>
      <c r="AN2393" s="17"/>
      <c r="AO2393" s="17"/>
      <c r="AP2393" s="17"/>
      <c r="AQ2393" s="17"/>
      <c r="AR2393" s="17"/>
      <c r="AS2393" s="17"/>
      <c r="AT2393" s="17"/>
      <c r="AU2393" s="17"/>
    </row>
    <row r="2394" hidden="1">
      <c r="A2394" s="17">
        <v>2392</v>
      </c>
      <c r="B2394" s="17" t="s">
        <v>52</v>
      </c>
      <c r="C2394" s="34" t="s">
        <v>6918</v>
      </c>
      <c r="D2394" s="35" t="s">
        <v>6576</v>
      </c>
      <c r="E2394" s="17"/>
      <c r="F2394" s="17"/>
      <c r="G2394" s="17"/>
      <c r="H2394" s="17"/>
      <c r="I2394" s="17"/>
      <c r="J2394" s="17"/>
      <c r="K2394" s="17"/>
      <c r="L2394" s="17"/>
      <c r="M2394" s="34" t="s">
        <v>103</v>
      </c>
      <c r="N2394" s="17"/>
      <c r="O2394" s="17"/>
      <c r="P2394" s="17"/>
      <c r="Q2394" s="17"/>
      <c r="R2394" s="17"/>
      <c r="S2394" s="17"/>
      <c r="T2394" s="17"/>
      <c r="U2394" s="17"/>
      <c r="V2394" s="17"/>
      <c r="W2394" s="17"/>
      <c r="X2394" s="17"/>
      <c r="Y2394" s="17"/>
      <c r="Z2394" s="17"/>
      <c r="AA2394" s="17"/>
      <c r="AB2394" s="17"/>
      <c r="AC2394" s="17"/>
      <c r="AD2394" s="17"/>
      <c r="AE2394" s="17"/>
      <c r="AF2394" s="17"/>
      <c r="AG2394" s="17"/>
      <c r="AH2394" s="17"/>
      <c r="AI2394" s="17"/>
      <c r="AJ2394" s="17"/>
      <c r="AK2394" s="17"/>
      <c r="AL2394" s="17"/>
      <c r="AM2394" s="17"/>
      <c r="AN2394" s="17"/>
      <c r="AO2394" s="17"/>
      <c r="AP2394" s="17"/>
      <c r="AQ2394" s="17"/>
      <c r="AR2394" s="17"/>
      <c r="AS2394" s="17"/>
      <c r="AT2394" s="17"/>
      <c r="AU2394" s="17"/>
    </row>
    <row r="2395" hidden="1">
      <c r="A2395" s="17">
        <v>2393</v>
      </c>
      <c r="B2395" s="17" t="s">
        <v>52</v>
      </c>
      <c r="C2395" s="34" t="s">
        <v>6919</v>
      </c>
      <c r="D2395" s="35" t="s">
        <v>6576</v>
      </c>
      <c r="E2395" s="17"/>
      <c r="F2395" s="17"/>
      <c r="G2395" s="17"/>
      <c r="H2395" s="17"/>
      <c r="I2395" s="17"/>
      <c r="J2395" s="17"/>
      <c r="K2395" s="17"/>
      <c r="L2395" s="17"/>
      <c r="M2395" s="34" t="s">
        <v>103</v>
      </c>
      <c r="N2395" s="17"/>
      <c r="O2395" s="17"/>
      <c r="P2395" s="17"/>
      <c r="Q2395" s="17"/>
      <c r="R2395" s="17"/>
      <c r="S2395" s="17"/>
      <c r="T2395" s="17"/>
      <c r="U2395" s="17"/>
      <c r="V2395" s="17"/>
      <c r="W2395" s="17"/>
      <c r="X2395" s="17"/>
      <c r="Y2395" s="17"/>
      <c r="Z2395" s="17"/>
      <c r="AA2395" s="17"/>
      <c r="AB2395" s="17"/>
      <c r="AC2395" s="17"/>
      <c r="AD2395" s="17"/>
      <c r="AE2395" s="17"/>
      <c r="AF2395" s="17"/>
      <c r="AG2395" s="17"/>
      <c r="AH2395" s="17"/>
      <c r="AI2395" s="17"/>
      <c r="AJ2395" s="17"/>
      <c r="AK2395" s="17"/>
      <c r="AL2395" s="17"/>
      <c r="AM2395" s="17"/>
      <c r="AN2395" s="17"/>
      <c r="AO2395" s="17"/>
      <c r="AP2395" s="17"/>
      <c r="AQ2395" s="17"/>
      <c r="AR2395" s="17"/>
      <c r="AS2395" s="17"/>
      <c r="AT2395" s="17"/>
      <c r="AU2395" s="17"/>
    </row>
    <row r="2396" hidden="1">
      <c r="A2396" s="17">
        <v>2394</v>
      </c>
      <c r="B2396" s="17" t="s">
        <v>52</v>
      </c>
      <c r="C2396" s="34" t="s">
        <v>6920</v>
      </c>
      <c r="D2396" s="35" t="s">
        <v>6576</v>
      </c>
      <c r="E2396" s="17"/>
      <c r="F2396" s="17"/>
      <c r="G2396" s="17"/>
      <c r="H2396" s="17"/>
      <c r="I2396" s="17"/>
      <c r="J2396" s="17"/>
      <c r="K2396" s="17"/>
      <c r="L2396" s="17"/>
      <c r="M2396" s="34" t="s">
        <v>103</v>
      </c>
      <c r="N2396" s="17"/>
      <c r="O2396" s="17"/>
      <c r="P2396" s="17"/>
      <c r="Q2396" s="17"/>
      <c r="R2396" s="17"/>
      <c r="S2396" s="17"/>
      <c r="T2396" s="17"/>
      <c r="U2396" s="17"/>
      <c r="V2396" s="17"/>
      <c r="W2396" s="17"/>
      <c r="X2396" s="17"/>
      <c r="Y2396" s="17"/>
      <c r="Z2396" s="17"/>
      <c r="AA2396" s="17"/>
      <c r="AB2396" s="17"/>
      <c r="AC2396" s="17"/>
      <c r="AD2396" s="17"/>
      <c r="AE2396" s="17"/>
      <c r="AF2396" s="17"/>
      <c r="AG2396" s="17"/>
      <c r="AH2396" s="17"/>
      <c r="AI2396" s="17"/>
      <c r="AJ2396" s="17"/>
      <c r="AK2396" s="17"/>
      <c r="AL2396" s="17"/>
      <c r="AM2396" s="17"/>
      <c r="AN2396" s="17"/>
      <c r="AO2396" s="17"/>
      <c r="AP2396" s="17"/>
      <c r="AQ2396" s="17"/>
      <c r="AR2396" s="17"/>
      <c r="AS2396" s="17"/>
      <c r="AT2396" s="17"/>
      <c r="AU2396" s="17"/>
    </row>
    <row r="2397" hidden="1">
      <c r="A2397" s="17">
        <v>2395</v>
      </c>
      <c r="B2397" s="17" t="s">
        <v>52</v>
      </c>
      <c r="C2397" s="34" t="s">
        <v>6921</v>
      </c>
      <c r="D2397" s="35" t="s">
        <v>6576</v>
      </c>
      <c r="E2397" s="17"/>
      <c r="F2397" s="17"/>
      <c r="G2397" s="17"/>
      <c r="H2397" s="17"/>
      <c r="I2397" s="17"/>
      <c r="J2397" s="17"/>
      <c r="K2397" s="17"/>
      <c r="L2397" s="17"/>
      <c r="M2397" s="34" t="s">
        <v>103</v>
      </c>
      <c r="N2397" s="17"/>
      <c r="O2397" s="17"/>
      <c r="P2397" s="17"/>
      <c r="Q2397" s="17"/>
      <c r="R2397" s="17"/>
      <c r="S2397" s="17"/>
      <c r="T2397" s="17"/>
      <c r="U2397" s="17"/>
      <c r="V2397" s="17"/>
      <c r="W2397" s="17"/>
      <c r="X2397" s="17"/>
      <c r="Y2397" s="17"/>
      <c r="Z2397" s="17"/>
      <c r="AA2397" s="17"/>
      <c r="AB2397" s="17"/>
      <c r="AC2397" s="17"/>
      <c r="AD2397" s="17"/>
      <c r="AE2397" s="17"/>
      <c r="AF2397" s="17"/>
      <c r="AG2397" s="17"/>
      <c r="AH2397" s="17"/>
      <c r="AI2397" s="17"/>
      <c r="AJ2397" s="17"/>
      <c r="AK2397" s="17"/>
      <c r="AL2397" s="17"/>
      <c r="AM2397" s="17"/>
      <c r="AN2397" s="17"/>
      <c r="AO2397" s="17"/>
      <c r="AP2397" s="17"/>
      <c r="AQ2397" s="17"/>
      <c r="AR2397" s="17"/>
      <c r="AS2397" s="17"/>
      <c r="AT2397" s="17"/>
      <c r="AU2397" s="17"/>
    </row>
    <row r="2398" hidden="1">
      <c r="A2398" s="17">
        <v>2396</v>
      </c>
      <c r="B2398" s="17" t="s">
        <v>52</v>
      </c>
      <c r="C2398" s="34" t="s">
        <v>6922</v>
      </c>
      <c r="D2398" s="35" t="s">
        <v>6576</v>
      </c>
      <c r="E2398" s="17"/>
      <c r="F2398" s="17"/>
      <c r="G2398" s="17"/>
      <c r="H2398" s="17"/>
      <c r="I2398" s="17"/>
      <c r="J2398" s="17"/>
      <c r="K2398" s="17"/>
      <c r="L2398" s="17"/>
      <c r="M2398" s="34" t="s">
        <v>103</v>
      </c>
      <c r="N2398" s="17"/>
      <c r="O2398" s="17"/>
      <c r="P2398" s="17"/>
      <c r="Q2398" s="17"/>
      <c r="R2398" s="17"/>
      <c r="S2398" s="17"/>
      <c r="T2398" s="17"/>
      <c r="U2398" s="17"/>
      <c r="V2398" s="17"/>
      <c r="W2398" s="17"/>
      <c r="X2398" s="17"/>
      <c r="Y2398" s="17"/>
      <c r="Z2398" s="17"/>
      <c r="AA2398" s="17"/>
      <c r="AB2398" s="17"/>
      <c r="AC2398" s="17"/>
      <c r="AD2398" s="17"/>
      <c r="AE2398" s="17"/>
      <c r="AF2398" s="17"/>
      <c r="AG2398" s="17"/>
      <c r="AH2398" s="17"/>
      <c r="AI2398" s="17"/>
      <c r="AJ2398" s="17"/>
      <c r="AK2398" s="17"/>
      <c r="AL2398" s="17"/>
      <c r="AM2398" s="17"/>
      <c r="AN2398" s="17"/>
      <c r="AO2398" s="17"/>
      <c r="AP2398" s="17"/>
      <c r="AQ2398" s="17"/>
      <c r="AR2398" s="17"/>
      <c r="AS2398" s="17"/>
      <c r="AT2398" s="17"/>
      <c r="AU2398" s="17"/>
    </row>
    <row r="2399" hidden="1">
      <c r="A2399" s="17">
        <v>2397</v>
      </c>
      <c r="B2399" s="17" t="s">
        <v>52</v>
      </c>
      <c r="C2399" s="34" t="s">
        <v>6923</v>
      </c>
      <c r="D2399" s="35" t="s">
        <v>6576</v>
      </c>
      <c r="E2399" s="17"/>
      <c r="F2399" s="17"/>
      <c r="G2399" s="17"/>
      <c r="H2399" s="17"/>
      <c r="I2399" s="17"/>
      <c r="J2399" s="17"/>
      <c r="K2399" s="17"/>
      <c r="L2399" s="17"/>
      <c r="M2399" s="34" t="s">
        <v>103</v>
      </c>
      <c r="N2399" s="17"/>
      <c r="O2399" s="17"/>
      <c r="P2399" s="17"/>
      <c r="Q2399" s="17"/>
      <c r="R2399" s="17"/>
      <c r="S2399" s="17"/>
      <c r="T2399" s="17"/>
      <c r="U2399" s="17"/>
      <c r="V2399" s="17"/>
      <c r="W2399" s="17"/>
      <c r="X2399" s="17"/>
      <c r="Y2399" s="17"/>
      <c r="Z2399" s="17"/>
      <c r="AA2399" s="17"/>
      <c r="AB2399" s="17"/>
      <c r="AC2399" s="17"/>
      <c r="AD2399" s="17"/>
      <c r="AE2399" s="17"/>
      <c r="AF2399" s="17"/>
      <c r="AG2399" s="17"/>
      <c r="AH2399" s="17"/>
      <c r="AI2399" s="17"/>
      <c r="AJ2399" s="17"/>
      <c r="AK2399" s="17"/>
      <c r="AL2399" s="17"/>
      <c r="AM2399" s="17"/>
      <c r="AN2399" s="17"/>
      <c r="AO2399" s="17"/>
      <c r="AP2399" s="17"/>
      <c r="AQ2399" s="17"/>
      <c r="AR2399" s="17"/>
      <c r="AS2399" s="17"/>
      <c r="AT2399" s="17"/>
      <c r="AU2399" s="17"/>
    </row>
    <row r="2400" hidden="1">
      <c r="A2400" s="17">
        <v>2398</v>
      </c>
      <c r="B2400" s="17" t="s">
        <v>52</v>
      </c>
      <c r="C2400" s="34" t="s">
        <v>6924</v>
      </c>
      <c r="D2400" s="35" t="s">
        <v>6576</v>
      </c>
      <c r="E2400" s="17"/>
      <c r="F2400" s="17"/>
      <c r="G2400" s="17"/>
      <c r="H2400" s="17"/>
      <c r="I2400" s="17"/>
      <c r="J2400" s="17"/>
      <c r="K2400" s="17"/>
      <c r="L2400" s="17"/>
      <c r="M2400" s="34" t="s">
        <v>103</v>
      </c>
      <c r="N2400" s="17"/>
      <c r="O2400" s="17"/>
      <c r="P2400" s="17"/>
      <c r="Q2400" s="17"/>
      <c r="R2400" s="17"/>
      <c r="S2400" s="17"/>
      <c r="T2400" s="17"/>
      <c r="U2400" s="17"/>
      <c r="V2400" s="17"/>
      <c r="W2400" s="17"/>
      <c r="X2400" s="17"/>
      <c r="Y2400" s="17"/>
      <c r="Z2400" s="17"/>
      <c r="AA2400" s="17"/>
      <c r="AB2400" s="17"/>
      <c r="AC2400" s="17"/>
      <c r="AD2400" s="17"/>
      <c r="AE2400" s="17"/>
      <c r="AF2400" s="17"/>
      <c r="AG2400" s="17"/>
      <c r="AH2400" s="17"/>
      <c r="AI2400" s="17"/>
      <c r="AJ2400" s="17"/>
      <c r="AK2400" s="17"/>
      <c r="AL2400" s="17"/>
      <c r="AM2400" s="17"/>
      <c r="AN2400" s="17"/>
      <c r="AO2400" s="17"/>
      <c r="AP2400" s="17"/>
      <c r="AQ2400" s="17"/>
      <c r="AR2400" s="17"/>
      <c r="AS2400" s="17"/>
      <c r="AT2400" s="17"/>
      <c r="AU2400" s="17"/>
    </row>
    <row r="2401" hidden="1">
      <c r="A2401" s="17">
        <v>2399</v>
      </c>
      <c r="B2401" s="17" t="s">
        <v>52</v>
      </c>
      <c r="C2401" s="34" t="s">
        <v>6925</v>
      </c>
      <c r="D2401" s="35" t="s">
        <v>6576</v>
      </c>
      <c r="E2401" s="17"/>
      <c r="F2401" s="17"/>
      <c r="G2401" s="17"/>
      <c r="H2401" s="17"/>
      <c r="I2401" s="17"/>
      <c r="J2401" s="17"/>
      <c r="K2401" s="17"/>
      <c r="L2401" s="17"/>
      <c r="M2401" s="34" t="s">
        <v>103</v>
      </c>
      <c r="N2401" s="17">
        <v>7003286846</v>
      </c>
      <c r="O2401" s="17"/>
      <c r="P2401" s="17"/>
      <c r="Q2401" s="17"/>
      <c r="R2401" s="17"/>
      <c r="S2401" s="17"/>
      <c r="T2401" s="17"/>
      <c r="U2401" s="17"/>
      <c r="V2401" s="17"/>
      <c r="W2401" s="17"/>
      <c r="X2401" s="17"/>
      <c r="Y2401" s="17"/>
      <c r="Z2401" s="17"/>
      <c r="AA2401" s="17"/>
      <c r="AB2401" s="17"/>
      <c r="AC2401" s="17"/>
      <c r="AD2401" s="17"/>
      <c r="AE2401" s="17"/>
      <c r="AF2401" s="17"/>
      <c r="AG2401" s="17"/>
      <c r="AH2401" s="17"/>
      <c r="AI2401" s="17"/>
      <c r="AJ2401" s="17"/>
      <c r="AK2401" s="17"/>
      <c r="AL2401" s="17"/>
      <c r="AM2401" s="17"/>
      <c r="AN2401" s="17"/>
      <c r="AO2401" s="17"/>
      <c r="AP2401" s="17"/>
      <c r="AQ2401" s="17"/>
      <c r="AR2401" s="17"/>
      <c r="AS2401" s="17"/>
      <c r="AT2401" s="17"/>
      <c r="AU2401" s="17"/>
    </row>
    <row r="2402" hidden="1">
      <c r="A2402" s="17">
        <v>2400</v>
      </c>
      <c r="B2402" s="17" t="s">
        <v>52</v>
      </c>
      <c r="C2402" s="34" t="s">
        <v>6926</v>
      </c>
      <c r="D2402" s="35" t="s">
        <v>6576</v>
      </c>
      <c r="E2402" s="17"/>
      <c r="F2402" s="17"/>
      <c r="G2402" s="17"/>
      <c r="H2402" s="17"/>
      <c r="I2402" s="17"/>
      <c r="J2402" s="17"/>
      <c r="K2402" s="17"/>
      <c r="L2402" s="17"/>
      <c r="M2402" s="34" t="s">
        <v>103</v>
      </c>
      <c r="N2402" s="17">
        <v>7003286846</v>
      </c>
      <c r="O2402" s="17"/>
      <c r="P2402" s="17"/>
      <c r="Q2402" s="17"/>
      <c r="R2402" s="17"/>
      <c r="S2402" s="17"/>
      <c r="T2402" s="17"/>
      <c r="U2402" s="17"/>
      <c r="V2402" s="17"/>
      <c r="W2402" s="17"/>
      <c r="X2402" s="17"/>
      <c r="Y2402" s="17"/>
      <c r="Z2402" s="17"/>
      <c r="AA2402" s="17"/>
      <c r="AB2402" s="17"/>
      <c r="AC2402" s="17"/>
      <c r="AD2402" s="17"/>
      <c r="AE2402" s="17"/>
      <c r="AF2402" s="17"/>
      <c r="AG2402" s="17"/>
      <c r="AH2402" s="17"/>
      <c r="AI2402" s="17"/>
      <c r="AJ2402" s="17"/>
      <c r="AK2402" s="17"/>
      <c r="AL2402" s="17"/>
      <c r="AM2402" s="17"/>
      <c r="AN2402" s="17"/>
      <c r="AO2402" s="17"/>
      <c r="AP2402" s="17"/>
      <c r="AQ2402" s="17"/>
      <c r="AR2402" s="17"/>
      <c r="AS2402" s="17"/>
      <c r="AT2402" s="17"/>
      <c r="AU2402" s="17"/>
    </row>
    <row r="2403" hidden="1">
      <c r="A2403" s="17">
        <v>2401</v>
      </c>
      <c r="B2403" s="17" t="s">
        <v>52</v>
      </c>
      <c r="C2403" s="34" t="s">
        <v>6927</v>
      </c>
      <c r="D2403" s="35" t="s">
        <v>6576</v>
      </c>
      <c r="E2403" s="17" t="s">
        <v>6928</v>
      </c>
      <c r="F2403" s="17" t="s">
        <v>6929</v>
      </c>
      <c r="G2403" s="17">
        <v>21.987912999999999</v>
      </c>
      <c r="H2403" s="17">
        <v>87.771525999999994</v>
      </c>
      <c r="I2403" s="17"/>
      <c r="J2403" s="17"/>
      <c r="K2403" s="17"/>
      <c r="L2403" s="17"/>
      <c r="M2403" s="34" t="s">
        <v>103</v>
      </c>
      <c r="N2403" s="17">
        <v>7003286846</v>
      </c>
      <c r="O2403" s="17"/>
      <c r="P2403" s="17"/>
      <c r="Q2403" s="17"/>
      <c r="R2403" s="17"/>
      <c r="S2403" s="17"/>
      <c r="T2403" s="17"/>
      <c r="U2403" s="17"/>
      <c r="V2403" s="17"/>
      <c r="W2403" s="17"/>
      <c r="X2403" s="17"/>
      <c r="Y2403" s="17"/>
      <c r="Z2403" s="17"/>
      <c r="AA2403" s="17"/>
      <c r="AB2403" s="17"/>
      <c r="AC2403" s="17"/>
      <c r="AD2403" s="17"/>
      <c r="AE2403" s="17"/>
      <c r="AF2403" s="17"/>
      <c r="AG2403" s="17"/>
      <c r="AH2403" s="17"/>
      <c r="AI2403" s="17"/>
      <c r="AJ2403" s="17"/>
      <c r="AK2403" s="17"/>
      <c r="AL2403" s="17"/>
      <c r="AM2403" s="17"/>
      <c r="AN2403" s="17"/>
      <c r="AO2403" s="17"/>
      <c r="AP2403" s="17"/>
      <c r="AQ2403" s="17"/>
      <c r="AR2403" s="17"/>
      <c r="AS2403" s="17"/>
      <c r="AT2403" s="17"/>
      <c r="AU2403" s="17"/>
    </row>
    <row r="2404" hidden="1">
      <c r="A2404" s="17">
        <v>2402</v>
      </c>
      <c r="B2404" s="17" t="s">
        <v>52</v>
      </c>
      <c r="C2404" s="34" t="s">
        <v>6930</v>
      </c>
      <c r="D2404" s="35" t="s">
        <v>6576</v>
      </c>
      <c r="E2404" s="17"/>
      <c r="F2404" s="17"/>
      <c r="G2404" s="17"/>
      <c r="H2404" s="17"/>
      <c r="I2404" s="17"/>
      <c r="J2404" s="17"/>
      <c r="K2404" s="17"/>
      <c r="L2404" s="17"/>
      <c r="M2404" s="34" t="s">
        <v>103</v>
      </c>
      <c r="N2404" s="17">
        <v>7003286846</v>
      </c>
      <c r="O2404" s="17"/>
      <c r="P2404" s="17"/>
      <c r="Q2404" s="17"/>
      <c r="R2404" s="17"/>
      <c r="S2404" s="17"/>
      <c r="T2404" s="17"/>
      <c r="U2404" s="17"/>
      <c r="V2404" s="17"/>
      <c r="W2404" s="17"/>
      <c r="X2404" s="17"/>
      <c r="Y2404" s="17"/>
      <c r="Z2404" s="17"/>
      <c r="AA2404" s="17"/>
      <c r="AB2404" s="17"/>
      <c r="AC2404" s="17"/>
      <c r="AD2404" s="17"/>
      <c r="AE2404" s="17"/>
      <c r="AF2404" s="17"/>
      <c r="AG2404" s="17"/>
      <c r="AH2404" s="17"/>
      <c r="AI2404" s="17"/>
      <c r="AJ2404" s="17"/>
      <c r="AK2404" s="17"/>
      <c r="AL2404" s="17"/>
      <c r="AM2404" s="17"/>
      <c r="AN2404" s="17"/>
      <c r="AO2404" s="17"/>
      <c r="AP2404" s="17"/>
      <c r="AQ2404" s="17"/>
      <c r="AR2404" s="17"/>
      <c r="AS2404" s="17"/>
      <c r="AT2404" s="17"/>
      <c r="AU2404" s="17"/>
    </row>
    <row r="2405" hidden="1">
      <c r="A2405" s="17">
        <v>2403</v>
      </c>
      <c r="B2405" s="17" t="s">
        <v>52</v>
      </c>
      <c r="C2405" s="34" t="s">
        <v>6931</v>
      </c>
      <c r="D2405" s="35" t="s">
        <v>6576</v>
      </c>
      <c r="E2405" s="17" t="s">
        <v>6932</v>
      </c>
      <c r="F2405" s="17" t="s">
        <v>6933</v>
      </c>
      <c r="G2405" s="17">
        <v>22.015661999999999</v>
      </c>
      <c r="H2405" s="17">
        <v>87.731447000000003</v>
      </c>
      <c r="I2405" s="17"/>
      <c r="J2405" s="17"/>
      <c r="K2405" s="17"/>
      <c r="L2405" s="17"/>
      <c r="M2405" s="34" t="s">
        <v>103</v>
      </c>
      <c r="N2405" s="17">
        <v>7003286846</v>
      </c>
      <c r="O2405" s="17"/>
      <c r="P2405" s="17"/>
      <c r="Q2405" s="17"/>
      <c r="R2405" s="17"/>
      <c r="S2405" s="17"/>
      <c r="T2405" s="17"/>
      <c r="U2405" s="17"/>
      <c r="V2405" s="17"/>
      <c r="W2405" s="17"/>
      <c r="X2405" s="17"/>
      <c r="Y2405" s="17"/>
      <c r="Z2405" s="17"/>
      <c r="AA2405" s="17"/>
      <c r="AB2405" s="17"/>
      <c r="AC2405" s="17"/>
      <c r="AD2405" s="17"/>
      <c r="AE2405" s="17"/>
      <c r="AF2405" s="17"/>
      <c r="AG2405" s="17"/>
      <c r="AH2405" s="17"/>
      <c r="AI2405" s="17"/>
      <c r="AJ2405" s="17"/>
      <c r="AK2405" s="17"/>
      <c r="AL2405" s="17"/>
      <c r="AM2405" s="17"/>
      <c r="AN2405" s="17"/>
      <c r="AO2405" s="17"/>
      <c r="AP2405" s="17"/>
      <c r="AQ2405" s="17"/>
      <c r="AR2405" s="17"/>
      <c r="AS2405" s="17"/>
      <c r="AT2405" s="17"/>
      <c r="AU2405" s="17"/>
    </row>
    <row r="2406" hidden="1">
      <c r="A2406" s="17">
        <v>2404</v>
      </c>
      <c r="B2406" s="17" t="s">
        <v>52</v>
      </c>
      <c r="C2406" s="34" t="s">
        <v>6934</v>
      </c>
      <c r="D2406" s="35" t="s">
        <v>6576</v>
      </c>
      <c r="E2406" s="17" t="s">
        <v>6935</v>
      </c>
      <c r="F2406" s="17" t="s">
        <v>6936</v>
      </c>
      <c r="G2406" s="17">
        <v>22.064305000000001</v>
      </c>
      <c r="H2406" s="17">
        <v>87.746330999999998</v>
      </c>
      <c r="I2406" s="17"/>
      <c r="J2406" s="17"/>
      <c r="K2406" s="17"/>
      <c r="L2406" s="17"/>
      <c r="M2406" s="34" t="s">
        <v>103</v>
      </c>
      <c r="N2406" s="17">
        <v>7003286846</v>
      </c>
      <c r="O2406" s="17"/>
      <c r="P2406" s="17"/>
      <c r="Q2406" s="17"/>
      <c r="R2406" s="17"/>
      <c r="S2406" s="17"/>
      <c r="T2406" s="17"/>
      <c r="U2406" s="17"/>
      <c r="V2406" s="17"/>
      <c r="W2406" s="17"/>
      <c r="X2406" s="17"/>
      <c r="Y2406" s="17"/>
      <c r="Z2406" s="17"/>
      <c r="AA2406" s="17"/>
      <c r="AB2406" s="17"/>
      <c r="AC2406" s="17"/>
      <c r="AD2406" s="17"/>
      <c r="AE2406" s="17"/>
      <c r="AF2406" s="17"/>
      <c r="AG2406" s="17"/>
      <c r="AH2406" s="17"/>
      <c r="AI2406" s="17"/>
      <c r="AJ2406" s="17"/>
      <c r="AK2406" s="17"/>
      <c r="AL2406" s="17"/>
      <c r="AM2406" s="17"/>
      <c r="AN2406" s="17"/>
      <c r="AO2406" s="17"/>
      <c r="AP2406" s="17"/>
      <c r="AQ2406" s="17"/>
      <c r="AR2406" s="17"/>
      <c r="AS2406" s="17"/>
      <c r="AT2406" s="17"/>
      <c r="AU2406" s="17"/>
    </row>
    <row r="2407" hidden="1">
      <c r="A2407" s="17">
        <v>2405</v>
      </c>
      <c r="B2407" s="17" t="s">
        <v>52</v>
      </c>
      <c r="C2407" s="34" t="s">
        <v>6937</v>
      </c>
      <c r="D2407" s="35" t="s">
        <v>6576</v>
      </c>
      <c r="E2407" s="17" t="s">
        <v>6938</v>
      </c>
      <c r="F2407" s="17" t="s">
        <v>6939</v>
      </c>
      <c r="G2407" s="17">
        <v>21.983868000000001</v>
      </c>
      <c r="H2407" s="17">
        <v>87.743495999999993</v>
      </c>
      <c r="I2407" s="17"/>
      <c r="J2407" s="17"/>
      <c r="K2407" s="17"/>
      <c r="L2407" s="17"/>
      <c r="M2407" s="34" t="s">
        <v>103</v>
      </c>
      <c r="N2407" s="17">
        <v>7003286846</v>
      </c>
      <c r="O2407" s="17"/>
      <c r="P2407" s="17"/>
      <c r="Q2407" s="17"/>
      <c r="R2407" s="17"/>
      <c r="S2407" s="17"/>
      <c r="T2407" s="17"/>
      <c r="U2407" s="17"/>
      <c r="V2407" s="17"/>
      <c r="W2407" s="17"/>
      <c r="X2407" s="17"/>
      <c r="Y2407" s="17"/>
      <c r="Z2407" s="17"/>
      <c r="AA2407" s="17"/>
      <c r="AB2407" s="17"/>
      <c r="AC2407" s="17"/>
      <c r="AD2407" s="17"/>
      <c r="AE2407" s="17"/>
      <c r="AF2407" s="17"/>
      <c r="AG2407" s="17"/>
      <c r="AH2407" s="17"/>
      <c r="AI2407" s="17"/>
      <c r="AJ2407" s="17"/>
      <c r="AK2407" s="17"/>
      <c r="AL2407" s="17"/>
      <c r="AM2407" s="17"/>
      <c r="AN2407" s="17"/>
      <c r="AO2407" s="17"/>
      <c r="AP2407" s="17"/>
      <c r="AQ2407" s="17"/>
      <c r="AR2407" s="17"/>
      <c r="AS2407" s="17"/>
      <c r="AT2407" s="17"/>
      <c r="AU2407" s="17"/>
    </row>
    <row r="2408" hidden="1">
      <c r="A2408" s="17">
        <v>2406</v>
      </c>
      <c r="B2408" s="17" t="s">
        <v>52</v>
      </c>
      <c r="C2408" s="34" t="s">
        <v>6940</v>
      </c>
      <c r="D2408" s="35" t="s">
        <v>6576</v>
      </c>
      <c r="E2408" s="17" t="s">
        <v>6941</v>
      </c>
      <c r="F2408" s="17" t="s">
        <v>6942</v>
      </c>
      <c r="G2408" s="17">
        <v>21.995660000000001</v>
      </c>
      <c r="H2408" s="17">
        <v>87.734881999999999</v>
      </c>
      <c r="I2408" s="17"/>
      <c r="J2408" s="17"/>
      <c r="K2408" s="17"/>
      <c r="L2408" s="17"/>
      <c r="M2408" s="34" t="s">
        <v>103</v>
      </c>
      <c r="N2408" s="17">
        <v>7003286846</v>
      </c>
      <c r="O2408" s="17"/>
      <c r="P2408" s="17"/>
      <c r="Q2408" s="17"/>
      <c r="R2408" s="17"/>
      <c r="S2408" s="17"/>
      <c r="T2408" s="17"/>
      <c r="U2408" s="17"/>
      <c r="V2408" s="17"/>
      <c r="W2408" s="17"/>
      <c r="X2408" s="17"/>
      <c r="Y2408" s="17"/>
      <c r="Z2408" s="17"/>
      <c r="AA2408" s="17"/>
      <c r="AB2408" s="17"/>
      <c r="AC2408" s="17"/>
      <c r="AD2408" s="17"/>
      <c r="AE2408" s="17"/>
      <c r="AF2408" s="17"/>
      <c r="AG2408" s="17"/>
      <c r="AH2408" s="17"/>
      <c r="AI2408" s="17"/>
      <c r="AJ2408" s="17"/>
      <c r="AK2408" s="17"/>
      <c r="AL2408" s="17"/>
      <c r="AM2408" s="17"/>
      <c r="AN2408" s="17"/>
      <c r="AO2408" s="17"/>
      <c r="AP2408" s="17"/>
      <c r="AQ2408" s="17"/>
      <c r="AR2408" s="17"/>
      <c r="AS2408" s="17"/>
      <c r="AT2408" s="17"/>
      <c r="AU2408" s="17"/>
    </row>
    <row r="2409" hidden="1">
      <c r="A2409" s="17">
        <v>2407</v>
      </c>
      <c r="B2409" s="17" t="s">
        <v>52</v>
      </c>
      <c r="C2409" s="34" t="s">
        <v>6943</v>
      </c>
      <c r="D2409" s="35" t="s">
        <v>6576</v>
      </c>
      <c r="E2409" s="17" t="s">
        <v>6752</v>
      </c>
      <c r="F2409" s="17" t="s">
        <v>6944</v>
      </c>
      <c r="G2409" s="17">
        <v>21.969625000000001</v>
      </c>
      <c r="H2409" s="17">
        <v>87.773202999999995</v>
      </c>
      <c r="I2409" s="17"/>
      <c r="J2409" s="17"/>
      <c r="K2409" s="17"/>
      <c r="L2409" s="17"/>
      <c r="M2409" s="34" t="s">
        <v>103</v>
      </c>
      <c r="N2409" s="17">
        <v>7003286846</v>
      </c>
      <c r="O2409" s="17"/>
      <c r="P2409" s="17"/>
      <c r="Q2409" s="17"/>
      <c r="R2409" s="17"/>
      <c r="S2409" s="17"/>
      <c r="T2409" s="17"/>
      <c r="U2409" s="17"/>
      <c r="V2409" s="17"/>
      <c r="W2409" s="17"/>
      <c r="X2409" s="17"/>
      <c r="Y2409" s="17"/>
      <c r="Z2409" s="17"/>
      <c r="AA2409" s="17"/>
      <c r="AB2409" s="17"/>
      <c r="AC2409" s="17"/>
      <c r="AD2409" s="17"/>
      <c r="AE2409" s="17"/>
      <c r="AF2409" s="17"/>
      <c r="AG2409" s="17"/>
      <c r="AH2409" s="17"/>
      <c r="AI2409" s="17"/>
      <c r="AJ2409" s="17"/>
      <c r="AK2409" s="17"/>
      <c r="AL2409" s="17"/>
      <c r="AM2409" s="17"/>
      <c r="AN2409" s="17"/>
      <c r="AO2409" s="17"/>
      <c r="AP2409" s="17"/>
      <c r="AQ2409" s="17"/>
      <c r="AR2409" s="17"/>
      <c r="AS2409" s="17"/>
      <c r="AT2409" s="17"/>
      <c r="AU2409" s="17"/>
    </row>
    <row r="2410" hidden="1">
      <c r="A2410" s="17">
        <v>2408</v>
      </c>
      <c r="B2410" s="17" t="s">
        <v>52</v>
      </c>
      <c r="C2410" s="34" t="s">
        <v>6945</v>
      </c>
      <c r="D2410" s="35" t="s">
        <v>6576</v>
      </c>
      <c r="E2410" s="17" t="s">
        <v>6946</v>
      </c>
      <c r="F2410" s="17" t="s">
        <v>6947</v>
      </c>
      <c r="G2410" s="17">
        <v>21.975811</v>
      </c>
      <c r="H2410" s="17">
        <v>87.830905999999999</v>
      </c>
      <c r="I2410" s="17"/>
      <c r="J2410" s="17"/>
      <c r="K2410" s="17"/>
      <c r="L2410" s="17"/>
      <c r="M2410" s="34" t="s">
        <v>103</v>
      </c>
      <c r="N2410" s="17">
        <v>7003286846</v>
      </c>
      <c r="O2410" s="17"/>
      <c r="P2410" s="17"/>
      <c r="Q2410" s="17"/>
      <c r="R2410" s="17"/>
      <c r="S2410" s="17"/>
      <c r="T2410" s="17"/>
      <c r="U2410" s="17"/>
      <c r="V2410" s="17"/>
      <c r="W2410" s="17"/>
      <c r="X2410" s="17"/>
      <c r="Y2410" s="17"/>
      <c r="Z2410" s="17"/>
      <c r="AA2410" s="17"/>
      <c r="AB2410" s="17"/>
      <c r="AC2410" s="17"/>
      <c r="AD2410" s="17"/>
      <c r="AE2410" s="17"/>
      <c r="AF2410" s="17"/>
      <c r="AG2410" s="17"/>
      <c r="AH2410" s="17"/>
      <c r="AI2410" s="17"/>
      <c r="AJ2410" s="17"/>
      <c r="AK2410" s="17"/>
      <c r="AL2410" s="17"/>
      <c r="AM2410" s="17"/>
      <c r="AN2410" s="17"/>
      <c r="AO2410" s="17"/>
      <c r="AP2410" s="17"/>
      <c r="AQ2410" s="17"/>
      <c r="AR2410" s="17"/>
      <c r="AS2410" s="17"/>
      <c r="AT2410" s="17"/>
      <c r="AU2410" s="17"/>
    </row>
    <row r="2411" hidden="1">
      <c r="A2411" s="17">
        <v>2409</v>
      </c>
      <c r="B2411" s="17" t="s">
        <v>52</v>
      </c>
      <c r="C2411" s="34" t="s">
        <v>6948</v>
      </c>
      <c r="D2411" s="35" t="s">
        <v>6576</v>
      </c>
      <c r="E2411" s="17" t="s">
        <v>6949</v>
      </c>
      <c r="F2411" s="17" t="s">
        <v>6950</v>
      </c>
      <c r="G2411" s="17">
        <v>22.06447</v>
      </c>
      <c r="H2411" s="17">
        <v>87.693742999999998</v>
      </c>
      <c r="I2411" s="17"/>
      <c r="J2411" s="17"/>
      <c r="K2411" s="17"/>
      <c r="L2411" s="17"/>
      <c r="M2411" s="34" t="s">
        <v>103</v>
      </c>
      <c r="N2411" s="17">
        <v>7003286846</v>
      </c>
      <c r="O2411" s="17"/>
      <c r="P2411" s="17"/>
      <c r="Q2411" s="17"/>
      <c r="R2411" s="17"/>
      <c r="S2411" s="17"/>
      <c r="T2411" s="17"/>
      <c r="U2411" s="17"/>
      <c r="V2411" s="17"/>
      <c r="W2411" s="17"/>
      <c r="X2411" s="17"/>
      <c r="Y2411" s="17"/>
      <c r="Z2411" s="17"/>
      <c r="AA2411" s="17"/>
      <c r="AB2411" s="17"/>
      <c r="AC2411" s="17"/>
      <c r="AD2411" s="17"/>
      <c r="AE2411" s="17"/>
      <c r="AF2411" s="17"/>
      <c r="AG2411" s="17"/>
      <c r="AH2411" s="17"/>
      <c r="AI2411" s="17"/>
      <c r="AJ2411" s="17"/>
      <c r="AK2411" s="17"/>
      <c r="AL2411" s="17"/>
      <c r="AM2411" s="17"/>
      <c r="AN2411" s="17"/>
      <c r="AO2411" s="17"/>
      <c r="AP2411" s="17"/>
      <c r="AQ2411" s="17"/>
      <c r="AR2411" s="17"/>
      <c r="AS2411" s="17"/>
      <c r="AT2411" s="17"/>
      <c r="AU2411" s="17"/>
    </row>
    <row r="2412" hidden="1">
      <c r="A2412" s="17">
        <v>2410</v>
      </c>
      <c r="B2412" s="17" t="s">
        <v>52</v>
      </c>
      <c r="C2412" s="34" t="s">
        <v>6951</v>
      </c>
      <c r="D2412" s="35" t="s">
        <v>6576</v>
      </c>
      <c r="E2412" s="17" t="s">
        <v>6952</v>
      </c>
      <c r="F2412" s="17" t="s">
        <v>6953</v>
      </c>
      <c r="G2412" s="17">
        <v>22.015806999999999</v>
      </c>
      <c r="H2412" s="17">
        <v>87.686982</v>
      </c>
      <c r="I2412" s="17"/>
      <c r="J2412" s="17"/>
      <c r="K2412" s="17"/>
      <c r="L2412" s="17"/>
      <c r="M2412" s="34" t="s">
        <v>103</v>
      </c>
      <c r="N2412" s="17">
        <v>7003286846</v>
      </c>
      <c r="O2412" s="17"/>
      <c r="P2412" s="17"/>
      <c r="Q2412" s="17"/>
      <c r="R2412" s="17"/>
      <c r="S2412" s="17"/>
      <c r="T2412" s="17"/>
      <c r="U2412" s="17"/>
      <c r="V2412" s="17"/>
      <c r="W2412" s="17"/>
      <c r="X2412" s="17"/>
      <c r="Y2412" s="17"/>
      <c r="Z2412" s="17"/>
      <c r="AA2412" s="17"/>
      <c r="AB2412" s="17"/>
      <c r="AC2412" s="17"/>
      <c r="AD2412" s="17"/>
      <c r="AE2412" s="17"/>
      <c r="AF2412" s="17"/>
      <c r="AG2412" s="17"/>
      <c r="AH2412" s="17"/>
      <c r="AI2412" s="17"/>
      <c r="AJ2412" s="17"/>
      <c r="AK2412" s="17"/>
      <c r="AL2412" s="17"/>
      <c r="AM2412" s="17"/>
      <c r="AN2412" s="17"/>
      <c r="AO2412" s="17"/>
      <c r="AP2412" s="17"/>
      <c r="AQ2412" s="17"/>
      <c r="AR2412" s="17"/>
      <c r="AS2412" s="17"/>
      <c r="AT2412" s="17"/>
      <c r="AU2412" s="17"/>
    </row>
    <row r="2413" hidden="1">
      <c r="A2413" s="17">
        <v>2411</v>
      </c>
      <c r="B2413" s="17" t="s">
        <v>52</v>
      </c>
      <c r="C2413" s="34" t="s">
        <v>100</v>
      </c>
      <c r="D2413" s="35" t="s">
        <v>6576</v>
      </c>
      <c r="E2413" s="17" t="s">
        <v>101</v>
      </c>
      <c r="F2413" s="17" t="s">
        <v>102</v>
      </c>
      <c r="G2413" s="17">
        <v>21.982602</v>
      </c>
      <c r="H2413" s="17">
        <v>87.889521999999999</v>
      </c>
      <c r="I2413" s="17"/>
      <c r="J2413" s="17"/>
      <c r="K2413" s="17"/>
      <c r="L2413" s="17"/>
      <c r="M2413" s="34" t="s">
        <v>103</v>
      </c>
      <c r="N2413" s="17">
        <v>7003286846</v>
      </c>
      <c r="O2413" s="17"/>
      <c r="P2413" s="17" t="s">
        <v>6954</v>
      </c>
      <c r="Q2413" s="17"/>
      <c r="R2413" s="17"/>
      <c r="S2413" s="17"/>
      <c r="T2413" s="17"/>
      <c r="U2413" s="17"/>
      <c r="V2413" s="17"/>
      <c r="W2413" s="17"/>
      <c r="X2413" s="17"/>
      <c r="Y2413" s="17"/>
      <c r="Z2413" s="17"/>
      <c r="AA2413" s="17"/>
      <c r="AB2413" s="17"/>
      <c r="AC2413" s="17"/>
      <c r="AD2413" s="17"/>
      <c r="AE2413" s="17"/>
      <c r="AF2413" s="17"/>
      <c r="AG2413" s="17"/>
      <c r="AH2413" s="17"/>
      <c r="AI2413" s="17"/>
      <c r="AJ2413" s="17"/>
      <c r="AK2413" s="17"/>
      <c r="AL2413" s="17"/>
      <c r="AM2413" s="17"/>
      <c r="AN2413" s="17"/>
      <c r="AO2413" s="17"/>
      <c r="AP2413" s="17"/>
      <c r="AQ2413" s="17"/>
      <c r="AR2413" s="17"/>
      <c r="AS2413" s="17"/>
      <c r="AT2413" s="17"/>
      <c r="AU2413" s="17"/>
    </row>
    <row r="2414" hidden="1">
      <c r="A2414" s="17">
        <v>2412</v>
      </c>
      <c r="B2414" s="17" t="s">
        <v>52</v>
      </c>
      <c r="C2414" s="34" t="s">
        <v>6955</v>
      </c>
      <c r="D2414" s="35" t="s">
        <v>6576</v>
      </c>
      <c r="E2414" s="17" t="s">
        <v>6956</v>
      </c>
      <c r="F2414" s="17" t="s">
        <v>6957</v>
      </c>
      <c r="G2414" s="17">
        <v>21.979361999999998</v>
      </c>
      <c r="H2414" s="17">
        <v>87.786649999999995</v>
      </c>
      <c r="I2414" s="17"/>
      <c r="J2414" s="17"/>
      <c r="K2414" s="17"/>
      <c r="L2414" s="17"/>
      <c r="M2414" s="34" t="s">
        <v>103</v>
      </c>
      <c r="N2414" s="17">
        <v>7003286846</v>
      </c>
      <c r="O2414" s="17">
        <v>9</v>
      </c>
      <c r="P2414" s="17">
        <v>125</v>
      </c>
      <c r="Q2414" s="17" t="s">
        <v>73</v>
      </c>
      <c r="R2414" s="17" t="s">
        <v>74</v>
      </c>
      <c r="S2414" s="17"/>
      <c r="T2414" s="17"/>
      <c r="U2414" s="17" t="s">
        <v>160</v>
      </c>
      <c r="V2414" s="17" t="s">
        <v>77</v>
      </c>
      <c r="W2414" s="17" t="s">
        <v>454</v>
      </c>
      <c r="X2414" s="17">
        <v>4</v>
      </c>
      <c r="Y2414" s="17">
        <v>1</v>
      </c>
      <c r="Z2414" s="17"/>
      <c r="AA2414" s="17" t="s">
        <v>73</v>
      </c>
      <c r="AB2414" s="17" t="s">
        <v>79</v>
      </c>
      <c r="AC2414" s="17">
        <v>2</v>
      </c>
      <c r="AD2414" s="17">
        <v>0</v>
      </c>
      <c r="AE2414" s="17">
        <v>0</v>
      </c>
      <c r="AF2414" s="17"/>
      <c r="AG2414" s="17" t="s">
        <v>124</v>
      </c>
      <c r="AH2414" s="17" t="s">
        <v>82</v>
      </c>
      <c r="AI2414" s="17" t="s">
        <v>83</v>
      </c>
      <c r="AJ2414" s="17">
        <v>2111</v>
      </c>
      <c r="AK2414" s="17" t="s">
        <v>75</v>
      </c>
      <c r="AL2414" s="17" t="s">
        <v>75</v>
      </c>
      <c r="AM2414" s="17" t="s">
        <v>75</v>
      </c>
      <c r="AN2414" s="17" t="s">
        <v>84</v>
      </c>
      <c r="AO2414" s="17" t="s">
        <v>75</v>
      </c>
      <c r="AP2414" s="17"/>
      <c r="AQ2414" s="17"/>
      <c r="AR2414" s="17"/>
      <c r="AS2414" s="17"/>
      <c r="AT2414" s="17" t="s">
        <v>6958</v>
      </c>
      <c r="AU2414" s="17" t="s">
        <v>111</v>
      </c>
    </row>
    <row r="2415" hidden="1">
      <c r="A2415" s="17">
        <v>2413</v>
      </c>
      <c r="B2415" s="17" t="s">
        <v>52</v>
      </c>
      <c r="C2415" s="34" t="s">
        <v>6959</v>
      </c>
      <c r="D2415" s="35" t="s">
        <v>6576</v>
      </c>
      <c r="E2415" s="17"/>
      <c r="F2415" s="17"/>
      <c r="G2415" s="17"/>
      <c r="H2415" s="17"/>
      <c r="I2415" s="17"/>
      <c r="J2415" s="17"/>
      <c r="K2415" s="17"/>
      <c r="L2415" s="17"/>
      <c r="M2415" s="34" t="s">
        <v>103</v>
      </c>
      <c r="N2415" s="17"/>
      <c r="O2415" s="17"/>
      <c r="P2415" s="17"/>
      <c r="Q2415" s="17"/>
      <c r="R2415" s="17"/>
      <c r="S2415" s="17"/>
      <c r="T2415" s="17"/>
      <c r="U2415" s="17"/>
      <c r="V2415" s="17"/>
      <c r="W2415" s="17"/>
      <c r="X2415" s="17"/>
      <c r="Y2415" s="17"/>
      <c r="Z2415" s="17"/>
      <c r="AA2415" s="17"/>
      <c r="AB2415" s="17"/>
      <c r="AC2415" s="17"/>
      <c r="AD2415" s="17"/>
      <c r="AE2415" s="17"/>
      <c r="AF2415" s="17"/>
      <c r="AG2415" s="17"/>
      <c r="AH2415" s="17"/>
      <c r="AI2415" s="17"/>
      <c r="AJ2415" s="17"/>
      <c r="AK2415" s="17"/>
      <c r="AL2415" s="17"/>
      <c r="AM2415" s="17"/>
      <c r="AN2415" s="17"/>
      <c r="AO2415" s="17"/>
      <c r="AP2415" s="17"/>
      <c r="AQ2415" s="17"/>
      <c r="AR2415" s="17"/>
      <c r="AS2415" s="17"/>
      <c r="AT2415" s="17"/>
      <c r="AU2415" s="17"/>
    </row>
    <row r="2416" hidden="1">
      <c r="A2416" s="17">
        <v>2414</v>
      </c>
      <c r="B2416" s="17" t="s">
        <v>52</v>
      </c>
      <c r="C2416" s="34" t="s">
        <v>6960</v>
      </c>
      <c r="D2416" s="35" t="s">
        <v>6576</v>
      </c>
      <c r="E2416" s="17" t="s">
        <v>6961</v>
      </c>
      <c r="F2416" s="17" t="s">
        <v>6962</v>
      </c>
      <c r="G2416" s="17">
        <v>22.036559</v>
      </c>
      <c r="H2416" s="17">
        <v>87.785606000000001</v>
      </c>
      <c r="I2416" s="17"/>
      <c r="J2416" s="17"/>
      <c r="K2416" s="17"/>
      <c r="L2416" s="17"/>
      <c r="M2416" s="34" t="s">
        <v>103</v>
      </c>
      <c r="N2416" s="17">
        <v>7003286846</v>
      </c>
      <c r="O2416" s="17">
        <v>11</v>
      </c>
      <c r="P2416" s="17">
        <v>90</v>
      </c>
      <c r="Q2416" s="17" t="s">
        <v>73</v>
      </c>
      <c r="R2416" s="17" t="s">
        <v>142</v>
      </c>
      <c r="S2416" s="17"/>
      <c r="T2416" s="17"/>
      <c r="U2416" s="17" t="s">
        <v>160</v>
      </c>
      <c r="V2416" s="17" t="s">
        <v>77</v>
      </c>
      <c r="W2416" s="17" t="s">
        <v>443</v>
      </c>
      <c r="X2416" s="17">
        <v>2</v>
      </c>
      <c r="Y2416" s="17">
        <v>0</v>
      </c>
      <c r="Z2416" s="17"/>
      <c r="AA2416" s="17" t="s">
        <v>73</v>
      </c>
      <c r="AB2416" s="17" t="s">
        <v>79</v>
      </c>
      <c r="AC2416" s="17">
        <v>2</v>
      </c>
      <c r="AD2416" s="17">
        <v>0</v>
      </c>
      <c r="AE2416" s="17">
        <v>0</v>
      </c>
      <c r="AF2416" s="17"/>
      <c r="AG2416" s="17" t="s">
        <v>81</v>
      </c>
      <c r="AH2416" s="17" t="s">
        <v>82</v>
      </c>
      <c r="AI2416" s="17" t="s">
        <v>107</v>
      </c>
      <c r="AJ2416" s="17"/>
      <c r="AK2416" s="17" t="s">
        <v>75</v>
      </c>
      <c r="AL2416" s="17" t="s">
        <v>75</v>
      </c>
      <c r="AM2416" s="17" t="s">
        <v>75</v>
      </c>
      <c r="AN2416" s="17" t="s">
        <v>84</v>
      </c>
      <c r="AO2416" s="17" t="s">
        <v>75</v>
      </c>
      <c r="AP2416" s="17"/>
      <c r="AQ2416" s="17"/>
      <c r="AR2416" s="17"/>
      <c r="AS2416" s="17"/>
      <c r="AT2416" s="17" t="s">
        <v>6963</v>
      </c>
      <c r="AU2416" s="17" t="s">
        <v>111</v>
      </c>
    </row>
    <row r="2417" hidden="1">
      <c r="A2417" s="17">
        <v>2415</v>
      </c>
      <c r="B2417" s="17" t="s">
        <v>52</v>
      </c>
      <c r="C2417" s="34" t="s">
        <v>6964</v>
      </c>
      <c r="D2417" s="35" t="s">
        <v>6576</v>
      </c>
      <c r="E2417" s="17" t="s">
        <v>6965</v>
      </c>
      <c r="F2417" s="17" t="s">
        <v>6966</v>
      </c>
      <c r="G2417" s="17">
        <v>22.078472999999999</v>
      </c>
      <c r="H2417" s="17">
        <v>87.781326000000007</v>
      </c>
      <c r="I2417" s="17"/>
      <c r="J2417" s="17"/>
      <c r="K2417" s="17"/>
      <c r="L2417" s="17"/>
      <c r="M2417" s="34" t="s">
        <v>103</v>
      </c>
      <c r="N2417" s="17">
        <v>7003286846</v>
      </c>
      <c r="O2417" s="17">
        <v>12</v>
      </c>
      <c r="P2417" s="17">
        <v>80</v>
      </c>
      <c r="Q2417" s="17" t="s">
        <v>73</v>
      </c>
      <c r="R2417" s="17" t="s">
        <v>142</v>
      </c>
      <c r="S2417" s="17"/>
      <c r="T2417" s="17"/>
      <c r="U2417" s="17" t="s">
        <v>105</v>
      </c>
      <c r="V2417" s="17" t="s">
        <v>77</v>
      </c>
      <c r="W2417" s="17" t="s">
        <v>1182</v>
      </c>
      <c r="X2417" s="17">
        <v>3</v>
      </c>
      <c r="Y2417" s="17">
        <v>2</v>
      </c>
      <c r="Z2417" s="17"/>
      <c r="AA2417" s="17" t="s">
        <v>73</v>
      </c>
      <c r="AB2417" s="17" t="s">
        <v>79</v>
      </c>
      <c r="AC2417" s="17">
        <v>2</v>
      </c>
      <c r="AD2417" s="17">
        <v>0</v>
      </c>
      <c r="AE2417" s="17">
        <v>0</v>
      </c>
      <c r="AF2417" s="17"/>
      <c r="AG2417" s="17" t="s">
        <v>81</v>
      </c>
      <c r="AH2417" s="17" t="s">
        <v>82</v>
      </c>
      <c r="AI2417" s="17" t="s">
        <v>107</v>
      </c>
      <c r="AJ2417" s="17"/>
      <c r="AK2417" s="17" t="s">
        <v>137</v>
      </c>
      <c r="AL2417" s="17" t="s">
        <v>75</v>
      </c>
      <c r="AM2417" s="17" t="s">
        <v>137</v>
      </c>
      <c r="AN2417" s="17" t="s">
        <v>84</v>
      </c>
      <c r="AO2417" s="17" t="s">
        <v>75</v>
      </c>
      <c r="AP2417" s="17"/>
      <c r="AQ2417" s="17"/>
      <c r="AR2417" s="17"/>
      <c r="AS2417" s="17"/>
      <c r="AT2417" s="17" t="s">
        <v>6967</v>
      </c>
      <c r="AU2417" s="17" t="s">
        <v>127</v>
      </c>
    </row>
    <row r="2418" hidden="1">
      <c r="A2418" s="17">
        <v>2416</v>
      </c>
      <c r="B2418" s="17" t="s">
        <v>52</v>
      </c>
      <c r="C2418" s="34" t="s">
        <v>6968</v>
      </c>
      <c r="D2418" s="35" t="s">
        <v>6576</v>
      </c>
      <c r="E2418" s="17" t="s">
        <v>6969</v>
      </c>
      <c r="F2418" s="17" t="s">
        <v>6970</v>
      </c>
      <c r="G2418" s="17">
        <v>22.059699999999999</v>
      </c>
      <c r="H2418" s="17">
        <v>87.777820000000006</v>
      </c>
      <c r="I2418" s="17"/>
      <c r="J2418" s="17"/>
      <c r="K2418" s="17"/>
      <c r="L2418" s="17"/>
      <c r="M2418" s="34" t="s">
        <v>103</v>
      </c>
      <c r="N2418" s="17">
        <v>7003286846</v>
      </c>
      <c r="O2418" s="17">
        <v>14</v>
      </c>
      <c r="P2418" s="17">
        <v>55</v>
      </c>
      <c r="Q2418" s="17" t="s">
        <v>187</v>
      </c>
      <c r="R2418" s="17" t="s">
        <v>74</v>
      </c>
      <c r="S2418" s="17"/>
      <c r="T2418" s="17"/>
      <c r="U2418" s="17" t="s">
        <v>105</v>
      </c>
      <c r="V2418" s="17" t="s">
        <v>77</v>
      </c>
      <c r="W2418" s="17" t="s">
        <v>252</v>
      </c>
      <c r="X2418" s="17">
        <v>3</v>
      </c>
      <c r="Y2418" s="17">
        <v>0</v>
      </c>
      <c r="Z2418" s="17"/>
      <c r="AA2418" s="17" t="s">
        <v>187</v>
      </c>
      <c r="AB2418" s="17" t="s">
        <v>79</v>
      </c>
      <c r="AC2418" s="17">
        <v>3</v>
      </c>
      <c r="AD2418" s="17">
        <v>0</v>
      </c>
      <c r="AE2418" s="17">
        <v>0</v>
      </c>
      <c r="AF2418" s="17"/>
      <c r="AG2418" s="17" t="s">
        <v>124</v>
      </c>
      <c r="AH2418" s="17" t="s">
        <v>82</v>
      </c>
      <c r="AI2418" s="17" t="s">
        <v>83</v>
      </c>
      <c r="AJ2418" s="17">
        <v>2111</v>
      </c>
      <c r="AK2418" s="17" t="s">
        <v>75</v>
      </c>
      <c r="AL2418" s="17" t="s">
        <v>75</v>
      </c>
      <c r="AM2418" s="17" t="s">
        <v>75</v>
      </c>
      <c r="AN2418" s="17" t="s">
        <v>84</v>
      </c>
      <c r="AO2418" s="17" t="s">
        <v>75</v>
      </c>
      <c r="AP2418" s="17"/>
      <c r="AQ2418" s="17"/>
      <c r="AR2418" s="17"/>
      <c r="AS2418" s="17"/>
      <c r="AT2418" s="17" t="s">
        <v>678</v>
      </c>
      <c r="AU2418" s="17" t="s">
        <v>111</v>
      </c>
    </row>
    <row r="2419" hidden="1">
      <c r="A2419" s="17">
        <v>2417</v>
      </c>
      <c r="B2419" s="17" t="s">
        <v>52</v>
      </c>
      <c r="C2419" s="34" t="s">
        <v>6971</v>
      </c>
      <c r="D2419" s="35" t="s">
        <v>6576</v>
      </c>
      <c r="E2419" s="17" t="s">
        <v>6972</v>
      </c>
      <c r="F2419" s="17" t="s">
        <v>6973</v>
      </c>
      <c r="G2419" s="17">
        <v>21.995968999999999</v>
      </c>
      <c r="H2419" s="17">
        <v>87.805334999999999</v>
      </c>
      <c r="I2419" s="17"/>
      <c r="J2419" s="17"/>
      <c r="K2419" s="17"/>
      <c r="L2419" s="17"/>
      <c r="M2419" s="34" t="s">
        <v>103</v>
      </c>
      <c r="N2419" s="17">
        <v>7003286846</v>
      </c>
      <c r="O2419" s="17">
        <v>8</v>
      </c>
      <c r="P2419" s="17">
        <v>70</v>
      </c>
      <c r="Q2419" s="17" t="s">
        <v>73</v>
      </c>
      <c r="R2419" s="17" t="s">
        <v>1180</v>
      </c>
      <c r="S2419" s="17"/>
      <c r="T2419" s="17"/>
      <c r="U2419" s="17" t="s">
        <v>105</v>
      </c>
      <c r="V2419" s="17" t="s">
        <v>77</v>
      </c>
      <c r="W2419" s="17" t="s">
        <v>330</v>
      </c>
      <c r="X2419" s="17">
        <v>3</v>
      </c>
      <c r="Y2419" s="17">
        <v>0</v>
      </c>
      <c r="Z2419" s="17"/>
      <c r="AA2419" s="17" t="s">
        <v>73</v>
      </c>
      <c r="AB2419" s="17" t="s">
        <v>79</v>
      </c>
      <c r="AC2419" s="17">
        <v>1</v>
      </c>
      <c r="AD2419" s="17">
        <v>0</v>
      </c>
      <c r="AE2419" s="17">
        <v>0</v>
      </c>
      <c r="AF2419" s="17"/>
      <c r="AG2419" s="17" t="s">
        <v>124</v>
      </c>
      <c r="AH2419" s="17" t="s">
        <v>82</v>
      </c>
      <c r="AI2419" s="17" t="s">
        <v>83</v>
      </c>
      <c r="AJ2419" s="17">
        <v>2111</v>
      </c>
      <c r="AK2419" s="17" t="s">
        <v>75</v>
      </c>
      <c r="AL2419" s="17" t="s">
        <v>75</v>
      </c>
      <c r="AM2419" s="17" t="s">
        <v>75</v>
      </c>
      <c r="AN2419" s="17" t="s">
        <v>84</v>
      </c>
      <c r="AO2419" s="17" t="s">
        <v>109</v>
      </c>
      <c r="AP2419" s="17"/>
      <c r="AQ2419" s="17"/>
      <c r="AR2419" s="17"/>
      <c r="AS2419" s="17"/>
      <c r="AT2419" s="17" t="s">
        <v>429</v>
      </c>
      <c r="AU2419" s="17" t="s">
        <v>111</v>
      </c>
    </row>
    <row r="2420" hidden="1">
      <c r="A2420" s="17">
        <v>2418</v>
      </c>
      <c r="B2420" s="17" t="s">
        <v>52</v>
      </c>
      <c r="C2420" s="34" t="s">
        <v>6974</v>
      </c>
      <c r="D2420" s="35" t="s">
        <v>6576</v>
      </c>
      <c r="E2420" s="17" t="s">
        <v>6975</v>
      </c>
      <c r="F2420" s="17" t="s">
        <v>6976</v>
      </c>
      <c r="G2420" s="17">
        <v>22.043571</v>
      </c>
      <c r="H2420" s="17">
        <v>87.728269999999995</v>
      </c>
      <c r="I2420" s="17"/>
      <c r="J2420" s="17"/>
      <c r="K2420" s="17"/>
      <c r="L2420" s="17"/>
      <c r="M2420" s="34" t="s">
        <v>103</v>
      </c>
      <c r="N2420" s="17">
        <v>7003286846</v>
      </c>
      <c r="O2420" s="17">
        <v>10</v>
      </c>
      <c r="P2420" s="17">
        <v>80</v>
      </c>
      <c r="Q2420" s="17" t="s">
        <v>105</v>
      </c>
      <c r="R2420" s="17" t="s">
        <v>339</v>
      </c>
      <c r="S2420" s="17"/>
      <c r="T2420" s="17"/>
      <c r="U2420" s="17" t="s">
        <v>105</v>
      </c>
      <c r="V2420" s="17" t="s">
        <v>77</v>
      </c>
      <c r="W2420" s="17" t="s">
        <v>330</v>
      </c>
      <c r="X2420" s="17">
        <v>3</v>
      </c>
      <c r="Y2420" s="17">
        <v>0</v>
      </c>
      <c r="Z2420" s="17"/>
      <c r="AA2420" s="17" t="s">
        <v>105</v>
      </c>
      <c r="AB2420" s="17" t="s">
        <v>79</v>
      </c>
      <c r="AC2420" s="17">
        <v>5</v>
      </c>
      <c r="AD2420" s="17">
        <v>0</v>
      </c>
      <c r="AE2420" s="17">
        <v>0</v>
      </c>
      <c r="AF2420" s="17"/>
      <c r="AG2420" s="17" t="s">
        <v>124</v>
      </c>
      <c r="AH2420" s="17" t="s">
        <v>82</v>
      </c>
      <c r="AI2420" s="17" t="s">
        <v>83</v>
      </c>
      <c r="AJ2420" s="17">
        <v>2111</v>
      </c>
      <c r="AK2420" s="17" t="s">
        <v>75</v>
      </c>
      <c r="AL2420" s="17" t="s">
        <v>75</v>
      </c>
      <c r="AM2420" s="17" t="s">
        <v>75</v>
      </c>
      <c r="AN2420" s="17" t="s">
        <v>84</v>
      </c>
      <c r="AO2420" s="17" t="s">
        <v>137</v>
      </c>
      <c r="AP2420" s="17"/>
      <c r="AQ2420" s="17"/>
      <c r="AR2420" s="17"/>
      <c r="AS2420" s="17"/>
      <c r="AT2420" s="17" t="s">
        <v>6977</v>
      </c>
      <c r="AU2420" s="17" t="s">
        <v>111</v>
      </c>
    </row>
    <row r="2421" hidden="1">
      <c r="A2421" s="17">
        <v>2419</v>
      </c>
      <c r="B2421" s="17" t="s">
        <v>52</v>
      </c>
      <c r="C2421" s="34" t="s">
        <v>6978</v>
      </c>
      <c r="D2421" s="35" t="s">
        <v>6576</v>
      </c>
      <c r="E2421" s="17" t="s">
        <v>6979</v>
      </c>
      <c r="F2421" s="17" t="s">
        <v>6980</v>
      </c>
      <c r="G2421" s="17">
        <v>22.000824000000001</v>
      </c>
      <c r="H2421" s="17">
        <v>87.780021000000005</v>
      </c>
      <c r="I2421" s="17"/>
      <c r="J2421" s="17"/>
      <c r="K2421" s="17"/>
      <c r="L2421" s="17"/>
      <c r="M2421" s="34" t="s">
        <v>103</v>
      </c>
      <c r="N2421" s="17">
        <v>7003286846</v>
      </c>
      <c r="O2421" s="17">
        <v>9</v>
      </c>
      <c r="P2421" s="17">
        <v>120</v>
      </c>
      <c r="Q2421" s="17" t="s">
        <v>73</v>
      </c>
      <c r="R2421" s="17" t="s">
        <v>74</v>
      </c>
      <c r="S2421" s="17"/>
      <c r="T2421" s="17"/>
      <c r="U2421" s="17" t="s">
        <v>105</v>
      </c>
      <c r="V2421" s="17" t="s">
        <v>77</v>
      </c>
      <c r="W2421" s="17" t="s">
        <v>454</v>
      </c>
      <c r="X2421" s="17">
        <v>3</v>
      </c>
      <c r="Y2421" s="17">
        <v>1</v>
      </c>
      <c r="Z2421" s="17"/>
      <c r="AA2421" s="17" t="s">
        <v>73</v>
      </c>
      <c r="AB2421" s="17" t="s">
        <v>79</v>
      </c>
      <c r="AC2421" s="17">
        <v>2</v>
      </c>
      <c r="AD2421" s="17">
        <v>0</v>
      </c>
      <c r="AE2421" s="17">
        <v>0</v>
      </c>
      <c r="AF2421" s="17"/>
      <c r="AG2421" s="17" t="s">
        <v>81</v>
      </c>
      <c r="AH2421" s="17" t="s">
        <v>82</v>
      </c>
      <c r="AI2421" s="17" t="s">
        <v>83</v>
      </c>
      <c r="AJ2421" s="17">
        <v>2111</v>
      </c>
      <c r="AK2421" s="17" t="s">
        <v>75</v>
      </c>
      <c r="AL2421" s="17" t="s">
        <v>75</v>
      </c>
      <c r="AM2421" s="17" t="s">
        <v>75</v>
      </c>
      <c r="AN2421" s="17" t="s">
        <v>84</v>
      </c>
      <c r="AO2421" s="17" t="s">
        <v>75</v>
      </c>
      <c r="AP2421" s="17"/>
      <c r="AQ2421" s="17"/>
      <c r="AR2421" s="17"/>
      <c r="AS2421" s="17"/>
      <c r="AT2421" s="17"/>
      <c r="AU2421" s="17" t="s">
        <v>111</v>
      </c>
    </row>
    <row r="2422" hidden="1">
      <c r="A2422" s="17">
        <v>2420</v>
      </c>
      <c r="B2422" s="17" t="s">
        <v>52</v>
      </c>
      <c r="C2422" s="34" t="s">
        <v>6981</v>
      </c>
      <c r="D2422" s="35" t="s">
        <v>6576</v>
      </c>
      <c r="E2422" s="17" t="s">
        <v>6982</v>
      </c>
      <c r="F2422" s="17" t="s">
        <v>6983</v>
      </c>
      <c r="G2422" s="17">
        <v>22.054652999999998</v>
      </c>
      <c r="H2422" s="17">
        <v>87.710475000000002</v>
      </c>
      <c r="I2422" s="17"/>
      <c r="J2422" s="17"/>
      <c r="K2422" s="17"/>
      <c r="L2422" s="17"/>
      <c r="M2422" s="34" t="s">
        <v>103</v>
      </c>
      <c r="N2422" s="17">
        <v>7003286846</v>
      </c>
      <c r="O2422" s="17">
        <v>12</v>
      </c>
      <c r="P2422" s="17">
        <v>60</v>
      </c>
      <c r="Q2422" s="17" t="s">
        <v>73</v>
      </c>
      <c r="R2422" s="17" t="s">
        <v>74</v>
      </c>
      <c r="S2422" s="17"/>
      <c r="T2422" s="17"/>
      <c r="U2422" s="17" t="s">
        <v>105</v>
      </c>
      <c r="V2422" s="17" t="s">
        <v>77</v>
      </c>
      <c r="W2422" s="17" t="s">
        <v>252</v>
      </c>
      <c r="X2422" s="17">
        <v>3</v>
      </c>
      <c r="Y2422" s="17">
        <v>0</v>
      </c>
      <c r="Z2422" s="17"/>
      <c r="AA2422" s="17" t="s">
        <v>73</v>
      </c>
      <c r="AB2422" s="17" t="s">
        <v>79</v>
      </c>
      <c r="AC2422" s="17">
        <v>1</v>
      </c>
      <c r="AD2422" s="17">
        <v>0</v>
      </c>
      <c r="AE2422" s="17">
        <v>0</v>
      </c>
      <c r="AF2422" s="17"/>
      <c r="AG2422" s="17" t="s">
        <v>81</v>
      </c>
      <c r="AH2422" s="17" t="s">
        <v>82</v>
      </c>
      <c r="AI2422" s="17" t="s">
        <v>107</v>
      </c>
      <c r="AJ2422" s="17"/>
      <c r="AK2422" s="17" t="s">
        <v>75</v>
      </c>
      <c r="AL2422" s="17" t="s">
        <v>75</v>
      </c>
      <c r="AM2422" s="17" t="s">
        <v>75</v>
      </c>
      <c r="AN2422" s="17" t="s">
        <v>84</v>
      </c>
      <c r="AO2422" s="17" t="s">
        <v>75</v>
      </c>
      <c r="AP2422" s="17"/>
      <c r="AQ2422" s="17"/>
      <c r="AR2422" s="17"/>
      <c r="AS2422" s="17"/>
      <c r="AT2422" s="17"/>
      <c r="AU2422" s="17" t="s">
        <v>111</v>
      </c>
    </row>
    <row r="2423" hidden="1">
      <c r="A2423" s="17">
        <v>2421</v>
      </c>
      <c r="B2423" s="17" t="s">
        <v>52</v>
      </c>
      <c r="C2423" s="34" t="s">
        <v>6984</v>
      </c>
      <c r="D2423" s="35" t="s">
        <v>6576</v>
      </c>
      <c r="E2423" s="17" t="s">
        <v>6985</v>
      </c>
      <c r="F2423" s="17" t="s">
        <v>6986</v>
      </c>
      <c r="G2423" s="17">
        <v>22.000264999999999</v>
      </c>
      <c r="H2423" s="17">
        <v>87.726558999999995</v>
      </c>
      <c r="I2423" s="17"/>
      <c r="J2423" s="17"/>
      <c r="K2423" s="17"/>
      <c r="L2423" s="17"/>
      <c r="M2423" s="34" t="s">
        <v>103</v>
      </c>
      <c r="N2423" s="17">
        <v>7003286846</v>
      </c>
      <c r="O2423" s="17">
        <v>12</v>
      </c>
      <c r="P2423" s="17">
        <v>90</v>
      </c>
      <c r="Q2423" s="17" t="s">
        <v>73</v>
      </c>
      <c r="R2423" s="17" t="s">
        <v>142</v>
      </c>
      <c r="S2423" s="17"/>
      <c r="T2423" s="17"/>
      <c r="U2423" s="17" t="s">
        <v>105</v>
      </c>
      <c r="V2423" s="17" t="s">
        <v>77</v>
      </c>
      <c r="W2423" s="17" t="s">
        <v>161</v>
      </c>
      <c r="X2423" s="17">
        <v>5</v>
      </c>
      <c r="Y2423" s="17">
        <v>0</v>
      </c>
      <c r="Z2423" s="17"/>
      <c r="AA2423" s="17" t="s">
        <v>73</v>
      </c>
      <c r="AB2423" s="17" t="s">
        <v>79</v>
      </c>
      <c r="AC2423" s="17">
        <v>2</v>
      </c>
      <c r="AD2423" s="17">
        <v>0</v>
      </c>
      <c r="AE2423" s="17">
        <v>0</v>
      </c>
      <c r="AF2423" s="17"/>
      <c r="AG2423" s="17" t="s">
        <v>124</v>
      </c>
      <c r="AH2423" s="17" t="s">
        <v>82</v>
      </c>
      <c r="AI2423" s="17" t="s">
        <v>83</v>
      </c>
      <c r="AJ2423" s="17">
        <v>2111</v>
      </c>
      <c r="AK2423" s="17" t="s">
        <v>75</v>
      </c>
      <c r="AL2423" s="17" t="s">
        <v>75</v>
      </c>
      <c r="AM2423" s="17" t="s">
        <v>75</v>
      </c>
      <c r="AN2423" s="17" t="s">
        <v>84</v>
      </c>
      <c r="AO2423" s="17" t="s">
        <v>75</v>
      </c>
      <c r="AP2423" s="17"/>
      <c r="AQ2423" s="17"/>
      <c r="AR2423" s="17"/>
      <c r="AS2423" s="17"/>
      <c r="AT2423" s="17"/>
      <c r="AU2423" s="17" t="s">
        <v>111</v>
      </c>
    </row>
    <row r="2424" hidden="1">
      <c r="A2424" s="17">
        <v>2422</v>
      </c>
      <c r="B2424" s="17" t="s">
        <v>52</v>
      </c>
      <c r="C2424" s="34" t="s">
        <v>6987</v>
      </c>
      <c r="D2424" s="35" t="s">
        <v>6576</v>
      </c>
      <c r="E2424" s="17" t="s">
        <v>6988</v>
      </c>
      <c r="F2424" s="17" t="s">
        <v>6989</v>
      </c>
      <c r="G2424" s="17">
        <v>21.933969000000001</v>
      </c>
      <c r="H2424" s="17">
        <v>87.730346999999995</v>
      </c>
      <c r="I2424" s="17"/>
      <c r="J2424" s="17"/>
      <c r="K2424" s="17"/>
      <c r="L2424" s="17"/>
      <c r="M2424" s="34" t="s">
        <v>103</v>
      </c>
      <c r="N2424" s="17">
        <v>7003286846</v>
      </c>
      <c r="O2424" s="17">
        <v>12</v>
      </c>
      <c r="P2424" s="17">
        <v>120</v>
      </c>
      <c r="Q2424" s="17" t="s">
        <v>105</v>
      </c>
      <c r="R2424" s="17" t="s">
        <v>339</v>
      </c>
      <c r="S2424" s="17"/>
      <c r="T2424" s="17"/>
      <c r="U2424" s="17" t="s">
        <v>503</v>
      </c>
      <c r="V2424" s="17" t="s">
        <v>504</v>
      </c>
      <c r="W2424" s="17" t="s">
        <v>593</v>
      </c>
      <c r="X2424" s="17">
        <v>6</v>
      </c>
      <c r="Y2424" s="17">
        <v>0</v>
      </c>
      <c r="Z2424" s="17"/>
      <c r="AA2424" s="17" t="s">
        <v>105</v>
      </c>
      <c r="AB2424" s="17" t="s">
        <v>79</v>
      </c>
      <c r="AC2424" s="17">
        <v>5</v>
      </c>
      <c r="AD2424" s="17">
        <v>0</v>
      </c>
      <c r="AE2424" s="17">
        <v>0</v>
      </c>
      <c r="AF2424" s="17"/>
      <c r="AG2424" s="17" t="s">
        <v>124</v>
      </c>
      <c r="AH2424" s="17" t="s">
        <v>82</v>
      </c>
      <c r="AI2424" s="17" t="s">
        <v>83</v>
      </c>
      <c r="AJ2424" s="17">
        <v>2111</v>
      </c>
      <c r="AK2424" s="17" t="s">
        <v>75</v>
      </c>
      <c r="AL2424" s="17" t="s">
        <v>75</v>
      </c>
      <c r="AM2424" s="17" t="s">
        <v>75</v>
      </c>
      <c r="AN2424" s="17" t="s">
        <v>84</v>
      </c>
      <c r="AO2424" s="17" t="s">
        <v>75</v>
      </c>
      <c r="AP2424" s="17"/>
      <c r="AQ2424" s="17"/>
      <c r="AR2424" s="17"/>
      <c r="AS2424" s="17"/>
      <c r="AT2424" s="17"/>
      <c r="AU2424" s="17" t="s">
        <v>127</v>
      </c>
    </row>
    <row r="2425" hidden="1">
      <c r="A2425" s="17">
        <v>2423</v>
      </c>
      <c r="B2425" s="17" t="s">
        <v>52</v>
      </c>
      <c r="C2425" s="34" t="s">
        <v>6990</v>
      </c>
      <c r="D2425" s="35" t="s">
        <v>6576</v>
      </c>
      <c r="E2425" s="17" t="s">
        <v>6991</v>
      </c>
      <c r="F2425" s="17" t="s">
        <v>6992</v>
      </c>
      <c r="G2425" s="17">
        <v>21.946745</v>
      </c>
      <c r="H2425" s="17">
        <v>87.709089000000006</v>
      </c>
      <c r="I2425" s="17"/>
      <c r="J2425" s="17"/>
      <c r="K2425" s="17"/>
      <c r="L2425" s="17"/>
      <c r="M2425" s="34" t="s">
        <v>103</v>
      </c>
      <c r="N2425" s="17">
        <v>7003286846</v>
      </c>
      <c r="O2425" s="17"/>
      <c r="P2425" s="17"/>
      <c r="Q2425" s="17"/>
      <c r="R2425" s="17"/>
      <c r="S2425" s="17"/>
      <c r="T2425" s="17"/>
      <c r="U2425" s="17"/>
      <c r="V2425" s="17"/>
      <c r="W2425" s="17"/>
      <c r="X2425" s="17"/>
      <c r="Y2425" s="17"/>
      <c r="Z2425" s="17"/>
      <c r="AA2425" s="17"/>
      <c r="AB2425" s="17"/>
      <c r="AC2425" s="17"/>
      <c r="AD2425" s="17"/>
      <c r="AE2425" s="17"/>
      <c r="AF2425" s="17"/>
      <c r="AG2425" s="17"/>
      <c r="AH2425" s="17"/>
      <c r="AI2425" s="17"/>
      <c r="AJ2425" s="17"/>
      <c r="AK2425" s="17"/>
      <c r="AL2425" s="17"/>
      <c r="AM2425" s="17"/>
      <c r="AN2425" s="17"/>
      <c r="AO2425" s="17"/>
      <c r="AP2425" s="17"/>
      <c r="AQ2425" s="17"/>
      <c r="AR2425" s="17"/>
      <c r="AS2425" s="17"/>
      <c r="AT2425" s="17"/>
      <c r="AU2425" s="17"/>
    </row>
    <row r="2426" hidden="1">
      <c r="A2426" s="17">
        <v>2424</v>
      </c>
      <c r="B2426" s="17" t="s">
        <v>52</v>
      </c>
      <c r="C2426" s="34" t="s">
        <v>6993</v>
      </c>
      <c r="D2426" s="35" t="s">
        <v>6576</v>
      </c>
      <c r="E2426" s="17" t="s">
        <v>6994</v>
      </c>
      <c r="F2426" s="17" t="s">
        <v>6995</v>
      </c>
      <c r="G2426" s="17">
        <v>21.942551000000002</v>
      </c>
      <c r="H2426" s="17">
        <v>87.820684</v>
      </c>
      <c r="I2426" s="17"/>
      <c r="J2426" s="17"/>
      <c r="K2426" s="17"/>
      <c r="L2426" s="17"/>
      <c r="M2426" s="34" t="s">
        <v>103</v>
      </c>
      <c r="N2426" s="17">
        <v>7003286846</v>
      </c>
      <c r="O2426" s="17"/>
      <c r="P2426" s="17"/>
      <c r="Q2426" s="17"/>
      <c r="R2426" s="17"/>
      <c r="S2426" s="17"/>
      <c r="T2426" s="17"/>
      <c r="U2426" s="17"/>
      <c r="V2426" s="17"/>
      <c r="W2426" s="17"/>
      <c r="X2426" s="17"/>
      <c r="Y2426" s="17"/>
      <c r="Z2426" s="17"/>
      <c r="AA2426" s="17"/>
      <c r="AB2426" s="17"/>
      <c r="AC2426" s="17"/>
      <c r="AD2426" s="17"/>
      <c r="AE2426" s="17"/>
      <c r="AF2426" s="17"/>
      <c r="AG2426" s="17"/>
      <c r="AH2426" s="17"/>
      <c r="AI2426" s="17"/>
      <c r="AJ2426" s="17"/>
      <c r="AK2426" s="17"/>
      <c r="AL2426" s="17"/>
      <c r="AM2426" s="17"/>
      <c r="AN2426" s="17"/>
      <c r="AO2426" s="17"/>
      <c r="AP2426" s="17"/>
      <c r="AQ2426" s="17"/>
      <c r="AR2426" s="17"/>
      <c r="AS2426" s="17"/>
      <c r="AT2426" s="17"/>
      <c r="AU2426" s="17"/>
    </row>
    <row r="2427" hidden="1">
      <c r="A2427" s="17">
        <v>2425</v>
      </c>
      <c r="B2427" s="17" t="s">
        <v>52</v>
      </c>
      <c r="C2427" s="34" t="s">
        <v>6996</v>
      </c>
      <c r="D2427" s="35" t="s">
        <v>6576</v>
      </c>
      <c r="E2427" s="17"/>
      <c r="F2427" s="17"/>
      <c r="G2427" s="17"/>
      <c r="H2427" s="17"/>
      <c r="I2427" s="17"/>
      <c r="J2427" s="17"/>
      <c r="K2427" s="17"/>
      <c r="L2427" s="17"/>
      <c r="M2427" s="34" t="s">
        <v>103</v>
      </c>
      <c r="N2427" s="17"/>
      <c r="O2427" s="17"/>
      <c r="P2427" s="17"/>
      <c r="Q2427" s="17"/>
      <c r="R2427" s="17"/>
      <c r="S2427" s="17"/>
      <c r="T2427" s="17"/>
      <c r="U2427" s="17"/>
      <c r="V2427" s="17"/>
      <c r="W2427" s="17"/>
      <c r="X2427" s="17"/>
      <c r="Y2427" s="17"/>
      <c r="Z2427" s="17"/>
      <c r="AA2427" s="17"/>
      <c r="AB2427" s="17"/>
      <c r="AC2427" s="17"/>
      <c r="AD2427" s="17"/>
      <c r="AE2427" s="17"/>
      <c r="AF2427" s="17"/>
      <c r="AG2427" s="17"/>
      <c r="AH2427" s="17"/>
      <c r="AI2427" s="17"/>
      <c r="AJ2427" s="17"/>
      <c r="AK2427" s="17"/>
      <c r="AL2427" s="17"/>
      <c r="AM2427" s="17"/>
      <c r="AN2427" s="17"/>
      <c r="AO2427" s="17"/>
      <c r="AP2427" s="17"/>
      <c r="AQ2427" s="17"/>
      <c r="AR2427" s="17"/>
      <c r="AS2427" s="17"/>
      <c r="AT2427" s="17"/>
      <c r="AU2427" s="17"/>
    </row>
    <row r="2428" hidden="1">
      <c r="A2428" s="17">
        <v>2426</v>
      </c>
      <c r="B2428" s="17" t="s">
        <v>52</v>
      </c>
      <c r="C2428" s="34" t="s">
        <v>6997</v>
      </c>
      <c r="D2428" s="35" t="s">
        <v>6576</v>
      </c>
      <c r="E2428" s="17" t="s">
        <v>6998</v>
      </c>
      <c r="F2428" s="17" t="s">
        <v>6999</v>
      </c>
      <c r="G2428" s="17">
        <v>21.897506</v>
      </c>
      <c r="H2428" s="17">
        <v>87.775549999999996</v>
      </c>
      <c r="I2428" s="17"/>
      <c r="J2428" s="17"/>
      <c r="K2428" s="17"/>
      <c r="L2428" s="17"/>
      <c r="M2428" s="34" t="s">
        <v>103</v>
      </c>
      <c r="N2428" s="17">
        <v>7003286846</v>
      </c>
      <c r="O2428" s="17"/>
      <c r="P2428" s="17"/>
      <c r="Q2428" s="17"/>
      <c r="R2428" s="17"/>
      <c r="S2428" s="17"/>
      <c r="T2428" s="17"/>
      <c r="U2428" s="17"/>
      <c r="V2428" s="17"/>
      <c r="W2428" s="17"/>
      <c r="X2428" s="17"/>
      <c r="Y2428" s="17"/>
      <c r="Z2428" s="17"/>
      <c r="AA2428" s="17"/>
      <c r="AB2428" s="17"/>
      <c r="AC2428" s="17"/>
      <c r="AD2428" s="17"/>
      <c r="AE2428" s="17"/>
      <c r="AF2428" s="17"/>
      <c r="AG2428" s="17"/>
      <c r="AH2428" s="17"/>
      <c r="AI2428" s="17"/>
      <c r="AJ2428" s="17"/>
      <c r="AK2428" s="17"/>
      <c r="AL2428" s="17"/>
      <c r="AM2428" s="17"/>
      <c r="AN2428" s="17"/>
      <c r="AO2428" s="17"/>
      <c r="AP2428" s="17"/>
      <c r="AQ2428" s="17"/>
      <c r="AR2428" s="17"/>
      <c r="AS2428" s="17"/>
      <c r="AT2428" s="17"/>
      <c r="AU2428" s="17"/>
    </row>
    <row r="2429" hidden="1">
      <c r="A2429" s="17">
        <v>2427</v>
      </c>
      <c r="B2429" s="17" t="s">
        <v>52</v>
      </c>
      <c r="C2429" s="34" t="s">
        <v>7000</v>
      </c>
      <c r="D2429" s="35" t="s">
        <v>6576</v>
      </c>
      <c r="E2429" s="17" t="s">
        <v>7001</v>
      </c>
      <c r="F2429" s="17" t="s">
        <v>7002</v>
      </c>
      <c r="G2429" s="17">
        <v>22.015938999999999</v>
      </c>
      <c r="H2429" s="17">
        <v>87.805319999999995</v>
      </c>
      <c r="I2429" s="17"/>
      <c r="J2429" s="17"/>
      <c r="K2429" s="17"/>
      <c r="L2429" s="17"/>
      <c r="M2429" s="34" t="s">
        <v>103</v>
      </c>
      <c r="N2429" s="17">
        <v>7003286846</v>
      </c>
      <c r="O2429" s="17"/>
      <c r="P2429" s="17"/>
      <c r="Q2429" s="17"/>
      <c r="R2429" s="17"/>
      <c r="S2429" s="17"/>
      <c r="T2429" s="17"/>
      <c r="U2429" s="17"/>
      <c r="V2429" s="17"/>
      <c r="W2429" s="17"/>
      <c r="X2429" s="17"/>
      <c r="Y2429" s="17"/>
      <c r="Z2429" s="17"/>
      <c r="AA2429" s="17"/>
      <c r="AB2429" s="17"/>
      <c r="AC2429" s="17"/>
      <c r="AD2429" s="17"/>
      <c r="AE2429" s="17"/>
      <c r="AF2429" s="17"/>
      <c r="AG2429" s="17"/>
      <c r="AH2429" s="17"/>
      <c r="AI2429" s="17"/>
      <c r="AJ2429" s="17"/>
      <c r="AK2429" s="17"/>
      <c r="AL2429" s="17"/>
      <c r="AM2429" s="17"/>
      <c r="AN2429" s="17"/>
      <c r="AO2429" s="17"/>
      <c r="AP2429" s="17"/>
      <c r="AQ2429" s="17"/>
      <c r="AR2429" s="17"/>
      <c r="AS2429" s="17"/>
      <c r="AT2429" s="17"/>
      <c r="AU2429" s="17"/>
    </row>
    <row r="2430" hidden="1">
      <c r="A2430" s="17">
        <v>2428</v>
      </c>
      <c r="B2430" s="17" t="s">
        <v>52</v>
      </c>
      <c r="C2430" s="34" t="s">
        <v>7003</v>
      </c>
      <c r="D2430" s="35" t="s">
        <v>6576</v>
      </c>
      <c r="E2430" s="17" t="s">
        <v>7004</v>
      </c>
      <c r="F2430" s="17" t="s">
        <v>7005</v>
      </c>
      <c r="G2430" s="17">
        <v>22.007871999999999</v>
      </c>
      <c r="H2430" s="17">
        <v>87.814034000000007</v>
      </c>
      <c r="I2430" s="17"/>
      <c r="J2430" s="17"/>
      <c r="K2430" s="17"/>
      <c r="L2430" s="17"/>
      <c r="M2430" s="34" t="s">
        <v>103</v>
      </c>
      <c r="N2430" s="17">
        <v>7003286846</v>
      </c>
      <c r="O2430" s="17"/>
      <c r="P2430" s="17"/>
      <c r="Q2430" s="17"/>
      <c r="R2430" s="17"/>
      <c r="S2430" s="17"/>
      <c r="T2430" s="17"/>
      <c r="U2430" s="17"/>
      <c r="V2430" s="17"/>
      <c r="W2430" s="17"/>
      <c r="X2430" s="17"/>
      <c r="Y2430" s="17"/>
      <c r="Z2430" s="17"/>
      <c r="AA2430" s="17"/>
      <c r="AB2430" s="17"/>
      <c r="AC2430" s="17"/>
      <c r="AD2430" s="17"/>
      <c r="AE2430" s="17"/>
      <c r="AF2430" s="17"/>
      <c r="AG2430" s="17"/>
      <c r="AH2430" s="17"/>
      <c r="AI2430" s="17"/>
      <c r="AJ2430" s="17"/>
      <c r="AK2430" s="17"/>
      <c r="AL2430" s="17"/>
      <c r="AM2430" s="17"/>
      <c r="AN2430" s="17"/>
      <c r="AO2430" s="17"/>
      <c r="AP2430" s="17"/>
      <c r="AQ2430" s="17"/>
      <c r="AR2430" s="17"/>
      <c r="AS2430" s="17"/>
      <c r="AT2430" s="17"/>
      <c r="AU2430" s="17"/>
    </row>
    <row r="2431" hidden="1">
      <c r="A2431" s="17">
        <v>2429</v>
      </c>
      <c r="B2431" s="17" t="s">
        <v>52</v>
      </c>
      <c r="C2431" s="34" t="s">
        <v>7006</v>
      </c>
      <c r="D2431" s="35" t="s">
        <v>6576</v>
      </c>
      <c r="E2431" s="17" t="s">
        <v>7007</v>
      </c>
      <c r="F2431" s="17" t="s">
        <v>7008</v>
      </c>
      <c r="G2431" s="17">
        <v>22.002300000000002</v>
      </c>
      <c r="H2431" s="17">
        <v>87.834230000000005</v>
      </c>
      <c r="I2431" s="17"/>
      <c r="J2431" s="17"/>
      <c r="K2431" s="17"/>
      <c r="L2431" s="17"/>
      <c r="M2431" s="34" t="s">
        <v>103</v>
      </c>
      <c r="N2431" s="17">
        <v>7003286846</v>
      </c>
      <c r="O2431" s="17"/>
      <c r="P2431" s="17"/>
      <c r="Q2431" s="17"/>
      <c r="R2431" s="17"/>
      <c r="S2431" s="17"/>
      <c r="T2431" s="17"/>
      <c r="U2431" s="17"/>
      <c r="V2431" s="17"/>
      <c r="W2431" s="17"/>
      <c r="X2431" s="17"/>
      <c r="Y2431" s="17"/>
      <c r="Z2431" s="17"/>
      <c r="AA2431" s="17"/>
      <c r="AB2431" s="17"/>
      <c r="AC2431" s="17"/>
      <c r="AD2431" s="17"/>
      <c r="AE2431" s="17"/>
      <c r="AF2431" s="17"/>
      <c r="AG2431" s="17"/>
      <c r="AH2431" s="17"/>
      <c r="AI2431" s="17"/>
      <c r="AJ2431" s="17"/>
      <c r="AK2431" s="17"/>
      <c r="AL2431" s="17"/>
      <c r="AM2431" s="17"/>
      <c r="AN2431" s="17"/>
      <c r="AO2431" s="17"/>
      <c r="AP2431" s="17"/>
      <c r="AQ2431" s="17"/>
      <c r="AR2431" s="17"/>
      <c r="AS2431" s="17"/>
      <c r="AT2431" s="17"/>
      <c r="AU2431" s="17"/>
    </row>
    <row r="2432" hidden="1">
      <c r="A2432" s="17">
        <v>2430</v>
      </c>
      <c r="B2432" s="17" t="s">
        <v>52</v>
      </c>
      <c r="C2432" s="34" t="s">
        <v>7009</v>
      </c>
      <c r="D2432" s="35" t="s">
        <v>6576</v>
      </c>
      <c r="E2432" s="17" t="s">
        <v>7010</v>
      </c>
      <c r="F2432" s="17" t="s">
        <v>7011</v>
      </c>
      <c r="G2432" s="17">
        <v>21.943318999999999</v>
      </c>
      <c r="H2432" s="17">
        <v>87.782319999999999</v>
      </c>
      <c r="I2432" s="17"/>
      <c r="J2432" s="17"/>
      <c r="K2432" s="17"/>
      <c r="L2432" s="17"/>
      <c r="M2432" s="34" t="s">
        <v>103</v>
      </c>
      <c r="N2432" s="17">
        <v>7003286846</v>
      </c>
      <c r="O2432" s="17"/>
      <c r="P2432" s="17"/>
      <c r="Q2432" s="17"/>
      <c r="R2432" s="17"/>
      <c r="S2432" s="17"/>
      <c r="T2432" s="17"/>
      <c r="U2432" s="17"/>
      <c r="V2432" s="17"/>
      <c r="W2432" s="17"/>
      <c r="X2432" s="17"/>
      <c r="Y2432" s="17"/>
      <c r="Z2432" s="17"/>
      <c r="AA2432" s="17"/>
      <c r="AB2432" s="17"/>
      <c r="AC2432" s="17"/>
      <c r="AD2432" s="17"/>
      <c r="AE2432" s="17"/>
      <c r="AF2432" s="17"/>
      <c r="AG2432" s="17"/>
      <c r="AH2432" s="17"/>
      <c r="AI2432" s="17"/>
      <c r="AJ2432" s="17"/>
      <c r="AK2432" s="17"/>
      <c r="AL2432" s="17"/>
      <c r="AM2432" s="17"/>
      <c r="AN2432" s="17"/>
      <c r="AO2432" s="17"/>
      <c r="AP2432" s="17"/>
      <c r="AQ2432" s="17"/>
      <c r="AR2432" s="17"/>
      <c r="AS2432" s="17"/>
      <c r="AT2432" s="17"/>
      <c r="AU2432" s="17"/>
    </row>
    <row r="2433" hidden="1">
      <c r="A2433" s="17">
        <v>2431</v>
      </c>
      <c r="B2433" s="17" t="s">
        <v>52</v>
      </c>
      <c r="C2433" s="34" t="s">
        <v>7012</v>
      </c>
      <c r="D2433" s="35" t="s">
        <v>6576</v>
      </c>
      <c r="E2433" s="17" t="s">
        <v>7013</v>
      </c>
      <c r="F2433" s="17" t="s">
        <v>7014</v>
      </c>
      <c r="G2433" s="17">
        <v>21.924313000000001</v>
      </c>
      <c r="H2433" s="17">
        <v>87.767661000000004</v>
      </c>
      <c r="I2433" s="17"/>
      <c r="J2433" s="17"/>
      <c r="K2433" s="17"/>
      <c r="L2433" s="17"/>
      <c r="M2433" s="34" t="s">
        <v>103</v>
      </c>
      <c r="N2433" s="17">
        <v>7003286846</v>
      </c>
      <c r="O2433" s="17"/>
      <c r="P2433" s="17"/>
      <c r="Q2433" s="17"/>
      <c r="R2433" s="17"/>
      <c r="S2433" s="17"/>
      <c r="T2433" s="17"/>
      <c r="U2433" s="17"/>
      <c r="V2433" s="17"/>
      <c r="W2433" s="17"/>
      <c r="X2433" s="17"/>
      <c r="Y2433" s="17"/>
      <c r="Z2433" s="17"/>
      <c r="AA2433" s="17"/>
      <c r="AB2433" s="17"/>
      <c r="AC2433" s="17"/>
      <c r="AD2433" s="17"/>
      <c r="AE2433" s="17"/>
      <c r="AF2433" s="17"/>
      <c r="AG2433" s="17"/>
      <c r="AH2433" s="17"/>
      <c r="AI2433" s="17"/>
      <c r="AJ2433" s="17"/>
      <c r="AK2433" s="17"/>
      <c r="AL2433" s="17"/>
      <c r="AM2433" s="17"/>
      <c r="AN2433" s="17"/>
      <c r="AO2433" s="17"/>
      <c r="AP2433" s="17"/>
      <c r="AQ2433" s="17"/>
      <c r="AR2433" s="17"/>
      <c r="AS2433" s="17"/>
      <c r="AT2433" s="17"/>
      <c r="AU2433" s="17"/>
    </row>
    <row r="2434" hidden="1">
      <c r="A2434" s="17">
        <v>2432</v>
      </c>
      <c r="B2434" s="17" t="s">
        <v>52</v>
      </c>
      <c r="C2434" s="34" t="s">
        <v>7015</v>
      </c>
      <c r="D2434" s="35" t="s">
        <v>6576</v>
      </c>
      <c r="E2434" s="17" t="s">
        <v>7016</v>
      </c>
      <c r="F2434" s="17" t="s">
        <v>7017</v>
      </c>
      <c r="G2434" s="17">
        <v>21.904299000000002</v>
      </c>
      <c r="H2434" s="17">
        <v>87.768276</v>
      </c>
      <c r="I2434" s="17"/>
      <c r="J2434" s="17"/>
      <c r="K2434" s="17"/>
      <c r="L2434" s="17"/>
      <c r="M2434" s="34" t="s">
        <v>103</v>
      </c>
      <c r="N2434" s="17">
        <v>7003286846</v>
      </c>
      <c r="O2434" s="17"/>
      <c r="P2434" s="17"/>
      <c r="Q2434" s="17"/>
      <c r="R2434" s="17"/>
      <c r="S2434" s="17"/>
      <c r="T2434" s="17"/>
      <c r="U2434" s="17"/>
      <c r="V2434" s="17"/>
      <c r="W2434" s="17"/>
      <c r="X2434" s="17"/>
      <c r="Y2434" s="17"/>
      <c r="Z2434" s="17"/>
      <c r="AA2434" s="17"/>
      <c r="AB2434" s="17"/>
      <c r="AC2434" s="17"/>
      <c r="AD2434" s="17"/>
      <c r="AE2434" s="17"/>
      <c r="AF2434" s="17"/>
      <c r="AG2434" s="17"/>
      <c r="AH2434" s="17"/>
      <c r="AI2434" s="17"/>
      <c r="AJ2434" s="17"/>
      <c r="AK2434" s="17"/>
      <c r="AL2434" s="17"/>
      <c r="AM2434" s="17"/>
      <c r="AN2434" s="17"/>
      <c r="AO2434" s="17"/>
      <c r="AP2434" s="17"/>
      <c r="AQ2434" s="17"/>
      <c r="AR2434" s="17"/>
      <c r="AS2434" s="17"/>
      <c r="AT2434" s="17"/>
      <c r="AU2434" s="17"/>
    </row>
    <row r="2435" hidden="1">
      <c r="A2435" s="17">
        <v>2433</v>
      </c>
      <c r="B2435" s="17" t="s">
        <v>52</v>
      </c>
      <c r="C2435" s="34" t="s">
        <v>7018</v>
      </c>
      <c r="D2435" s="35" t="s">
        <v>6576</v>
      </c>
      <c r="E2435" s="17" t="s">
        <v>4658</v>
      </c>
      <c r="F2435" s="17" t="s">
        <v>7019</v>
      </c>
      <c r="G2435" s="17">
        <v>21.913671999999998</v>
      </c>
      <c r="H2435" s="17">
        <v>87.785802000000004</v>
      </c>
      <c r="I2435" s="17"/>
      <c r="J2435" s="17"/>
      <c r="K2435" s="17"/>
      <c r="L2435" s="17"/>
      <c r="M2435" s="34" t="s">
        <v>103</v>
      </c>
      <c r="N2435" s="17">
        <v>7003286846</v>
      </c>
      <c r="O2435" s="17"/>
      <c r="P2435" s="17"/>
      <c r="Q2435" s="17"/>
      <c r="R2435" s="17"/>
      <c r="S2435" s="17"/>
      <c r="T2435" s="17"/>
      <c r="U2435" s="17"/>
      <c r="V2435" s="17"/>
      <c r="W2435" s="17"/>
      <c r="X2435" s="17"/>
      <c r="Y2435" s="17"/>
      <c r="Z2435" s="17"/>
      <c r="AA2435" s="17"/>
      <c r="AB2435" s="17"/>
      <c r="AC2435" s="17"/>
      <c r="AD2435" s="17"/>
      <c r="AE2435" s="17"/>
      <c r="AF2435" s="17"/>
      <c r="AG2435" s="17"/>
      <c r="AH2435" s="17"/>
      <c r="AI2435" s="17"/>
      <c r="AJ2435" s="17"/>
      <c r="AK2435" s="17"/>
      <c r="AL2435" s="17"/>
      <c r="AM2435" s="17"/>
      <c r="AN2435" s="17"/>
      <c r="AO2435" s="17"/>
      <c r="AP2435" s="17"/>
      <c r="AQ2435" s="17"/>
      <c r="AR2435" s="17"/>
      <c r="AS2435" s="17"/>
      <c r="AT2435" s="17"/>
      <c r="AU2435" s="17"/>
    </row>
    <row r="2436" hidden="1">
      <c r="A2436" s="17">
        <v>2434</v>
      </c>
      <c r="B2436" s="17" t="s">
        <v>52</v>
      </c>
      <c r="C2436" s="34" t="s">
        <v>7020</v>
      </c>
      <c r="D2436" s="35" t="s">
        <v>6576</v>
      </c>
      <c r="E2436" s="17" t="s">
        <v>7021</v>
      </c>
      <c r="F2436" s="17" t="s">
        <v>7022</v>
      </c>
      <c r="G2436" s="17">
        <v>21.878571000000001</v>
      </c>
      <c r="H2436" s="17">
        <v>87.782550999999998</v>
      </c>
      <c r="I2436" s="17"/>
      <c r="J2436" s="17"/>
      <c r="K2436" s="17"/>
      <c r="L2436" s="17"/>
      <c r="M2436" s="34" t="s">
        <v>103</v>
      </c>
      <c r="N2436" s="17">
        <v>7003286846</v>
      </c>
      <c r="O2436" s="17"/>
      <c r="P2436" s="17"/>
      <c r="Q2436" s="17"/>
      <c r="R2436" s="17"/>
      <c r="S2436" s="17"/>
      <c r="T2436" s="17"/>
      <c r="U2436" s="17"/>
      <c r="V2436" s="17"/>
      <c r="W2436" s="17"/>
      <c r="X2436" s="17"/>
      <c r="Y2436" s="17"/>
      <c r="Z2436" s="17"/>
      <c r="AA2436" s="17"/>
      <c r="AB2436" s="17"/>
      <c r="AC2436" s="17"/>
      <c r="AD2436" s="17"/>
      <c r="AE2436" s="17"/>
      <c r="AF2436" s="17"/>
      <c r="AG2436" s="17"/>
      <c r="AH2436" s="17"/>
      <c r="AI2436" s="17"/>
      <c r="AJ2436" s="17"/>
      <c r="AK2436" s="17"/>
      <c r="AL2436" s="17"/>
      <c r="AM2436" s="17"/>
      <c r="AN2436" s="17"/>
      <c r="AO2436" s="17"/>
      <c r="AP2436" s="17"/>
      <c r="AQ2436" s="17"/>
      <c r="AR2436" s="17"/>
      <c r="AS2436" s="17"/>
      <c r="AT2436" s="17"/>
      <c r="AU2436" s="17"/>
    </row>
    <row r="2437" hidden="1">
      <c r="A2437" s="17">
        <v>2435</v>
      </c>
      <c r="B2437" s="17" t="s">
        <v>52</v>
      </c>
      <c r="C2437" s="34" t="s">
        <v>7023</v>
      </c>
      <c r="D2437" s="35" t="s">
        <v>6576</v>
      </c>
      <c r="E2437" s="17" t="s">
        <v>7024</v>
      </c>
      <c r="F2437" s="17" t="s">
        <v>7025</v>
      </c>
      <c r="G2437" s="17">
        <v>21.888735</v>
      </c>
      <c r="H2437" s="17">
        <v>87.766424000000001</v>
      </c>
      <c r="I2437" s="17"/>
      <c r="J2437" s="17"/>
      <c r="K2437" s="17"/>
      <c r="L2437" s="17"/>
      <c r="M2437" s="34" t="s">
        <v>103</v>
      </c>
      <c r="N2437" s="17">
        <v>7003286846</v>
      </c>
      <c r="O2437" s="17"/>
      <c r="P2437" s="17"/>
      <c r="Q2437" s="17"/>
      <c r="R2437" s="17"/>
      <c r="S2437" s="17"/>
      <c r="T2437" s="17"/>
      <c r="U2437" s="17"/>
      <c r="V2437" s="17"/>
      <c r="W2437" s="17"/>
      <c r="X2437" s="17"/>
      <c r="Y2437" s="17"/>
      <c r="Z2437" s="17"/>
      <c r="AA2437" s="17"/>
      <c r="AB2437" s="17"/>
      <c r="AC2437" s="17"/>
      <c r="AD2437" s="17"/>
      <c r="AE2437" s="17"/>
      <c r="AF2437" s="17"/>
      <c r="AG2437" s="17"/>
      <c r="AH2437" s="17"/>
      <c r="AI2437" s="17"/>
      <c r="AJ2437" s="17"/>
      <c r="AK2437" s="17"/>
      <c r="AL2437" s="17"/>
      <c r="AM2437" s="17"/>
      <c r="AN2437" s="17"/>
      <c r="AO2437" s="17"/>
      <c r="AP2437" s="17"/>
      <c r="AQ2437" s="17"/>
      <c r="AR2437" s="17"/>
      <c r="AS2437" s="17"/>
      <c r="AT2437" s="17"/>
      <c r="AU2437" s="17"/>
    </row>
    <row r="2438" hidden="1">
      <c r="A2438" s="17">
        <v>2436</v>
      </c>
      <c r="B2438" s="17" t="s">
        <v>52</v>
      </c>
      <c r="C2438" s="34" t="s">
        <v>659</v>
      </c>
      <c r="D2438" s="35" t="s">
        <v>6576</v>
      </c>
      <c r="E2438" s="17" t="s">
        <v>660</v>
      </c>
      <c r="F2438" s="17" t="s">
        <v>661</v>
      </c>
      <c r="G2438" s="17">
        <v>22.004725000000001</v>
      </c>
      <c r="H2438" s="17">
        <v>87.888130000000004</v>
      </c>
      <c r="I2438" s="17"/>
      <c r="J2438" s="17"/>
      <c r="K2438" s="17"/>
      <c r="L2438" s="17"/>
      <c r="M2438" s="34" t="s">
        <v>103</v>
      </c>
      <c r="N2438" s="17">
        <v>7003286846</v>
      </c>
      <c r="O2438" s="17"/>
      <c r="P2438" s="17"/>
      <c r="Q2438" s="17"/>
      <c r="R2438" s="17"/>
      <c r="S2438" s="17"/>
      <c r="T2438" s="17"/>
      <c r="U2438" s="17"/>
      <c r="V2438" s="17"/>
      <c r="W2438" s="17"/>
      <c r="X2438" s="17"/>
      <c r="Y2438" s="17"/>
      <c r="Z2438" s="17"/>
      <c r="AA2438" s="17"/>
      <c r="AB2438" s="17"/>
      <c r="AC2438" s="17"/>
      <c r="AD2438" s="17"/>
      <c r="AE2438" s="17"/>
      <c r="AF2438" s="17"/>
      <c r="AG2438" s="17"/>
      <c r="AH2438" s="17"/>
      <c r="AI2438" s="17"/>
      <c r="AJ2438" s="17"/>
      <c r="AK2438" s="17"/>
      <c r="AL2438" s="17"/>
      <c r="AM2438" s="17"/>
      <c r="AN2438" s="17"/>
      <c r="AO2438" s="17"/>
      <c r="AP2438" s="17"/>
      <c r="AQ2438" s="17"/>
      <c r="AR2438" s="17"/>
      <c r="AS2438" s="17"/>
      <c r="AT2438" s="17"/>
      <c r="AU2438" s="17"/>
    </row>
    <row r="2439" hidden="1">
      <c r="A2439" s="17">
        <v>2437</v>
      </c>
      <c r="B2439" s="17" t="s">
        <v>52</v>
      </c>
      <c r="C2439" s="34" t="s">
        <v>663</v>
      </c>
      <c r="D2439" s="35" t="s">
        <v>6576</v>
      </c>
      <c r="E2439" s="17" t="s">
        <v>664</v>
      </c>
      <c r="F2439" s="17" t="s">
        <v>665</v>
      </c>
      <c r="G2439" s="17">
        <v>21.992894</v>
      </c>
      <c r="H2439" s="17">
        <v>87.881636</v>
      </c>
      <c r="I2439" s="17"/>
      <c r="J2439" s="17"/>
      <c r="K2439" s="17"/>
      <c r="L2439" s="17"/>
      <c r="M2439" s="34" t="s">
        <v>103</v>
      </c>
      <c r="N2439" s="17">
        <v>7003286846</v>
      </c>
      <c r="O2439" s="17"/>
      <c r="P2439" s="17"/>
      <c r="Q2439" s="17"/>
      <c r="R2439" s="17"/>
      <c r="S2439" s="17"/>
      <c r="T2439" s="17"/>
      <c r="U2439" s="17"/>
      <c r="V2439" s="17"/>
      <c r="W2439" s="17"/>
      <c r="X2439" s="17"/>
      <c r="Y2439" s="17"/>
      <c r="Z2439" s="17"/>
      <c r="AA2439" s="17"/>
      <c r="AB2439" s="17"/>
      <c r="AC2439" s="17"/>
      <c r="AD2439" s="17"/>
      <c r="AE2439" s="17"/>
      <c r="AF2439" s="17"/>
      <c r="AG2439" s="17"/>
      <c r="AH2439" s="17"/>
      <c r="AI2439" s="17"/>
      <c r="AJ2439" s="17"/>
      <c r="AK2439" s="17"/>
      <c r="AL2439" s="17"/>
      <c r="AM2439" s="17"/>
      <c r="AN2439" s="17"/>
      <c r="AO2439" s="17"/>
      <c r="AP2439" s="17"/>
      <c r="AQ2439" s="17"/>
      <c r="AR2439" s="17"/>
      <c r="AS2439" s="17"/>
      <c r="AT2439" s="17"/>
      <c r="AU2439" s="17"/>
    </row>
    <row r="2440" hidden="1">
      <c r="A2440" s="17">
        <v>2438</v>
      </c>
      <c r="B2440" s="17" t="s">
        <v>52</v>
      </c>
      <c r="C2440" s="34" t="s">
        <v>7026</v>
      </c>
      <c r="D2440" s="35" t="s">
        <v>6576</v>
      </c>
      <c r="E2440" s="17"/>
      <c r="F2440" s="17">
        <v>0</v>
      </c>
      <c r="G2440" s="17">
        <v>21.994273</v>
      </c>
      <c r="H2440" s="17">
        <v>87.745159999999998</v>
      </c>
      <c r="I2440" s="17"/>
      <c r="J2440" s="17"/>
      <c r="K2440" s="17"/>
      <c r="L2440" s="17"/>
      <c r="M2440" s="34" t="s">
        <v>103</v>
      </c>
      <c r="N2440" s="17">
        <v>7003286846</v>
      </c>
      <c r="O2440" s="17"/>
      <c r="P2440" s="17"/>
      <c r="Q2440" s="17"/>
      <c r="R2440" s="17"/>
      <c r="S2440" s="17"/>
      <c r="T2440" s="17"/>
      <c r="U2440" s="17"/>
      <c r="V2440" s="17"/>
      <c r="W2440" s="17"/>
      <c r="X2440" s="17"/>
      <c r="Y2440" s="17"/>
      <c r="Z2440" s="17"/>
      <c r="AA2440" s="17"/>
      <c r="AB2440" s="17"/>
      <c r="AC2440" s="17"/>
      <c r="AD2440" s="17"/>
      <c r="AE2440" s="17"/>
      <c r="AF2440" s="17"/>
      <c r="AG2440" s="17"/>
      <c r="AH2440" s="17"/>
      <c r="AI2440" s="17"/>
      <c r="AJ2440" s="17"/>
      <c r="AK2440" s="17"/>
      <c r="AL2440" s="17"/>
      <c r="AM2440" s="17"/>
      <c r="AN2440" s="17"/>
      <c r="AO2440" s="17"/>
      <c r="AP2440" s="17"/>
      <c r="AQ2440" s="17"/>
      <c r="AR2440" s="17"/>
      <c r="AS2440" s="17"/>
      <c r="AT2440" s="17"/>
      <c r="AU2440" s="17"/>
    </row>
    <row r="2441" hidden="1">
      <c r="A2441" s="17">
        <v>2439</v>
      </c>
      <c r="B2441" s="17" t="s">
        <v>52</v>
      </c>
      <c r="C2441" s="34" t="s">
        <v>7027</v>
      </c>
      <c r="D2441" s="35" t="s">
        <v>6576</v>
      </c>
      <c r="E2441" s="17"/>
      <c r="F2441" s="17">
        <v>0</v>
      </c>
      <c r="G2441" s="17">
        <v>21.890405999999999</v>
      </c>
      <c r="H2441" s="17">
        <v>87.712205999999995</v>
      </c>
      <c r="I2441" s="17"/>
      <c r="J2441" s="17"/>
      <c r="K2441" s="17"/>
      <c r="L2441" s="17"/>
      <c r="M2441" s="34" t="s">
        <v>103</v>
      </c>
      <c r="N2441" s="17">
        <v>7003286846</v>
      </c>
      <c r="O2441" s="17"/>
      <c r="P2441" s="17"/>
      <c r="Q2441" s="17"/>
      <c r="R2441" s="17"/>
      <c r="S2441" s="17"/>
      <c r="T2441" s="17"/>
      <c r="U2441" s="17"/>
      <c r="V2441" s="17"/>
      <c r="W2441" s="17"/>
      <c r="X2441" s="17"/>
      <c r="Y2441" s="17"/>
      <c r="Z2441" s="17"/>
      <c r="AA2441" s="17"/>
      <c r="AB2441" s="17"/>
      <c r="AC2441" s="17"/>
      <c r="AD2441" s="17"/>
      <c r="AE2441" s="17"/>
      <c r="AF2441" s="17"/>
      <c r="AG2441" s="17"/>
      <c r="AH2441" s="17"/>
      <c r="AI2441" s="17"/>
      <c r="AJ2441" s="17"/>
      <c r="AK2441" s="17"/>
      <c r="AL2441" s="17"/>
      <c r="AM2441" s="17"/>
      <c r="AN2441" s="17"/>
      <c r="AO2441" s="17"/>
      <c r="AP2441" s="17"/>
      <c r="AQ2441" s="17"/>
      <c r="AR2441" s="17"/>
      <c r="AS2441" s="17"/>
      <c r="AT2441" s="17"/>
      <c r="AU2441" s="17"/>
    </row>
    <row r="2442" hidden="1">
      <c r="A2442" s="17">
        <v>2440</v>
      </c>
      <c r="B2442" s="17" t="s">
        <v>52</v>
      </c>
      <c r="C2442" s="34" t="s">
        <v>7028</v>
      </c>
      <c r="D2442" s="35" t="s">
        <v>6576</v>
      </c>
      <c r="E2442" s="17"/>
      <c r="F2442" s="17">
        <v>0</v>
      </c>
      <c r="G2442" s="17">
        <v>22.026167999999998</v>
      </c>
      <c r="H2442" s="17">
        <v>87.746446000000006</v>
      </c>
      <c r="I2442" s="17"/>
      <c r="J2442" s="17"/>
      <c r="K2442" s="17"/>
      <c r="L2442" s="17"/>
      <c r="M2442" s="34" t="s">
        <v>103</v>
      </c>
      <c r="N2442" s="17">
        <v>7003286846</v>
      </c>
      <c r="O2442" s="17"/>
      <c r="P2442" s="17"/>
      <c r="Q2442" s="17"/>
      <c r="R2442" s="17"/>
      <c r="S2442" s="17"/>
      <c r="T2442" s="17"/>
      <c r="U2442" s="17"/>
      <c r="V2442" s="17"/>
      <c r="W2442" s="17"/>
      <c r="X2442" s="17"/>
      <c r="Y2442" s="17"/>
      <c r="Z2442" s="17"/>
      <c r="AA2442" s="17"/>
      <c r="AB2442" s="17"/>
      <c r="AC2442" s="17"/>
      <c r="AD2442" s="17"/>
      <c r="AE2442" s="17"/>
      <c r="AF2442" s="17"/>
      <c r="AG2442" s="17"/>
      <c r="AH2442" s="17"/>
      <c r="AI2442" s="17"/>
      <c r="AJ2442" s="17"/>
      <c r="AK2442" s="17"/>
      <c r="AL2442" s="17"/>
      <c r="AM2442" s="17"/>
      <c r="AN2442" s="17"/>
      <c r="AO2442" s="17"/>
      <c r="AP2442" s="17"/>
      <c r="AQ2442" s="17"/>
      <c r="AR2442" s="17"/>
      <c r="AS2442" s="17"/>
      <c r="AT2442" s="17"/>
      <c r="AU2442" s="17"/>
    </row>
    <row r="2443" hidden="1">
      <c r="A2443" s="17">
        <v>2441</v>
      </c>
      <c r="B2443" s="17" t="s">
        <v>52</v>
      </c>
      <c r="C2443" s="34" t="s">
        <v>7029</v>
      </c>
      <c r="D2443" s="35" t="s">
        <v>6576</v>
      </c>
      <c r="E2443" s="17"/>
      <c r="F2443" s="17" t="s">
        <v>7030</v>
      </c>
      <c r="G2443" s="17">
        <v>21.982669999999999</v>
      </c>
      <c r="H2443" s="17">
        <v>87.79786</v>
      </c>
      <c r="I2443" s="17"/>
      <c r="J2443" s="17"/>
      <c r="K2443" s="17"/>
      <c r="L2443" s="17"/>
      <c r="M2443" s="34" t="s">
        <v>103</v>
      </c>
      <c r="N2443" s="17">
        <v>7003286846</v>
      </c>
      <c r="O2443" s="17"/>
      <c r="P2443" s="17"/>
      <c r="Q2443" s="17"/>
      <c r="R2443" s="17"/>
      <c r="S2443" s="17"/>
      <c r="T2443" s="17"/>
      <c r="U2443" s="17"/>
      <c r="V2443" s="17"/>
      <c r="W2443" s="17"/>
      <c r="X2443" s="17"/>
      <c r="Y2443" s="17"/>
      <c r="Z2443" s="17"/>
      <c r="AA2443" s="17"/>
      <c r="AB2443" s="17"/>
      <c r="AC2443" s="17"/>
      <c r="AD2443" s="17"/>
      <c r="AE2443" s="17"/>
      <c r="AF2443" s="17"/>
      <c r="AG2443" s="17"/>
      <c r="AH2443" s="17"/>
      <c r="AI2443" s="17"/>
      <c r="AJ2443" s="17"/>
      <c r="AK2443" s="17"/>
      <c r="AL2443" s="17"/>
      <c r="AM2443" s="17"/>
      <c r="AN2443" s="17"/>
      <c r="AO2443" s="17"/>
      <c r="AP2443" s="17"/>
      <c r="AQ2443" s="17"/>
      <c r="AR2443" s="17"/>
      <c r="AS2443" s="17"/>
      <c r="AT2443" s="17"/>
      <c r="AU2443" s="17"/>
    </row>
    <row r="2444" hidden="1">
      <c r="A2444" s="17">
        <v>2442</v>
      </c>
      <c r="B2444" s="17" t="s">
        <v>52</v>
      </c>
      <c r="C2444" s="34" t="s">
        <v>7031</v>
      </c>
      <c r="D2444" s="35" t="s">
        <v>6576</v>
      </c>
      <c r="E2444" s="17" t="s">
        <v>7032</v>
      </c>
      <c r="F2444" s="17" t="s">
        <v>7033</v>
      </c>
      <c r="G2444" s="17">
        <v>22.009259</v>
      </c>
      <c r="H2444" s="17">
        <v>87.700744999999998</v>
      </c>
      <c r="I2444" s="17"/>
      <c r="J2444" s="17"/>
      <c r="K2444" s="17"/>
      <c r="L2444" s="17"/>
      <c r="M2444" s="34" t="s">
        <v>103</v>
      </c>
      <c r="N2444" s="17">
        <v>7003286846</v>
      </c>
      <c r="O2444" s="17"/>
      <c r="P2444" s="17"/>
      <c r="Q2444" s="17"/>
      <c r="R2444" s="17"/>
      <c r="S2444" s="17"/>
      <c r="T2444" s="17"/>
      <c r="U2444" s="17"/>
      <c r="V2444" s="17"/>
      <c r="W2444" s="17"/>
      <c r="X2444" s="17"/>
      <c r="Y2444" s="17"/>
      <c r="Z2444" s="17"/>
      <c r="AA2444" s="17"/>
      <c r="AB2444" s="17"/>
      <c r="AC2444" s="17"/>
      <c r="AD2444" s="17"/>
      <c r="AE2444" s="17"/>
      <c r="AF2444" s="17"/>
      <c r="AG2444" s="17"/>
      <c r="AH2444" s="17"/>
      <c r="AI2444" s="17"/>
      <c r="AJ2444" s="17"/>
      <c r="AK2444" s="17"/>
      <c r="AL2444" s="17"/>
      <c r="AM2444" s="17"/>
      <c r="AN2444" s="17"/>
      <c r="AO2444" s="17"/>
      <c r="AP2444" s="17"/>
      <c r="AQ2444" s="17"/>
      <c r="AR2444" s="17"/>
      <c r="AS2444" s="17"/>
      <c r="AT2444" s="17"/>
      <c r="AU2444" s="17"/>
    </row>
    <row r="2445" hidden="1">
      <c r="A2445" s="17">
        <v>2443</v>
      </c>
      <c r="B2445" s="17" t="s">
        <v>52</v>
      </c>
      <c r="C2445" s="34" t="s">
        <v>7034</v>
      </c>
      <c r="D2445" s="35" t="s">
        <v>6576</v>
      </c>
      <c r="E2445" s="17" t="s">
        <v>7035</v>
      </c>
      <c r="F2445" s="17" t="s">
        <v>7036</v>
      </c>
      <c r="G2445" s="17">
        <v>22.028500000000001</v>
      </c>
      <c r="H2445" s="17">
        <v>87.700423999999998</v>
      </c>
      <c r="I2445" s="17"/>
      <c r="J2445" s="17"/>
      <c r="K2445" s="17"/>
      <c r="L2445" s="17"/>
      <c r="M2445" s="34" t="s">
        <v>103</v>
      </c>
      <c r="N2445" s="17">
        <v>7003286846</v>
      </c>
      <c r="O2445" s="17"/>
      <c r="P2445" s="17"/>
      <c r="Q2445" s="17"/>
      <c r="R2445" s="17"/>
      <c r="S2445" s="17"/>
      <c r="T2445" s="17"/>
      <c r="U2445" s="17"/>
      <c r="V2445" s="17"/>
      <c r="W2445" s="17"/>
      <c r="X2445" s="17"/>
      <c r="Y2445" s="17"/>
      <c r="Z2445" s="17"/>
      <c r="AA2445" s="17"/>
      <c r="AB2445" s="17"/>
      <c r="AC2445" s="17"/>
      <c r="AD2445" s="17"/>
      <c r="AE2445" s="17"/>
      <c r="AF2445" s="17"/>
      <c r="AG2445" s="17"/>
      <c r="AH2445" s="17"/>
      <c r="AI2445" s="17"/>
      <c r="AJ2445" s="17"/>
      <c r="AK2445" s="17"/>
      <c r="AL2445" s="17"/>
      <c r="AM2445" s="17"/>
      <c r="AN2445" s="17"/>
      <c r="AO2445" s="17"/>
      <c r="AP2445" s="17"/>
      <c r="AQ2445" s="17"/>
      <c r="AR2445" s="17"/>
      <c r="AS2445" s="17"/>
      <c r="AT2445" s="17"/>
      <c r="AU2445" s="17"/>
    </row>
    <row r="2446" hidden="1">
      <c r="A2446" s="17">
        <v>2444</v>
      </c>
      <c r="B2446" s="17" t="s">
        <v>52</v>
      </c>
      <c r="C2446" s="34" t="s">
        <v>7037</v>
      </c>
      <c r="D2446" s="35" t="s">
        <v>6576</v>
      </c>
      <c r="E2446" s="17" t="s">
        <v>7038</v>
      </c>
      <c r="F2446" s="17" t="s">
        <v>7039</v>
      </c>
      <c r="G2446" s="17">
        <v>22.049295999999998</v>
      </c>
      <c r="H2446" s="17">
        <v>87.668773999999999</v>
      </c>
      <c r="I2446" s="17"/>
      <c r="J2446" s="17"/>
      <c r="K2446" s="17"/>
      <c r="L2446" s="17"/>
      <c r="M2446" s="34" t="s">
        <v>103</v>
      </c>
      <c r="N2446" s="17">
        <v>7003286846</v>
      </c>
      <c r="O2446" s="17"/>
      <c r="P2446" s="17"/>
      <c r="Q2446" s="17"/>
      <c r="R2446" s="17"/>
      <c r="S2446" s="17"/>
      <c r="T2446" s="17"/>
      <c r="U2446" s="17"/>
      <c r="V2446" s="17"/>
      <c r="W2446" s="17"/>
      <c r="X2446" s="17"/>
      <c r="Y2446" s="17"/>
      <c r="Z2446" s="17"/>
      <c r="AA2446" s="17"/>
      <c r="AB2446" s="17"/>
      <c r="AC2446" s="17"/>
      <c r="AD2446" s="17"/>
      <c r="AE2446" s="17"/>
      <c r="AF2446" s="17"/>
      <c r="AG2446" s="17"/>
      <c r="AH2446" s="17"/>
      <c r="AI2446" s="17"/>
      <c r="AJ2446" s="17"/>
      <c r="AK2446" s="17"/>
      <c r="AL2446" s="17"/>
      <c r="AM2446" s="17"/>
      <c r="AN2446" s="17"/>
      <c r="AO2446" s="17"/>
      <c r="AP2446" s="17"/>
      <c r="AQ2446" s="17"/>
      <c r="AR2446" s="17"/>
      <c r="AS2446" s="17"/>
      <c r="AT2446" s="17"/>
      <c r="AU2446" s="17"/>
    </row>
    <row r="2447" hidden="1">
      <c r="A2447" s="17">
        <v>2445</v>
      </c>
      <c r="B2447" s="17" t="s">
        <v>52</v>
      </c>
      <c r="C2447" s="34" t="s">
        <v>7040</v>
      </c>
      <c r="D2447" s="35" t="s">
        <v>6576</v>
      </c>
      <c r="E2447" s="17" t="s">
        <v>7041</v>
      </c>
      <c r="F2447" s="17" t="s">
        <v>7042</v>
      </c>
      <c r="G2447" s="17">
        <v>22.039144</v>
      </c>
      <c r="H2447" s="17">
        <v>87.810843000000006</v>
      </c>
      <c r="I2447" s="17"/>
      <c r="J2447" s="17"/>
      <c r="K2447" s="17"/>
      <c r="L2447" s="17"/>
      <c r="M2447" s="34" t="s">
        <v>103</v>
      </c>
      <c r="N2447" s="17">
        <v>7003286846</v>
      </c>
      <c r="O2447" s="17"/>
      <c r="P2447" s="17"/>
      <c r="Q2447" s="17"/>
      <c r="R2447" s="17"/>
      <c r="S2447" s="17"/>
      <c r="T2447" s="17"/>
      <c r="U2447" s="17"/>
      <c r="V2447" s="17"/>
      <c r="W2447" s="17"/>
      <c r="X2447" s="17"/>
      <c r="Y2447" s="17"/>
      <c r="Z2447" s="17"/>
      <c r="AA2447" s="17"/>
      <c r="AB2447" s="17"/>
      <c r="AC2447" s="17"/>
      <c r="AD2447" s="17"/>
      <c r="AE2447" s="17"/>
      <c r="AF2447" s="17"/>
      <c r="AG2447" s="17"/>
      <c r="AH2447" s="17"/>
      <c r="AI2447" s="17"/>
      <c r="AJ2447" s="17"/>
      <c r="AK2447" s="17"/>
      <c r="AL2447" s="17"/>
      <c r="AM2447" s="17"/>
      <c r="AN2447" s="17"/>
      <c r="AO2447" s="17"/>
      <c r="AP2447" s="17"/>
      <c r="AQ2447" s="17"/>
      <c r="AR2447" s="17"/>
      <c r="AS2447" s="17"/>
      <c r="AT2447" s="17"/>
      <c r="AU2447" s="17"/>
    </row>
    <row r="2448" hidden="1">
      <c r="A2448" s="17">
        <v>2446</v>
      </c>
      <c r="B2448" s="17" t="s">
        <v>52</v>
      </c>
      <c r="C2448" s="46" t="s">
        <v>7043</v>
      </c>
      <c r="D2448" s="35" t="s">
        <v>6576</v>
      </c>
      <c r="E2448" s="17"/>
      <c r="F2448" s="17"/>
      <c r="G2448" s="17"/>
      <c r="H2448" s="17"/>
      <c r="I2448" s="17"/>
      <c r="J2448" s="17"/>
      <c r="K2448" s="17"/>
      <c r="L2448" s="17"/>
      <c r="M2448" s="34" t="s">
        <v>103</v>
      </c>
      <c r="N2448" s="17">
        <v>7003286846</v>
      </c>
      <c r="O2448" s="17"/>
      <c r="P2448" s="17"/>
      <c r="Q2448" s="17"/>
      <c r="R2448" s="17"/>
      <c r="S2448" s="17"/>
      <c r="T2448" s="17"/>
      <c r="U2448" s="17"/>
      <c r="V2448" s="17"/>
      <c r="W2448" s="17"/>
      <c r="X2448" s="17"/>
      <c r="Y2448" s="17"/>
      <c r="Z2448" s="17"/>
      <c r="AA2448" s="17"/>
      <c r="AB2448" s="17"/>
      <c r="AC2448" s="17"/>
      <c r="AD2448" s="17"/>
      <c r="AE2448" s="17"/>
      <c r="AF2448" s="17"/>
      <c r="AG2448" s="17"/>
      <c r="AH2448" s="17"/>
      <c r="AI2448" s="17"/>
      <c r="AJ2448" s="17"/>
      <c r="AK2448" s="17"/>
      <c r="AL2448" s="17"/>
      <c r="AM2448" s="17"/>
      <c r="AN2448" s="17"/>
      <c r="AO2448" s="17"/>
      <c r="AP2448" s="17"/>
      <c r="AQ2448" s="17"/>
      <c r="AR2448" s="17"/>
      <c r="AS2448" s="17"/>
      <c r="AT2448" s="17"/>
      <c r="AU2448" s="17"/>
    </row>
    <row r="2449" hidden="1">
      <c r="A2449" s="17">
        <v>2447</v>
      </c>
      <c r="B2449" s="17" t="s">
        <v>52</v>
      </c>
      <c r="C2449" s="34" t="s">
        <v>7044</v>
      </c>
      <c r="D2449" s="35" t="s">
        <v>6576</v>
      </c>
      <c r="E2449" s="17" t="s">
        <v>7045</v>
      </c>
      <c r="F2449" s="17" t="s">
        <v>7046</v>
      </c>
      <c r="G2449" s="17">
        <v>21.875938999999999</v>
      </c>
      <c r="H2449" s="17">
        <v>87.757622999999995</v>
      </c>
      <c r="I2449" s="17"/>
      <c r="J2449" s="17"/>
      <c r="K2449" s="17"/>
      <c r="L2449" s="17"/>
      <c r="M2449" s="34" t="s">
        <v>103</v>
      </c>
      <c r="N2449" s="17">
        <v>7003286846</v>
      </c>
      <c r="O2449" s="17"/>
      <c r="P2449" s="17"/>
      <c r="Q2449" s="17"/>
      <c r="R2449" s="17"/>
      <c r="S2449" s="17"/>
      <c r="T2449" s="17"/>
      <c r="U2449" s="17"/>
      <c r="V2449" s="17"/>
      <c r="W2449" s="17"/>
      <c r="X2449" s="17"/>
      <c r="Y2449" s="17"/>
      <c r="Z2449" s="17"/>
      <c r="AA2449" s="17"/>
      <c r="AB2449" s="17"/>
      <c r="AC2449" s="17"/>
      <c r="AD2449" s="17"/>
      <c r="AE2449" s="17"/>
      <c r="AF2449" s="17"/>
      <c r="AG2449" s="17"/>
      <c r="AH2449" s="17"/>
      <c r="AI2449" s="17"/>
      <c r="AJ2449" s="17"/>
      <c r="AK2449" s="17"/>
      <c r="AL2449" s="17"/>
      <c r="AM2449" s="17"/>
      <c r="AN2449" s="17"/>
      <c r="AO2449" s="17"/>
      <c r="AP2449" s="17"/>
      <c r="AQ2449" s="17"/>
      <c r="AR2449" s="17"/>
      <c r="AS2449" s="17"/>
      <c r="AT2449" s="17"/>
      <c r="AU2449" s="17"/>
    </row>
    <row r="2450" hidden="1">
      <c r="A2450" s="17">
        <v>2448</v>
      </c>
      <c r="B2450" s="17" t="s">
        <v>52</v>
      </c>
      <c r="C2450" s="34" t="s">
        <v>7047</v>
      </c>
      <c r="D2450" s="35" t="s">
        <v>6576</v>
      </c>
      <c r="E2450" s="17" t="s">
        <v>7048</v>
      </c>
      <c r="F2450" s="17" t="s">
        <v>7049</v>
      </c>
      <c r="G2450" s="17">
        <v>22.084781</v>
      </c>
      <c r="H2450" s="17">
        <v>87.666589999999999</v>
      </c>
      <c r="I2450" s="17"/>
      <c r="J2450" s="17"/>
      <c r="K2450" s="17"/>
      <c r="L2450" s="17"/>
      <c r="M2450" s="34" t="s">
        <v>103</v>
      </c>
      <c r="N2450" s="17">
        <v>7003286846</v>
      </c>
      <c r="O2450" s="17"/>
      <c r="P2450" s="17"/>
      <c r="Q2450" s="17"/>
      <c r="R2450" s="17"/>
      <c r="S2450" s="17"/>
      <c r="T2450" s="17"/>
      <c r="U2450" s="17"/>
      <c r="V2450" s="17"/>
      <c r="W2450" s="17"/>
      <c r="X2450" s="17"/>
      <c r="Y2450" s="17"/>
      <c r="Z2450" s="17"/>
      <c r="AA2450" s="17"/>
      <c r="AB2450" s="17"/>
      <c r="AC2450" s="17"/>
      <c r="AD2450" s="17"/>
      <c r="AE2450" s="17"/>
      <c r="AF2450" s="17"/>
      <c r="AG2450" s="17"/>
      <c r="AH2450" s="17"/>
      <c r="AI2450" s="17"/>
      <c r="AJ2450" s="17"/>
      <c r="AK2450" s="17"/>
      <c r="AL2450" s="17"/>
      <c r="AM2450" s="17"/>
      <c r="AN2450" s="17"/>
      <c r="AO2450" s="17"/>
      <c r="AP2450" s="17"/>
      <c r="AQ2450" s="17"/>
      <c r="AR2450" s="17"/>
      <c r="AS2450" s="17"/>
      <c r="AT2450" s="17"/>
      <c r="AU2450" s="17"/>
    </row>
    <row r="2451" hidden="1">
      <c r="A2451" s="17">
        <v>2449</v>
      </c>
      <c r="B2451" s="17" t="s">
        <v>52</v>
      </c>
      <c r="C2451" s="34" t="s">
        <v>7050</v>
      </c>
      <c r="D2451" s="35" t="s">
        <v>6576</v>
      </c>
      <c r="E2451" s="17" t="s">
        <v>7051</v>
      </c>
      <c r="F2451" s="17" t="s">
        <v>7052</v>
      </c>
      <c r="G2451" s="17">
        <v>22.099197</v>
      </c>
      <c r="H2451" s="17">
        <v>87.751641000000006</v>
      </c>
      <c r="I2451" s="17"/>
      <c r="J2451" s="17"/>
      <c r="K2451" s="17"/>
      <c r="L2451" s="17"/>
      <c r="M2451" s="34" t="s">
        <v>335</v>
      </c>
      <c r="N2451" s="17">
        <v>6290825031</v>
      </c>
      <c r="O2451" s="17">
        <v>18</v>
      </c>
      <c r="P2451" s="17">
        <v>70</v>
      </c>
      <c r="Q2451" s="17" t="s">
        <v>73</v>
      </c>
      <c r="R2451" s="17" t="s">
        <v>104</v>
      </c>
      <c r="S2451" s="17" t="s">
        <v>75</v>
      </c>
      <c r="T2451" s="17"/>
      <c r="U2451" s="17" t="s">
        <v>76</v>
      </c>
      <c r="V2451" s="17" t="s">
        <v>77</v>
      </c>
      <c r="W2451" s="17" t="s">
        <v>123</v>
      </c>
      <c r="X2451" s="17">
        <v>3</v>
      </c>
      <c r="Y2451" s="17">
        <v>1</v>
      </c>
      <c r="Z2451" s="17"/>
      <c r="AA2451" s="17" t="s">
        <v>73</v>
      </c>
      <c r="AB2451" s="17" t="s">
        <v>79</v>
      </c>
      <c r="AC2451" s="17">
        <v>1</v>
      </c>
      <c r="AD2451" s="17">
        <v>0</v>
      </c>
      <c r="AE2451" s="17">
        <v>0</v>
      </c>
      <c r="AF2451" s="22" t="s">
        <v>7053</v>
      </c>
      <c r="AG2451" s="17" t="s">
        <v>724</v>
      </c>
      <c r="AH2451" s="17"/>
      <c r="AI2451" s="17"/>
      <c r="AJ2451" s="17"/>
      <c r="AK2451" s="17"/>
      <c r="AL2451" s="17"/>
      <c r="AM2451" s="17"/>
      <c r="AN2451" s="17"/>
      <c r="AO2451" s="17"/>
      <c r="AP2451" s="17"/>
      <c r="AQ2451" s="17"/>
      <c r="AR2451" s="17"/>
      <c r="AS2451" s="17"/>
      <c r="AT2451" s="17"/>
      <c r="AU2451" s="17" t="s">
        <v>75</v>
      </c>
      <c r="AV2451" t="s">
        <v>6675</v>
      </c>
    </row>
    <row r="2452" hidden="1">
      <c r="A2452" s="17">
        <v>2450</v>
      </c>
      <c r="B2452" s="17" t="s">
        <v>52</v>
      </c>
      <c r="C2452" s="34" t="s">
        <v>7054</v>
      </c>
      <c r="D2452" s="35" t="s">
        <v>6576</v>
      </c>
      <c r="E2452" s="17"/>
      <c r="F2452" s="17"/>
      <c r="G2452" s="17"/>
      <c r="H2452" s="17"/>
      <c r="I2452" s="17"/>
      <c r="J2452" s="17"/>
      <c r="K2452" s="17"/>
      <c r="L2452" s="17"/>
      <c r="M2452" s="34" t="s">
        <v>335</v>
      </c>
      <c r="N2452" s="17"/>
      <c r="O2452" s="17"/>
      <c r="P2452" s="17"/>
      <c r="Q2452" s="17"/>
      <c r="R2452" s="17"/>
      <c r="S2452" s="17"/>
      <c r="T2452" s="17"/>
      <c r="U2452" s="17"/>
      <c r="V2452" s="17"/>
      <c r="W2452" s="17"/>
      <c r="X2452" s="17"/>
      <c r="Y2452" s="17"/>
      <c r="Z2452" s="17"/>
      <c r="AA2452" s="17"/>
      <c r="AB2452" s="17"/>
      <c r="AC2452" s="17"/>
      <c r="AD2452" s="17"/>
      <c r="AE2452" s="17"/>
      <c r="AF2452" s="17"/>
      <c r="AG2452" s="17"/>
      <c r="AH2452" s="17"/>
      <c r="AI2452" s="17"/>
      <c r="AJ2452" s="17"/>
      <c r="AK2452" s="17"/>
      <c r="AL2452" s="17"/>
      <c r="AM2452" s="17"/>
      <c r="AN2452" s="17"/>
      <c r="AO2452" s="17"/>
      <c r="AP2452" s="17"/>
      <c r="AQ2452" s="17"/>
      <c r="AR2452" s="17"/>
      <c r="AS2452" s="17"/>
      <c r="AT2452" s="17"/>
      <c r="AU2452" s="17"/>
    </row>
    <row r="2453" hidden="1">
      <c r="A2453" s="17">
        <v>2451</v>
      </c>
      <c r="B2453" s="17" t="s">
        <v>52</v>
      </c>
      <c r="C2453" s="34" t="s">
        <v>7055</v>
      </c>
      <c r="D2453" s="35" t="s">
        <v>6576</v>
      </c>
      <c r="E2453" s="17"/>
      <c r="F2453" s="17"/>
      <c r="G2453" s="17"/>
      <c r="H2453" s="17"/>
      <c r="I2453" s="17"/>
      <c r="J2453" s="17"/>
      <c r="K2453" s="17"/>
      <c r="L2453" s="17"/>
      <c r="M2453" s="34" t="s">
        <v>335</v>
      </c>
      <c r="N2453" s="17"/>
      <c r="O2453" s="17"/>
      <c r="P2453" s="17"/>
      <c r="Q2453" s="17"/>
      <c r="R2453" s="17"/>
      <c r="S2453" s="17"/>
      <c r="T2453" s="17"/>
      <c r="U2453" s="17"/>
      <c r="V2453" s="17"/>
      <c r="W2453" s="17"/>
      <c r="X2453" s="17"/>
      <c r="Y2453" s="17"/>
      <c r="Z2453" s="17"/>
      <c r="AA2453" s="17"/>
      <c r="AB2453" s="17"/>
      <c r="AC2453" s="17"/>
      <c r="AD2453" s="17"/>
      <c r="AE2453" s="17"/>
      <c r="AF2453" s="17"/>
      <c r="AG2453" s="17"/>
      <c r="AH2453" s="17"/>
      <c r="AI2453" s="17"/>
      <c r="AJ2453" s="17"/>
      <c r="AK2453" s="17"/>
      <c r="AL2453" s="17"/>
      <c r="AM2453" s="17"/>
      <c r="AN2453" s="17"/>
      <c r="AO2453" s="17"/>
      <c r="AP2453" s="17"/>
      <c r="AQ2453" s="17"/>
      <c r="AR2453" s="17"/>
      <c r="AS2453" s="17"/>
      <c r="AT2453" s="17"/>
      <c r="AU2453" s="17"/>
    </row>
    <row r="2454" hidden="1">
      <c r="A2454" s="17">
        <v>2452</v>
      </c>
      <c r="B2454" s="17" t="s">
        <v>52</v>
      </c>
      <c r="C2454" s="34" t="s">
        <v>7056</v>
      </c>
      <c r="D2454" s="35" t="s">
        <v>6576</v>
      </c>
      <c r="E2454" s="17"/>
      <c r="F2454" s="17"/>
      <c r="G2454" s="17"/>
      <c r="H2454" s="17"/>
      <c r="I2454" s="17"/>
      <c r="J2454" s="17"/>
      <c r="K2454" s="17"/>
      <c r="L2454" s="17"/>
      <c r="M2454" s="34" t="s">
        <v>335</v>
      </c>
      <c r="N2454" s="17"/>
      <c r="O2454" s="17"/>
      <c r="P2454" s="17"/>
      <c r="Q2454" s="17"/>
      <c r="R2454" s="17"/>
      <c r="S2454" s="17"/>
      <c r="T2454" s="17"/>
      <c r="U2454" s="17"/>
      <c r="V2454" s="17"/>
      <c r="W2454" s="17"/>
      <c r="X2454" s="17"/>
      <c r="Y2454" s="17"/>
      <c r="Z2454" s="17"/>
      <c r="AA2454" s="17"/>
      <c r="AB2454" s="17"/>
      <c r="AC2454" s="17"/>
      <c r="AD2454" s="17"/>
      <c r="AE2454" s="17"/>
      <c r="AF2454" s="17"/>
      <c r="AG2454" s="17"/>
      <c r="AH2454" s="17"/>
      <c r="AI2454" s="17"/>
      <c r="AJ2454" s="17"/>
      <c r="AK2454" s="17"/>
      <c r="AL2454" s="17"/>
      <c r="AM2454" s="17"/>
      <c r="AN2454" s="17"/>
      <c r="AO2454" s="17"/>
      <c r="AP2454" s="17"/>
      <c r="AQ2454" s="17"/>
      <c r="AR2454" s="17"/>
      <c r="AS2454" s="17"/>
      <c r="AT2454" s="17"/>
      <c r="AU2454" s="17"/>
    </row>
    <row r="2455" hidden="1">
      <c r="A2455" s="17">
        <v>2453</v>
      </c>
      <c r="B2455" s="17" t="s">
        <v>52</v>
      </c>
      <c r="C2455" s="34" t="s">
        <v>7057</v>
      </c>
      <c r="D2455" s="35" t="s">
        <v>6576</v>
      </c>
      <c r="E2455" s="17"/>
      <c r="F2455" s="17"/>
      <c r="G2455" s="17"/>
      <c r="H2455" s="17"/>
      <c r="I2455" s="17"/>
      <c r="J2455" s="17"/>
      <c r="K2455" s="17"/>
      <c r="L2455" s="17"/>
      <c r="M2455" s="34" t="s">
        <v>335</v>
      </c>
      <c r="N2455" s="17"/>
      <c r="O2455" s="17"/>
      <c r="P2455" s="17"/>
      <c r="Q2455" s="17"/>
      <c r="R2455" s="17"/>
      <c r="S2455" s="17"/>
      <c r="T2455" s="17"/>
      <c r="U2455" s="17"/>
      <c r="V2455" s="17"/>
      <c r="W2455" s="17"/>
      <c r="X2455" s="17"/>
      <c r="Y2455" s="17"/>
      <c r="Z2455" s="17"/>
      <c r="AA2455" s="17"/>
      <c r="AB2455" s="17"/>
      <c r="AC2455" s="17"/>
      <c r="AD2455" s="17"/>
      <c r="AE2455" s="17"/>
      <c r="AF2455" s="17"/>
      <c r="AG2455" s="17"/>
      <c r="AH2455" s="17"/>
      <c r="AI2455" s="17"/>
      <c r="AJ2455" s="17"/>
      <c r="AK2455" s="17"/>
      <c r="AL2455" s="17"/>
      <c r="AM2455" s="17"/>
      <c r="AN2455" s="17"/>
      <c r="AO2455" s="17"/>
      <c r="AP2455" s="17"/>
      <c r="AQ2455" s="17"/>
      <c r="AR2455" s="17"/>
      <c r="AS2455" s="17"/>
      <c r="AT2455" s="17"/>
      <c r="AU2455" s="17"/>
    </row>
    <row r="2456" hidden="1">
      <c r="A2456" s="17">
        <v>2454</v>
      </c>
      <c r="B2456" s="17" t="s">
        <v>52</v>
      </c>
      <c r="C2456" s="34" t="s">
        <v>7058</v>
      </c>
      <c r="D2456" s="35" t="s">
        <v>6576</v>
      </c>
      <c r="E2456" s="17"/>
      <c r="F2456" s="17"/>
      <c r="G2456" s="17"/>
      <c r="H2456" s="17"/>
      <c r="I2456" s="17"/>
      <c r="J2456" s="17"/>
      <c r="K2456" s="17"/>
      <c r="L2456" s="17"/>
      <c r="M2456" s="34" t="s">
        <v>335</v>
      </c>
      <c r="N2456" s="17"/>
      <c r="O2456" s="17"/>
      <c r="P2456" s="17"/>
      <c r="Q2456" s="17"/>
      <c r="R2456" s="17"/>
      <c r="S2456" s="17"/>
      <c r="T2456" s="17"/>
      <c r="U2456" s="17"/>
      <c r="V2456" s="17"/>
      <c r="W2456" s="17"/>
      <c r="X2456" s="17"/>
      <c r="Y2456" s="17"/>
      <c r="Z2456" s="17"/>
      <c r="AA2456" s="17"/>
      <c r="AB2456" s="17"/>
      <c r="AC2456" s="17"/>
      <c r="AD2456" s="17"/>
      <c r="AE2456" s="17"/>
      <c r="AF2456" s="17"/>
      <c r="AG2456" s="17"/>
      <c r="AH2456" s="17"/>
      <c r="AI2456" s="17"/>
      <c r="AJ2456" s="17"/>
      <c r="AK2456" s="17"/>
      <c r="AL2456" s="17"/>
      <c r="AM2456" s="17"/>
      <c r="AN2456" s="17"/>
      <c r="AO2456" s="17"/>
      <c r="AP2456" s="17"/>
      <c r="AQ2456" s="17"/>
      <c r="AR2456" s="17"/>
      <c r="AS2456" s="17"/>
      <c r="AT2456" s="17"/>
      <c r="AU2456" s="17"/>
    </row>
    <row r="2457" hidden="1">
      <c r="A2457" s="17">
        <v>2455</v>
      </c>
      <c r="B2457" s="17" t="s">
        <v>52</v>
      </c>
      <c r="C2457" s="34" t="s">
        <v>7059</v>
      </c>
      <c r="D2457" s="35" t="s">
        <v>6576</v>
      </c>
      <c r="E2457" s="17" t="s">
        <v>7060</v>
      </c>
      <c r="F2457" s="17" t="s">
        <v>7061</v>
      </c>
      <c r="G2457" s="17">
        <v>22.107851</v>
      </c>
      <c r="H2457" s="17">
        <v>87.784701999999996</v>
      </c>
      <c r="I2457" s="17"/>
      <c r="J2457" s="17"/>
      <c r="K2457" s="17"/>
      <c r="L2457" s="17"/>
      <c r="M2457" s="34" t="s">
        <v>335</v>
      </c>
      <c r="N2457" s="17">
        <v>6290825031</v>
      </c>
      <c r="O2457" s="17"/>
      <c r="P2457" s="17"/>
      <c r="Q2457" s="17"/>
      <c r="R2457" s="17"/>
      <c r="S2457" s="17"/>
      <c r="T2457" s="17"/>
      <c r="U2457" s="17"/>
      <c r="V2457" s="17"/>
      <c r="W2457" s="17"/>
      <c r="X2457" s="17"/>
      <c r="Y2457" s="17"/>
      <c r="Z2457" s="17"/>
      <c r="AA2457" s="17"/>
      <c r="AB2457" s="17"/>
      <c r="AC2457" s="17"/>
      <c r="AD2457" s="17"/>
      <c r="AE2457" s="17"/>
      <c r="AF2457" s="17"/>
      <c r="AG2457" s="17"/>
      <c r="AH2457" s="17"/>
      <c r="AI2457" s="17"/>
      <c r="AJ2457" s="17"/>
      <c r="AK2457" s="17"/>
      <c r="AL2457" s="17"/>
      <c r="AM2457" s="17"/>
      <c r="AN2457" s="17"/>
      <c r="AO2457" s="17"/>
      <c r="AP2457" s="17"/>
      <c r="AQ2457" s="17"/>
      <c r="AR2457" s="17"/>
      <c r="AS2457" s="17"/>
      <c r="AT2457" s="17"/>
      <c r="AU2457" s="17"/>
    </row>
    <row r="2458" hidden="1">
      <c r="A2458" s="17">
        <v>2456</v>
      </c>
      <c r="B2458" s="17" t="s">
        <v>52</v>
      </c>
      <c r="C2458" s="34" t="s">
        <v>7062</v>
      </c>
      <c r="D2458" s="35" t="s">
        <v>6576</v>
      </c>
      <c r="E2458" s="17" t="s">
        <v>7063</v>
      </c>
      <c r="F2458" s="17" t="s">
        <v>7064</v>
      </c>
      <c r="G2458" s="17">
        <v>22.168870999999999</v>
      </c>
      <c r="H2458" s="17">
        <v>87.713502000000005</v>
      </c>
      <c r="I2458" s="17"/>
      <c r="J2458" s="17"/>
      <c r="K2458" s="17"/>
      <c r="L2458" s="17"/>
      <c r="M2458" s="34" t="s">
        <v>335</v>
      </c>
      <c r="N2458" s="17">
        <v>6290825031</v>
      </c>
      <c r="O2458" s="17"/>
      <c r="P2458" s="17"/>
      <c r="Q2458" s="17"/>
      <c r="R2458" s="17"/>
      <c r="S2458" s="17"/>
      <c r="T2458" s="17"/>
      <c r="U2458" s="17"/>
      <c r="V2458" s="17"/>
      <c r="W2458" s="17"/>
      <c r="X2458" s="17"/>
      <c r="Y2458" s="17"/>
      <c r="Z2458" s="17"/>
      <c r="AA2458" s="17"/>
      <c r="AB2458" s="17"/>
      <c r="AC2458" s="17"/>
      <c r="AD2458" s="17"/>
      <c r="AE2458" s="17"/>
      <c r="AF2458" s="17"/>
      <c r="AG2458" s="17"/>
      <c r="AH2458" s="17"/>
      <c r="AI2458" s="17"/>
      <c r="AJ2458" s="17"/>
      <c r="AK2458" s="17"/>
      <c r="AL2458" s="17"/>
      <c r="AM2458" s="17"/>
      <c r="AN2458" s="17"/>
      <c r="AO2458" s="17"/>
      <c r="AP2458" s="17"/>
      <c r="AQ2458" s="17"/>
      <c r="AR2458" s="17"/>
      <c r="AS2458" s="17"/>
      <c r="AT2458" s="17"/>
      <c r="AU2458" s="17"/>
    </row>
    <row r="2459" hidden="1">
      <c r="A2459" s="17">
        <v>2457</v>
      </c>
      <c r="B2459" s="17" t="s">
        <v>52</v>
      </c>
      <c r="C2459" s="34" t="s">
        <v>7065</v>
      </c>
      <c r="D2459" s="35" t="s">
        <v>6576</v>
      </c>
      <c r="E2459" s="17" t="s">
        <v>7066</v>
      </c>
      <c r="F2459" s="17" t="s">
        <v>7067</v>
      </c>
      <c r="G2459" s="17">
        <v>22.079464000000002</v>
      </c>
      <c r="H2459" s="17">
        <v>87.714877999999999</v>
      </c>
      <c r="I2459" s="17"/>
      <c r="J2459" s="17"/>
      <c r="K2459" s="17"/>
      <c r="L2459" s="17"/>
      <c r="M2459" s="34" t="s">
        <v>335</v>
      </c>
      <c r="N2459" s="17">
        <v>6290825031</v>
      </c>
      <c r="O2459" s="17"/>
      <c r="P2459" s="17"/>
      <c r="Q2459" s="17"/>
      <c r="R2459" s="17"/>
      <c r="S2459" s="17"/>
      <c r="T2459" s="17"/>
      <c r="U2459" s="17"/>
      <c r="V2459" s="17"/>
      <c r="W2459" s="17"/>
      <c r="X2459" s="17"/>
      <c r="Y2459" s="17"/>
      <c r="Z2459" s="17"/>
      <c r="AA2459" s="17"/>
      <c r="AB2459" s="17"/>
      <c r="AC2459" s="17"/>
      <c r="AD2459" s="17"/>
      <c r="AE2459" s="17"/>
      <c r="AF2459" s="17"/>
      <c r="AG2459" s="17"/>
      <c r="AH2459" s="17"/>
      <c r="AI2459" s="17"/>
      <c r="AJ2459" s="17"/>
      <c r="AK2459" s="17"/>
      <c r="AL2459" s="17"/>
      <c r="AM2459" s="17"/>
      <c r="AN2459" s="17"/>
      <c r="AO2459" s="17"/>
      <c r="AP2459" s="17"/>
      <c r="AQ2459" s="17"/>
      <c r="AR2459" s="17"/>
      <c r="AS2459" s="17"/>
      <c r="AT2459" s="17"/>
      <c r="AU2459" s="17"/>
    </row>
    <row r="2460" hidden="1">
      <c r="A2460" s="17">
        <v>2458</v>
      </c>
      <c r="B2460" s="17" t="s">
        <v>52</v>
      </c>
      <c r="C2460" s="34" t="s">
        <v>7068</v>
      </c>
      <c r="D2460" s="35" t="s">
        <v>6576</v>
      </c>
      <c r="E2460" s="17" t="s">
        <v>7069</v>
      </c>
      <c r="F2460" s="17" t="s">
        <v>7070</v>
      </c>
      <c r="G2460" s="17">
        <v>22.126833999999999</v>
      </c>
      <c r="H2460" s="17">
        <v>87.783107999999999</v>
      </c>
      <c r="I2460" s="17"/>
      <c r="J2460" s="17"/>
      <c r="K2460" s="17"/>
      <c r="L2460" s="17"/>
      <c r="M2460" s="34" t="s">
        <v>335</v>
      </c>
      <c r="N2460" s="17">
        <v>6290825031</v>
      </c>
      <c r="O2460" s="17"/>
      <c r="P2460" s="17"/>
      <c r="Q2460" s="17"/>
      <c r="R2460" s="17"/>
      <c r="S2460" s="17"/>
      <c r="T2460" s="17"/>
      <c r="U2460" s="17"/>
      <c r="V2460" s="17"/>
      <c r="W2460" s="17"/>
      <c r="X2460" s="17"/>
      <c r="Y2460" s="17"/>
      <c r="Z2460" s="17"/>
      <c r="AA2460" s="17"/>
      <c r="AB2460" s="17"/>
      <c r="AC2460" s="17"/>
      <c r="AD2460" s="17"/>
      <c r="AE2460" s="17"/>
      <c r="AF2460" s="17"/>
      <c r="AG2460" s="17"/>
      <c r="AH2460" s="17"/>
      <c r="AI2460" s="17"/>
      <c r="AJ2460" s="17"/>
      <c r="AK2460" s="17"/>
      <c r="AL2460" s="17"/>
      <c r="AM2460" s="17"/>
      <c r="AN2460" s="17"/>
      <c r="AO2460" s="17"/>
      <c r="AP2460" s="17"/>
      <c r="AQ2460" s="17"/>
      <c r="AR2460" s="17"/>
      <c r="AS2460" s="17"/>
      <c r="AT2460" s="17"/>
      <c r="AU2460" s="17"/>
    </row>
    <row r="2461" hidden="1">
      <c r="A2461" s="17">
        <v>2459</v>
      </c>
      <c r="B2461" s="17" t="s">
        <v>52</v>
      </c>
      <c r="C2461" s="34" t="s">
        <v>7071</v>
      </c>
      <c r="D2461" s="35" t="s">
        <v>6576</v>
      </c>
      <c r="E2461" s="17" t="s">
        <v>7072</v>
      </c>
      <c r="F2461" s="17" t="s">
        <v>7073</v>
      </c>
      <c r="G2461" s="17">
        <v>22.098381</v>
      </c>
      <c r="H2461" s="17">
        <v>87.720393000000001</v>
      </c>
      <c r="I2461" s="17"/>
      <c r="J2461" s="17"/>
      <c r="K2461" s="17"/>
      <c r="L2461" s="17"/>
      <c r="M2461" s="34" t="s">
        <v>335</v>
      </c>
      <c r="N2461" s="17">
        <v>6290825031</v>
      </c>
      <c r="O2461" s="17"/>
      <c r="P2461" s="17"/>
      <c r="Q2461" s="17"/>
      <c r="R2461" s="17"/>
      <c r="S2461" s="17"/>
      <c r="T2461" s="17"/>
      <c r="U2461" s="17"/>
      <c r="V2461" s="17"/>
      <c r="W2461" s="17"/>
      <c r="X2461" s="17"/>
      <c r="Y2461" s="17"/>
      <c r="Z2461" s="17"/>
      <c r="AA2461" s="17"/>
      <c r="AB2461" s="17"/>
      <c r="AC2461" s="17"/>
      <c r="AD2461" s="17"/>
      <c r="AE2461" s="17"/>
      <c r="AF2461" s="17"/>
      <c r="AG2461" s="17"/>
      <c r="AH2461" s="17"/>
      <c r="AI2461" s="17"/>
      <c r="AJ2461" s="17"/>
      <c r="AK2461" s="17"/>
      <c r="AL2461" s="17"/>
      <c r="AM2461" s="17"/>
      <c r="AN2461" s="17"/>
      <c r="AO2461" s="17"/>
      <c r="AP2461" s="17"/>
      <c r="AQ2461" s="17"/>
      <c r="AR2461" s="17"/>
      <c r="AS2461" s="17"/>
      <c r="AT2461" s="17"/>
      <c r="AU2461" s="17"/>
    </row>
    <row r="2462" hidden="1">
      <c r="A2462" s="17">
        <v>2460</v>
      </c>
      <c r="B2462" s="17" t="s">
        <v>52</v>
      </c>
      <c r="C2462" s="34" t="s">
        <v>7074</v>
      </c>
      <c r="D2462" s="35" t="s">
        <v>6576</v>
      </c>
      <c r="E2462" s="17"/>
      <c r="F2462" s="17"/>
      <c r="G2462" s="17"/>
      <c r="H2462" s="17"/>
      <c r="I2462" s="17"/>
      <c r="J2462" s="17"/>
      <c r="K2462" s="17"/>
      <c r="L2462" s="17"/>
      <c r="M2462" s="34" t="s">
        <v>335</v>
      </c>
      <c r="N2462" s="17">
        <v>6290825031</v>
      </c>
      <c r="O2462" s="17"/>
      <c r="P2462" s="17"/>
      <c r="Q2462" s="17"/>
      <c r="R2462" s="17"/>
      <c r="S2462" s="17"/>
      <c r="T2462" s="17"/>
      <c r="U2462" s="17"/>
      <c r="V2462" s="17"/>
      <c r="W2462" s="17"/>
      <c r="X2462" s="17"/>
      <c r="Y2462" s="17"/>
      <c r="Z2462" s="17"/>
      <c r="AA2462" s="17"/>
      <c r="AB2462" s="17"/>
      <c r="AC2462" s="17"/>
      <c r="AD2462" s="17"/>
      <c r="AE2462" s="17"/>
      <c r="AF2462" s="17"/>
      <c r="AG2462" s="17"/>
      <c r="AH2462" s="17"/>
      <c r="AI2462" s="17"/>
      <c r="AJ2462" s="17"/>
      <c r="AK2462" s="17"/>
      <c r="AL2462" s="17"/>
      <c r="AM2462" s="17"/>
      <c r="AN2462" s="17"/>
      <c r="AO2462" s="17"/>
      <c r="AP2462" s="17"/>
      <c r="AQ2462" s="17"/>
      <c r="AR2462" s="17"/>
      <c r="AS2462" s="17"/>
      <c r="AT2462" s="17"/>
      <c r="AU2462" s="17"/>
    </row>
    <row r="2463" hidden="1">
      <c r="A2463" s="17">
        <v>2461</v>
      </c>
      <c r="B2463" s="17" t="s">
        <v>52</v>
      </c>
      <c r="C2463" s="34" t="s">
        <v>7075</v>
      </c>
      <c r="D2463" s="35" t="s">
        <v>6576</v>
      </c>
      <c r="E2463" s="17" t="s">
        <v>7076</v>
      </c>
      <c r="F2463" s="17" t="s">
        <v>7077</v>
      </c>
      <c r="G2463" s="17">
        <v>22.085037</v>
      </c>
      <c r="H2463" s="17">
        <v>87.798248999999998</v>
      </c>
      <c r="I2463" s="17"/>
      <c r="J2463" s="17"/>
      <c r="K2463" s="17"/>
      <c r="L2463" s="17"/>
      <c r="M2463" s="34" t="s">
        <v>335</v>
      </c>
      <c r="N2463" s="17">
        <v>6290825031</v>
      </c>
      <c r="O2463" s="17"/>
      <c r="P2463" s="17"/>
      <c r="Q2463" s="17"/>
      <c r="R2463" s="17"/>
      <c r="S2463" s="17"/>
      <c r="T2463" s="17"/>
      <c r="U2463" s="17"/>
      <c r="V2463" s="17"/>
      <c r="W2463" s="17"/>
      <c r="X2463" s="17"/>
      <c r="Y2463" s="17"/>
      <c r="Z2463" s="17"/>
      <c r="AA2463" s="17"/>
      <c r="AB2463" s="17"/>
      <c r="AC2463" s="17"/>
      <c r="AD2463" s="17"/>
      <c r="AE2463" s="17"/>
      <c r="AF2463" s="17"/>
      <c r="AG2463" s="17"/>
      <c r="AH2463" s="17"/>
      <c r="AI2463" s="17"/>
      <c r="AJ2463" s="17"/>
      <c r="AK2463" s="17"/>
      <c r="AL2463" s="17"/>
      <c r="AM2463" s="17"/>
      <c r="AN2463" s="17"/>
      <c r="AO2463" s="17"/>
      <c r="AP2463" s="17"/>
      <c r="AQ2463" s="17"/>
      <c r="AR2463" s="17"/>
      <c r="AS2463" s="17"/>
      <c r="AT2463" s="17"/>
      <c r="AU2463" s="17"/>
    </row>
    <row r="2464" hidden="1">
      <c r="A2464" s="17">
        <v>2462</v>
      </c>
      <c r="B2464" s="17" t="s">
        <v>52</v>
      </c>
      <c r="C2464" s="34" t="s">
        <v>7078</v>
      </c>
      <c r="D2464" s="35" t="s">
        <v>6576</v>
      </c>
      <c r="E2464" s="17" t="s">
        <v>7079</v>
      </c>
      <c r="F2464" s="17" t="s">
        <v>7080</v>
      </c>
      <c r="G2464" s="17">
        <v>22.115583999999998</v>
      </c>
      <c r="H2464" s="17">
        <v>87.685169999999999</v>
      </c>
      <c r="I2464" s="17"/>
      <c r="J2464" s="17"/>
      <c r="K2464" s="17"/>
      <c r="L2464" s="17"/>
      <c r="M2464" s="34" t="s">
        <v>335</v>
      </c>
      <c r="N2464" s="17">
        <v>6290825031</v>
      </c>
      <c r="O2464" s="17"/>
      <c r="P2464" s="17"/>
      <c r="Q2464" s="17"/>
      <c r="R2464" s="17"/>
      <c r="S2464" s="17"/>
      <c r="T2464" s="17"/>
      <c r="U2464" s="17"/>
      <c r="V2464" s="17"/>
      <c r="W2464" s="17"/>
      <c r="X2464" s="17"/>
      <c r="Y2464" s="17"/>
      <c r="Z2464" s="17"/>
      <c r="AA2464" s="17"/>
      <c r="AB2464" s="17"/>
      <c r="AC2464" s="17"/>
      <c r="AD2464" s="17"/>
      <c r="AE2464" s="17"/>
      <c r="AF2464" s="17"/>
      <c r="AG2464" s="17"/>
      <c r="AH2464" s="17"/>
      <c r="AI2464" s="17"/>
      <c r="AJ2464" s="17"/>
      <c r="AK2464" s="17"/>
      <c r="AL2464" s="17"/>
      <c r="AM2464" s="17"/>
      <c r="AN2464" s="17"/>
      <c r="AO2464" s="17"/>
      <c r="AP2464" s="17"/>
      <c r="AQ2464" s="17"/>
      <c r="AR2464" s="17"/>
      <c r="AS2464" s="17"/>
      <c r="AT2464" s="17"/>
      <c r="AU2464" s="17"/>
    </row>
    <row r="2465" hidden="1">
      <c r="A2465" s="17">
        <v>2463</v>
      </c>
      <c r="B2465" s="17" t="s">
        <v>52</v>
      </c>
      <c r="C2465" s="34" t="s">
        <v>7081</v>
      </c>
      <c r="D2465" s="35" t="s">
        <v>6576</v>
      </c>
      <c r="E2465" s="17" t="s">
        <v>7082</v>
      </c>
      <c r="F2465" s="17" t="s">
        <v>7083</v>
      </c>
      <c r="G2465" s="17">
        <v>22.160558999999999</v>
      </c>
      <c r="H2465" s="17">
        <v>87.788193000000007</v>
      </c>
      <c r="I2465" s="17"/>
      <c r="J2465" s="17"/>
      <c r="K2465" s="17"/>
      <c r="L2465" s="17"/>
      <c r="M2465" s="34" t="s">
        <v>335</v>
      </c>
      <c r="N2465" s="17">
        <v>6290825031</v>
      </c>
      <c r="O2465" s="17">
        <v>16</v>
      </c>
      <c r="P2465" s="17">
        <v>140</v>
      </c>
      <c r="Q2465" s="17" t="s">
        <v>73</v>
      </c>
      <c r="R2465" s="17" t="s">
        <v>74</v>
      </c>
      <c r="S2465" s="17"/>
      <c r="T2465" s="17"/>
      <c r="U2465" s="17" t="s">
        <v>160</v>
      </c>
      <c r="V2465" s="17" t="s">
        <v>77</v>
      </c>
      <c r="W2465" s="17" t="s">
        <v>123</v>
      </c>
      <c r="X2465" s="17">
        <v>5</v>
      </c>
      <c r="Y2465" s="17">
        <v>0</v>
      </c>
      <c r="Z2465" s="17"/>
      <c r="AA2465" s="17" t="s">
        <v>73</v>
      </c>
      <c r="AB2465" s="17" t="s">
        <v>79</v>
      </c>
      <c r="AC2465" s="17">
        <v>2</v>
      </c>
      <c r="AD2465" s="17">
        <v>0</v>
      </c>
      <c r="AE2465" s="17">
        <v>0</v>
      </c>
      <c r="AF2465" s="17"/>
      <c r="AG2465" s="17" t="s">
        <v>573</v>
      </c>
      <c r="AH2465" s="17" t="s">
        <v>82</v>
      </c>
      <c r="AI2465" s="17" t="s">
        <v>83</v>
      </c>
      <c r="AJ2465" s="17">
        <v>211</v>
      </c>
      <c r="AK2465" s="17" t="s">
        <v>75</v>
      </c>
      <c r="AL2465" s="17" t="s">
        <v>75</v>
      </c>
      <c r="AM2465" s="17" t="s">
        <v>75</v>
      </c>
      <c r="AN2465" s="17" t="s">
        <v>84</v>
      </c>
      <c r="AO2465" s="17" t="s">
        <v>75</v>
      </c>
      <c r="AP2465" s="17"/>
      <c r="AQ2465" s="17"/>
      <c r="AR2465" s="17"/>
      <c r="AS2465" s="17"/>
      <c r="AT2465" s="17" t="s">
        <v>7084</v>
      </c>
      <c r="AU2465" s="17" t="s">
        <v>111</v>
      </c>
    </row>
    <row r="2466" hidden="1">
      <c r="A2466" s="17">
        <v>2464</v>
      </c>
      <c r="B2466" s="17" t="s">
        <v>52</v>
      </c>
      <c r="C2466" s="34" t="s">
        <v>7085</v>
      </c>
      <c r="D2466" s="35" t="s">
        <v>6576</v>
      </c>
      <c r="E2466" s="17" t="s">
        <v>7086</v>
      </c>
      <c r="F2466" s="17" t="s">
        <v>7087</v>
      </c>
      <c r="G2466" s="17">
        <v>22.155819000000001</v>
      </c>
      <c r="H2466" s="17">
        <v>87.769799000000006</v>
      </c>
      <c r="I2466" s="17"/>
      <c r="J2466" s="17"/>
      <c r="K2466" s="17"/>
      <c r="L2466" s="17"/>
      <c r="M2466" s="34" t="s">
        <v>335</v>
      </c>
      <c r="N2466" s="17">
        <v>6290825031</v>
      </c>
      <c r="O2466" s="17">
        <v>16</v>
      </c>
      <c r="P2466" s="17">
        <v>135</v>
      </c>
      <c r="Q2466" s="17" t="s">
        <v>73</v>
      </c>
      <c r="R2466" s="17" t="s">
        <v>74</v>
      </c>
      <c r="S2466" s="17"/>
      <c r="T2466" s="17"/>
      <c r="U2466" s="17" t="s">
        <v>105</v>
      </c>
      <c r="V2466" s="17" t="s">
        <v>77</v>
      </c>
      <c r="W2466" s="17" t="s">
        <v>1182</v>
      </c>
      <c r="X2466" s="17">
        <v>4</v>
      </c>
      <c r="Y2466" s="17">
        <v>2</v>
      </c>
      <c r="Z2466" s="17"/>
      <c r="AA2466" s="17" t="s">
        <v>73</v>
      </c>
      <c r="AB2466" s="17" t="s">
        <v>79</v>
      </c>
      <c r="AC2466" s="17">
        <v>2</v>
      </c>
      <c r="AD2466" s="17">
        <v>0</v>
      </c>
      <c r="AE2466" s="17">
        <v>0</v>
      </c>
      <c r="AF2466" s="17"/>
      <c r="AG2466" s="17" t="s">
        <v>124</v>
      </c>
      <c r="AH2466" s="17" t="s">
        <v>82</v>
      </c>
      <c r="AI2466" s="17" t="s">
        <v>83</v>
      </c>
      <c r="AJ2466" s="17">
        <v>2111</v>
      </c>
      <c r="AK2466" s="17" t="s">
        <v>75</v>
      </c>
      <c r="AL2466" s="17" t="s">
        <v>75</v>
      </c>
      <c r="AM2466" s="17" t="s">
        <v>75</v>
      </c>
      <c r="AN2466" s="17" t="s">
        <v>84</v>
      </c>
      <c r="AO2466" s="17" t="s">
        <v>75</v>
      </c>
      <c r="AP2466" s="17"/>
      <c r="AQ2466" s="17"/>
      <c r="AR2466" s="17"/>
      <c r="AS2466" s="17"/>
      <c r="AT2466" s="17" t="s">
        <v>7088</v>
      </c>
      <c r="AU2466" s="17" t="s">
        <v>111</v>
      </c>
    </row>
    <row r="2467" hidden="1">
      <c r="A2467" s="17">
        <v>2465</v>
      </c>
      <c r="B2467" s="17" t="s">
        <v>52</v>
      </c>
      <c r="C2467" s="34" t="s">
        <v>7089</v>
      </c>
      <c r="D2467" s="35" t="s">
        <v>6576</v>
      </c>
      <c r="E2467" s="17" t="s">
        <v>7090</v>
      </c>
      <c r="F2467" s="17" t="s">
        <v>7091</v>
      </c>
      <c r="G2467" s="17">
        <v>22.138565</v>
      </c>
      <c r="H2467" s="17">
        <v>87.729219000000001</v>
      </c>
      <c r="I2467" s="17"/>
      <c r="J2467" s="17"/>
      <c r="K2467" s="17"/>
      <c r="L2467" s="17"/>
      <c r="M2467" s="34" t="s">
        <v>335</v>
      </c>
      <c r="N2467" s="17">
        <v>6290825031</v>
      </c>
      <c r="O2467" s="17">
        <v>16</v>
      </c>
      <c r="P2467" s="17">
        <v>130</v>
      </c>
      <c r="Q2467" s="17" t="s">
        <v>73</v>
      </c>
      <c r="R2467" s="17" t="s">
        <v>74</v>
      </c>
      <c r="S2467" s="17"/>
      <c r="T2467" s="17"/>
      <c r="U2467" s="17" t="s">
        <v>76</v>
      </c>
      <c r="V2467" s="17" t="s">
        <v>77</v>
      </c>
      <c r="W2467" s="17" t="s">
        <v>123</v>
      </c>
      <c r="X2467" s="17">
        <v>5</v>
      </c>
      <c r="Y2467" s="17">
        <v>1</v>
      </c>
      <c r="Z2467" s="17"/>
      <c r="AA2467" s="17" t="s">
        <v>73</v>
      </c>
      <c r="AB2467" s="17" t="s">
        <v>79</v>
      </c>
      <c r="AC2467" s="17">
        <v>1</v>
      </c>
      <c r="AD2467" s="17">
        <v>0</v>
      </c>
      <c r="AE2467" s="17">
        <v>0</v>
      </c>
      <c r="AF2467" s="17"/>
      <c r="AG2467" s="17" t="s">
        <v>124</v>
      </c>
      <c r="AH2467" s="17" t="s">
        <v>82</v>
      </c>
      <c r="AI2467" s="17" t="s">
        <v>83</v>
      </c>
      <c r="AJ2467" s="17">
        <v>2111</v>
      </c>
      <c r="AK2467" s="17" t="s">
        <v>75</v>
      </c>
      <c r="AL2467" s="17" t="s">
        <v>75</v>
      </c>
      <c r="AM2467" s="17" t="s">
        <v>75</v>
      </c>
      <c r="AN2467" s="17" t="s">
        <v>84</v>
      </c>
      <c r="AO2467" s="17" t="s">
        <v>75</v>
      </c>
      <c r="AP2467" s="17"/>
      <c r="AQ2467" s="17"/>
      <c r="AR2467" s="17"/>
      <c r="AS2467" s="17"/>
      <c r="AT2467" s="17" t="s">
        <v>7092</v>
      </c>
      <c r="AU2467" s="17" t="s">
        <v>111</v>
      </c>
    </row>
    <row r="2468" hidden="1">
      <c r="A2468" s="17">
        <v>2466</v>
      </c>
      <c r="B2468" s="17" t="s">
        <v>52</v>
      </c>
      <c r="C2468" s="34" t="s">
        <v>7093</v>
      </c>
      <c r="D2468" s="35" t="s">
        <v>6576</v>
      </c>
      <c r="E2468" s="17" t="s">
        <v>7094</v>
      </c>
      <c r="F2468" s="17" t="s">
        <v>7095</v>
      </c>
      <c r="G2468" s="17">
        <v>22.116140000000001</v>
      </c>
      <c r="H2468" s="17">
        <v>87.800229999999999</v>
      </c>
      <c r="I2468" s="17"/>
      <c r="J2468" s="17"/>
      <c r="K2468" s="17"/>
      <c r="L2468" s="17"/>
      <c r="M2468" s="34" t="s">
        <v>335</v>
      </c>
      <c r="N2468" s="17">
        <v>6290825031</v>
      </c>
      <c r="O2468" s="17">
        <v>16</v>
      </c>
      <c r="P2468" s="17">
        <v>120</v>
      </c>
      <c r="Q2468" s="17" t="s">
        <v>73</v>
      </c>
      <c r="R2468" s="17" t="s">
        <v>74</v>
      </c>
      <c r="S2468" s="17"/>
      <c r="T2468" s="17"/>
      <c r="U2468" s="17" t="s">
        <v>160</v>
      </c>
      <c r="V2468" s="17" t="s">
        <v>77</v>
      </c>
      <c r="W2468" s="17" t="s">
        <v>123</v>
      </c>
      <c r="X2468" s="17">
        <v>5</v>
      </c>
      <c r="Y2468" s="17">
        <v>1</v>
      </c>
      <c r="Z2468" s="17"/>
      <c r="AA2468" s="17" t="s">
        <v>73</v>
      </c>
      <c r="AB2468" s="17" t="s">
        <v>79</v>
      </c>
      <c r="AC2468" s="17">
        <v>2</v>
      </c>
      <c r="AD2468" s="17">
        <v>0</v>
      </c>
      <c r="AE2468" s="17">
        <v>0</v>
      </c>
      <c r="AF2468" s="17"/>
      <c r="AG2468" s="17" t="s">
        <v>124</v>
      </c>
      <c r="AH2468" s="17" t="s">
        <v>1344</v>
      </c>
      <c r="AI2468" s="17" t="s">
        <v>83</v>
      </c>
      <c r="AJ2468" s="17">
        <v>2111</v>
      </c>
      <c r="AK2468" s="17" t="s">
        <v>75</v>
      </c>
      <c r="AL2468" s="17" t="s">
        <v>137</v>
      </c>
      <c r="AM2468" s="17" t="s">
        <v>75</v>
      </c>
      <c r="AN2468" s="17" t="s">
        <v>84</v>
      </c>
      <c r="AO2468" s="17" t="s">
        <v>75</v>
      </c>
      <c r="AP2468" s="17"/>
      <c r="AQ2468" s="17"/>
      <c r="AR2468" s="17"/>
      <c r="AS2468" s="17"/>
      <c r="AT2468" s="17" t="s">
        <v>7096</v>
      </c>
      <c r="AU2468" s="17" t="s">
        <v>111</v>
      </c>
    </row>
    <row r="2469" hidden="1">
      <c r="A2469" s="17">
        <v>2467</v>
      </c>
      <c r="B2469" s="17" t="s">
        <v>52</v>
      </c>
      <c r="C2469" s="34" t="s">
        <v>7097</v>
      </c>
      <c r="D2469" s="35" t="s">
        <v>6576</v>
      </c>
      <c r="E2469" s="17" t="s">
        <v>7098</v>
      </c>
      <c r="F2469" s="17" t="s">
        <v>7099</v>
      </c>
      <c r="G2469" s="17">
        <v>22.111564999999999</v>
      </c>
      <c r="H2469" s="17">
        <v>87.773169999999993</v>
      </c>
      <c r="I2469" s="17"/>
      <c r="J2469" s="17"/>
      <c r="K2469" s="17"/>
      <c r="L2469" s="17"/>
      <c r="M2469" s="34" t="s">
        <v>335</v>
      </c>
      <c r="N2469" s="17">
        <v>6290825031</v>
      </c>
      <c r="O2469" s="17">
        <v>16</v>
      </c>
      <c r="P2469" s="17">
        <v>120</v>
      </c>
      <c r="Q2469" s="17" t="s">
        <v>73</v>
      </c>
      <c r="R2469" s="17" t="s">
        <v>74</v>
      </c>
      <c r="S2469" s="17"/>
      <c r="T2469" s="17"/>
      <c r="U2469" s="17" t="s">
        <v>105</v>
      </c>
      <c r="V2469" s="17" t="s">
        <v>77</v>
      </c>
      <c r="W2469" s="17" t="s">
        <v>123</v>
      </c>
      <c r="X2469" s="17">
        <v>5</v>
      </c>
      <c r="Y2469" s="17">
        <v>3</v>
      </c>
      <c r="Z2469" s="17"/>
      <c r="AA2469" s="17" t="s">
        <v>73</v>
      </c>
      <c r="AB2469" s="17" t="s">
        <v>79</v>
      </c>
      <c r="AC2469" s="17">
        <v>2</v>
      </c>
      <c r="AD2469" s="17">
        <v>0</v>
      </c>
      <c r="AE2469" s="17">
        <v>0</v>
      </c>
      <c r="AF2469" s="17"/>
      <c r="AG2469" s="17" t="s">
        <v>124</v>
      </c>
      <c r="AH2469" s="17" t="s">
        <v>82</v>
      </c>
      <c r="AI2469" s="17" t="s">
        <v>83</v>
      </c>
      <c r="AJ2469" s="17">
        <v>2111</v>
      </c>
      <c r="AK2469" s="17" t="s">
        <v>75</v>
      </c>
      <c r="AL2469" s="17" t="s">
        <v>75</v>
      </c>
      <c r="AM2469" s="17" t="s">
        <v>75</v>
      </c>
      <c r="AN2469" s="17" t="s">
        <v>84</v>
      </c>
      <c r="AO2469" s="17" t="s">
        <v>75</v>
      </c>
      <c r="AP2469" s="17"/>
      <c r="AQ2469" s="17"/>
      <c r="AR2469" s="17"/>
      <c r="AS2469" s="17"/>
      <c r="AT2469" s="17" t="s">
        <v>7100</v>
      </c>
      <c r="AU2469" s="17" t="s">
        <v>111</v>
      </c>
    </row>
    <row r="2470" hidden="1">
      <c r="A2470" s="17">
        <v>2468</v>
      </c>
      <c r="B2470" s="17" t="s">
        <v>52</v>
      </c>
      <c r="C2470" s="34" t="s">
        <v>7101</v>
      </c>
      <c r="D2470" s="35" t="s">
        <v>6576</v>
      </c>
      <c r="E2470" s="17" t="s">
        <v>7102</v>
      </c>
      <c r="F2470" s="17" t="s">
        <v>7103</v>
      </c>
      <c r="G2470" s="17">
        <v>22.088863</v>
      </c>
      <c r="H2470" s="17">
        <v>87.741596999999999</v>
      </c>
      <c r="I2470" s="17"/>
      <c r="J2470" s="17"/>
      <c r="K2470" s="17"/>
      <c r="L2470" s="17"/>
      <c r="M2470" s="34" t="s">
        <v>335</v>
      </c>
      <c r="N2470" s="17">
        <v>6290825031</v>
      </c>
      <c r="O2470" s="17">
        <v>16</v>
      </c>
      <c r="P2470" s="17">
        <v>130</v>
      </c>
      <c r="Q2470" s="17" t="s">
        <v>73</v>
      </c>
      <c r="R2470" s="17" t="s">
        <v>74</v>
      </c>
      <c r="S2470" s="17"/>
      <c r="T2470" s="17"/>
      <c r="U2470" s="17" t="s">
        <v>160</v>
      </c>
      <c r="V2470" s="17" t="s">
        <v>77</v>
      </c>
      <c r="W2470" s="17" t="s">
        <v>123</v>
      </c>
      <c r="X2470" s="17">
        <v>5</v>
      </c>
      <c r="Y2470" s="17">
        <v>0</v>
      </c>
      <c r="Z2470" s="17"/>
      <c r="AA2470" s="17" t="s">
        <v>73</v>
      </c>
      <c r="AB2470" s="17" t="s">
        <v>79</v>
      </c>
      <c r="AC2470" s="17">
        <v>1</v>
      </c>
      <c r="AD2470" s="17">
        <v>0</v>
      </c>
      <c r="AE2470" s="17">
        <v>0</v>
      </c>
      <c r="AF2470" s="17"/>
      <c r="AG2470" s="17" t="s">
        <v>124</v>
      </c>
      <c r="AH2470" s="17" t="s">
        <v>82</v>
      </c>
      <c r="AI2470" s="17" t="s">
        <v>83</v>
      </c>
      <c r="AJ2470" s="17">
        <v>2111</v>
      </c>
      <c r="AK2470" s="17" t="s">
        <v>75</v>
      </c>
      <c r="AL2470" s="17" t="s">
        <v>75</v>
      </c>
      <c r="AM2470" s="17" t="s">
        <v>75</v>
      </c>
      <c r="AN2470" s="17" t="s">
        <v>84</v>
      </c>
      <c r="AO2470" s="17" t="s">
        <v>75</v>
      </c>
      <c r="AP2470" s="17"/>
      <c r="AQ2470" s="17"/>
      <c r="AR2470" s="17"/>
      <c r="AS2470" s="17"/>
      <c r="AT2470" s="17" t="s">
        <v>7104</v>
      </c>
      <c r="AU2470" s="17" t="s">
        <v>111</v>
      </c>
    </row>
    <row r="2471" hidden="1">
      <c r="A2471" s="17">
        <v>2469</v>
      </c>
      <c r="B2471" s="17" t="s">
        <v>52</v>
      </c>
      <c r="C2471" s="34" t="s">
        <v>7105</v>
      </c>
      <c r="D2471" s="35" t="s">
        <v>6576</v>
      </c>
      <c r="E2471" s="17" t="s">
        <v>7106</v>
      </c>
      <c r="F2471" s="17" t="s">
        <v>7107</v>
      </c>
      <c r="G2471" s="17">
        <v>22.150347</v>
      </c>
      <c r="H2471" s="17">
        <v>87.707057000000006</v>
      </c>
      <c r="I2471" s="17"/>
      <c r="J2471" s="17"/>
      <c r="K2471" s="17"/>
      <c r="L2471" s="17"/>
      <c r="M2471" s="34" t="s">
        <v>335</v>
      </c>
      <c r="N2471" s="17">
        <v>6290825031</v>
      </c>
      <c r="O2471" s="17">
        <v>15</v>
      </c>
      <c r="P2471" s="17">
        <v>140</v>
      </c>
      <c r="Q2471" s="17" t="s">
        <v>105</v>
      </c>
      <c r="R2471" s="17" t="s">
        <v>238</v>
      </c>
      <c r="S2471" s="17"/>
      <c r="T2471" s="17"/>
      <c r="U2471" s="17" t="s">
        <v>105</v>
      </c>
      <c r="V2471" s="17" t="s">
        <v>77</v>
      </c>
      <c r="W2471" s="17" t="s">
        <v>123</v>
      </c>
      <c r="X2471" s="17">
        <v>4</v>
      </c>
      <c r="Y2471" s="17">
        <v>1</v>
      </c>
      <c r="Z2471" s="17"/>
      <c r="AA2471" s="17" t="s">
        <v>105</v>
      </c>
      <c r="AB2471" s="17" t="s">
        <v>239</v>
      </c>
      <c r="AC2471" s="17">
        <v>4</v>
      </c>
      <c r="AD2471" s="17">
        <v>0</v>
      </c>
      <c r="AE2471" s="17">
        <v>0</v>
      </c>
      <c r="AF2471" s="17"/>
      <c r="AG2471" s="17" t="s">
        <v>573</v>
      </c>
      <c r="AH2471" s="17" t="s">
        <v>82</v>
      </c>
      <c r="AI2471" s="17" t="s">
        <v>107</v>
      </c>
      <c r="AJ2471" s="17"/>
      <c r="AK2471" s="17" t="s">
        <v>75</v>
      </c>
      <c r="AL2471" s="17" t="s">
        <v>75</v>
      </c>
      <c r="AM2471" s="17" t="s">
        <v>75</v>
      </c>
      <c r="AN2471" s="17" t="s">
        <v>84</v>
      </c>
      <c r="AO2471" s="17" t="s">
        <v>75</v>
      </c>
      <c r="AP2471" s="17"/>
      <c r="AQ2471" s="17"/>
      <c r="AR2471" s="17"/>
      <c r="AS2471" s="17"/>
      <c r="AT2471" s="17" t="s">
        <v>7108</v>
      </c>
      <c r="AU2471" s="17" t="s">
        <v>111</v>
      </c>
    </row>
    <row r="2472" hidden="1">
      <c r="A2472" s="17">
        <v>2470</v>
      </c>
      <c r="B2472" s="17" t="s">
        <v>52</v>
      </c>
      <c r="C2472" s="34" t="s">
        <v>7109</v>
      </c>
      <c r="D2472" s="35" t="s">
        <v>6576</v>
      </c>
      <c r="E2472" s="17" t="s">
        <v>7110</v>
      </c>
      <c r="F2472" s="17" t="s">
        <v>7111</v>
      </c>
      <c r="G2472" s="17">
        <v>22.083016000000001</v>
      </c>
      <c r="H2472" s="17">
        <v>87.676452999999995</v>
      </c>
      <c r="I2472" s="17"/>
      <c r="J2472" s="17"/>
      <c r="K2472" s="17"/>
      <c r="L2472" s="17"/>
      <c r="M2472" s="34" t="s">
        <v>335</v>
      </c>
      <c r="N2472" s="17">
        <v>6290825031</v>
      </c>
      <c r="O2472" s="17">
        <v>16</v>
      </c>
      <c r="P2472" s="17">
        <v>120</v>
      </c>
      <c r="Q2472" s="17" t="s">
        <v>187</v>
      </c>
      <c r="R2472" s="17" t="s">
        <v>74</v>
      </c>
      <c r="S2472" s="17"/>
      <c r="T2472" s="17"/>
      <c r="U2472" s="17" t="s">
        <v>105</v>
      </c>
      <c r="V2472" s="17" t="s">
        <v>77</v>
      </c>
      <c r="W2472" s="17" t="s">
        <v>78</v>
      </c>
      <c r="X2472" s="17">
        <v>5</v>
      </c>
      <c r="Y2472" s="17">
        <v>0</v>
      </c>
      <c r="Z2472" s="17"/>
      <c r="AA2472" s="17" t="s">
        <v>187</v>
      </c>
      <c r="AB2472" s="17" t="s">
        <v>79</v>
      </c>
      <c r="AC2472" s="17">
        <v>2</v>
      </c>
      <c r="AD2472" s="17">
        <v>0</v>
      </c>
      <c r="AE2472" s="17">
        <v>0</v>
      </c>
      <c r="AF2472" s="17"/>
      <c r="AG2472" s="17" t="s">
        <v>677</v>
      </c>
      <c r="AH2472" s="17" t="s">
        <v>162</v>
      </c>
      <c r="AI2472" s="17" t="s">
        <v>83</v>
      </c>
      <c r="AJ2472" s="17">
        <v>211</v>
      </c>
      <c r="AK2472" s="17" t="s">
        <v>75</v>
      </c>
      <c r="AL2472" s="17" t="s">
        <v>75</v>
      </c>
      <c r="AM2472" s="17" t="s">
        <v>137</v>
      </c>
      <c r="AN2472" s="17" t="s">
        <v>84</v>
      </c>
      <c r="AO2472" s="17" t="s">
        <v>75</v>
      </c>
      <c r="AP2472" s="17"/>
      <c r="AQ2472" s="17"/>
      <c r="AR2472" s="17"/>
      <c r="AS2472" s="17"/>
      <c r="AT2472" s="17" t="s">
        <v>7112</v>
      </c>
      <c r="AU2472" s="17" t="s">
        <v>111</v>
      </c>
    </row>
    <row r="2473" hidden="1">
      <c r="A2473" s="17">
        <v>2471</v>
      </c>
      <c r="B2473" s="17" t="s">
        <v>52</v>
      </c>
      <c r="C2473" s="34" t="s">
        <v>7113</v>
      </c>
      <c r="D2473" s="35" t="s">
        <v>6576</v>
      </c>
      <c r="E2473" s="17" t="s">
        <v>7114</v>
      </c>
      <c r="F2473" s="17" t="s">
        <v>7115</v>
      </c>
      <c r="G2473" s="17">
        <v>22.123598999999999</v>
      </c>
      <c r="H2473" s="17">
        <v>87.753579000000002</v>
      </c>
      <c r="I2473" s="17"/>
      <c r="J2473" s="17"/>
      <c r="K2473" s="17"/>
      <c r="L2473" s="17"/>
      <c r="M2473" s="34" t="s">
        <v>335</v>
      </c>
      <c r="N2473" s="17">
        <v>6290825031</v>
      </c>
      <c r="O2473" s="17">
        <v>16</v>
      </c>
      <c r="P2473" s="17">
        <v>110</v>
      </c>
      <c r="Q2473" s="17" t="s">
        <v>105</v>
      </c>
      <c r="R2473" s="17" t="s">
        <v>154</v>
      </c>
      <c r="S2473" s="17"/>
      <c r="T2473" s="17"/>
      <c r="U2473" s="17" t="s">
        <v>105</v>
      </c>
      <c r="V2473" s="17" t="s">
        <v>340</v>
      </c>
      <c r="W2473" s="17" t="s">
        <v>78</v>
      </c>
      <c r="X2473" s="17">
        <v>4</v>
      </c>
      <c r="Y2473" s="17">
        <v>0</v>
      </c>
      <c r="Z2473" s="17"/>
      <c r="AA2473" s="17" t="s">
        <v>105</v>
      </c>
      <c r="AB2473" s="17" t="s">
        <v>239</v>
      </c>
      <c r="AC2473" s="17">
        <v>3</v>
      </c>
      <c r="AD2473" s="17">
        <v>0</v>
      </c>
      <c r="AE2473" s="17">
        <v>0</v>
      </c>
      <c r="AF2473" s="17"/>
      <c r="AG2473" s="17" t="s">
        <v>573</v>
      </c>
      <c r="AH2473" s="17" t="s">
        <v>82</v>
      </c>
      <c r="AI2473" s="17" t="s">
        <v>107</v>
      </c>
      <c r="AJ2473" s="17"/>
      <c r="AK2473" s="17" t="s">
        <v>75</v>
      </c>
      <c r="AL2473" s="17" t="s">
        <v>75</v>
      </c>
      <c r="AM2473" s="17" t="s">
        <v>75</v>
      </c>
      <c r="AN2473" s="17" t="s">
        <v>84</v>
      </c>
      <c r="AO2473" s="17" t="s">
        <v>75</v>
      </c>
      <c r="AP2473" s="17"/>
      <c r="AQ2473" s="17"/>
      <c r="AR2473" s="17"/>
      <c r="AS2473" s="17"/>
      <c r="AT2473" s="17" t="s">
        <v>7116</v>
      </c>
      <c r="AU2473" s="17" t="s">
        <v>111</v>
      </c>
    </row>
    <row r="2474" hidden="1">
      <c r="A2474" s="17">
        <v>2472</v>
      </c>
      <c r="B2474" s="17" t="s">
        <v>52</v>
      </c>
      <c r="C2474" s="34" t="s">
        <v>7117</v>
      </c>
      <c r="D2474" s="35" t="s">
        <v>6576</v>
      </c>
      <c r="E2474" s="17" t="s">
        <v>7118</v>
      </c>
      <c r="F2474" s="17" t="s">
        <v>7119</v>
      </c>
      <c r="G2474" s="17">
        <v>22.098849999999999</v>
      </c>
      <c r="H2474" s="17">
        <v>87.694800000000001</v>
      </c>
      <c r="I2474" s="17"/>
      <c r="J2474" s="17"/>
      <c r="K2474" s="17"/>
      <c r="L2474" s="17"/>
      <c r="M2474" s="34" t="s">
        <v>335</v>
      </c>
      <c r="N2474" s="17">
        <v>6290825031</v>
      </c>
      <c r="O2474" s="17">
        <v>14</v>
      </c>
      <c r="P2474" s="17">
        <v>140</v>
      </c>
      <c r="Q2474" s="17" t="s">
        <v>187</v>
      </c>
      <c r="R2474" s="17" t="s">
        <v>74</v>
      </c>
      <c r="S2474" s="17"/>
      <c r="T2474" s="17"/>
      <c r="U2474" s="17" t="s">
        <v>160</v>
      </c>
      <c r="V2474" s="17" t="s">
        <v>77</v>
      </c>
      <c r="W2474" s="17" t="s">
        <v>123</v>
      </c>
      <c r="X2474" s="17">
        <v>4</v>
      </c>
      <c r="Y2474" s="17">
        <v>0</v>
      </c>
      <c r="Z2474" s="17"/>
      <c r="AA2474" s="17" t="s">
        <v>187</v>
      </c>
      <c r="AB2474" s="17" t="s">
        <v>79</v>
      </c>
      <c r="AC2474" s="17">
        <v>3</v>
      </c>
      <c r="AD2474" s="17">
        <v>0</v>
      </c>
      <c r="AE2474" s="17">
        <v>0</v>
      </c>
      <c r="AF2474" s="17"/>
      <c r="AG2474" s="17" t="s">
        <v>124</v>
      </c>
      <c r="AH2474" s="17" t="s">
        <v>82</v>
      </c>
      <c r="AI2474" s="17" t="s">
        <v>83</v>
      </c>
      <c r="AJ2474" s="17">
        <v>2111</v>
      </c>
      <c r="AK2474" s="17" t="s">
        <v>75</v>
      </c>
      <c r="AL2474" s="17" t="s">
        <v>75</v>
      </c>
      <c r="AM2474" s="17" t="s">
        <v>75</v>
      </c>
      <c r="AN2474" s="17" t="s">
        <v>84</v>
      </c>
      <c r="AO2474" s="17" t="s">
        <v>75</v>
      </c>
      <c r="AP2474" s="17"/>
      <c r="AQ2474" s="17"/>
      <c r="AR2474" s="17"/>
      <c r="AS2474" s="17"/>
      <c r="AT2474" s="17" t="s">
        <v>7120</v>
      </c>
      <c r="AU2474" s="17" t="s">
        <v>111</v>
      </c>
    </row>
    <row r="2475" hidden="1">
      <c r="A2475" s="17">
        <v>2473</v>
      </c>
      <c r="B2475" s="17" t="s">
        <v>52</v>
      </c>
      <c r="C2475" s="34" t="s">
        <v>7121</v>
      </c>
      <c r="D2475" s="35" t="s">
        <v>6576</v>
      </c>
      <c r="E2475" s="17" t="s">
        <v>7122</v>
      </c>
      <c r="F2475" s="17" t="s">
        <v>7123</v>
      </c>
      <c r="G2475" s="17">
        <v>22.105779999999999</v>
      </c>
      <c r="H2475" s="17">
        <v>87.742109999999997</v>
      </c>
      <c r="I2475" s="17"/>
      <c r="J2475" s="17"/>
      <c r="K2475" s="17"/>
      <c r="L2475" s="17"/>
      <c r="M2475" s="34" t="s">
        <v>335</v>
      </c>
      <c r="N2475" s="17">
        <v>6290825031</v>
      </c>
      <c r="O2475" s="17">
        <v>16</v>
      </c>
      <c r="P2475" s="17">
        <v>110</v>
      </c>
      <c r="Q2475" s="17" t="s">
        <v>73</v>
      </c>
      <c r="R2475" s="17" t="s">
        <v>74</v>
      </c>
      <c r="S2475" s="17"/>
      <c r="T2475" s="17"/>
      <c r="U2475" s="17" t="s">
        <v>160</v>
      </c>
      <c r="V2475" s="17" t="s">
        <v>77</v>
      </c>
      <c r="W2475" s="17" t="s">
        <v>123</v>
      </c>
      <c r="X2475" s="17">
        <v>3</v>
      </c>
      <c r="Y2475" s="17">
        <v>0</v>
      </c>
      <c r="Z2475" s="17"/>
      <c r="AA2475" s="17" t="s">
        <v>73</v>
      </c>
      <c r="AB2475" s="17" t="s">
        <v>79</v>
      </c>
      <c r="AC2475" s="17">
        <v>2</v>
      </c>
      <c r="AD2475" s="17">
        <v>0</v>
      </c>
      <c r="AE2475" s="17">
        <v>0</v>
      </c>
      <c r="AF2475" s="17"/>
      <c r="AG2475" s="17" t="s">
        <v>124</v>
      </c>
      <c r="AH2475" s="17" t="s">
        <v>82</v>
      </c>
      <c r="AI2475" s="17" t="s">
        <v>83</v>
      </c>
      <c r="AJ2475" s="17">
        <v>2111</v>
      </c>
      <c r="AK2475" s="17" t="s">
        <v>75</v>
      </c>
      <c r="AL2475" s="17" t="s">
        <v>75</v>
      </c>
      <c r="AM2475" s="17" t="s">
        <v>75</v>
      </c>
      <c r="AN2475" s="17" t="s">
        <v>125</v>
      </c>
      <c r="AO2475" s="17" t="s">
        <v>75</v>
      </c>
      <c r="AP2475" s="17"/>
      <c r="AQ2475" s="17"/>
      <c r="AR2475" s="17"/>
      <c r="AS2475" s="17"/>
      <c r="AT2475" s="17" t="s">
        <v>7120</v>
      </c>
      <c r="AU2475" s="17" t="s">
        <v>111</v>
      </c>
    </row>
    <row r="2476" hidden="1">
      <c r="A2476" s="17">
        <v>2474</v>
      </c>
      <c r="B2476" s="17" t="s">
        <v>52</v>
      </c>
      <c r="C2476" s="34" t="s">
        <v>7124</v>
      </c>
      <c r="D2476" s="35" t="s">
        <v>6576</v>
      </c>
      <c r="E2476" s="17" t="s">
        <v>7125</v>
      </c>
      <c r="F2476" s="17" t="s">
        <v>7126</v>
      </c>
      <c r="G2476" s="17">
        <v>22.162728000000001</v>
      </c>
      <c r="H2476" s="17">
        <v>87.755019000000004</v>
      </c>
      <c r="I2476" s="17"/>
      <c r="J2476" s="17"/>
      <c r="K2476" s="17"/>
      <c r="L2476" s="17"/>
      <c r="M2476" s="34" t="s">
        <v>335</v>
      </c>
      <c r="N2476" s="17">
        <v>6290825031</v>
      </c>
      <c r="O2476" s="17">
        <v>16</v>
      </c>
      <c r="P2476" s="17">
        <v>130</v>
      </c>
      <c r="Q2476" s="17" t="s">
        <v>105</v>
      </c>
      <c r="R2476" s="17" t="s">
        <v>238</v>
      </c>
      <c r="S2476" s="17"/>
      <c r="T2476" s="17"/>
      <c r="U2476" s="17" t="s">
        <v>105</v>
      </c>
      <c r="V2476" s="17" t="s">
        <v>77</v>
      </c>
      <c r="W2476" s="17" t="s">
        <v>123</v>
      </c>
      <c r="X2476" s="17">
        <v>6</v>
      </c>
      <c r="Y2476" s="17">
        <v>0</v>
      </c>
      <c r="Z2476" s="17"/>
      <c r="AA2476" s="17" t="s">
        <v>105</v>
      </c>
      <c r="AB2476" s="17" t="s">
        <v>239</v>
      </c>
      <c r="AC2476" s="17">
        <v>3</v>
      </c>
      <c r="AD2476" s="17">
        <v>0</v>
      </c>
      <c r="AE2476" s="17">
        <v>0</v>
      </c>
      <c r="AF2476" s="17"/>
      <c r="AG2476" s="17" t="s">
        <v>573</v>
      </c>
      <c r="AH2476" s="17" t="s">
        <v>82</v>
      </c>
      <c r="AI2476" s="17" t="s">
        <v>83</v>
      </c>
      <c r="AJ2476" s="17">
        <v>211</v>
      </c>
      <c r="AK2476" s="17" t="s">
        <v>75</v>
      </c>
      <c r="AL2476" s="17" t="s">
        <v>75</v>
      </c>
      <c r="AM2476" s="17" t="s">
        <v>75</v>
      </c>
      <c r="AN2476" s="17" t="s">
        <v>84</v>
      </c>
      <c r="AO2476" s="17" t="s">
        <v>75</v>
      </c>
      <c r="AP2476" s="17"/>
      <c r="AQ2476" s="17"/>
      <c r="AR2476" s="17"/>
      <c r="AS2476" s="17"/>
      <c r="AT2476" s="17" t="s">
        <v>7120</v>
      </c>
      <c r="AU2476" s="17" t="s">
        <v>111</v>
      </c>
    </row>
    <row r="2477" hidden="1">
      <c r="A2477" s="17">
        <v>2475</v>
      </c>
      <c r="B2477" s="17" t="s">
        <v>52</v>
      </c>
      <c r="C2477" s="34" t="s">
        <v>7127</v>
      </c>
      <c r="D2477" s="35" t="s">
        <v>6576</v>
      </c>
      <c r="E2477" s="17" t="s">
        <v>7128</v>
      </c>
      <c r="F2477" s="17" t="s">
        <v>7129</v>
      </c>
      <c r="G2477" s="17">
        <v>22.085526999999999</v>
      </c>
      <c r="H2477" s="17">
        <v>87.687831000000003</v>
      </c>
      <c r="I2477" s="17"/>
      <c r="J2477" s="17"/>
      <c r="K2477" s="17"/>
      <c r="L2477" s="17"/>
      <c r="M2477" s="34" t="s">
        <v>335</v>
      </c>
      <c r="N2477" s="17">
        <v>6290825031</v>
      </c>
      <c r="O2477" s="17">
        <v>18</v>
      </c>
      <c r="P2477" s="17">
        <v>120</v>
      </c>
      <c r="Q2477" s="17" t="s">
        <v>105</v>
      </c>
      <c r="R2477" s="17" t="s">
        <v>238</v>
      </c>
      <c r="S2477" s="17"/>
      <c r="T2477" s="17"/>
      <c r="U2477" s="17" t="s">
        <v>105</v>
      </c>
      <c r="V2477" s="17" t="s">
        <v>77</v>
      </c>
      <c r="W2477" s="17" t="s">
        <v>123</v>
      </c>
      <c r="X2477" s="17">
        <v>4</v>
      </c>
      <c r="Y2477" s="17">
        <v>1</v>
      </c>
      <c r="Z2477" s="17"/>
      <c r="AA2477" s="17" t="s">
        <v>105</v>
      </c>
      <c r="AB2477" s="17" t="s">
        <v>239</v>
      </c>
      <c r="AC2477" s="17">
        <v>4</v>
      </c>
      <c r="AD2477" s="17">
        <v>0</v>
      </c>
      <c r="AE2477" s="17">
        <v>0</v>
      </c>
      <c r="AF2477" s="17"/>
      <c r="AG2477" s="17" t="s">
        <v>124</v>
      </c>
      <c r="AH2477" s="17" t="s">
        <v>82</v>
      </c>
      <c r="AI2477" s="17" t="s">
        <v>83</v>
      </c>
      <c r="AJ2477" s="17">
        <v>2111</v>
      </c>
      <c r="AK2477" s="17" t="s">
        <v>75</v>
      </c>
      <c r="AL2477" s="17" t="s">
        <v>75</v>
      </c>
      <c r="AM2477" s="17" t="s">
        <v>75</v>
      </c>
      <c r="AN2477" s="17" t="s">
        <v>84</v>
      </c>
      <c r="AO2477" s="17" t="s">
        <v>75</v>
      </c>
      <c r="AP2477" s="17"/>
      <c r="AQ2477" s="17"/>
      <c r="AR2477" s="17"/>
      <c r="AS2477" s="17"/>
      <c r="AT2477" s="17"/>
      <c r="AU2477" s="17" t="s">
        <v>111</v>
      </c>
    </row>
    <row r="2478" hidden="1">
      <c r="A2478" s="17">
        <v>2476</v>
      </c>
      <c r="B2478" s="17" t="s">
        <v>52</v>
      </c>
      <c r="C2478" s="34" t="s">
        <v>7130</v>
      </c>
      <c r="D2478" s="35" t="s">
        <v>6576</v>
      </c>
      <c r="E2478" s="17" t="s">
        <v>7131</v>
      </c>
      <c r="F2478" s="17" t="s">
        <v>7132</v>
      </c>
      <c r="G2478" s="17">
        <v>22.148098000000001</v>
      </c>
      <c r="H2478" s="17">
        <v>87.750181999999995</v>
      </c>
      <c r="I2478" s="17"/>
      <c r="J2478" s="17"/>
      <c r="K2478" s="17"/>
      <c r="L2478" s="17"/>
      <c r="M2478" s="34" t="s">
        <v>335</v>
      </c>
      <c r="N2478" s="17">
        <v>6290825031</v>
      </c>
      <c r="O2478" s="17">
        <v>16</v>
      </c>
      <c r="P2478" s="17">
        <v>120</v>
      </c>
      <c r="Q2478" s="17" t="s">
        <v>413</v>
      </c>
      <c r="R2478" s="17" t="s">
        <v>74</v>
      </c>
      <c r="S2478" s="17"/>
      <c r="T2478" s="17"/>
      <c r="U2478" s="17" t="s">
        <v>160</v>
      </c>
      <c r="V2478" s="17" t="s">
        <v>77</v>
      </c>
      <c r="W2478" s="17" t="s">
        <v>78</v>
      </c>
      <c r="X2478" s="17">
        <v>5</v>
      </c>
      <c r="Y2478" s="17">
        <v>0</v>
      </c>
      <c r="Z2478" s="17"/>
      <c r="AA2478" s="17" t="s">
        <v>413</v>
      </c>
      <c r="AB2478" s="17" t="s">
        <v>79</v>
      </c>
      <c r="AC2478" s="17">
        <v>4</v>
      </c>
      <c r="AD2478" s="17">
        <v>0</v>
      </c>
      <c r="AE2478" s="17">
        <v>0</v>
      </c>
      <c r="AF2478" s="17"/>
      <c r="AG2478" s="17" t="s">
        <v>414</v>
      </c>
      <c r="AH2478" s="17" t="s">
        <v>415</v>
      </c>
      <c r="AI2478" s="17" t="s">
        <v>7133</v>
      </c>
      <c r="AJ2478" s="17"/>
      <c r="AK2478" s="17" t="s">
        <v>137</v>
      </c>
      <c r="AL2478" s="17" t="s">
        <v>137</v>
      </c>
      <c r="AM2478" s="17" t="s">
        <v>137</v>
      </c>
      <c r="AN2478" s="17" t="s">
        <v>84</v>
      </c>
      <c r="AO2478" s="17" t="s">
        <v>109</v>
      </c>
      <c r="AP2478" s="17"/>
      <c r="AQ2478" s="17"/>
      <c r="AR2478" s="17"/>
      <c r="AS2478" s="17"/>
      <c r="AT2478" s="17" t="s">
        <v>429</v>
      </c>
      <c r="AU2478" s="17" t="s">
        <v>430</v>
      </c>
    </row>
    <row r="2479" hidden="1">
      <c r="A2479" s="17">
        <v>2477</v>
      </c>
      <c r="B2479" s="17" t="s">
        <v>52</v>
      </c>
      <c r="C2479" s="34" t="s">
        <v>7134</v>
      </c>
      <c r="D2479" s="35" t="s">
        <v>6576</v>
      </c>
      <c r="E2479" s="17" t="s">
        <v>7135</v>
      </c>
      <c r="F2479" s="17" t="s">
        <v>7136</v>
      </c>
      <c r="G2479" s="17">
        <v>22.070260999999999</v>
      </c>
      <c r="H2479" s="17">
        <v>87.563574000000003</v>
      </c>
      <c r="I2479" s="17"/>
      <c r="J2479" s="17"/>
      <c r="K2479" s="17"/>
      <c r="L2479" s="17"/>
      <c r="M2479" s="34" t="s">
        <v>7137</v>
      </c>
      <c r="N2479" s="17">
        <v>9064976029</v>
      </c>
      <c r="O2479" s="17"/>
      <c r="P2479" s="17"/>
      <c r="Q2479" s="17"/>
      <c r="R2479" s="17"/>
      <c r="S2479" s="17"/>
      <c r="T2479" s="17"/>
      <c r="U2479" s="17"/>
      <c r="V2479" s="17"/>
      <c r="W2479" s="17"/>
      <c r="X2479" s="17"/>
      <c r="Y2479" s="17"/>
      <c r="Z2479" s="17"/>
      <c r="AA2479" s="17"/>
      <c r="AB2479" s="17"/>
      <c r="AC2479" s="17"/>
      <c r="AD2479" s="17"/>
      <c r="AE2479" s="17"/>
      <c r="AF2479" s="17"/>
      <c r="AG2479" s="17"/>
      <c r="AH2479" s="17"/>
      <c r="AI2479" s="17"/>
      <c r="AJ2479" s="17"/>
      <c r="AK2479" s="17"/>
      <c r="AL2479" s="17"/>
      <c r="AM2479" s="17"/>
      <c r="AN2479" s="17"/>
      <c r="AO2479" s="17"/>
      <c r="AP2479" s="17"/>
      <c r="AQ2479" s="17"/>
      <c r="AR2479" s="17"/>
      <c r="AS2479" s="17"/>
      <c r="AT2479" s="17"/>
      <c r="AU2479" s="17"/>
    </row>
    <row r="2480" hidden="1">
      <c r="A2480" s="17">
        <v>2478</v>
      </c>
      <c r="B2480" s="17" t="s">
        <v>52</v>
      </c>
      <c r="C2480" s="34" t="s">
        <v>7138</v>
      </c>
      <c r="D2480" s="35" t="s">
        <v>6576</v>
      </c>
      <c r="E2480" s="17" t="s">
        <v>7139</v>
      </c>
      <c r="F2480" s="17" t="s">
        <v>7140</v>
      </c>
      <c r="G2480" s="17">
        <v>21.936726</v>
      </c>
      <c r="H2480" s="17">
        <v>87.669441000000006</v>
      </c>
      <c r="I2480" s="17"/>
      <c r="J2480" s="17"/>
      <c r="K2480" s="17"/>
      <c r="L2480" s="17"/>
      <c r="M2480" s="34" t="s">
        <v>7137</v>
      </c>
      <c r="N2480" s="17">
        <v>9064976029</v>
      </c>
      <c r="O2480" s="17"/>
      <c r="P2480" s="17"/>
      <c r="Q2480" s="17"/>
      <c r="R2480" s="17"/>
      <c r="S2480" s="17"/>
      <c r="T2480" s="17"/>
      <c r="U2480" s="17"/>
      <c r="V2480" s="17"/>
      <c r="W2480" s="17"/>
      <c r="X2480" s="17"/>
      <c r="Y2480" s="17"/>
      <c r="Z2480" s="17"/>
      <c r="AA2480" s="17"/>
      <c r="AB2480" s="17"/>
      <c r="AC2480" s="17"/>
      <c r="AD2480" s="17"/>
      <c r="AE2480" s="17"/>
      <c r="AF2480" s="17"/>
      <c r="AG2480" s="17"/>
      <c r="AH2480" s="17"/>
      <c r="AI2480" s="17"/>
      <c r="AJ2480" s="17"/>
      <c r="AK2480" s="17"/>
      <c r="AL2480" s="17"/>
      <c r="AM2480" s="17"/>
      <c r="AN2480" s="17"/>
      <c r="AO2480" s="17"/>
      <c r="AP2480" s="17"/>
      <c r="AQ2480" s="17"/>
      <c r="AR2480" s="17"/>
      <c r="AS2480" s="17"/>
      <c r="AT2480" s="17"/>
      <c r="AU2480" s="17"/>
    </row>
    <row r="2481" hidden="1">
      <c r="A2481" s="17">
        <v>2479</v>
      </c>
      <c r="B2481" s="17" t="s">
        <v>52</v>
      </c>
      <c r="C2481" s="34" t="s">
        <v>7141</v>
      </c>
      <c r="D2481" s="35" t="s">
        <v>6576</v>
      </c>
      <c r="E2481" s="17" t="s">
        <v>7142</v>
      </c>
      <c r="F2481" s="17" t="s">
        <v>7143</v>
      </c>
      <c r="G2481" s="17">
        <v>21.954687</v>
      </c>
      <c r="H2481" s="17">
        <v>87.556236999999996</v>
      </c>
      <c r="I2481" s="17"/>
      <c r="J2481" s="17"/>
      <c r="K2481" s="17"/>
      <c r="L2481" s="17"/>
      <c r="M2481" s="34" t="s">
        <v>7137</v>
      </c>
      <c r="N2481" s="17">
        <v>9064976029</v>
      </c>
      <c r="O2481" s="17"/>
      <c r="P2481" s="17"/>
      <c r="Q2481" s="17"/>
      <c r="R2481" s="17"/>
      <c r="S2481" s="17"/>
      <c r="T2481" s="17"/>
      <c r="U2481" s="17"/>
      <c r="V2481" s="17"/>
      <c r="W2481" s="17"/>
      <c r="X2481" s="17"/>
      <c r="Y2481" s="17"/>
      <c r="Z2481" s="17"/>
      <c r="AA2481" s="17"/>
      <c r="AB2481" s="17"/>
      <c r="AC2481" s="17"/>
      <c r="AD2481" s="17"/>
      <c r="AE2481" s="17"/>
      <c r="AF2481" s="17"/>
      <c r="AG2481" s="17"/>
      <c r="AH2481" s="17"/>
      <c r="AI2481" s="17"/>
      <c r="AJ2481" s="17"/>
      <c r="AK2481" s="17"/>
      <c r="AL2481" s="17"/>
      <c r="AM2481" s="17"/>
      <c r="AN2481" s="17"/>
      <c r="AO2481" s="17"/>
      <c r="AP2481" s="17"/>
      <c r="AQ2481" s="17"/>
      <c r="AR2481" s="17"/>
      <c r="AS2481" s="17"/>
      <c r="AT2481" s="17"/>
      <c r="AU2481" s="17"/>
    </row>
    <row r="2482" hidden="1">
      <c r="A2482" s="17">
        <v>2480</v>
      </c>
      <c r="B2482" s="17" t="s">
        <v>52</v>
      </c>
      <c r="C2482" s="34" t="s">
        <v>7144</v>
      </c>
      <c r="D2482" s="35" t="s">
        <v>6576</v>
      </c>
      <c r="E2482" s="17" t="s">
        <v>7145</v>
      </c>
      <c r="F2482" s="17" t="s">
        <v>7146</v>
      </c>
      <c r="G2482" s="17">
        <v>21.975161</v>
      </c>
      <c r="H2482" s="17">
        <v>87.588876999999997</v>
      </c>
      <c r="I2482" s="17"/>
      <c r="J2482" s="17"/>
      <c r="K2482" s="17"/>
      <c r="L2482" s="17"/>
      <c r="M2482" s="34" t="s">
        <v>7137</v>
      </c>
      <c r="N2482" s="17">
        <v>9064976029</v>
      </c>
      <c r="O2482" s="17"/>
      <c r="P2482" s="17"/>
      <c r="Q2482" s="17"/>
      <c r="R2482" s="17"/>
      <c r="S2482" s="17"/>
      <c r="T2482" s="17"/>
      <c r="U2482" s="17"/>
      <c r="V2482" s="17"/>
      <c r="W2482" s="17"/>
      <c r="X2482" s="17"/>
      <c r="Y2482" s="17"/>
      <c r="Z2482" s="17"/>
      <c r="AA2482" s="17"/>
      <c r="AB2482" s="17"/>
      <c r="AC2482" s="17"/>
      <c r="AD2482" s="17"/>
      <c r="AE2482" s="17"/>
      <c r="AF2482" s="17"/>
      <c r="AG2482" s="17"/>
      <c r="AH2482" s="17"/>
      <c r="AI2482" s="17"/>
      <c r="AJ2482" s="17"/>
      <c r="AK2482" s="17"/>
      <c r="AL2482" s="17"/>
      <c r="AM2482" s="17"/>
      <c r="AN2482" s="17"/>
      <c r="AO2482" s="17"/>
      <c r="AP2482" s="17"/>
      <c r="AQ2482" s="17"/>
      <c r="AR2482" s="17"/>
      <c r="AS2482" s="17"/>
      <c r="AT2482" s="17"/>
      <c r="AU2482" s="17"/>
    </row>
    <row r="2483" hidden="1">
      <c r="A2483" s="17">
        <v>2481</v>
      </c>
      <c r="B2483" s="17" t="s">
        <v>52</v>
      </c>
      <c r="C2483" s="34" t="s">
        <v>7147</v>
      </c>
      <c r="D2483" s="35" t="s">
        <v>6576</v>
      </c>
      <c r="E2483" s="17"/>
      <c r="F2483" s="17"/>
      <c r="G2483" s="17"/>
      <c r="H2483" s="17"/>
      <c r="I2483" s="17"/>
      <c r="J2483" s="17"/>
      <c r="K2483" s="17"/>
      <c r="L2483" s="17"/>
      <c r="M2483" s="34" t="s">
        <v>7137</v>
      </c>
      <c r="N2483" s="17"/>
      <c r="O2483" s="17"/>
      <c r="P2483" s="17"/>
      <c r="Q2483" s="17"/>
      <c r="R2483" s="17"/>
      <c r="S2483" s="17"/>
      <c r="T2483" s="17"/>
      <c r="U2483" s="17"/>
      <c r="V2483" s="17"/>
      <c r="W2483" s="17"/>
      <c r="X2483" s="17"/>
      <c r="Y2483" s="17"/>
      <c r="Z2483" s="17"/>
      <c r="AA2483" s="17"/>
      <c r="AB2483" s="17"/>
      <c r="AC2483" s="17"/>
      <c r="AD2483" s="17"/>
      <c r="AE2483" s="17"/>
      <c r="AF2483" s="17"/>
      <c r="AG2483" s="17"/>
      <c r="AH2483" s="17"/>
      <c r="AI2483" s="17"/>
      <c r="AJ2483" s="17"/>
      <c r="AK2483" s="17"/>
      <c r="AL2483" s="17"/>
      <c r="AM2483" s="17"/>
      <c r="AN2483" s="17"/>
      <c r="AO2483" s="17"/>
      <c r="AP2483" s="17"/>
      <c r="AQ2483" s="17"/>
      <c r="AR2483" s="17"/>
      <c r="AS2483" s="17"/>
      <c r="AT2483" s="17"/>
      <c r="AU2483" s="17"/>
    </row>
    <row r="2484" hidden="1">
      <c r="A2484" s="17">
        <v>2482</v>
      </c>
      <c r="B2484" s="17" t="s">
        <v>52</v>
      </c>
      <c r="C2484" s="34" t="s">
        <v>7148</v>
      </c>
      <c r="D2484" s="35" t="s">
        <v>6576</v>
      </c>
      <c r="E2484" s="17"/>
      <c r="F2484" s="17"/>
      <c r="G2484" s="17"/>
      <c r="H2484" s="17"/>
      <c r="I2484" s="17"/>
      <c r="J2484" s="17"/>
      <c r="K2484" s="17"/>
      <c r="L2484" s="17"/>
      <c r="M2484" s="34" t="s">
        <v>7137</v>
      </c>
      <c r="N2484" s="17"/>
      <c r="O2484" s="17"/>
      <c r="P2484" s="17"/>
      <c r="Q2484" s="17"/>
      <c r="R2484" s="17"/>
      <c r="S2484" s="17"/>
      <c r="T2484" s="17"/>
      <c r="U2484" s="17"/>
      <c r="V2484" s="17"/>
      <c r="W2484" s="17"/>
      <c r="X2484" s="17"/>
      <c r="Y2484" s="17"/>
      <c r="Z2484" s="17"/>
      <c r="AA2484" s="17"/>
      <c r="AB2484" s="17"/>
      <c r="AC2484" s="17"/>
      <c r="AD2484" s="17"/>
      <c r="AE2484" s="17"/>
      <c r="AF2484" s="17"/>
      <c r="AG2484" s="17"/>
      <c r="AH2484" s="17"/>
      <c r="AI2484" s="17"/>
      <c r="AJ2484" s="17"/>
      <c r="AK2484" s="17"/>
      <c r="AL2484" s="17"/>
      <c r="AM2484" s="17"/>
      <c r="AN2484" s="17"/>
      <c r="AO2484" s="17"/>
      <c r="AP2484" s="17"/>
      <c r="AQ2484" s="17"/>
      <c r="AR2484" s="17"/>
      <c r="AS2484" s="17"/>
      <c r="AT2484" s="17"/>
      <c r="AU2484" s="17"/>
    </row>
    <row r="2485" hidden="1">
      <c r="A2485" s="17">
        <v>2483</v>
      </c>
      <c r="B2485" s="17" t="s">
        <v>52</v>
      </c>
      <c r="C2485" s="34" t="s">
        <v>7149</v>
      </c>
      <c r="D2485" s="35" t="s">
        <v>6576</v>
      </c>
      <c r="E2485" s="17"/>
      <c r="F2485" s="17"/>
      <c r="G2485" s="17"/>
      <c r="H2485" s="17"/>
      <c r="I2485" s="17"/>
      <c r="J2485" s="17"/>
      <c r="K2485" s="17"/>
      <c r="L2485" s="17"/>
      <c r="M2485" s="8" t="s">
        <v>7137</v>
      </c>
      <c r="N2485" s="17"/>
      <c r="O2485" s="17"/>
      <c r="P2485" s="17"/>
      <c r="Q2485" s="17"/>
      <c r="R2485" s="17"/>
      <c r="S2485" s="17"/>
      <c r="T2485" s="17"/>
      <c r="U2485" s="17"/>
      <c r="V2485" s="17"/>
      <c r="W2485" s="17"/>
      <c r="X2485" s="17"/>
      <c r="Y2485" s="17"/>
      <c r="Z2485" s="17"/>
      <c r="AA2485" s="17"/>
      <c r="AB2485" s="17"/>
      <c r="AC2485" s="17"/>
      <c r="AD2485" s="17"/>
      <c r="AE2485" s="17"/>
      <c r="AF2485" s="17"/>
      <c r="AG2485" s="17"/>
      <c r="AH2485" s="17"/>
      <c r="AI2485" s="17"/>
      <c r="AJ2485" s="17"/>
      <c r="AK2485" s="17"/>
      <c r="AL2485" s="17"/>
      <c r="AM2485" s="17"/>
      <c r="AN2485" s="17"/>
      <c r="AO2485" s="17"/>
      <c r="AP2485" s="17"/>
      <c r="AQ2485" s="17"/>
      <c r="AR2485" s="17"/>
      <c r="AS2485" s="17"/>
      <c r="AT2485" s="17"/>
      <c r="AU2485" s="17"/>
    </row>
    <row r="2486" hidden="1">
      <c r="A2486" s="17">
        <v>2484</v>
      </c>
      <c r="B2486" s="17" t="s">
        <v>52</v>
      </c>
      <c r="C2486" s="34" t="s">
        <v>7150</v>
      </c>
      <c r="D2486" s="35" t="s">
        <v>6576</v>
      </c>
      <c r="E2486" s="17"/>
      <c r="F2486" s="17"/>
      <c r="G2486" s="17"/>
      <c r="H2486" s="17"/>
      <c r="I2486" s="17"/>
      <c r="J2486" s="17"/>
      <c r="K2486" s="17"/>
      <c r="L2486" s="17"/>
      <c r="M2486" s="34" t="s">
        <v>7137</v>
      </c>
      <c r="N2486" s="17"/>
      <c r="O2486" s="17"/>
      <c r="P2486" s="17"/>
      <c r="Q2486" s="17"/>
      <c r="R2486" s="17"/>
      <c r="S2486" s="17"/>
      <c r="T2486" s="17"/>
      <c r="U2486" s="17"/>
      <c r="V2486" s="17"/>
      <c r="W2486" s="17"/>
      <c r="X2486" s="17"/>
      <c r="Y2486" s="17"/>
      <c r="Z2486" s="17"/>
      <c r="AA2486" s="17"/>
      <c r="AB2486" s="17"/>
      <c r="AC2486" s="17"/>
      <c r="AD2486" s="17"/>
      <c r="AE2486" s="17"/>
      <c r="AF2486" s="17"/>
      <c r="AG2486" s="17"/>
      <c r="AH2486" s="17"/>
      <c r="AI2486" s="17"/>
      <c r="AJ2486" s="17"/>
      <c r="AK2486" s="17"/>
      <c r="AL2486" s="17"/>
      <c r="AM2486" s="17"/>
      <c r="AN2486" s="17"/>
      <c r="AO2486" s="17"/>
      <c r="AP2486" s="17"/>
      <c r="AQ2486" s="17"/>
      <c r="AR2486" s="17"/>
      <c r="AS2486" s="17"/>
      <c r="AT2486" s="17"/>
      <c r="AU2486" s="17"/>
    </row>
    <row r="2487" hidden="1">
      <c r="A2487" s="17">
        <v>2485</v>
      </c>
      <c r="B2487" s="17" t="s">
        <v>52</v>
      </c>
      <c r="C2487" s="34" t="s">
        <v>7151</v>
      </c>
      <c r="D2487" s="35" t="s">
        <v>6576</v>
      </c>
      <c r="E2487" s="17"/>
      <c r="F2487" s="17"/>
      <c r="G2487" s="17"/>
      <c r="H2487" s="17"/>
      <c r="I2487" s="17"/>
      <c r="J2487" s="17"/>
      <c r="K2487" s="17"/>
      <c r="L2487" s="17"/>
      <c r="M2487" s="34" t="s">
        <v>7137</v>
      </c>
      <c r="N2487" s="17"/>
      <c r="O2487" s="17"/>
      <c r="P2487" s="17"/>
      <c r="Q2487" s="17"/>
      <c r="R2487" s="17"/>
      <c r="S2487" s="17"/>
      <c r="T2487" s="17"/>
      <c r="U2487" s="17"/>
      <c r="V2487" s="17"/>
      <c r="W2487" s="17"/>
      <c r="X2487" s="17"/>
      <c r="Y2487" s="17"/>
      <c r="Z2487" s="17"/>
      <c r="AA2487" s="17"/>
      <c r="AB2487" s="17"/>
      <c r="AC2487" s="17"/>
      <c r="AD2487" s="17"/>
      <c r="AE2487" s="17"/>
      <c r="AF2487" s="17"/>
      <c r="AG2487" s="17"/>
      <c r="AH2487" s="17"/>
      <c r="AI2487" s="17"/>
      <c r="AJ2487" s="17"/>
      <c r="AK2487" s="17"/>
      <c r="AL2487" s="17"/>
      <c r="AM2487" s="17"/>
      <c r="AN2487" s="17"/>
      <c r="AO2487" s="17"/>
      <c r="AP2487" s="17"/>
      <c r="AQ2487" s="17"/>
      <c r="AR2487" s="17"/>
      <c r="AS2487" s="17"/>
      <c r="AT2487" s="17"/>
      <c r="AU2487" s="17"/>
    </row>
    <row r="2488" hidden="1">
      <c r="A2488" s="17">
        <v>2486</v>
      </c>
      <c r="B2488" s="17" t="s">
        <v>52</v>
      </c>
      <c r="C2488" s="34" t="s">
        <v>7152</v>
      </c>
      <c r="D2488" s="35" t="s">
        <v>6576</v>
      </c>
      <c r="E2488" s="17"/>
      <c r="F2488" s="17"/>
      <c r="G2488" s="17"/>
      <c r="H2488" s="17"/>
      <c r="I2488" s="17"/>
      <c r="J2488" s="17"/>
      <c r="K2488" s="17"/>
      <c r="L2488" s="17"/>
      <c r="M2488" s="34" t="s">
        <v>7137</v>
      </c>
      <c r="N2488" s="17"/>
      <c r="O2488" s="17"/>
      <c r="P2488" s="17"/>
      <c r="Q2488" s="17"/>
      <c r="R2488" s="17"/>
      <c r="S2488" s="17"/>
      <c r="T2488" s="17"/>
      <c r="U2488" s="17"/>
      <c r="V2488" s="17"/>
      <c r="W2488" s="17"/>
      <c r="X2488" s="17"/>
      <c r="Y2488" s="17"/>
      <c r="Z2488" s="17"/>
      <c r="AA2488" s="17"/>
      <c r="AB2488" s="17"/>
      <c r="AC2488" s="17"/>
      <c r="AD2488" s="17"/>
      <c r="AE2488" s="17"/>
      <c r="AF2488" s="17"/>
      <c r="AG2488" s="17"/>
      <c r="AH2488" s="17"/>
      <c r="AI2488" s="17"/>
      <c r="AJ2488" s="17"/>
      <c r="AK2488" s="17"/>
      <c r="AL2488" s="17"/>
      <c r="AM2488" s="17"/>
      <c r="AN2488" s="17"/>
      <c r="AO2488" s="17"/>
      <c r="AP2488" s="17"/>
      <c r="AQ2488" s="17"/>
      <c r="AR2488" s="17"/>
      <c r="AS2488" s="17"/>
      <c r="AT2488" s="17"/>
      <c r="AU2488" s="17"/>
    </row>
    <row r="2489" hidden="1">
      <c r="A2489" s="17">
        <v>2487</v>
      </c>
      <c r="B2489" s="17" t="s">
        <v>52</v>
      </c>
      <c r="C2489" s="34" t="s">
        <v>7153</v>
      </c>
      <c r="D2489" s="35" t="s">
        <v>6576</v>
      </c>
      <c r="E2489" s="17"/>
      <c r="F2489" s="17"/>
      <c r="G2489" s="17"/>
      <c r="H2489" s="17"/>
      <c r="I2489" s="17"/>
      <c r="J2489" s="17"/>
      <c r="K2489" s="17"/>
      <c r="L2489" s="17"/>
      <c r="M2489" s="34" t="s">
        <v>7137</v>
      </c>
      <c r="N2489" s="17"/>
      <c r="O2489" s="17"/>
      <c r="P2489" s="17"/>
      <c r="Q2489" s="17"/>
      <c r="R2489" s="17"/>
      <c r="S2489" s="17"/>
      <c r="T2489" s="17"/>
      <c r="U2489" s="17"/>
      <c r="V2489" s="17"/>
      <c r="W2489" s="17"/>
      <c r="X2489" s="17"/>
      <c r="Y2489" s="17"/>
      <c r="Z2489" s="17"/>
      <c r="AA2489" s="17"/>
      <c r="AB2489" s="17"/>
      <c r="AC2489" s="17"/>
      <c r="AD2489" s="17"/>
      <c r="AE2489" s="17"/>
      <c r="AF2489" s="17"/>
      <c r="AG2489" s="17"/>
      <c r="AH2489" s="17"/>
      <c r="AI2489" s="17"/>
      <c r="AJ2489" s="17"/>
      <c r="AK2489" s="17"/>
      <c r="AL2489" s="17"/>
      <c r="AM2489" s="17"/>
      <c r="AN2489" s="17"/>
      <c r="AO2489" s="17"/>
      <c r="AP2489" s="17"/>
      <c r="AQ2489" s="17"/>
      <c r="AR2489" s="17"/>
      <c r="AS2489" s="17"/>
      <c r="AT2489" s="17"/>
      <c r="AU2489" s="17"/>
    </row>
    <row r="2490" hidden="1">
      <c r="A2490" s="17">
        <v>2488</v>
      </c>
      <c r="B2490" s="17" t="s">
        <v>52</v>
      </c>
      <c r="C2490" s="34" t="s">
        <v>7154</v>
      </c>
      <c r="D2490" s="35" t="s">
        <v>6576</v>
      </c>
      <c r="E2490" s="17"/>
      <c r="F2490" s="17"/>
      <c r="G2490" s="17"/>
      <c r="H2490" s="17"/>
      <c r="I2490" s="17"/>
      <c r="J2490" s="17"/>
      <c r="K2490" s="17"/>
      <c r="L2490" s="17"/>
      <c r="M2490" s="34" t="s">
        <v>7137</v>
      </c>
      <c r="N2490" s="17"/>
      <c r="O2490" s="17"/>
      <c r="P2490" s="17"/>
      <c r="Q2490" s="17"/>
      <c r="R2490" s="17"/>
      <c r="S2490" s="17"/>
      <c r="T2490" s="17"/>
      <c r="U2490" s="17"/>
      <c r="V2490" s="17"/>
      <c r="W2490" s="17"/>
      <c r="X2490" s="17"/>
      <c r="Y2490" s="17"/>
      <c r="Z2490" s="17"/>
      <c r="AA2490" s="17"/>
      <c r="AB2490" s="17"/>
      <c r="AC2490" s="17"/>
      <c r="AD2490" s="17"/>
      <c r="AE2490" s="17"/>
      <c r="AF2490" s="17"/>
      <c r="AG2490" s="17"/>
      <c r="AH2490" s="17"/>
      <c r="AI2490" s="17"/>
      <c r="AJ2490" s="17"/>
      <c r="AK2490" s="17"/>
      <c r="AL2490" s="17"/>
      <c r="AM2490" s="17"/>
      <c r="AN2490" s="17"/>
      <c r="AO2490" s="17"/>
      <c r="AP2490" s="17"/>
      <c r="AQ2490" s="17"/>
      <c r="AR2490" s="17"/>
      <c r="AS2490" s="17"/>
      <c r="AT2490" s="17"/>
      <c r="AU2490" s="17"/>
    </row>
    <row r="2491" hidden="1">
      <c r="A2491" s="17">
        <v>2489</v>
      </c>
      <c r="B2491" s="17" t="s">
        <v>52</v>
      </c>
      <c r="C2491" s="34" t="s">
        <v>7155</v>
      </c>
      <c r="D2491" s="35" t="s">
        <v>6576</v>
      </c>
      <c r="E2491" s="17"/>
      <c r="F2491" s="17"/>
      <c r="G2491" s="17"/>
      <c r="H2491" s="17"/>
      <c r="I2491" s="17"/>
      <c r="J2491" s="17"/>
      <c r="K2491" s="17"/>
      <c r="L2491" s="17"/>
      <c r="M2491" s="34" t="s">
        <v>7137</v>
      </c>
      <c r="N2491" s="17"/>
      <c r="O2491" s="17"/>
      <c r="P2491" s="17"/>
      <c r="Q2491" s="17"/>
      <c r="R2491" s="17"/>
      <c r="S2491" s="17"/>
      <c r="T2491" s="17"/>
      <c r="U2491" s="17"/>
      <c r="V2491" s="17"/>
      <c r="W2491" s="17"/>
      <c r="X2491" s="17"/>
      <c r="Y2491" s="17"/>
      <c r="Z2491" s="17"/>
      <c r="AA2491" s="17"/>
      <c r="AB2491" s="17"/>
      <c r="AC2491" s="17"/>
      <c r="AD2491" s="17"/>
      <c r="AE2491" s="17"/>
      <c r="AF2491" s="17"/>
      <c r="AG2491" s="17"/>
      <c r="AH2491" s="17"/>
      <c r="AI2491" s="17"/>
      <c r="AJ2491" s="17"/>
      <c r="AK2491" s="17"/>
      <c r="AL2491" s="17"/>
      <c r="AM2491" s="17"/>
      <c r="AN2491" s="17"/>
      <c r="AO2491" s="17"/>
      <c r="AP2491" s="17"/>
      <c r="AQ2491" s="17"/>
      <c r="AR2491" s="17"/>
      <c r="AS2491" s="17"/>
      <c r="AT2491" s="17"/>
      <c r="AU2491" s="17"/>
    </row>
    <row r="2492" hidden="1">
      <c r="A2492" s="17">
        <v>2490</v>
      </c>
      <c r="B2492" s="17" t="s">
        <v>52</v>
      </c>
      <c r="C2492" s="34" t="s">
        <v>7156</v>
      </c>
      <c r="D2492" s="35" t="s">
        <v>6576</v>
      </c>
      <c r="E2492" s="17"/>
      <c r="F2492" s="17"/>
      <c r="G2492" s="17"/>
      <c r="H2492" s="17"/>
      <c r="I2492" s="17"/>
      <c r="J2492" s="17"/>
      <c r="K2492" s="17"/>
      <c r="L2492" s="17"/>
      <c r="M2492" s="34" t="s">
        <v>7137</v>
      </c>
      <c r="N2492" s="17"/>
      <c r="O2492" s="17"/>
      <c r="P2492" s="17"/>
      <c r="Q2492" s="17"/>
      <c r="R2492" s="17"/>
      <c r="S2492" s="17"/>
      <c r="T2492" s="17"/>
      <c r="U2492" s="17"/>
      <c r="V2492" s="17"/>
      <c r="W2492" s="17"/>
      <c r="X2492" s="17"/>
      <c r="Y2492" s="17"/>
      <c r="Z2492" s="17"/>
      <c r="AA2492" s="17"/>
      <c r="AB2492" s="17"/>
      <c r="AC2492" s="17"/>
      <c r="AD2492" s="17"/>
      <c r="AE2492" s="17"/>
      <c r="AF2492" s="17"/>
      <c r="AG2492" s="17"/>
      <c r="AH2492" s="17"/>
      <c r="AI2492" s="17"/>
      <c r="AJ2492" s="17"/>
      <c r="AK2492" s="17"/>
      <c r="AL2492" s="17"/>
      <c r="AM2492" s="17"/>
      <c r="AN2492" s="17"/>
      <c r="AO2492" s="17"/>
      <c r="AP2492" s="17"/>
      <c r="AQ2492" s="17"/>
      <c r="AR2492" s="17"/>
      <c r="AS2492" s="17"/>
      <c r="AT2492" s="17"/>
      <c r="AU2492" s="17"/>
    </row>
    <row r="2493" hidden="1">
      <c r="A2493" s="17">
        <v>2491</v>
      </c>
      <c r="B2493" s="17" t="s">
        <v>52</v>
      </c>
      <c r="C2493" s="34" t="s">
        <v>7157</v>
      </c>
      <c r="D2493" s="35" t="s">
        <v>6576</v>
      </c>
      <c r="E2493" s="17"/>
      <c r="F2493" s="17"/>
      <c r="G2493" s="17"/>
      <c r="H2493" s="17"/>
      <c r="I2493" s="17"/>
      <c r="J2493" s="17"/>
      <c r="K2493" s="17"/>
      <c r="L2493" s="17"/>
      <c r="M2493" s="34" t="s">
        <v>7137</v>
      </c>
      <c r="N2493" s="17"/>
      <c r="O2493" s="17"/>
      <c r="P2493" s="17"/>
      <c r="Q2493" s="17"/>
      <c r="R2493" s="17"/>
      <c r="S2493" s="17"/>
      <c r="T2493" s="17"/>
      <c r="U2493" s="17"/>
      <c r="V2493" s="17"/>
      <c r="W2493" s="17"/>
      <c r="X2493" s="17"/>
      <c r="Y2493" s="17"/>
      <c r="Z2493" s="17"/>
      <c r="AA2493" s="17"/>
      <c r="AB2493" s="17"/>
      <c r="AC2493" s="17"/>
      <c r="AD2493" s="17"/>
      <c r="AE2493" s="17"/>
      <c r="AF2493" s="17"/>
      <c r="AG2493" s="17"/>
      <c r="AH2493" s="17"/>
      <c r="AI2493" s="17"/>
      <c r="AJ2493" s="17"/>
      <c r="AK2493" s="17"/>
      <c r="AL2493" s="17"/>
      <c r="AM2493" s="17"/>
      <c r="AN2493" s="17"/>
      <c r="AO2493" s="17"/>
      <c r="AP2493" s="17"/>
      <c r="AQ2493" s="17"/>
      <c r="AR2493" s="17"/>
      <c r="AS2493" s="17"/>
      <c r="AT2493" s="17"/>
      <c r="AU2493" s="17"/>
    </row>
    <row r="2494" hidden="1">
      <c r="A2494" s="17">
        <v>2492</v>
      </c>
      <c r="B2494" s="17" t="s">
        <v>52</v>
      </c>
      <c r="C2494" s="34" t="s">
        <v>7158</v>
      </c>
      <c r="D2494" s="35" t="s">
        <v>6576</v>
      </c>
      <c r="E2494" s="17"/>
      <c r="F2494" s="17"/>
      <c r="G2494" s="17"/>
      <c r="H2494" s="17"/>
      <c r="I2494" s="17"/>
      <c r="J2494" s="17"/>
      <c r="K2494" s="17"/>
      <c r="L2494" s="17"/>
      <c r="M2494" s="34" t="s">
        <v>7137</v>
      </c>
      <c r="N2494" s="17"/>
      <c r="O2494" s="17"/>
      <c r="P2494" s="17"/>
      <c r="Q2494" s="17"/>
      <c r="R2494" s="17"/>
      <c r="S2494" s="17"/>
      <c r="T2494" s="17"/>
      <c r="U2494" s="17"/>
      <c r="V2494" s="17"/>
      <c r="W2494" s="17"/>
      <c r="X2494" s="17"/>
      <c r="Y2494" s="17"/>
      <c r="Z2494" s="17"/>
      <c r="AA2494" s="17"/>
      <c r="AB2494" s="17"/>
      <c r="AC2494" s="17"/>
      <c r="AD2494" s="17"/>
      <c r="AE2494" s="17"/>
      <c r="AF2494" s="17"/>
      <c r="AG2494" s="17"/>
      <c r="AH2494" s="17"/>
      <c r="AI2494" s="17"/>
      <c r="AJ2494" s="17"/>
      <c r="AK2494" s="17"/>
      <c r="AL2494" s="17"/>
      <c r="AM2494" s="17"/>
      <c r="AN2494" s="17"/>
      <c r="AO2494" s="17"/>
      <c r="AP2494" s="17"/>
      <c r="AQ2494" s="17"/>
      <c r="AR2494" s="17"/>
      <c r="AS2494" s="17"/>
      <c r="AT2494" s="17"/>
      <c r="AU2494" s="17"/>
    </row>
    <row r="2495" hidden="1">
      <c r="A2495" s="17">
        <v>2493</v>
      </c>
      <c r="B2495" s="17" t="s">
        <v>52</v>
      </c>
      <c r="C2495" s="34" t="s">
        <v>7159</v>
      </c>
      <c r="D2495" s="35" t="s">
        <v>6576</v>
      </c>
      <c r="E2495" s="17"/>
      <c r="F2495" s="17"/>
      <c r="G2495" s="17"/>
      <c r="H2495" s="17"/>
      <c r="I2495" s="17"/>
      <c r="J2495" s="17"/>
      <c r="K2495" s="17"/>
      <c r="L2495" s="17"/>
      <c r="M2495" s="34" t="s">
        <v>7137</v>
      </c>
      <c r="N2495" s="17"/>
      <c r="O2495" s="17"/>
      <c r="P2495" s="17"/>
      <c r="Q2495" s="17"/>
      <c r="R2495" s="17"/>
      <c r="S2495" s="17"/>
      <c r="T2495" s="17"/>
      <c r="U2495" s="17"/>
      <c r="V2495" s="17"/>
      <c r="W2495" s="17"/>
      <c r="X2495" s="17"/>
      <c r="Y2495" s="17"/>
      <c r="Z2495" s="17"/>
      <c r="AA2495" s="17"/>
      <c r="AB2495" s="17"/>
      <c r="AC2495" s="17"/>
      <c r="AD2495" s="17"/>
      <c r="AE2495" s="17"/>
      <c r="AF2495" s="17"/>
      <c r="AG2495" s="17"/>
      <c r="AH2495" s="17"/>
      <c r="AI2495" s="17"/>
      <c r="AJ2495" s="17"/>
      <c r="AK2495" s="17"/>
      <c r="AL2495" s="17"/>
      <c r="AM2495" s="17"/>
      <c r="AN2495" s="17"/>
      <c r="AO2495" s="17"/>
      <c r="AP2495" s="17"/>
      <c r="AQ2495" s="17"/>
      <c r="AR2495" s="17"/>
      <c r="AS2495" s="17"/>
      <c r="AT2495" s="17"/>
      <c r="AU2495" s="17"/>
    </row>
    <row r="2496" hidden="1">
      <c r="A2496" s="17">
        <v>2494</v>
      </c>
      <c r="B2496" s="17" t="s">
        <v>52</v>
      </c>
      <c r="C2496" s="34" t="s">
        <v>7160</v>
      </c>
      <c r="D2496" s="35" t="s">
        <v>6576</v>
      </c>
      <c r="E2496" s="17"/>
      <c r="F2496" s="17"/>
      <c r="G2496" s="17"/>
      <c r="H2496" s="17"/>
      <c r="I2496" s="17"/>
      <c r="J2496" s="17"/>
      <c r="K2496" s="17"/>
      <c r="L2496" s="17"/>
      <c r="M2496" s="34" t="s">
        <v>7137</v>
      </c>
      <c r="N2496" s="17"/>
      <c r="O2496" s="17"/>
      <c r="P2496" s="17"/>
      <c r="Q2496" s="17"/>
      <c r="R2496" s="17"/>
      <c r="S2496" s="17"/>
      <c r="T2496" s="17"/>
      <c r="U2496" s="17"/>
      <c r="V2496" s="17"/>
      <c r="W2496" s="17"/>
      <c r="X2496" s="17"/>
      <c r="Y2496" s="17"/>
      <c r="Z2496" s="17"/>
      <c r="AA2496" s="17"/>
      <c r="AB2496" s="17"/>
      <c r="AC2496" s="17"/>
      <c r="AD2496" s="17"/>
      <c r="AE2496" s="17"/>
      <c r="AF2496" s="17"/>
      <c r="AG2496" s="17"/>
      <c r="AH2496" s="17"/>
      <c r="AI2496" s="17"/>
      <c r="AJ2496" s="17"/>
      <c r="AK2496" s="17"/>
      <c r="AL2496" s="17"/>
      <c r="AM2496" s="17"/>
      <c r="AN2496" s="17"/>
      <c r="AO2496" s="17"/>
      <c r="AP2496" s="17"/>
      <c r="AQ2496" s="17"/>
      <c r="AR2496" s="17"/>
      <c r="AS2496" s="17"/>
      <c r="AT2496" s="17"/>
      <c r="AU2496" s="17"/>
    </row>
    <row r="2497" hidden="1">
      <c r="A2497" s="17">
        <v>2495</v>
      </c>
      <c r="B2497" s="17" t="s">
        <v>52</v>
      </c>
      <c r="C2497" s="34" t="s">
        <v>7161</v>
      </c>
      <c r="D2497" s="35" t="s">
        <v>6576</v>
      </c>
      <c r="E2497" s="17"/>
      <c r="F2497" s="17"/>
      <c r="G2497" s="17"/>
      <c r="H2497" s="17"/>
      <c r="I2497" s="17"/>
      <c r="J2497" s="17"/>
      <c r="K2497" s="17"/>
      <c r="L2497" s="17"/>
      <c r="M2497" s="34" t="s">
        <v>7137</v>
      </c>
      <c r="N2497" s="17"/>
      <c r="O2497" s="17"/>
      <c r="P2497" s="17"/>
      <c r="Q2497" s="17"/>
      <c r="R2497" s="17"/>
      <c r="S2497" s="17"/>
      <c r="T2497" s="17"/>
      <c r="U2497" s="17"/>
      <c r="V2497" s="17"/>
      <c r="W2497" s="17"/>
      <c r="X2497" s="17"/>
      <c r="Y2497" s="17"/>
      <c r="Z2497" s="17"/>
      <c r="AA2497" s="17"/>
      <c r="AB2497" s="17"/>
      <c r="AC2497" s="17"/>
      <c r="AD2497" s="17"/>
      <c r="AE2497" s="17"/>
      <c r="AF2497" s="17"/>
      <c r="AG2497" s="17"/>
      <c r="AH2497" s="17"/>
      <c r="AI2497" s="17"/>
      <c r="AJ2497" s="17"/>
      <c r="AK2497" s="17"/>
      <c r="AL2497" s="17"/>
      <c r="AM2497" s="17"/>
      <c r="AN2497" s="17"/>
      <c r="AO2497" s="17"/>
      <c r="AP2497" s="17"/>
      <c r="AQ2497" s="17"/>
      <c r="AR2497" s="17"/>
      <c r="AS2497" s="17"/>
      <c r="AT2497" s="17"/>
      <c r="AU2497" s="17"/>
    </row>
    <row r="2498" hidden="1">
      <c r="A2498" s="17">
        <v>2496</v>
      </c>
      <c r="B2498" s="17" t="s">
        <v>52</v>
      </c>
      <c r="C2498" s="34" t="s">
        <v>7162</v>
      </c>
      <c r="D2498" s="35" t="s">
        <v>6576</v>
      </c>
      <c r="E2498" s="17"/>
      <c r="F2498" s="17"/>
      <c r="G2498" s="17"/>
      <c r="H2498" s="17"/>
      <c r="I2498" s="17"/>
      <c r="J2498" s="17"/>
      <c r="K2498" s="17"/>
      <c r="L2498" s="17"/>
      <c r="M2498" s="34" t="s">
        <v>7137</v>
      </c>
      <c r="N2498" s="17"/>
      <c r="O2498" s="17"/>
      <c r="P2498" s="17"/>
      <c r="Q2498" s="17"/>
      <c r="R2498" s="17"/>
      <c r="S2498" s="17"/>
      <c r="T2498" s="17"/>
      <c r="U2498" s="17"/>
      <c r="V2498" s="17"/>
      <c r="W2498" s="17"/>
      <c r="X2498" s="17"/>
      <c r="Y2498" s="17"/>
      <c r="Z2498" s="17"/>
      <c r="AA2498" s="17"/>
      <c r="AB2498" s="17"/>
      <c r="AC2498" s="17"/>
      <c r="AD2498" s="17"/>
      <c r="AE2498" s="17"/>
      <c r="AF2498" s="17"/>
      <c r="AG2498" s="17"/>
      <c r="AH2498" s="17"/>
      <c r="AI2498" s="17"/>
      <c r="AJ2498" s="17"/>
      <c r="AK2498" s="17"/>
      <c r="AL2498" s="17"/>
      <c r="AM2498" s="17"/>
      <c r="AN2498" s="17"/>
      <c r="AO2498" s="17"/>
      <c r="AP2498" s="17"/>
      <c r="AQ2498" s="17"/>
      <c r="AR2498" s="17"/>
      <c r="AS2498" s="17"/>
      <c r="AT2498" s="17"/>
      <c r="AU2498" s="17"/>
    </row>
    <row r="2499" hidden="1">
      <c r="A2499" s="17">
        <v>2497</v>
      </c>
      <c r="B2499" s="17" t="s">
        <v>52</v>
      </c>
      <c r="C2499" s="34" t="s">
        <v>7163</v>
      </c>
      <c r="D2499" s="35" t="s">
        <v>6576</v>
      </c>
      <c r="E2499" s="17"/>
      <c r="F2499" s="17"/>
      <c r="G2499" s="17"/>
      <c r="H2499" s="17"/>
      <c r="I2499" s="17"/>
      <c r="J2499" s="17"/>
      <c r="K2499" s="17"/>
      <c r="L2499" s="17"/>
      <c r="M2499" s="34" t="s">
        <v>7137</v>
      </c>
      <c r="N2499" s="17"/>
      <c r="O2499" s="17"/>
      <c r="P2499" s="17"/>
      <c r="Q2499" s="17"/>
      <c r="R2499" s="17"/>
      <c r="S2499" s="17"/>
      <c r="T2499" s="17"/>
      <c r="U2499" s="17"/>
      <c r="V2499" s="17"/>
      <c r="W2499" s="17"/>
      <c r="X2499" s="17"/>
      <c r="Y2499" s="17"/>
      <c r="Z2499" s="17"/>
      <c r="AA2499" s="17"/>
      <c r="AB2499" s="17"/>
      <c r="AC2499" s="17"/>
      <c r="AD2499" s="17"/>
      <c r="AE2499" s="17"/>
      <c r="AF2499" s="17"/>
      <c r="AG2499" s="17"/>
      <c r="AH2499" s="17"/>
      <c r="AI2499" s="17"/>
      <c r="AJ2499" s="17"/>
      <c r="AK2499" s="17"/>
      <c r="AL2499" s="17"/>
      <c r="AM2499" s="17"/>
      <c r="AN2499" s="17"/>
      <c r="AO2499" s="17"/>
      <c r="AP2499" s="17"/>
      <c r="AQ2499" s="17"/>
      <c r="AR2499" s="17"/>
      <c r="AS2499" s="17"/>
      <c r="AT2499" s="17"/>
      <c r="AU2499" s="17"/>
    </row>
    <row r="2500" hidden="1">
      <c r="A2500" s="17">
        <v>2498</v>
      </c>
      <c r="B2500" s="17" t="s">
        <v>52</v>
      </c>
      <c r="C2500" s="34" t="s">
        <v>7164</v>
      </c>
      <c r="D2500" s="35" t="s">
        <v>6576</v>
      </c>
      <c r="E2500" s="17"/>
      <c r="F2500" s="17"/>
      <c r="G2500" s="17"/>
      <c r="H2500" s="17"/>
      <c r="I2500" s="17"/>
      <c r="J2500" s="17"/>
      <c r="K2500" s="17"/>
      <c r="L2500" s="17"/>
      <c r="M2500" s="34" t="s">
        <v>7137</v>
      </c>
      <c r="N2500" s="17"/>
      <c r="O2500" s="17"/>
      <c r="P2500" s="17"/>
      <c r="Q2500" s="17"/>
      <c r="R2500" s="17"/>
      <c r="S2500" s="17"/>
      <c r="T2500" s="17"/>
      <c r="U2500" s="17"/>
      <c r="V2500" s="17"/>
      <c r="W2500" s="17"/>
      <c r="X2500" s="17"/>
      <c r="Y2500" s="17"/>
      <c r="Z2500" s="17"/>
      <c r="AA2500" s="17"/>
      <c r="AB2500" s="17"/>
      <c r="AC2500" s="17"/>
      <c r="AD2500" s="17"/>
      <c r="AE2500" s="17"/>
      <c r="AF2500" s="17"/>
      <c r="AG2500" s="17"/>
      <c r="AH2500" s="17"/>
      <c r="AI2500" s="17"/>
      <c r="AJ2500" s="17"/>
      <c r="AK2500" s="17"/>
      <c r="AL2500" s="17"/>
      <c r="AM2500" s="17"/>
      <c r="AN2500" s="17"/>
      <c r="AO2500" s="17"/>
      <c r="AP2500" s="17"/>
      <c r="AQ2500" s="17"/>
      <c r="AR2500" s="17"/>
      <c r="AS2500" s="17"/>
      <c r="AT2500" s="17"/>
      <c r="AU2500" s="17"/>
    </row>
    <row r="2501" hidden="1">
      <c r="A2501" s="17">
        <v>2499</v>
      </c>
      <c r="B2501" s="17" t="s">
        <v>52</v>
      </c>
      <c r="C2501" s="34" t="s">
        <v>7165</v>
      </c>
      <c r="D2501" s="35" t="s">
        <v>6576</v>
      </c>
      <c r="E2501" s="17"/>
      <c r="F2501" s="17"/>
      <c r="G2501" s="17"/>
      <c r="H2501" s="17"/>
      <c r="I2501" s="17"/>
      <c r="J2501" s="17"/>
      <c r="K2501" s="17"/>
      <c r="L2501" s="17"/>
      <c r="M2501" s="34" t="s">
        <v>7137</v>
      </c>
      <c r="N2501" s="17"/>
      <c r="O2501" s="17"/>
      <c r="P2501" s="17"/>
      <c r="Q2501" s="17"/>
      <c r="R2501" s="17"/>
      <c r="S2501" s="17"/>
      <c r="T2501" s="17"/>
      <c r="U2501" s="17"/>
      <c r="V2501" s="17"/>
      <c r="W2501" s="17"/>
      <c r="X2501" s="17"/>
      <c r="Y2501" s="17"/>
      <c r="Z2501" s="17"/>
      <c r="AA2501" s="17"/>
      <c r="AB2501" s="17"/>
      <c r="AC2501" s="17"/>
      <c r="AD2501" s="17"/>
      <c r="AE2501" s="17"/>
      <c r="AF2501" s="17"/>
      <c r="AG2501" s="17"/>
      <c r="AH2501" s="17"/>
      <c r="AI2501" s="17"/>
      <c r="AJ2501" s="17"/>
      <c r="AK2501" s="17"/>
      <c r="AL2501" s="17"/>
      <c r="AM2501" s="17"/>
      <c r="AN2501" s="17"/>
      <c r="AO2501" s="17"/>
      <c r="AP2501" s="17"/>
      <c r="AQ2501" s="17"/>
      <c r="AR2501" s="17"/>
      <c r="AS2501" s="17"/>
      <c r="AT2501" s="17"/>
      <c r="AU2501" s="17"/>
    </row>
    <row r="2502" hidden="1">
      <c r="A2502" s="17">
        <v>2500</v>
      </c>
      <c r="B2502" s="17" t="s">
        <v>52</v>
      </c>
      <c r="C2502" s="34" t="s">
        <v>7166</v>
      </c>
      <c r="D2502" s="35" t="s">
        <v>6576</v>
      </c>
      <c r="E2502" s="17"/>
      <c r="F2502" s="17"/>
      <c r="G2502" s="17"/>
      <c r="H2502" s="17"/>
      <c r="I2502" s="17"/>
      <c r="J2502" s="17"/>
      <c r="K2502" s="17"/>
      <c r="L2502" s="17"/>
      <c r="M2502" s="34" t="s">
        <v>7137</v>
      </c>
      <c r="N2502" s="17"/>
      <c r="O2502" s="17"/>
      <c r="P2502" s="17"/>
      <c r="Q2502" s="17"/>
      <c r="R2502" s="17"/>
      <c r="S2502" s="17"/>
      <c r="T2502" s="17"/>
      <c r="U2502" s="17"/>
      <c r="V2502" s="17"/>
      <c r="W2502" s="17"/>
      <c r="X2502" s="17"/>
      <c r="Y2502" s="17"/>
      <c r="Z2502" s="17"/>
      <c r="AA2502" s="17"/>
      <c r="AB2502" s="17"/>
      <c r="AC2502" s="17"/>
      <c r="AD2502" s="17"/>
      <c r="AE2502" s="17"/>
      <c r="AF2502" s="17"/>
      <c r="AG2502" s="17"/>
      <c r="AH2502" s="17"/>
      <c r="AI2502" s="17"/>
      <c r="AJ2502" s="17"/>
      <c r="AK2502" s="17"/>
      <c r="AL2502" s="17"/>
      <c r="AM2502" s="17"/>
      <c r="AN2502" s="17"/>
      <c r="AO2502" s="17"/>
      <c r="AP2502" s="17"/>
      <c r="AQ2502" s="17"/>
      <c r="AR2502" s="17"/>
      <c r="AS2502" s="17"/>
      <c r="AT2502" s="17"/>
      <c r="AU2502" s="17"/>
    </row>
    <row r="2503" hidden="1">
      <c r="A2503" s="17">
        <v>2501</v>
      </c>
      <c r="B2503" s="17" t="s">
        <v>52</v>
      </c>
      <c r="C2503" s="34" t="s">
        <v>7167</v>
      </c>
      <c r="D2503" s="35" t="s">
        <v>6576</v>
      </c>
      <c r="E2503" s="17"/>
      <c r="F2503" s="17"/>
      <c r="G2503" s="17"/>
      <c r="H2503" s="17"/>
      <c r="I2503" s="17"/>
      <c r="J2503" s="17"/>
      <c r="K2503" s="17"/>
      <c r="L2503" s="17"/>
      <c r="M2503" s="34" t="s">
        <v>7137</v>
      </c>
      <c r="N2503" s="17"/>
      <c r="O2503" s="17"/>
      <c r="P2503" s="17"/>
      <c r="Q2503" s="17"/>
      <c r="R2503" s="17"/>
      <c r="S2503" s="17"/>
      <c r="T2503" s="17"/>
      <c r="U2503" s="17"/>
      <c r="V2503" s="17"/>
      <c r="W2503" s="17"/>
      <c r="X2503" s="17"/>
      <c r="Y2503" s="17"/>
      <c r="Z2503" s="17"/>
      <c r="AA2503" s="17"/>
      <c r="AB2503" s="17"/>
      <c r="AC2503" s="17"/>
      <c r="AD2503" s="17"/>
      <c r="AE2503" s="17"/>
      <c r="AF2503" s="17"/>
      <c r="AG2503" s="17"/>
      <c r="AH2503" s="17"/>
      <c r="AI2503" s="17"/>
      <c r="AJ2503" s="17"/>
      <c r="AK2503" s="17"/>
      <c r="AL2503" s="17"/>
      <c r="AM2503" s="17"/>
      <c r="AN2503" s="17"/>
      <c r="AO2503" s="17"/>
      <c r="AP2503" s="17"/>
      <c r="AQ2503" s="17"/>
      <c r="AR2503" s="17"/>
      <c r="AS2503" s="17"/>
      <c r="AT2503" s="17"/>
      <c r="AU2503" s="17"/>
    </row>
    <row r="2504" hidden="1">
      <c r="A2504" s="17">
        <v>2502</v>
      </c>
      <c r="B2504" s="17" t="s">
        <v>52</v>
      </c>
      <c r="C2504" s="34" t="s">
        <v>7168</v>
      </c>
      <c r="D2504" s="35" t="s">
        <v>6576</v>
      </c>
      <c r="E2504" s="17"/>
      <c r="F2504" s="17"/>
      <c r="G2504" s="17"/>
      <c r="H2504" s="17"/>
      <c r="I2504" s="17"/>
      <c r="J2504" s="17"/>
      <c r="K2504" s="17"/>
      <c r="L2504" s="17"/>
      <c r="M2504" s="34" t="s">
        <v>7137</v>
      </c>
      <c r="N2504" s="17"/>
      <c r="O2504" s="17"/>
      <c r="P2504" s="17"/>
      <c r="Q2504" s="17"/>
      <c r="R2504" s="17"/>
      <c r="S2504" s="17"/>
      <c r="T2504" s="17"/>
      <c r="U2504" s="17"/>
      <c r="V2504" s="17"/>
      <c r="W2504" s="17"/>
      <c r="X2504" s="17"/>
      <c r="Y2504" s="17"/>
      <c r="Z2504" s="17"/>
      <c r="AA2504" s="17"/>
      <c r="AB2504" s="17"/>
      <c r="AC2504" s="17"/>
      <c r="AD2504" s="17"/>
      <c r="AE2504" s="17"/>
      <c r="AF2504" s="17"/>
      <c r="AG2504" s="17"/>
      <c r="AH2504" s="17"/>
      <c r="AI2504" s="17"/>
      <c r="AJ2504" s="17"/>
      <c r="AK2504" s="17"/>
      <c r="AL2504" s="17"/>
      <c r="AM2504" s="17"/>
      <c r="AN2504" s="17"/>
      <c r="AO2504" s="17"/>
      <c r="AP2504" s="17"/>
      <c r="AQ2504" s="17"/>
      <c r="AR2504" s="17"/>
      <c r="AS2504" s="17"/>
      <c r="AT2504" s="17"/>
      <c r="AU2504" s="17"/>
    </row>
    <row r="2505" hidden="1">
      <c r="A2505" s="17">
        <v>2503</v>
      </c>
      <c r="B2505" s="17" t="s">
        <v>52</v>
      </c>
      <c r="C2505" s="34" t="s">
        <v>7169</v>
      </c>
      <c r="D2505" s="35" t="s">
        <v>6576</v>
      </c>
      <c r="E2505" s="17" t="s">
        <v>7170</v>
      </c>
      <c r="F2505" s="17" t="s">
        <v>7171</v>
      </c>
      <c r="G2505" s="17">
        <v>21.93723</v>
      </c>
      <c r="H2505" s="17">
        <v>87.700618000000006</v>
      </c>
      <c r="I2505" s="17"/>
      <c r="J2505" s="17"/>
      <c r="K2505" s="17"/>
      <c r="L2505" s="17"/>
      <c r="M2505" s="34" t="s">
        <v>7137</v>
      </c>
      <c r="N2505" s="17">
        <v>9064976029</v>
      </c>
      <c r="O2505" s="17"/>
      <c r="P2505" s="17"/>
      <c r="Q2505" s="17"/>
      <c r="R2505" s="17"/>
      <c r="S2505" s="17"/>
      <c r="T2505" s="17"/>
      <c r="U2505" s="17"/>
      <c r="V2505" s="17"/>
      <c r="W2505" s="17"/>
      <c r="X2505" s="17"/>
      <c r="Y2505" s="17"/>
      <c r="Z2505" s="17"/>
      <c r="AA2505" s="17"/>
      <c r="AB2505" s="17"/>
      <c r="AC2505" s="17"/>
      <c r="AD2505" s="17"/>
      <c r="AE2505" s="17"/>
      <c r="AF2505" s="17"/>
      <c r="AG2505" s="17"/>
      <c r="AH2505" s="17"/>
      <c r="AI2505" s="17"/>
      <c r="AJ2505" s="17"/>
      <c r="AK2505" s="17"/>
      <c r="AL2505" s="17"/>
      <c r="AM2505" s="17"/>
      <c r="AN2505" s="17"/>
      <c r="AO2505" s="17"/>
      <c r="AP2505" s="17"/>
      <c r="AQ2505" s="17"/>
      <c r="AR2505" s="17"/>
      <c r="AS2505" s="17"/>
      <c r="AT2505" s="17"/>
      <c r="AU2505" s="17"/>
    </row>
    <row r="2506" hidden="1">
      <c r="A2506" s="17">
        <v>2504</v>
      </c>
      <c r="B2506" s="17" t="s">
        <v>52</v>
      </c>
      <c r="C2506" s="34" t="s">
        <v>7172</v>
      </c>
      <c r="D2506" s="35" t="s">
        <v>6576</v>
      </c>
      <c r="E2506" s="17" t="s">
        <v>7173</v>
      </c>
      <c r="F2506" s="17" t="s">
        <v>7174</v>
      </c>
      <c r="G2506" s="17">
        <v>22.031590000000001</v>
      </c>
      <c r="H2506" s="17">
        <v>87.671246999999994</v>
      </c>
      <c r="I2506" s="17"/>
      <c r="J2506" s="17"/>
      <c r="K2506" s="17"/>
      <c r="L2506" s="17"/>
      <c r="M2506" s="34" t="s">
        <v>7137</v>
      </c>
      <c r="N2506" s="17">
        <v>9064976029</v>
      </c>
      <c r="O2506" s="17"/>
      <c r="P2506" s="17"/>
      <c r="Q2506" s="17"/>
      <c r="R2506" s="17"/>
      <c r="S2506" s="17"/>
      <c r="T2506" s="17"/>
      <c r="U2506" s="17"/>
      <c r="V2506" s="17"/>
      <c r="W2506" s="17"/>
      <c r="X2506" s="17"/>
      <c r="Y2506" s="17"/>
      <c r="Z2506" s="17"/>
      <c r="AA2506" s="17"/>
      <c r="AB2506" s="17"/>
      <c r="AC2506" s="17"/>
      <c r="AD2506" s="17"/>
      <c r="AE2506" s="17"/>
      <c r="AF2506" s="17"/>
      <c r="AG2506" s="17"/>
      <c r="AH2506" s="17"/>
      <c r="AI2506" s="17"/>
      <c r="AJ2506" s="17"/>
      <c r="AK2506" s="17"/>
      <c r="AL2506" s="17"/>
      <c r="AM2506" s="17"/>
      <c r="AN2506" s="17"/>
      <c r="AO2506" s="17"/>
      <c r="AP2506" s="17"/>
      <c r="AQ2506" s="17"/>
      <c r="AR2506" s="17"/>
      <c r="AS2506" s="17"/>
      <c r="AT2506" s="17"/>
      <c r="AU2506" s="17"/>
    </row>
    <row r="2507" hidden="1">
      <c r="A2507" s="17">
        <v>2505</v>
      </c>
      <c r="B2507" s="17" t="s">
        <v>52</v>
      </c>
      <c r="C2507" s="34" t="s">
        <v>7175</v>
      </c>
      <c r="D2507" s="35" t="s">
        <v>6576</v>
      </c>
      <c r="E2507" s="17" t="s">
        <v>7176</v>
      </c>
      <c r="F2507" s="17" t="s">
        <v>7177</v>
      </c>
      <c r="G2507" s="17">
        <v>21.949484000000002</v>
      </c>
      <c r="H2507" s="17">
        <v>87.746643000000006</v>
      </c>
      <c r="I2507" s="17"/>
      <c r="J2507" s="17"/>
      <c r="K2507" s="17"/>
      <c r="L2507" s="17"/>
      <c r="M2507" s="34" t="s">
        <v>7137</v>
      </c>
      <c r="N2507" s="17">
        <v>9064976029</v>
      </c>
      <c r="O2507" s="17"/>
      <c r="P2507" s="17"/>
      <c r="Q2507" s="17"/>
      <c r="R2507" s="17"/>
      <c r="S2507" s="17"/>
      <c r="T2507" s="17"/>
      <c r="U2507" s="17"/>
      <c r="V2507" s="17"/>
      <c r="W2507" s="17"/>
      <c r="X2507" s="17"/>
      <c r="Y2507" s="17"/>
      <c r="Z2507" s="17"/>
      <c r="AA2507" s="17"/>
      <c r="AB2507" s="17"/>
      <c r="AC2507" s="17"/>
      <c r="AD2507" s="17"/>
      <c r="AE2507" s="17"/>
      <c r="AF2507" s="17"/>
      <c r="AG2507" s="17"/>
      <c r="AH2507" s="17"/>
      <c r="AI2507" s="17"/>
      <c r="AJ2507" s="17"/>
      <c r="AK2507" s="17"/>
      <c r="AL2507" s="17"/>
      <c r="AM2507" s="17"/>
      <c r="AN2507" s="17"/>
      <c r="AO2507" s="17"/>
      <c r="AP2507" s="17"/>
      <c r="AQ2507" s="17"/>
      <c r="AR2507" s="17"/>
      <c r="AS2507" s="17"/>
      <c r="AT2507" s="17"/>
      <c r="AU2507" s="17"/>
    </row>
    <row r="2508" hidden="1">
      <c r="A2508" s="17">
        <v>2506</v>
      </c>
      <c r="B2508" s="17" t="s">
        <v>52</v>
      </c>
      <c r="C2508" s="34" t="s">
        <v>7178</v>
      </c>
      <c r="D2508" s="35" t="s">
        <v>6576</v>
      </c>
      <c r="E2508" s="17" t="s">
        <v>7179</v>
      </c>
      <c r="F2508" s="17" t="s">
        <v>7180</v>
      </c>
      <c r="G2508" s="17">
        <v>21.959879000000001</v>
      </c>
      <c r="H2508" s="17">
        <v>87.713916999999995</v>
      </c>
      <c r="I2508" s="17"/>
      <c r="J2508" s="17"/>
      <c r="K2508" s="17"/>
      <c r="L2508" s="17"/>
      <c r="M2508" s="34" t="s">
        <v>7137</v>
      </c>
      <c r="N2508" s="17">
        <v>9064976029</v>
      </c>
      <c r="O2508" s="17"/>
      <c r="P2508" s="17"/>
      <c r="Q2508" s="17"/>
      <c r="R2508" s="17"/>
      <c r="S2508" s="17"/>
      <c r="T2508" s="17"/>
      <c r="U2508" s="17"/>
      <c r="V2508" s="17"/>
      <c r="W2508" s="17"/>
      <c r="X2508" s="17"/>
      <c r="Y2508" s="17"/>
      <c r="Z2508" s="17"/>
      <c r="AA2508" s="17"/>
      <c r="AB2508" s="17"/>
      <c r="AC2508" s="17"/>
      <c r="AD2508" s="17"/>
      <c r="AE2508" s="17"/>
      <c r="AF2508" s="17"/>
      <c r="AG2508" s="17"/>
      <c r="AH2508" s="17"/>
      <c r="AI2508" s="17"/>
      <c r="AJ2508" s="17"/>
      <c r="AK2508" s="17"/>
      <c r="AL2508" s="17"/>
      <c r="AM2508" s="17"/>
      <c r="AN2508" s="17"/>
      <c r="AO2508" s="17"/>
      <c r="AP2508" s="17"/>
      <c r="AQ2508" s="17"/>
      <c r="AR2508" s="17"/>
      <c r="AS2508" s="17"/>
      <c r="AT2508" s="17"/>
      <c r="AU2508" s="17"/>
    </row>
    <row r="2509" hidden="1">
      <c r="A2509" s="17">
        <v>2507</v>
      </c>
      <c r="B2509" s="17" t="s">
        <v>52</v>
      </c>
      <c r="C2509" s="34" t="s">
        <v>7181</v>
      </c>
      <c r="D2509" s="35" t="s">
        <v>6576</v>
      </c>
      <c r="E2509" s="17" t="s">
        <v>7182</v>
      </c>
      <c r="F2509" s="17" t="s">
        <v>7183</v>
      </c>
      <c r="G2509" s="17">
        <v>21.919518</v>
      </c>
      <c r="H2509" s="17">
        <v>87.743465</v>
      </c>
      <c r="I2509" s="17"/>
      <c r="J2509" s="17"/>
      <c r="K2509" s="17"/>
      <c r="L2509" s="17"/>
      <c r="M2509" s="34" t="s">
        <v>7137</v>
      </c>
      <c r="N2509" s="17">
        <v>9064976029</v>
      </c>
      <c r="O2509" s="17"/>
      <c r="P2509" s="17"/>
      <c r="Q2509" s="17"/>
      <c r="R2509" s="17"/>
      <c r="S2509" s="17"/>
      <c r="T2509" s="17"/>
      <c r="U2509" s="17"/>
      <c r="V2509" s="17"/>
      <c r="W2509" s="17"/>
      <c r="X2509" s="17"/>
      <c r="Y2509" s="17"/>
      <c r="Z2509" s="17"/>
      <c r="AA2509" s="17"/>
      <c r="AB2509" s="17"/>
      <c r="AC2509" s="17"/>
      <c r="AD2509" s="17"/>
      <c r="AE2509" s="17"/>
      <c r="AF2509" s="17"/>
      <c r="AG2509" s="17"/>
      <c r="AH2509" s="17"/>
      <c r="AI2509" s="17"/>
      <c r="AJ2509" s="17"/>
      <c r="AK2509" s="17"/>
      <c r="AL2509" s="17"/>
      <c r="AM2509" s="17"/>
      <c r="AN2509" s="17"/>
      <c r="AO2509" s="17"/>
      <c r="AP2509" s="17"/>
      <c r="AQ2509" s="17"/>
      <c r="AR2509" s="17"/>
      <c r="AS2509" s="17"/>
      <c r="AT2509" s="17"/>
      <c r="AU2509" s="17"/>
    </row>
    <row r="2510" hidden="1">
      <c r="A2510" s="17">
        <v>2508</v>
      </c>
      <c r="B2510" s="17" t="s">
        <v>52</v>
      </c>
      <c r="C2510" s="34" t="s">
        <v>7184</v>
      </c>
      <c r="D2510" s="35" t="s">
        <v>6576</v>
      </c>
      <c r="E2510" s="17" t="s">
        <v>7185</v>
      </c>
      <c r="F2510" s="17" t="s">
        <v>7186</v>
      </c>
      <c r="G2510" s="17">
        <v>21.907122999999999</v>
      </c>
      <c r="H2510" s="17">
        <v>87.665889000000007</v>
      </c>
      <c r="I2510" s="17"/>
      <c r="J2510" s="17"/>
      <c r="K2510" s="17"/>
      <c r="L2510" s="17"/>
      <c r="M2510" s="34" t="s">
        <v>7137</v>
      </c>
      <c r="N2510" s="17">
        <v>9064976029</v>
      </c>
      <c r="O2510" s="17"/>
      <c r="P2510" s="17"/>
      <c r="Q2510" s="17"/>
      <c r="R2510" s="17"/>
      <c r="S2510" s="17"/>
      <c r="T2510" s="17"/>
      <c r="U2510" s="17"/>
      <c r="V2510" s="17"/>
      <c r="W2510" s="17"/>
      <c r="X2510" s="17"/>
      <c r="Y2510" s="17"/>
      <c r="Z2510" s="17"/>
      <c r="AA2510" s="17"/>
      <c r="AB2510" s="17"/>
      <c r="AC2510" s="17"/>
      <c r="AD2510" s="17"/>
      <c r="AE2510" s="17"/>
      <c r="AF2510" s="17"/>
      <c r="AG2510" s="17"/>
      <c r="AH2510" s="17"/>
      <c r="AI2510" s="17"/>
      <c r="AJ2510" s="17"/>
      <c r="AK2510" s="17"/>
      <c r="AL2510" s="17"/>
      <c r="AM2510" s="17"/>
      <c r="AN2510" s="17"/>
      <c r="AO2510" s="17"/>
      <c r="AP2510" s="17"/>
      <c r="AQ2510" s="17"/>
      <c r="AR2510" s="17"/>
      <c r="AS2510" s="17"/>
      <c r="AT2510" s="17"/>
      <c r="AU2510" s="17"/>
    </row>
    <row r="2511" hidden="1">
      <c r="A2511" s="17">
        <v>2509</v>
      </c>
      <c r="B2511" s="17" t="s">
        <v>52</v>
      </c>
      <c r="C2511" s="34" t="s">
        <v>7187</v>
      </c>
      <c r="D2511" s="35" t="s">
        <v>6576</v>
      </c>
      <c r="E2511" s="17" t="s">
        <v>4658</v>
      </c>
      <c r="F2511" s="17" t="s">
        <v>7188</v>
      </c>
      <c r="G2511" s="17">
        <v>21.908750000000001</v>
      </c>
      <c r="H2511" s="17">
        <v>87.721221999999997</v>
      </c>
      <c r="I2511" s="17"/>
      <c r="J2511" s="17"/>
      <c r="K2511" s="17"/>
      <c r="L2511" s="17"/>
      <c r="M2511" s="34" t="s">
        <v>7137</v>
      </c>
      <c r="N2511" s="17">
        <v>9064976029</v>
      </c>
      <c r="O2511" s="17"/>
      <c r="P2511" s="17"/>
      <c r="Q2511" s="17"/>
      <c r="R2511" s="17"/>
      <c r="S2511" s="17"/>
      <c r="T2511" s="17"/>
      <c r="U2511" s="17"/>
      <c r="V2511" s="17"/>
      <c r="W2511" s="17"/>
      <c r="X2511" s="17"/>
      <c r="Y2511" s="17"/>
      <c r="Z2511" s="17"/>
      <c r="AA2511" s="17"/>
      <c r="AB2511" s="17"/>
      <c r="AC2511" s="17"/>
      <c r="AD2511" s="17"/>
      <c r="AE2511" s="17"/>
      <c r="AF2511" s="17"/>
      <c r="AG2511" s="17"/>
      <c r="AH2511" s="17"/>
      <c r="AI2511" s="17"/>
      <c r="AJ2511" s="17"/>
      <c r="AK2511" s="17"/>
      <c r="AL2511" s="17"/>
      <c r="AM2511" s="17"/>
      <c r="AN2511" s="17"/>
      <c r="AO2511" s="17"/>
      <c r="AP2511" s="17"/>
      <c r="AQ2511" s="17"/>
      <c r="AR2511" s="17"/>
      <c r="AS2511" s="17"/>
      <c r="AT2511" s="17"/>
      <c r="AU2511" s="17"/>
    </row>
    <row r="2512" hidden="1">
      <c r="A2512" s="17">
        <v>2510</v>
      </c>
      <c r="B2512" s="17" t="s">
        <v>52</v>
      </c>
      <c r="C2512" s="34" t="s">
        <v>7189</v>
      </c>
      <c r="D2512" s="35" t="s">
        <v>6576</v>
      </c>
      <c r="E2512" s="17" t="s">
        <v>7190</v>
      </c>
      <c r="F2512" s="17" t="s">
        <v>7191</v>
      </c>
      <c r="G2512" s="17">
        <v>21.879611000000001</v>
      </c>
      <c r="H2512" s="17">
        <v>87.687760999999995</v>
      </c>
      <c r="I2512" s="17"/>
      <c r="J2512" s="17"/>
      <c r="K2512" s="17"/>
      <c r="L2512" s="17"/>
      <c r="M2512" s="34" t="s">
        <v>7137</v>
      </c>
      <c r="N2512" s="17">
        <v>9064976029</v>
      </c>
      <c r="O2512" s="17"/>
      <c r="P2512" s="17"/>
      <c r="Q2512" s="17"/>
      <c r="R2512" s="17"/>
      <c r="S2512" s="17"/>
      <c r="T2512" s="17"/>
      <c r="U2512" s="17"/>
      <c r="V2512" s="17"/>
      <c r="W2512" s="17"/>
      <c r="X2512" s="17"/>
      <c r="Y2512" s="17"/>
      <c r="Z2512" s="17"/>
      <c r="AA2512" s="17"/>
      <c r="AB2512" s="17"/>
      <c r="AC2512" s="17"/>
      <c r="AD2512" s="17"/>
      <c r="AE2512" s="17"/>
      <c r="AF2512" s="17"/>
      <c r="AG2512" s="17"/>
      <c r="AH2512" s="17"/>
      <c r="AI2512" s="17"/>
      <c r="AJ2512" s="17"/>
      <c r="AK2512" s="17"/>
      <c r="AL2512" s="17"/>
      <c r="AM2512" s="17"/>
      <c r="AN2512" s="17"/>
      <c r="AO2512" s="17"/>
      <c r="AP2512" s="17"/>
      <c r="AQ2512" s="17"/>
      <c r="AR2512" s="17"/>
      <c r="AS2512" s="17"/>
      <c r="AT2512" s="17"/>
      <c r="AU2512" s="17"/>
    </row>
    <row r="2513" hidden="1">
      <c r="A2513" s="17">
        <v>2511</v>
      </c>
      <c r="B2513" s="17" t="s">
        <v>52</v>
      </c>
      <c r="C2513" s="34" t="s">
        <v>7192</v>
      </c>
      <c r="D2513" s="35" t="s">
        <v>6576</v>
      </c>
      <c r="E2513" s="17" t="s">
        <v>7193</v>
      </c>
      <c r="F2513" s="17" t="s">
        <v>7194</v>
      </c>
      <c r="G2513" s="17">
        <v>22.032838999999999</v>
      </c>
      <c r="H2513" s="17">
        <v>87.613641999999999</v>
      </c>
      <c r="I2513" s="17"/>
      <c r="J2513" s="17"/>
      <c r="K2513" s="17"/>
      <c r="L2513" s="17"/>
      <c r="M2513" s="34" t="s">
        <v>7137</v>
      </c>
      <c r="N2513" s="17">
        <v>9064976029</v>
      </c>
      <c r="O2513" s="17"/>
      <c r="P2513" s="17"/>
      <c r="Q2513" s="17"/>
      <c r="R2513" s="17"/>
      <c r="S2513" s="17"/>
      <c r="T2513" s="17"/>
      <c r="U2513" s="17"/>
      <c r="V2513" s="17"/>
      <c r="W2513" s="17"/>
      <c r="X2513" s="17"/>
      <c r="Y2513" s="17"/>
      <c r="Z2513" s="17"/>
      <c r="AA2513" s="17"/>
      <c r="AB2513" s="17"/>
      <c r="AC2513" s="17"/>
      <c r="AD2513" s="17"/>
      <c r="AE2513" s="17"/>
      <c r="AF2513" s="17"/>
      <c r="AG2513" s="17"/>
      <c r="AH2513" s="17"/>
      <c r="AI2513" s="17"/>
      <c r="AJ2513" s="17"/>
      <c r="AK2513" s="17"/>
      <c r="AL2513" s="17"/>
      <c r="AM2513" s="17"/>
      <c r="AN2513" s="17"/>
      <c r="AO2513" s="17"/>
      <c r="AP2513" s="17"/>
      <c r="AQ2513" s="17"/>
      <c r="AR2513" s="17"/>
      <c r="AS2513" s="17"/>
      <c r="AT2513" s="17"/>
      <c r="AU2513" s="17"/>
    </row>
    <row r="2514" hidden="1">
      <c r="A2514" s="17">
        <v>2512</v>
      </c>
      <c r="B2514" s="17" t="s">
        <v>52</v>
      </c>
      <c r="C2514" s="34" t="s">
        <v>7195</v>
      </c>
      <c r="D2514" s="35" t="s">
        <v>6576</v>
      </c>
      <c r="E2514" s="17" t="s">
        <v>6752</v>
      </c>
      <c r="F2514" s="17" t="s">
        <v>7196</v>
      </c>
      <c r="G2514" s="17">
        <v>22.078285999999999</v>
      </c>
      <c r="H2514" s="17">
        <v>87.588648000000006</v>
      </c>
      <c r="I2514" s="17"/>
      <c r="J2514" s="17"/>
      <c r="K2514" s="17"/>
      <c r="L2514" s="17"/>
      <c r="M2514" s="34" t="s">
        <v>7137</v>
      </c>
      <c r="N2514" s="17">
        <v>9064976029</v>
      </c>
      <c r="O2514" s="17"/>
      <c r="P2514" s="17"/>
      <c r="Q2514" s="17"/>
      <c r="R2514" s="17"/>
      <c r="S2514" s="17"/>
      <c r="T2514" s="17"/>
      <c r="U2514" s="17"/>
      <c r="V2514" s="17"/>
      <c r="W2514" s="17"/>
      <c r="X2514" s="17"/>
      <c r="Y2514" s="17"/>
      <c r="Z2514" s="17"/>
      <c r="AA2514" s="17"/>
      <c r="AB2514" s="17"/>
      <c r="AC2514" s="17"/>
      <c r="AD2514" s="17"/>
      <c r="AE2514" s="17"/>
      <c r="AF2514" s="17"/>
      <c r="AG2514" s="17"/>
      <c r="AH2514" s="17"/>
      <c r="AI2514" s="17"/>
      <c r="AJ2514" s="17"/>
      <c r="AK2514" s="17"/>
      <c r="AL2514" s="17"/>
      <c r="AM2514" s="17"/>
      <c r="AN2514" s="17"/>
      <c r="AO2514" s="17"/>
      <c r="AP2514" s="17"/>
      <c r="AQ2514" s="17"/>
      <c r="AR2514" s="17"/>
      <c r="AS2514" s="17"/>
      <c r="AT2514" s="17"/>
      <c r="AU2514" s="17"/>
    </row>
    <row r="2515" hidden="1">
      <c r="A2515" s="17">
        <v>2513</v>
      </c>
      <c r="B2515" s="17" t="s">
        <v>52</v>
      </c>
      <c r="C2515" s="34" t="s">
        <v>7197</v>
      </c>
      <c r="D2515" s="35" t="s">
        <v>6576</v>
      </c>
      <c r="E2515" s="17" t="s">
        <v>6752</v>
      </c>
      <c r="F2515" s="17" t="s">
        <v>7198</v>
      </c>
      <c r="G2515" s="17">
        <v>22.081399000000001</v>
      </c>
      <c r="H2515" s="17">
        <v>87.652590000000004</v>
      </c>
      <c r="I2515" s="17"/>
      <c r="J2515" s="17"/>
      <c r="K2515" s="17"/>
      <c r="L2515" s="17"/>
      <c r="M2515" s="34" t="s">
        <v>7137</v>
      </c>
      <c r="N2515" s="17">
        <v>9064976029</v>
      </c>
      <c r="O2515" s="17"/>
      <c r="P2515" s="17"/>
      <c r="Q2515" s="17"/>
      <c r="R2515" s="17"/>
      <c r="S2515" s="17"/>
      <c r="T2515" s="17"/>
      <c r="U2515" s="17"/>
      <c r="V2515" s="17"/>
      <c r="W2515" s="17"/>
      <c r="X2515" s="17"/>
      <c r="Y2515" s="17"/>
      <c r="Z2515" s="17"/>
      <c r="AA2515" s="17"/>
      <c r="AB2515" s="17"/>
      <c r="AC2515" s="17"/>
      <c r="AD2515" s="17"/>
      <c r="AE2515" s="17"/>
      <c r="AF2515" s="17"/>
      <c r="AG2515" s="17"/>
      <c r="AH2515" s="17"/>
      <c r="AI2515" s="17"/>
      <c r="AJ2515" s="17"/>
      <c r="AK2515" s="17"/>
      <c r="AL2515" s="17"/>
      <c r="AM2515" s="17"/>
      <c r="AN2515" s="17"/>
      <c r="AO2515" s="17"/>
      <c r="AP2515" s="17"/>
      <c r="AQ2515" s="17"/>
      <c r="AR2515" s="17"/>
      <c r="AS2515" s="17"/>
      <c r="AT2515" s="17"/>
      <c r="AU2515" s="17"/>
    </row>
    <row r="2516" hidden="1">
      <c r="A2516" s="17">
        <v>2514</v>
      </c>
      <c r="B2516" s="17" t="s">
        <v>52</v>
      </c>
      <c r="C2516" s="34" t="s">
        <v>7199</v>
      </c>
      <c r="D2516" s="35" t="s">
        <v>6576</v>
      </c>
      <c r="E2516" s="17" t="s">
        <v>7200</v>
      </c>
      <c r="F2516" s="17" t="s">
        <v>7201</v>
      </c>
      <c r="G2516" s="17">
        <v>22.046564</v>
      </c>
      <c r="H2516" s="17">
        <v>87.633848999999998</v>
      </c>
      <c r="I2516" s="17"/>
      <c r="J2516" s="17"/>
      <c r="K2516" s="17"/>
      <c r="L2516" s="17"/>
      <c r="M2516" s="34" t="s">
        <v>7137</v>
      </c>
      <c r="N2516" s="17">
        <v>9064976029</v>
      </c>
      <c r="O2516" s="17"/>
      <c r="P2516" s="17"/>
      <c r="Q2516" s="17"/>
      <c r="R2516" s="17"/>
      <c r="S2516" s="17"/>
      <c r="T2516" s="17"/>
      <c r="U2516" s="17"/>
      <c r="V2516" s="17"/>
      <c r="W2516" s="17"/>
      <c r="X2516" s="17"/>
      <c r="Y2516" s="17"/>
      <c r="Z2516" s="17"/>
      <c r="AA2516" s="17"/>
      <c r="AB2516" s="17"/>
      <c r="AC2516" s="17"/>
      <c r="AD2516" s="17"/>
      <c r="AE2516" s="17"/>
      <c r="AF2516" s="17"/>
      <c r="AG2516" s="17"/>
      <c r="AH2516" s="17"/>
      <c r="AI2516" s="17"/>
      <c r="AJ2516" s="17"/>
      <c r="AK2516" s="17"/>
      <c r="AL2516" s="17"/>
      <c r="AM2516" s="17"/>
      <c r="AN2516" s="17"/>
      <c r="AO2516" s="17"/>
      <c r="AP2516" s="17"/>
      <c r="AQ2516" s="17"/>
      <c r="AR2516" s="17"/>
      <c r="AS2516" s="17"/>
      <c r="AT2516" s="17"/>
      <c r="AU2516" s="17"/>
    </row>
    <row r="2517" hidden="1">
      <c r="A2517" s="17">
        <v>2515</v>
      </c>
      <c r="B2517" s="17" t="s">
        <v>52</v>
      </c>
      <c r="C2517" s="34" t="s">
        <v>7202</v>
      </c>
      <c r="D2517" s="35" t="s">
        <v>6576</v>
      </c>
      <c r="E2517" s="17" t="s">
        <v>7203</v>
      </c>
      <c r="F2517" s="17" t="s">
        <v>7204</v>
      </c>
      <c r="G2517" s="17">
        <v>22.081368000000001</v>
      </c>
      <c r="H2517" s="17">
        <v>87.639458000000005</v>
      </c>
      <c r="I2517" s="17"/>
      <c r="J2517" s="17"/>
      <c r="K2517" s="17"/>
      <c r="L2517" s="17"/>
      <c r="M2517" s="34" t="s">
        <v>7137</v>
      </c>
      <c r="N2517" s="17">
        <v>9064976029</v>
      </c>
      <c r="O2517" s="17"/>
      <c r="P2517" s="17"/>
      <c r="Q2517" s="17"/>
      <c r="R2517" s="17"/>
      <c r="S2517" s="17"/>
      <c r="T2517" s="17"/>
      <c r="U2517" s="17"/>
      <c r="V2517" s="17"/>
      <c r="W2517" s="17"/>
      <c r="X2517" s="17"/>
      <c r="Y2517" s="17"/>
      <c r="Z2517" s="17"/>
      <c r="AA2517" s="17"/>
      <c r="AB2517" s="17"/>
      <c r="AC2517" s="17"/>
      <c r="AD2517" s="17"/>
      <c r="AE2517" s="17"/>
      <c r="AF2517" s="17"/>
      <c r="AG2517" s="17"/>
      <c r="AH2517" s="17"/>
      <c r="AI2517" s="17"/>
      <c r="AJ2517" s="17"/>
      <c r="AK2517" s="17"/>
      <c r="AL2517" s="17"/>
      <c r="AM2517" s="17"/>
      <c r="AN2517" s="17"/>
      <c r="AO2517" s="17"/>
      <c r="AP2517" s="17"/>
      <c r="AQ2517" s="17"/>
      <c r="AR2517" s="17"/>
      <c r="AS2517" s="17"/>
      <c r="AT2517" s="17"/>
      <c r="AU2517" s="17"/>
    </row>
    <row r="2518" hidden="1">
      <c r="A2518" s="17">
        <v>2516</v>
      </c>
      <c r="B2518" s="17" t="s">
        <v>52</v>
      </c>
      <c r="C2518" s="34" t="s">
        <v>7205</v>
      </c>
      <c r="D2518" s="35" t="s">
        <v>6576</v>
      </c>
      <c r="E2518" s="17" t="s">
        <v>6752</v>
      </c>
      <c r="F2518" s="17" t="s">
        <v>7206</v>
      </c>
      <c r="G2518" s="17">
        <v>22.098654</v>
      </c>
      <c r="H2518" s="17">
        <v>87.636258999999995</v>
      </c>
      <c r="I2518" s="17"/>
      <c r="J2518" s="17"/>
      <c r="K2518" s="17"/>
      <c r="L2518" s="17"/>
      <c r="M2518" s="34" t="s">
        <v>7137</v>
      </c>
      <c r="N2518" s="17">
        <v>9064976029</v>
      </c>
      <c r="O2518" s="17"/>
      <c r="P2518" s="17"/>
      <c r="Q2518" s="17"/>
      <c r="R2518" s="17"/>
      <c r="S2518" s="17"/>
      <c r="T2518" s="17"/>
      <c r="U2518" s="17"/>
      <c r="V2518" s="17"/>
      <c r="W2518" s="17"/>
      <c r="X2518" s="17"/>
      <c r="Y2518" s="17"/>
      <c r="Z2518" s="17"/>
      <c r="AA2518" s="17"/>
      <c r="AB2518" s="17"/>
      <c r="AC2518" s="17"/>
      <c r="AD2518" s="17"/>
      <c r="AE2518" s="17"/>
      <c r="AF2518" s="17"/>
      <c r="AG2518" s="17"/>
      <c r="AH2518" s="17"/>
      <c r="AI2518" s="17"/>
      <c r="AJ2518" s="17"/>
      <c r="AK2518" s="17"/>
      <c r="AL2518" s="17"/>
      <c r="AM2518" s="17"/>
      <c r="AN2518" s="17"/>
      <c r="AO2518" s="17"/>
      <c r="AP2518" s="17"/>
      <c r="AQ2518" s="17"/>
      <c r="AR2518" s="17"/>
      <c r="AS2518" s="17"/>
      <c r="AT2518" s="17"/>
      <c r="AU2518" s="17"/>
    </row>
    <row r="2519" hidden="1">
      <c r="A2519" s="17">
        <v>2517</v>
      </c>
      <c r="B2519" s="17" t="s">
        <v>52</v>
      </c>
      <c r="C2519" s="34" t="s">
        <v>7207</v>
      </c>
      <c r="D2519" s="35" t="s">
        <v>6576</v>
      </c>
      <c r="E2519" s="17" t="s">
        <v>7208</v>
      </c>
      <c r="F2519" s="17" t="s">
        <v>7209</v>
      </c>
      <c r="G2519" s="17">
        <v>21.961119</v>
      </c>
      <c r="H2519" s="17">
        <v>87.588504</v>
      </c>
      <c r="I2519" s="17"/>
      <c r="J2519" s="17"/>
      <c r="K2519" s="17"/>
      <c r="L2519" s="17"/>
      <c r="M2519" s="34" t="s">
        <v>7137</v>
      </c>
      <c r="N2519" s="17">
        <v>9064976029</v>
      </c>
      <c r="O2519" s="17"/>
      <c r="P2519" s="17"/>
      <c r="Q2519" s="17"/>
      <c r="R2519" s="17"/>
      <c r="S2519" s="17"/>
      <c r="T2519" s="17"/>
      <c r="U2519" s="17"/>
      <c r="V2519" s="17"/>
      <c r="W2519" s="17"/>
      <c r="X2519" s="17"/>
      <c r="Y2519" s="17"/>
      <c r="Z2519" s="17"/>
      <c r="AA2519" s="17"/>
      <c r="AB2519" s="17"/>
      <c r="AC2519" s="17"/>
      <c r="AD2519" s="17"/>
      <c r="AE2519" s="17"/>
      <c r="AF2519" s="17"/>
      <c r="AG2519" s="17"/>
      <c r="AH2519" s="17"/>
      <c r="AI2519" s="17"/>
      <c r="AJ2519" s="17"/>
      <c r="AK2519" s="17"/>
      <c r="AL2519" s="17"/>
      <c r="AM2519" s="17"/>
      <c r="AN2519" s="17"/>
      <c r="AO2519" s="17"/>
      <c r="AP2519" s="17"/>
      <c r="AQ2519" s="17"/>
      <c r="AR2519" s="17"/>
      <c r="AS2519" s="17"/>
      <c r="AT2519" s="17"/>
      <c r="AU2519" s="17"/>
    </row>
    <row r="2520" hidden="1">
      <c r="A2520" s="17">
        <v>2518</v>
      </c>
      <c r="B2520" s="17" t="s">
        <v>52</v>
      </c>
      <c r="C2520" s="34" t="s">
        <v>7210</v>
      </c>
      <c r="D2520" s="35" t="s">
        <v>6576</v>
      </c>
      <c r="E2520" s="17" t="s">
        <v>6752</v>
      </c>
      <c r="F2520" s="17" t="s">
        <v>7211</v>
      </c>
      <c r="G2520" s="17">
        <v>21.996155999999999</v>
      </c>
      <c r="H2520" s="17">
        <v>87.648374000000004</v>
      </c>
      <c r="I2520" s="17"/>
      <c r="J2520" s="17"/>
      <c r="K2520" s="17"/>
      <c r="L2520" s="17"/>
      <c r="M2520" s="34" t="s">
        <v>7137</v>
      </c>
      <c r="N2520" s="17">
        <v>9064976029</v>
      </c>
      <c r="O2520" s="17"/>
      <c r="P2520" s="17"/>
      <c r="Q2520" s="17"/>
      <c r="R2520" s="17"/>
      <c r="S2520" s="17"/>
      <c r="T2520" s="17"/>
      <c r="U2520" s="17"/>
      <c r="V2520" s="17"/>
      <c r="W2520" s="17"/>
      <c r="X2520" s="17"/>
      <c r="Y2520" s="17"/>
      <c r="Z2520" s="17"/>
      <c r="AA2520" s="17"/>
      <c r="AB2520" s="17"/>
      <c r="AC2520" s="17"/>
      <c r="AD2520" s="17"/>
      <c r="AE2520" s="17"/>
      <c r="AF2520" s="17"/>
      <c r="AG2520" s="17"/>
      <c r="AH2520" s="17"/>
      <c r="AI2520" s="17"/>
      <c r="AJ2520" s="17"/>
      <c r="AK2520" s="17"/>
      <c r="AL2520" s="17"/>
      <c r="AM2520" s="17"/>
      <c r="AN2520" s="17"/>
      <c r="AO2520" s="17"/>
      <c r="AP2520" s="17"/>
      <c r="AQ2520" s="17"/>
      <c r="AR2520" s="17"/>
      <c r="AS2520" s="17"/>
      <c r="AT2520" s="17"/>
      <c r="AU2520" s="17"/>
    </row>
    <row r="2521" hidden="1">
      <c r="A2521" s="17">
        <v>2519</v>
      </c>
      <c r="B2521" s="17" t="s">
        <v>52</v>
      </c>
      <c r="C2521" s="34" t="s">
        <v>7212</v>
      </c>
      <c r="D2521" s="35" t="s">
        <v>6576</v>
      </c>
      <c r="E2521" s="17" t="s">
        <v>7213</v>
      </c>
      <c r="F2521" s="17" t="s">
        <v>7214</v>
      </c>
      <c r="G2521" s="17">
        <v>21.941364</v>
      </c>
      <c r="H2521" s="17">
        <v>87.632264000000006</v>
      </c>
      <c r="I2521" s="17"/>
      <c r="J2521" s="17"/>
      <c r="K2521" s="17"/>
      <c r="L2521" s="17"/>
      <c r="M2521" s="34" t="s">
        <v>7137</v>
      </c>
      <c r="N2521" s="17">
        <v>9064976029</v>
      </c>
      <c r="O2521" s="17"/>
      <c r="P2521" s="17"/>
      <c r="Q2521" s="17"/>
      <c r="R2521" s="17"/>
      <c r="S2521" s="17"/>
      <c r="T2521" s="17"/>
      <c r="U2521" s="17"/>
      <c r="V2521" s="17"/>
      <c r="W2521" s="17"/>
      <c r="X2521" s="17"/>
      <c r="Y2521" s="17"/>
      <c r="Z2521" s="17"/>
      <c r="AA2521" s="17"/>
      <c r="AB2521" s="17"/>
      <c r="AC2521" s="17"/>
      <c r="AD2521" s="17"/>
      <c r="AE2521" s="17"/>
      <c r="AF2521" s="17"/>
      <c r="AG2521" s="17"/>
      <c r="AH2521" s="17"/>
      <c r="AI2521" s="17"/>
      <c r="AJ2521" s="17"/>
      <c r="AK2521" s="17"/>
      <c r="AL2521" s="17"/>
      <c r="AM2521" s="17"/>
      <c r="AN2521" s="17"/>
      <c r="AO2521" s="17"/>
      <c r="AP2521" s="17"/>
      <c r="AQ2521" s="17"/>
      <c r="AR2521" s="17"/>
      <c r="AS2521" s="17"/>
      <c r="AT2521" s="17"/>
      <c r="AU2521" s="17"/>
    </row>
    <row r="2522" hidden="1">
      <c r="A2522" s="17">
        <v>2520</v>
      </c>
      <c r="B2522" s="17" t="s">
        <v>52</v>
      </c>
      <c r="C2522" s="34" t="s">
        <v>7215</v>
      </c>
      <c r="D2522" s="35" t="s">
        <v>6576</v>
      </c>
      <c r="E2522" s="17" t="s">
        <v>7216</v>
      </c>
      <c r="F2522" s="17" t="s">
        <v>7217</v>
      </c>
      <c r="G2522" s="17">
        <v>21.945074000000002</v>
      </c>
      <c r="H2522" s="17">
        <v>87.595712000000006</v>
      </c>
      <c r="I2522" s="17"/>
      <c r="J2522" s="17"/>
      <c r="K2522" s="17"/>
      <c r="L2522" s="17"/>
      <c r="M2522" s="34" t="s">
        <v>7137</v>
      </c>
      <c r="N2522" s="17">
        <v>9064976029</v>
      </c>
      <c r="O2522" s="17"/>
      <c r="P2522" s="17"/>
      <c r="Q2522" s="17"/>
      <c r="R2522" s="17"/>
      <c r="S2522" s="17"/>
      <c r="T2522" s="17"/>
      <c r="U2522" s="17"/>
      <c r="V2522" s="17"/>
      <c r="W2522" s="17"/>
      <c r="X2522" s="17"/>
      <c r="Y2522" s="17"/>
      <c r="Z2522" s="17"/>
      <c r="AA2522" s="17"/>
      <c r="AB2522" s="17"/>
      <c r="AC2522" s="17"/>
      <c r="AD2522" s="17"/>
      <c r="AE2522" s="17"/>
      <c r="AF2522" s="17"/>
      <c r="AG2522" s="17"/>
      <c r="AH2522" s="17"/>
      <c r="AI2522" s="17"/>
      <c r="AJ2522" s="17"/>
      <c r="AK2522" s="17"/>
      <c r="AL2522" s="17"/>
      <c r="AM2522" s="17"/>
      <c r="AN2522" s="17"/>
      <c r="AO2522" s="17"/>
      <c r="AP2522" s="17"/>
      <c r="AQ2522" s="17"/>
      <c r="AR2522" s="17"/>
      <c r="AS2522" s="17"/>
      <c r="AT2522" s="17"/>
      <c r="AU2522" s="17"/>
    </row>
    <row r="2523" hidden="1">
      <c r="A2523" s="17">
        <v>2521</v>
      </c>
      <c r="B2523" s="17" t="s">
        <v>52</v>
      </c>
      <c r="C2523" s="34" t="s">
        <v>7218</v>
      </c>
      <c r="D2523" s="35" t="s">
        <v>6576</v>
      </c>
      <c r="E2523" s="17" t="s">
        <v>7219</v>
      </c>
      <c r="F2523" s="17" t="s">
        <v>7220</v>
      </c>
      <c r="G2523" s="17">
        <v>21.974789999999999</v>
      </c>
      <c r="H2523" s="17">
        <v>87.628823999999994</v>
      </c>
      <c r="I2523" s="17"/>
      <c r="J2523" s="17"/>
      <c r="K2523" s="17"/>
      <c r="L2523" s="17"/>
      <c r="M2523" s="34" t="s">
        <v>7137</v>
      </c>
      <c r="N2523" s="17">
        <v>9064976029</v>
      </c>
      <c r="O2523" s="17"/>
      <c r="P2523" s="17"/>
      <c r="Q2523" s="17"/>
      <c r="R2523" s="17"/>
      <c r="S2523" s="17"/>
      <c r="T2523" s="17"/>
      <c r="U2523" s="17"/>
      <c r="V2523" s="17"/>
      <c r="W2523" s="17"/>
      <c r="X2523" s="17"/>
      <c r="Y2523" s="17"/>
      <c r="Z2523" s="17"/>
      <c r="AA2523" s="17"/>
      <c r="AB2523" s="17"/>
      <c r="AC2523" s="17"/>
      <c r="AD2523" s="17"/>
      <c r="AE2523" s="17"/>
      <c r="AF2523" s="17"/>
      <c r="AG2523" s="17"/>
      <c r="AH2523" s="17"/>
      <c r="AI2523" s="17"/>
      <c r="AJ2523" s="17"/>
      <c r="AK2523" s="17"/>
      <c r="AL2523" s="17"/>
      <c r="AM2523" s="17"/>
      <c r="AN2523" s="17"/>
      <c r="AO2523" s="17"/>
      <c r="AP2523" s="17"/>
      <c r="AQ2523" s="17"/>
      <c r="AR2523" s="17"/>
      <c r="AS2523" s="17"/>
      <c r="AT2523" s="17"/>
      <c r="AU2523" s="17"/>
    </row>
    <row r="2524" hidden="1">
      <c r="A2524" s="17">
        <v>2522</v>
      </c>
      <c r="B2524" s="17" t="s">
        <v>52</v>
      </c>
      <c r="C2524" s="34" t="s">
        <v>7221</v>
      </c>
      <c r="D2524" s="35" t="s">
        <v>6576</v>
      </c>
      <c r="E2524" s="17" t="s">
        <v>7222</v>
      </c>
      <c r="F2524" s="17" t="s">
        <v>7223</v>
      </c>
      <c r="G2524" s="17">
        <v>21.975185</v>
      </c>
      <c r="H2524" s="17">
        <v>87.676259999999999</v>
      </c>
      <c r="I2524" s="17"/>
      <c r="J2524" s="17"/>
      <c r="K2524" s="17"/>
      <c r="L2524" s="17"/>
      <c r="M2524" s="34" t="s">
        <v>7137</v>
      </c>
      <c r="N2524" s="17">
        <v>9064976029</v>
      </c>
      <c r="O2524" s="17"/>
      <c r="P2524" s="17"/>
      <c r="Q2524" s="17"/>
      <c r="R2524" s="17"/>
      <c r="S2524" s="17"/>
      <c r="T2524" s="17"/>
      <c r="U2524" s="17"/>
      <c r="V2524" s="17"/>
      <c r="W2524" s="17"/>
      <c r="X2524" s="17"/>
      <c r="Y2524" s="17"/>
      <c r="Z2524" s="17"/>
      <c r="AA2524" s="17"/>
      <c r="AB2524" s="17"/>
      <c r="AC2524" s="17"/>
      <c r="AD2524" s="17"/>
      <c r="AE2524" s="17"/>
      <c r="AF2524" s="17"/>
      <c r="AG2524" s="17"/>
      <c r="AH2524" s="17"/>
      <c r="AI2524" s="17"/>
      <c r="AJ2524" s="17"/>
      <c r="AK2524" s="17"/>
      <c r="AL2524" s="17"/>
      <c r="AM2524" s="17"/>
      <c r="AN2524" s="17"/>
      <c r="AO2524" s="17"/>
      <c r="AP2524" s="17"/>
      <c r="AQ2524" s="17"/>
      <c r="AR2524" s="17"/>
      <c r="AS2524" s="17"/>
      <c r="AT2524" s="17"/>
      <c r="AU2524" s="17"/>
    </row>
    <row r="2525" hidden="1">
      <c r="A2525" s="17">
        <v>2523</v>
      </c>
      <c r="B2525" s="17" t="s">
        <v>52</v>
      </c>
      <c r="C2525" s="45" t="s">
        <v>7224</v>
      </c>
      <c r="D2525" s="35" t="s">
        <v>6576</v>
      </c>
      <c r="E2525" s="17"/>
      <c r="F2525" s="17"/>
      <c r="G2525" s="17"/>
      <c r="H2525" s="17"/>
      <c r="I2525" s="17"/>
      <c r="J2525" s="17"/>
      <c r="K2525" s="17"/>
      <c r="L2525" s="17"/>
      <c r="M2525" s="45" t="s">
        <v>7137</v>
      </c>
      <c r="N2525" s="17">
        <v>9064976029</v>
      </c>
      <c r="O2525" s="17"/>
      <c r="P2525" s="17"/>
      <c r="Q2525" s="17"/>
      <c r="R2525" s="17"/>
      <c r="S2525" s="17"/>
      <c r="T2525" s="17"/>
      <c r="U2525" s="17"/>
      <c r="V2525" s="17"/>
      <c r="W2525" s="17"/>
      <c r="X2525" s="17"/>
      <c r="Y2525" s="17"/>
      <c r="Z2525" s="17"/>
      <c r="AA2525" s="17"/>
      <c r="AB2525" s="17"/>
      <c r="AC2525" s="17"/>
      <c r="AD2525" s="17"/>
      <c r="AE2525" s="17"/>
      <c r="AF2525" s="17"/>
      <c r="AG2525" s="17"/>
      <c r="AH2525" s="17"/>
      <c r="AI2525" s="17"/>
      <c r="AJ2525" s="17"/>
      <c r="AK2525" s="17"/>
      <c r="AL2525" s="17"/>
      <c r="AM2525" s="17"/>
      <c r="AN2525" s="17"/>
      <c r="AO2525" s="17"/>
      <c r="AP2525" s="17"/>
      <c r="AQ2525" s="17"/>
      <c r="AR2525" s="17"/>
      <c r="AS2525" s="17"/>
      <c r="AT2525" s="17"/>
      <c r="AU2525" s="17"/>
    </row>
    <row r="2526" hidden="1">
      <c r="A2526" s="17">
        <v>2524</v>
      </c>
      <c r="B2526" s="17" t="s">
        <v>52</v>
      </c>
      <c r="C2526" s="34" t="s">
        <v>7225</v>
      </c>
      <c r="D2526" s="35" t="s">
        <v>6576</v>
      </c>
      <c r="E2526" s="17" t="s">
        <v>7226</v>
      </c>
      <c r="F2526" s="17" t="s">
        <v>7227</v>
      </c>
      <c r="G2526" s="17">
        <v>22.007543999999999</v>
      </c>
      <c r="H2526" s="17">
        <v>87.629673999999994</v>
      </c>
      <c r="I2526" s="17"/>
      <c r="J2526" s="17"/>
      <c r="K2526" s="17"/>
      <c r="L2526" s="17"/>
      <c r="M2526" s="34" t="s">
        <v>7137</v>
      </c>
      <c r="N2526" s="17">
        <v>9064976029</v>
      </c>
      <c r="O2526" s="17"/>
      <c r="P2526" s="17"/>
      <c r="Q2526" s="17"/>
      <c r="R2526" s="17"/>
      <c r="S2526" s="17"/>
      <c r="T2526" s="17"/>
      <c r="U2526" s="17"/>
      <c r="V2526" s="17"/>
      <c r="W2526" s="17"/>
      <c r="X2526" s="17"/>
      <c r="Y2526" s="17"/>
      <c r="Z2526" s="17"/>
      <c r="AA2526" s="17"/>
      <c r="AB2526" s="17"/>
      <c r="AC2526" s="17"/>
      <c r="AD2526" s="17"/>
      <c r="AE2526" s="17"/>
      <c r="AF2526" s="17"/>
      <c r="AG2526" s="17"/>
      <c r="AH2526" s="17"/>
      <c r="AI2526" s="17"/>
      <c r="AJ2526" s="17"/>
      <c r="AK2526" s="17"/>
      <c r="AL2526" s="17"/>
      <c r="AM2526" s="17"/>
      <c r="AN2526" s="17"/>
      <c r="AO2526" s="17"/>
      <c r="AP2526" s="17"/>
      <c r="AQ2526" s="17"/>
      <c r="AR2526" s="17"/>
      <c r="AS2526" s="17"/>
      <c r="AT2526" s="17"/>
      <c r="AU2526" s="17"/>
    </row>
    <row r="2527" hidden="1">
      <c r="A2527" s="17">
        <v>2525</v>
      </c>
      <c r="B2527" s="17" t="s">
        <v>52</v>
      </c>
      <c r="C2527" s="34" t="s">
        <v>7228</v>
      </c>
      <c r="D2527" s="35" t="s">
        <v>6576</v>
      </c>
      <c r="E2527" s="17" t="s">
        <v>7229</v>
      </c>
      <c r="F2527" s="17" t="s">
        <v>7230</v>
      </c>
      <c r="G2527" s="17">
        <v>21.879114999999999</v>
      </c>
      <c r="H2527" s="17">
        <v>87.734674999999996</v>
      </c>
      <c r="I2527" s="17"/>
      <c r="J2527" s="17"/>
      <c r="K2527" s="17"/>
      <c r="L2527" s="17"/>
      <c r="M2527" s="34" t="s">
        <v>7137</v>
      </c>
      <c r="N2527" s="17">
        <v>9064976029</v>
      </c>
      <c r="O2527" s="17"/>
      <c r="P2527" s="17"/>
      <c r="Q2527" s="17"/>
      <c r="R2527" s="17"/>
      <c r="S2527" s="17"/>
      <c r="T2527" s="17"/>
      <c r="U2527" s="17"/>
      <c r="V2527" s="17"/>
      <c r="W2527" s="17"/>
      <c r="X2527" s="17"/>
      <c r="Y2527" s="17"/>
      <c r="Z2527" s="17"/>
      <c r="AA2527" s="17"/>
      <c r="AB2527" s="17"/>
      <c r="AC2527" s="17"/>
      <c r="AD2527" s="17"/>
      <c r="AE2527" s="17"/>
      <c r="AF2527" s="17"/>
      <c r="AG2527" s="17"/>
      <c r="AH2527" s="17"/>
      <c r="AI2527" s="17"/>
      <c r="AJ2527" s="17"/>
      <c r="AK2527" s="17"/>
      <c r="AL2527" s="17"/>
      <c r="AM2527" s="17"/>
      <c r="AN2527" s="17"/>
      <c r="AO2527" s="17"/>
      <c r="AP2527" s="17"/>
      <c r="AQ2527" s="17"/>
      <c r="AR2527" s="17"/>
      <c r="AS2527" s="17"/>
      <c r="AT2527" s="17"/>
      <c r="AU2527" s="17"/>
    </row>
    <row r="2528" hidden="1">
      <c r="A2528" s="17">
        <v>2526</v>
      </c>
      <c r="B2528" s="17" t="s">
        <v>52</v>
      </c>
      <c r="C2528" s="34" t="s">
        <v>7231</v>
      </c>
      <c r="D2528" s="35" t="s">
        <v>6576</v>
      </c>
      <c r="E2528" s="17" t="s">
        <v>7232</v>
      </c>
      <c r="F2528" s="17" t="s">
        <v>7233</v>
      </c>
      <c r="G2528" s="17">
        <v>21.914659</v>
      </c>
      <c r="H2528" s="17">
        <v>87.693661000000006</v>
      </c>
      <c r="I2528" s="17"/>
      <c r="J2528" s="17"/>
      <c r="K2528" s="17"/>
      <c r="L2528" s="17"/>
      <c r="M2528" s="34" t="s">
        <v>7137</v>
      </c>
      <c r="N2528" s="17">
        <v>9064976029</v>
      </c>
      <c r="O2528" s="17"/>
      <c r="P2528" s="17"/>
      <c r="Q2528" s="17"/>
      <c r="R2528" s="17"/>
      <c r="S2528" s="17"/>
      <c r="T2528" s="17"/>
      <c r="U2528" s="17"/>
      <c r="V2528" s="17"/>
      <c r="W2528" s="17"/>
      <c r="X2528" s="17"/>
      <c r="Y2528" s="17"/>
      <c r="Z2528" s="17"/>
      <c r="AA2528" s="17"/>
      <c r="AB2528" s="17"/>
      <c r="AC2528" s="17"/>
      <c r="AD2528" s="17"/>
      <c r="AE2528" s="17"/>
      <c r="AF2528" s="17"/>
      <c r="AG2528" s="17"/>
      <c r="AH2528" s="17"/>
      <c r="AI2528" s="17"/>
      <c r="AJ2528" s="17"/>
      <c r="AK2528" s="17"/>
      <c r="AL2528" s="17"/>
      <c r="AM2528" s="17"/>
      <c r="AN2528" s="17"/>
      <c r="AO2528" s="17"/>
      <c r="AP2528" s="17"/>
      <c r="AQ2528" s="17"/>
      <c r="AR2528" s="17"/>
      <c r="AS2528" s="17"/>
      <c r="AT2528" s="17"/>
      <c r="AU2528" s="17"/>
    </row>
    <row r="2529" hidden="1">
      <c r="A2529" s="17">
        <v>2527</v>
      </c>
      <c r="B2529" s="17" t="s">
        <v>52</v>
      </c>
      <c r="C2529" s="34" t="s">
        <v>7234</v>
      </c>
      <c r="D2529" s="35" t="s">
        <v>6576</v>
      </c>
      <c r="E2529" s="17"/>
      <c r="F2529" s="17"/>
      <c r="G2529" s="17"/>
      <c r="H2529" s="17"/>
      <c r="I2529" s="17"/>
      <c r="J2529" s="17"/>
      <c r="K2529" s="17"/>
      <c r="L2529" s="17"/>
      <c r="M2529" s="34" t="s">
        <v>7137</v>
      </c>
      <c r="N2529" s="17"/>
      <c r="O2529" s="17"/>
      <c r="P2529" s="17"/>
      <c r="Q2529" s="17"/>
      <c r="R2529" s="17"/>
      <c r="S2529" s="17"/>
      <c r="T2529" s="17"/>
      <c r="U2529" s="17"/>
      <c r="V2529" s="17"/>
      <c r="W2529" s="17"/>
      <c r="X2529" s="17"/>
      <c r="Y2529" s="17"/>
      <c r="Z2529" s="17"/>
      <c r="AA2529" s="17"/>
      <c r="AB2529" s="17"/>
      <c r="AC2529" s="17"/>
      <c r="AD2529" s="17"/>
      <c r="AE2529" s="17"/>
      <c r="AF2529" s="17"/>
      <c r="AG2529" s="17"/>
      <c r="AH2529" s="17"/>
      <c r="AI2529" s="17"/>
      <c r="AJ2529" s="17"/>
      <c r="AK2529" s="17"/>
      <c r="AL2529" s="17"/>
      <c r="AM2529" s="17"/>
      <c r="AN2529" s="17"/>
      <c r="AO2529" s="17"/>
      <c r="AP2529" s="17"/>
      <c r="AQ2529" s="17"/>
      <c r="AR2529" s="17"/>
      <c r="AS2529" s="17"/>
      <c r="AT2529" s="17"/>
      <c r="AU2529" s="17"/>
    </row>
    <row r="2530" hidden="1">
      <c r="A2530" s="17">
        <v>2528</v>
      </c>
      <c r="B2530" s="17" t="s">
        <v>52</v>
      </c>
      <c r="C2530" s="34" t="s">
        <v>7235</v>
      </c>
      <c r="D2530" s="35" t="s">
        <v>6576</v>
      </c>
      <c r="E2530" s="17" t="s">
        <v>7236</v>
      </c>
      <c r="F2530" s="17" t="s">
        <v>7237</v>
      </c>
      <c r="G2530" s="17">
        <v>21.925934000000002</v>
      </c>
      <c r="H2530" s="17">
        <v>87.589539000000002</v>
      </c>
      <c r="I2530" s="17"/>
      <c r="J2530" s="17"/>
      <c r="K2530" s="17"/>
      <c r="L2530" s="17"/>
      <c r="M2530" s="34" t="s">
        <v>7137</v>
      </c>
      <c r="N2530" s="17">
        <v>9064976029</v>
      </c>
      <c r="O2530" s="17"/>
      <c r="P2530" s="17"/>
      <c r="Q2530" s="17"/>
      <c r="R2530" s="17"/>
      <c r="S2530" s="17"/>
      <c r="T2530" s="17"/>
      <c r="U2530" s="17"/>
      <c r="V2530" s="17"/>
      <c r="W2530" s="17"/>
      <c r="X2530" s="17"/>
      <c r="Y2530" s="17"/>
      <c r="Z2530" s="17"/>
      <c r="AA2530" s="17"/>
      <c r="AB2530" s="17"/>
      <c r="AC2530" s="17"/>
      <c r="AD2530" s="17"/>
      <c r="AE2530" s="17"/>
      <c r="AF2530" s="17"/>
      <c r="AG2530" s="17"/>
      <c r="AH2530" s="17"/>
      <c r="AI2530" s="17"/>
      <c r="AJ2530" s="17"/>
      <c r="AK2530" s="17"/>
      <c r="AL2530" s="17"/>
      <c r="AM2530" s="17"/>
      <c r="AN2530" s="17"/>
      <c r="AO2530" s="17"/>
      <c r="AP2530" s="17"/>
      <c r="AQ2530" s="17"/>
      <c r="AR2530" s="17"/>
      <c r="AS2530" s="17"/>
      <c r="AT2530" s="17"/>
      <c r="AU2530" s="17"/>
    </row>
    <row r="2531" hidden="1">
      <c r="A2531" s="17">
        <v>2529</v>
      </c>
      <c r="B2531" s="17" t="s">
        <v>52</v>
      </c>
      <c r="C2531" s="34" t="s">
        <v>7238</v>
      </c>
      <c r="D2531" s="35" t="s">
        <v>6576</v>
      </c>
      <c r="E2531" s="17" t="s">
        <v>7239</v>
      </c>
      <c r="F2531" s="17" t="s">
        <v>7240</v>
      </c>
      <c r="G2531" s="17">
        <v>22.075896</v>
      </c>
      <c r="H2531" s="17">
        <v>87.607603999999995</v>
      </c>
      <c r="I2531" s="17"/>
      <c r="J2531" s="17"/>
      <c r="K2531" s="17"/>
      <c r="L2531" s="17"/>
      <c r="M2531" s="34" t="s">
        <v>7137</v>
      </c>
      <c r="N2531" s="17">
        <v>9064976029</v>
      </c>
      <c r="O2531" s="17"/>
      <c r="P2531" s="17"/>
      <c r="Q2531" s="17"/>
      <c r="R2531" s="17"/>
      <c r="S2531" s="17"/>
      <c r="T2531" s="17"/>
      <c r="U2531" s="17"/>
      <c r="V2531" s="17"/>
      <c r="W2531" s="17"/>
      <c r="X2531" s="17"/>
      <c r="Y2531" s="17"/>
      <c r="Z2531" s="17"/>
      <c r="AA2531" s="17"/>
      <c r="AB2531" s="17"/>
      <c r="AC2531" s="17"/>
      <c r="AD2531" s="17"/>
      <c r="AE2531" s="17"/>
      <c r="AF2531" s="17"/>
      <c r="AG2531" s="17"/>
      <c r="AH2531" s="17"/>
      <c r="AI2531" s="17"/>
      <c r="AJ2531" s="17"/>
      <c r="AK2531" s="17"/>
      <c r="AL2531" s="17"/>
      <c r="AM2531" s="17"/>
      <c r="AN2531" s="17"/>
      <c r="AO2531" s="17"/>
      <c r="AP2531" s="17"/>
      <c r="AQ2531" s="17"/>
      <c r="AR2531" s="17"/>
      <c r="AS2531" s="17"/>
      <c r="AT2531" s="17"/>
      <c r="AU2531" s="17"/>
    </row>
    <row r="2532" hidden="1">
      <c r="A2532" s="17">
        <v>2530</v>
      </c>
      <c r="B2532" s="17" t="s">
        <v>52</v>
      </c>
      <c r="C2532" s="34" t="s">
        <v>7241</v>
      </c>
      <c r="D2532" s="35" t="s">
        <v>6576</v>
      </c>
      <c r="E2532" s="17" t="s">
        <v>7242</v>
      </c>
      <c r="F2532" s="17" t="s">
        <v>7243</v>
      </c>
      <c r="G2532" s="17">
        <v>22.005361000000001</v>
      </c>
      <c r="H2532" s="17">
        <v>87.496537000000004</v>
      </c>
      <c r="I2532" s="17"/>
      <c r="J2532" s="17"/>
      <c r="K2532" s="17"/>
      <c r="L2532" s="17"/>
      <c r="M2532" s="34" t="s">
        <v>7137</v>
      </c>
      <c r="N2532" s="17">
        <v>9064976029</v>
      </c>
      <c r="O2532" s="17"/>
      <c r="P2532" s="17"/>
      <c r="Q2532" s="17"/>
      <c r="R2532" s="17"/>
      <c r="S2532" s="17"/>
      <c r="T2532" s="17"/>
      <c r="U2532" s="17"/>
      <c r="V2532" s="17"/>
      <c r="W2532" s="17"/>
      <c r="X2532" s="17"/>
      <c r="Y2532" s="17"/>
      <c r="Z2532" s="17"/>
      <c r="AA2532" s="17"/>
      <c r="AB2532" s="17"/>
      <c r="AC2532" s="17"/>
      <c r="AD2532" s="17"/>
      <c r="AE2532" s="17"/>
      <c r="AF2532" s="17"/>
      <c r="AG2532" s="17"/>
      <c r="AH2532" s="17"/>
      <c r="AI2532" s="17"/>
      <c r="AJ2532" s="17"/>
      <c r="AK2532" s="17"/>
      <c r="AL2532" s="17"/>
      <c r="AM2532" s="17"/>
      <c r="AN2532" s="17"/>
      <c r="AO2532" s="17"/>
      <c r="AP2532" s="17"/>
      <c r="AQ2532" s="17"/>
      <c r="AR2532" s="17"/>
      <c r="AS2532" s="17"/>
      <c r="AT2532" s="17"/>
      <c r="AU2532" s="17"/>
    </row>
    <row r="2533" hidden="1">
      <c r="A2533" s="17">
        <v>2531</v>
      </c>
      <c r="B2533" s="17" t="s">
        <v>52</v>
      </c>
      <c r="C2533" s="34" t="s">
        <v>7244</v>
      </c>
      <c r="D2533" s="35" t="s">
        <v>6576</v>
      </c>
      <c r="E2533" s="17" t="s">
        <v>7245</v>
      </c>
      <c r="F2533" s="17" t="s">
        <v>7246</v>
      </c>
      <c r="G2533" s="17">
        <v>22.019113999999998</v>
      </c>
      <c r="H2533" s="17">
        <v>87.588751999999999</v>
      </c>
      <c r="I2533" s="17"/>
      <c r="J2533" s="17"/>
      <c r="K2533" s="17"/>
      <c r="L2533" s="17"/>
      <c r="M2533" s="34" t="s">
        <v>7137</v>
      </c>
      <c r="N2533" s="17">
        <v>9064976029</v>
      </c>
      <c r="O2533" s="17"/>
      <c r="P2533" s="17"/>
      <c r="Q2533" s="17"/>
      <c r="R2533" s="17"/>
      <c r="S2533" s="17"/>
      <c r="T2533" s="17"/>
      <c r="U2533" s="17"/>
      <c r="V2533" s="17"/>
      <c r="W2533" s="17"/>
      <c r="X2533" s="17"/>
      <c r="Y2533" s="17"/>
      <c r="Z2533" s="17"/>
      <c r="AA2533" s="17"/>
      <c r="AB2533" s="17"/>
      <c r="AC2533" s="17"/>
      <c r="AD2533" s="17"/>
      <c r="AE2533" s="17"/>
      <c r="AF2533" s="17"/>
      <c r="AG2533" s="17"/>
      <c r="AH2533" s="17"/>
      <c r="AI2533" s="17"/>
      <c r="AJ2533" s="17"/>
      <c r="AK2533" s="17"/>
      <c r="AL2533" s="17"/>
      <c r="AM2533" s="17"/>
      <c r="AN2533" s="17"/>
      <c r="AO2533" s="17"/>
      <c r="AP2533" s="17"/>
      <c r="AQ2533" s="17"/>
      <c r="AR2533" s="17"/>
      <c r="AS2533" s="17"/>
      <c r="AT2533" s="17"/>
      <c r="AU2533" s="17"/>
    </row>
    <row r="2534" hidden="1">
      <c r="A2534" s="17">
        <v>2532</v>
      </c>
      <c r="B2534" s="17" t="s">
        <v>52</v>
      </c>
      <c r="C2534" s="34" t="s">
        <v>7247</v>
      </c>
      <c r="D2534" s="35" t="s">
        <v>6576</v>
      </c>
      <c r="E2534" s="17" t="s">
        <v>7248</v>
      </c>
      <c r="F2534" s="17" t="s">
        <v>7249</v>
      </c>
      <c r="G2534" s="17">
        <v>22.051994000000001</v>
      </c>
      <c r="H2534" s="17">
        <v>87.567947000000004</v>
      </c>
      <c r="I2534" s="17"/>
      <c r="J2534" s="17"/>
      <c r="K2534" s="17"/>
      <c r="L2534" s="17"/>
      <c r="M2534" s="34" t="s">
        <v>7137</v>
      </c>
      <c r="N2534" s="17">
        <v>9064976029</v>
      </c>
      <c r="O2534" s="17"/>
      <c r="P2534" s="17"/>
      <c r="Q2534" s="17"/>
      <c r="R2534" s="17"/>
      <c r="S2534" s="17"/>
      <c r="T2534" s="17"/>
      <c r="U2534" s="17"/>
      <c r="V2534" s="17"/>
      <c r="W2534" s="17"/>
      <c r="X2534" s="17"/>
      <c r="Y2534" s="17"/>
      <c r="Z2534" s="17"/>
      <c r="AA2534" s="17"/>
      <c r="AB2534" s="17"/>
      <c r="AC2534" s="17"/>
      <c r="AD2534" s="17"/>
      <c r="AE2534" s="17"/>
      <c r="AF2534" s="17"/>
      <c r="AG2534" s="17"/>
      <c r="AH2534" s="17"/>
      <c r="AI2534" s="17"/>
      <c r="AJ2534" s="17"/>
      <c r="AK2534" s="17"/>
      <c r="AL2534" s="17"/>
      <c r="AM2534" s="17"/>
      <c r="AN2534" s="17"/>
      <c r="AO2534" s="17"/>
      <c r="AP2534" s="17"/>
      <c r="AQ2534" s="17"/>
      <c r="AR2534" s="17"/>
      <c r="AS2534" s="17"/>
      <c r="AT2534" s="17"/>
      <c r="AU2534" s="17"/>
    </row>
    <row r="2535" hidden="1">
      <c r="A2535" s="17">
        <v>2533</v>
      </c>
      <c r="B2535" s="17" t="s">
        <v>52</v>
      </c>
      <c r="C2535" s="34" t="s">
        <v>7250</v>
      </c>
      <c r="D2535" s="35" t="s">
        <v>6576</v>
      </c>
      <c r="E2535" s="17" t="s">
        <v>7251</v>
      </c>
      <c r="F2535" s="17" t="s">
        <v>7252</v>
      </c>
      <c r="G2535" s="17">
        <v>22.034578</v>
      </c>
      <c r="H2535" s="17">
        <v>87.558335999999997</v>
      </c>
      <c r="I2535" s="17"/>
      <c r="J2535" s="17"/>
      <c r="K2535" s="17"/>
      <c r="L2535" s="17"/>
      <c r="M2535" s="34" t="s">
        <v>7137</v>
      </c>
      <c r="N2535" s="17">
        <v>9064976029</v>
      </c>
      <c r="O2535" s="17"/>
      <c r="P2535" s="17"/>
      <c r="Q2535" s="17"/>
      <c r="R2535" s="17"/>
      <c r="S2535" s="17"/>
      <c r="T2535" s="17"/>
      <c r="U2535" s="17"/>
      <c r="V2535" s="17"/>
      <c r="W2535" s="17"/>
      <c r="X2535" s="17"/>
      <c r="Y2535" s="17"/>
      <c r="Z2535" s="17"/>
      <c r="AA2535" s="17"/>
      <c r="AB2535" s="17"/>
      <c r="AC2535" s="17"/>
      <c r="AD2535" s="17"/>
      <c r="AE2535" s="17"/>
      <c r="AF2535" s="17"/>
      <c r="AG2535" s="17"/>
      <c r="AH2535" s="17"/>
      <c r="AI2535" s="17"/>
      <c r="AJ2535" s="17"/>
      <c r="AK2535" s="17"/>
      <c r="AL2535" s="17"/>
      <c r="AM2535" s="17"/>
      <c r="AN2535" s="17"/>
      <c r="AO2535" s="17"/>
      <c r="AP2535" s="17"/>
      <c r="AQ2535" s="17"/>
      <c r="AR2535" s="17"/>
      <c r="AS2535" s="17"/>
      <c r="AT2535" s="17"/>
      <c r="AU2535" s="17"/>
    </row>
    <row r="2536" hidden="1">
      <c r="A2536" s="17">
        <v>2534</v>
      </c>
      <c r="B2536" s="17" t="s">
        <v>52</v>
      </c>
      <c r="C2536" s="34" t="s">
        <v>7253</v>
      </c>
      <c r="D2536" s="35" t="s">
        <v>6576</v>
      </c>
      <c r="E2536" s="17" t="s">
        <v>7254</v>
      </c>
      <c r="F2536" s="17" t="s">
        <v>7255</v>
      </c>
      <c r="G2536" s="17">
        <v>22.086022</v>
      </c>
      <c r="H2536" s="17">
        <v>87.607221999999993</v>
      </c>
      <c r="I2536" s="17"/>
      <c r="J2536" s="17"/>
      <c r="K2536" s="17"/>
      <c r="L2536" s="17"/>
      <c r="M2536" s="34" t="s">
        <v>7137</v>
      </c>
      <c r="N2536" s="17">
        <v>9064976029</v>
      </c>
      <c r="O2536" s="17"/>
      <c r="P2536" s="17"/>
      <c r="Q2536" s="17"/>
      <c r="R2536" s="17"/>
      <c r="S2536" s="17"/>
      <c r="T2536" s="17"/>
      <c r="U2536" s="17"/>
      <c r="V2536" s="17"/>
      <c r="W2536" s="17"/>
      <c r="X2536" s="17"/>
      <c r="Y2536" s="17"/>
      <c r="Z2536" s="17"/>
      <c r="AA2536" s="17"/>
      <c r="AB2536" s="17"/>
      <c r="AC2536" s="17"/>
      <c r="AD2536" s="17"/>
      <c r="AE2536" s="17"/>
      <c r="AF2536" s="17"/>
      <c r="AG2536" s="17"/>
      <c r="AH2536" s="17"/>
      <c r="AI2536" s="17"/>
      <c r="AJ2536" s="17"/>
      <c r="AK2536" s="17"/>
      <c r="AL2536" s="17"/>
      <c r="AM2536" s="17"/>
      <c r="AN2536" s="17"/>
      <c r="AO2536" s="17"/>
      <c r="AP2536" s="17"/>
      <c r="AQ2536" s="17"/>
      <c r="AR2536" s="17"/>
      <c r="AS2536" s="17"/>
      <c r="AT2536" s="17"/>
      <c r="AU2536" s="17"/>
    </row>
    <row r="2537" hidden="1">
      <c r="A2537" s="17">
        <v>2535</v>
      </c>
      <c r="B2537" s="17" t="s">
        <v>52</v>
      </c>
      <c r="C2537" s="34" t="s">
        <v>7256</v>
      </c>
      <c r="D2537" s="35" t="s">
        <v>6576</v>
      </c>
      <c r="E2537" s="17" t="s">
        <v>7257</v>
      </c>
      <c r="F2537" s="17" t="s">
        <v>7258</v>
      </c>
      <c r="G2537" s="17">
        <v>22.087425</v>
      </c>
      <c r="H2537" s="17">
        <v>87.533879999999996</v>
      </c>
      <c r="I2537" s="17"/>
      <c r="J2537" s="17"/>
      <c r="K2537" s="17"/>
      <c r="L2537" s="17"/>
      <c r="M2537" s="34" t="s">
        <v>7137</v>
      </c>
      <c r="N2537" s="17">
        <v>9064976029</v>
      </c>
      <c r="O2537" s="17"/>
      <c r="P2537" s="17"/>
      <c r="Q2537" s="17"/>
      <c r="R2537" s="17"/>
      <c r="S2537" s="17"/>
      <c r="T2537" s="17"/>
      <c r="U2537" s="17"/>
      <c r="V2537" s="17"/>
      <c r="W2537" s="17"/>
      <c r="X2537" s="17"/>
      <c r="Y2537" s="17"/>
      <c r="Z2537" s="17"/>
      <c r="AA2537" s="17"/>
      <c r="AB2537" s="17"/>
      <c r="AC2537" s="17"/>
      <c r="AD2537" s="17"/>
      <c r="AE2537" s="17"/>
      <c r="AF2537" s="17"/>
      <c r="AG2537" s="17"/>
      <c r="AH2537" s="17"/>
      <c r="AI2537" s="17"/>
      <c r="AJ2537" s="17"/>
      <c r="AK2537" s="17"/>
      <c r="AL2537" s="17"/>
      <c r="AM2537" s="17"/>
      <c r="AN2537" s="17"/>
      <c r="AO2537" s="17"/>
      <c r="AP2537" s="17"/>
      <c r="AQ2537" s="17"/>
      <c r="AR2537" s="17"/>
      <c r="AS2537" s="17"/>
      <c r="AT2537" s="17"/>
      <c r="AU2537" s="17"/>
    </row>
    <row r="2538" hidden="1">
      <c r="A2538" s="17">
        <v>2536</v>
      </c>
      <c r="B2538" s="17" t="s">
        <v>52</v>
      </c>
      <c r="C2538" s="34" t="s">
        <v>7259</v>
      </c>
      <c r="D2538" s="35" t="s">
        <v>6576</v>
      </c>
      <c r="E2538" s="17" t="s">
        <v>7260</v>
      </c>
      <c r="F2538" s="17" t="s">
        <v>7261</v>
      </c>
      <c r="G2538" s="17">
        <v>22.066996</v>
      </c>
      <c r="H2538" s="17">
        <v>87.543823000000003</v>
      </c>
      <c r="I2538" s="17"/>
      <c r="J2538" s="17"/>
      <c r="K2538" s="17"/>
      <c r="L2538" s="17"/>
      <c r="M2538" s="34" t="s">
        <v>7137</v>
      </c>
      <c r="N2538" s="17">
        <v>9064976029</v>
      </c>
      <c r="O2538" s="17"/>
      <c r="P2538" s="17"/>
      <c r="Q2538" s="17"/>
      <c r="R2538" s="17"/>
      <c r="S2538" s="17"/>
      <c r="T2538" s="17"/>
      <c r="U2538" s="17"/>
      <c r="V2538" s="17"/>
      <c r="W2538" s="17"/>
      <c r="X2538" s="17"/>
      <c r="Y2538" s="17"/>
      <c r="Z2538" s="17"/>
      <c r="AA2538" s="17"/>
      <c r="AB2538" s="17"/>
      <c r="AC2538" s="17"/>
      <c r="AD2538" s="17"/>
      <c r="AE2538" s="17"/>
      <c r="AF2538" s="17"/>
      <c r="AG2538" s="17"/>
      <c r="AH2538" s="17"/>
      <c r="AI2538" s="17"/>
      <c r="AJ2538" s="17"/>
      <c r="AK2538" s="17"/>
      <c r="AL2538" s="17"/>
      <c r="AM2538" s="17"/>
      <c r="AN2538" s="17"/>
      <c r="AO2538" s="17"/>
      <c r="AP2538" s="17"/>
      <c r="AQ2538" s="17"/>
      <c r="AR2538" s="17"/>
      <c r="AS2538" s="17"/>
      <c r="AT2538" s="17"/>
      <c r="AU2538" s="17"/>
    </row>
    <row r="2539" hidden="1">
      <c r="A2539" s="17">
        <v>2537</v>
      </c>
      <c r="B2539" s="17" t="s">
        <v>52</v>
      </c>
      <c r="C2539" s="34" t="s">
        <v>7262</v>
      </c>
      <c r="D2539" s="35" t="s">
        <v>6576</v>
      </c>
      <c r="E2539" s="17"/>
      <c r="F2539" s="17" t="s">
        <v>7263</v>
      </c>
      <c r="G2539" s="17">
        <v>22.048559999999998</v>
      </c>
      <c r="H2539" s="17">
        <v>87.486530000000002</v>
      </c>
      <c r="I2539" s="17"/>
      <c r="J2539" s="17"/>
      <c r="K2539" s="17"/>
      <c r="L2539" s="17"/>
      <c r="M2539" s="34" t="s">
        <v>7137</v>
      </c>
      <c r="N2539" s="17">
        <v>9064976029</v>
      </c>
      <c r="O2539" s="17"/>
      <c r="P2539" s="17"/>
      <c r="Q2539" s="17"/>
      <c r="R2539" s="17"/>
      <c r="S2539" s="17"/>
      <c r="T2539" s="17"/>
      <c r="U2539" s="17"/>
      <c r="V2539" s="17"/>
      <c r="W2539" s="17"/>
      <c r="X2539" s="17"/>
      <c r="Y2539" s="17"/>
      <c r="Z2539" s="17"/>
      <c r="AA2539" s="17"/>
      <c r="AB2539" s="17"/>
      <c r="AC2539" s="17"/>
      <c r="AD2539" s="17"/>
      <c r="AE2539" s="17"/>
      <c r="AF2539" s="17"/>
      <c r="AG2539" s="17"/>
      <c r="AH2539" s="17"/>
      <c r="AI2539" s="17"/>
      <c r="AJ2539" s="17"/>
      <c r="AK2539" s="17"/>
      <c r="AL2539" s="17"/>
      <c r="AM2539" s="17"/>
      <c r="AN2539" s="17"/>
      <c r="AO2539" s="17"/>
      <c r="AP2539" s="17"/>
      <c r="AQ2539" s="17"/>
      <c r="AR2539" s="17"/>
      <c r="AS2539" s="17"/>
      <c r="AT2539" s="17"/>
      <c r="AU2539" s="17"/>
    </row>
    <row r="2540" hidden="1">
      <c r="A2540" s="17">
        <v>2538</v>
      </c>
      <c r="B2540" s="17" t="s">
        <v>52</v>
      </c>
      <c r="C2540" s="34" t="s">
        <v>7264</v>
      </c>
      <c r="D2540" s="35" t="s">
        <v>6576</v>
      </c>
      <c r="E2540" s="17" t="s">
        <v>7265</v>
      </c>
      <c r="F2540" s="17" t="s">
        <v>7266</v>
      </c>
      <c r="G2540" s="17">
        <v>21.913920000000001</v>
      </c>
      <c r="H2540" s="17">
        <v>87.631379999999993</v>
      </c>
      <c r="I2540" s="17"/>
      <c r="J2540" s="17"/>
      <c r="K2540" s="17"/>
      <c r="L2540" s="17"/>
      <c r="M2540" s="34" t="s">
        <v>7137</v>
      </c>
      <c r="N2540" s="17">
        <v>9064976029</v>
      </c>
      <c r="O2540" s="17"/>
      <c r="P2540" s="17"/>
      <c r="Q2540" s="17"/>
      <c r="R2540" s="17"/>
      <c r="S2540" s="17"/>
      <c r="T2540" s="17"/>
      <c r="U2540" s="17"/>
      <c r="V2540" s="17"/>
      <c r="W2540" s="17"/>
      <c r="X2540" s="17"/>
      <c r="Y2540" s="17"/>
      <c r="Z2540" s="17"/>
      <c r="AA2540" s="17"/>
      <c r="AB2540" s="17"/>
      <c r="AC2540" s="17"/>
      <c r="AD2540" s="17"/>
      <c r="AE2540" s="17"/>
      <c r="AF2540" s="17"/>
      <c r="AG2540" s="17"/>
      <c r="AH2540" s="17"/>
      <c r="AI2540" s="17"/>
      <c r="AJ2540" s="17"/>
      <c r="AK2540" s="17"/>
      <c r="AL2540" s="17"/>
      <c r="AM2540" s="17"/>
      <c r="AN2540" s="17"/>
      <c r="AO2540" s="17"/>
      <c r="AP2540" s="17"/>
      <c r="AQ2540" s="17"/>
      <c r="AR2540" s="17"/>
      <c r="AS2540" s="17"/>
      <c r="AT2540" s="17"/>
      <c r="AU2540" s="17"/>
    </row>
    <row r="2541" hidden="1">
      <c r="A2541" s="17">
        <v>2539</v>
      </c>
      <c r="B2541" s="17" t="s">
        <v>52</v>
      </c>
      <c r="C2541" s="34" t="s">
        <v>7267</v>
      </c>
      <c r="D2541" s="35" t="s">
        <v>6576</v>
      </c>
      <c r="E2541" s="17" t="s">
        <v>7268</v>
      </c>
      <c r="F2541" s="17" t="s">
        <v>7269</v>
      </c>
      <c r="G2541" s="17">
        <v>22.003475999999999</v>
      </c>
      <c r="H2541" s="17">
        <v>87.578595000000007</v>
      </c>
      <c r="I2541" s="17"/>
      <c r="J2541" s="17"/>
      <c r="K2541" s="17"/>
      <c r="L2541" s="17"/>
      <c r="M2541" s="34" t="s">
        <v>7137</v>
      </c>
      <c r="N2541" s="17">
        <v>9064976029</v>
      </c>
      <c r="O2541" s="17"/>
      <c r="P2541" s="17"/>
      <c r="Q2541" s="17"/>
      <c r="R2541" s="17"/>
      <c r="S2541" s="17"/>
      <c r="T2541" s="17"/>
      <c r="U2541" s="17"/>
      <c r="V2541" s="17"/>
      <c r="W2541" s="17"/>
      <c r="X2541" s="17"/>
      <c r="Y2541" s="17"/>
      <c r="Z2541" s="17"/>
      <c r="AA2541" s="17"/>
      <c r="AB2541" s="17"/>
      <c r="AC2541" s="17"/>
      <c r="AD2541" s="17"/>
      <c r="AE2541" s="17"/>
      <c r="AF2541" s="17"/>
      <c r="AG2541" s="17"/>
      <c r="AH2541" s="17"/>
      <c r="AI2541" s="17"/>
      <c r="AJ2541" s="17"/>
      <c r="AK2541" s="17"/>
      <c r="AL2541" s="17"/>
      <c r="AM2541" s="17"/>
      <c r="AN2541" s="17"/>
      <c r="AO2541" s="17"/>
      <c r="AP2541" s="17"/>
      <c r="AQ2541" s="17"/>
      <c r="AR2541" s="17"/>
      <c r="AS2541" s="17"/>
      <c r="AT2541" s="17"/>
      <c r="AU2541" s="17"/>
    </row>
    <row r="2542" hidden="1">
      <c r="A2542" s="17">
        <v>2540</v>
      </c>
      <c r="B2542" s="17" t="s">
        <v>52</v>
      </c>
      <c r="C2542" s="34" t="s">
        <v>7270</v>
      </c>
      <c r="D2542" s="35" t="s">
        <v>6576</v>
      </c>
      <c r="E2542" s="17" t="s">
        <v>7271</v>
      </c>
      <c r="F2542" s="17" t="s">
        <v>7272</v>
      </c>
      <c r="G2542" s="17">
        <v>22.01484</v>
      </c>
      <c r="H2542" s="17">
        <v>87.655753000000004</v>
      </c>
      <c r="I2542" s="17"/>
      <c r="J2542" s="17"/>
      <c r="K2542" s="17"/>
      <c r="L2542" s="17"/>
      <c r="M2542" s="34" t="s">
        <v>7137</v>
      </c>
      <c r="N2542" s="17">
        <v>9064976029</v>
      </c>
      <c r="O2542" s="17"/>
      <c r="P2542" s="17"/>
      <c r="Q2542" s="17"/>
      <c r="R2542" s="17"/>
      <c r="S2542" s="17"/>
      <c r="T2542" s="17"/>
      <c r="U2542" s="17"/>
      <c r="V2542" s="17"/>
      <c r="W2542" s="17"/>
      <c r="X2542" s="17"/>
      <c r="Y2542" s="17"/>
      <c r="Z2542" s="17"/>
      <c r="AA2542" s="17"/>
      <c r="AB2542" s="17"/>
      <c r="AC2542" s="17"/>
      <c r="AD2542" s="17"/>
      <c r="AE2542" s="17"/>
      <c r="AF2542" s="17"/>
      <c r="AG2542" s="17"/>
      <c r="AH2542" s="17"/>
      <c r="AI2542" s="17"/>
      <c r="AJ2542" s="17"/>
      <c r="AK2542" s="17"/>
      <c r="AL2542" s="17"/>
      <c r="AM2542" s="17"/>
      <c r="AN2542" s="17"/>
      <c r="AO2542" s="17"/>
      <c r="AP2542" s="17"/>
      <c r="AQ2542" s="17"/>
      <c r="AR2542" s="17"/>
      <c r="AS2542" s="17"/>
      <c r="AT2542" s="17"/>
      <c r="AU2542" s="17"/>
    </row>
    <row r="2543" hidden="1">
      <c r="A2543" s="17">
        <v>2541</v>
      </c>
      <c r="B2543" s="17" t="s">
        <v>52</v>
      </c>
      <c r="C2543" s="34" t="s">
        <v>7273</v>
      </c>
      <c r="D2543" s="35" t="s">
        <v>6576</v>
      </c>
      <c r="E2543" s="17" t="s">
        <v>7274</v>
      </c>
      <c r="F2543" s="17" t="s">
        <v>7275</v>
      </c>
      <c r="G2543" s="17">
        <v>21.976018</v>
      </c>
      <c r="H2543" s="17">
        <v>87.560654999999997</v>
      </c>
      <c r="I2543" s="17"/>
      <c r="J2543" s="17"/>
      <c r="K2543" s="17"/>
      <c r="L2543" s="17"/>
      <c r="M2543" s="34" t="s">
        <v>7137</v>
      </c>
      <c r="N2543" s="17">
        <v>9064976029</v>
      </c>
      <c r="O2543" s="17"/>
      <c r="P2543" s="17"/>
      <c r="Q2543" s="17"/>
      <c r="R2543" s="17"/>
      <c r="S2543" s="17"/>
      <c r="T2543" s="17"/>
      <c r="U2543" s="17"/>
      <c r="V2543" s="17"/>
      <c r="W2543" s="17"/>
      <c r="X2543" s="17"/>
      <c r="Y2543" s="17"/>
      <c r="Z2543" s="17"/>
      <c r="AA2543" s="17"/>
      <c r="AB2543" s="17"/>
      <c r="AC2543" s="17"/>
      <c r="AD2543" s="17"/>
      <c r="AE2543" s="17"/>
      <c r="AF2543" s="17"/>
      <c r="AG2543" s="17"/>
      <c r="AH2543" s="17"/>
      <c r="AI2543" s="17"/>
      <c r="AJ2543" s="17"/>
      <c r="AK2543" s="17"/>
      <c r="AL2543" s="17"/>
      <c r="AM2543" s="17"/>
      <c r="AN2543" s="17"/>
      <c r="AO2543" s="17"/>
      <c r="AP2543" s="17"/>
      <c r="AQ2543" s="17"/>
      <c r="AR2543" s="17"/>
      <c r="AS2543" s="17"/>
      <c r="AT2543" s="17"/>
      <c r="AU2543" s="17"/>
    </row>
    <row r="2544" hidden="1">
      <c r="A2544" s="17">
        <v>2542</v>
      </c>
      <c r="B2544" s="17" t="s">
        <v>52</v>
      </c>
      <c r="C2544" s="34" t="s">
        <v>7276</v>
      </c>
      <c r="D2544" s="35" t="s">
        <v>6576</v>
      </c>
      <c r="E2544" s="17" t="s">
        <v>7277</v>
      </c>
      <c r="F2544" s="17" t="s">
        <v>7278</v>
      </c>
      <c r="G2544" s="17">
        <v>21.982645999999999</v>
      </c>
      <c r="H2544" s="17">
        <v>87.513345999999999</v>
      </c>
      <c r="I2544" s="17"/>
      <c r="J2544" s="17"/>
      <c r="K2544" s="17"/>
      <c r="L2544" s="17"/>
      <c r="M2544" s="34" t="s">
        <v>7137</v>
      </c>
      <c r="N2544" s="17">
        <v>9064976029</v>
      </c>
      <c r="O2544" s="17"/>
      <c r="P2544" s="17"/>
      <c r="Q2544" s="17"/>
      <c r="R2544" s="17"/>
      <c r="S2544" s="17"/>
      <c r="T2544" s="17"/>
      <c r="U2544" s="17"/>
      <c r="V2544" s="17"/>
      <c r="W2544" s="17"/>
      <c r="X2544" s="17"/>
      <c r="Y2544" s="17"/>
      <c r="Z2544" s="17"/>
      <c r="AA2544" s="17"/>
      <c r="AB2544" s="17"/>
      <c r="AC2544" s="17"/>
      <c r="AD2544" s="17"/>
      <c r="AE2544" s="17"/>
      <c r="AF2544" s="17"/>
      <c r="AG2544" s="17"/>
      <c r="AH2544" s="17"/>
      <c r="AI2544" s="17"/>
      <c r="AJ2544" s="17"/>
      <c r="AK2544" s="17"/>
      <c r="AL2544" s="17"/>
      <c r="AM2544" s="17"/>
      <c r="AN2544" s="17"/>
      <c r="AO2544" s="17"/>
      <c r="AP2544" s="17"/>
      <c r="AQ2544" s="17"/>
      <c r="AR2544" s="17"/>
      <c r="AS2544" s="17"/>
      <c r="AT2544" s="17"/>
      <c r="AU2544" s="17"/>
    </row>
    <row r="2545" hidden="1">
      <c r="A2545" s="17">
        <v>2543</v>
      </c>
      <c r="B2545" s="17" t="s">
        <v>52</v>
      </c>
      <c r="C2545" s="34" t="s">
        <v>7279</v>
      </c>
      <c r="D2545" s="35" t="s">
        <v>6576</v>
      </c>
      <c r="E2545" s="17" t="s">
        <v>7280</v>
      </c>
      <c r="F2545" s="17" t="s">
        <v>7281</v>
      </c>
      <c r="G2545" s="17">
        <v>22.02589</v>
      </c>
      <c r="H2545" s="17">
        <v>87.644360000000006</v>
      </c>
      <c r="I2545" s="17"/>
      <c r="J2545" s="17"/>
      <c r="K2545" s="17"/>
      <c r="L2545" s="17"/>
      <c r="M2545" s="34" t="s">
        <v>7137</v>
      </c>
      <c r="N2545" s="17">
        <v>9064976029</v>
      </c>
      <c r="O2545" s="17"/>
      <c r="P2545" s="17"/>
      <c r="Q2545" s="17"/>
      <c r="R2545" s="17"/>
      <c r="S2545" s="17"/>
      <c r="T2545" s="17"/>
      <c r="U2545" s="17"/>
      <c r="V2545" s="17"/>
      <c r="W2545" s="17"/>
      <c r="X2545" s="17"/>
      <c r="Y2545" s="17"/>
      <c r="Z2545" s="17"/>
      <c r="AA2545" s="17"/>
      <c r="AB2545" s="17"/>
      <c r="AC2545" s="17"/>
      <c r="AD2545" s="17"/>
      <c r="AE2545" s="17"/>
      <c r="AF2545" s="17"/>
      <c r="AG2545" s="17"/>
      <c r="AH2545" s="17"/>
      <c r="AI2545" s="17"/>
      <c r="AJ2545" s="17"/>
      <c r="AK2545" s="17"/>
      <c r="AL2545" s="17"/>
      <c r="AM2545" s="17"/>
      <c r="AN2545" s="17"/>
      <c r="AO2545" s="17"/>
      <c r="AP2545" s="17"/>
      <c r="AQ2545" s="17"/>
      <c r="AR2545" s="17"/>
      <c r="AS2545" s="17"/>
      <c r="AT2545" s="17"/>
      <c r="AU2545" s="17"/>
    </row>
    <row r="2546" hidden="1">
      <c r="A2546" s="17">
        <v>2544</v>
      </c>
      <c r="B2546" s="17" t="s">
        <v>52</v>
      </c>
      <c r="C2546" s="34" t="s">
        <v>7282</v>
      </c>
      <c r="D2546" s="35" t="s">
        <v>6576</v>
      </c>
      <c r="E2546" s="17" t="s">
        <v>7283</v>
      </c>
      <c r="F2546" s="17" t="s">
        <v>7284</v>
      </c>
      <c r="G2546" s="17">
        <v>21.961535999999999</v>
      </c>
      <c r="H2546" s="17">
        <v>87.658856</v>
      </c>
      <c r="I2546" s="17"/>
      <c r="J2546" s="17"/>
      <c r="K2546" s="17"/>
      <c r="L2546" s="17"/>
      <c r="M2546" s="34" t="s">
        <v>7137</v>
      </c>
      <c r="N2546" s="17">
        <v>9064976029</v>
      </c>
      <c r="O2546" s="17"/>
      <c r="P2546" s="17"/>
      <c r="Q2546" s="17"/>
      <c r="R2546" s="17"/>
      <c r="S2546" s="17"/>
      <c r="T2546" s="17"/>
      <c r="U2546" s="17"/>
      <c r="V2546" s="17"/>
      <c r="W2546" s="17"/>
      <c r="X2546" s="17"/>
      <c r="Y2546" s="17"/>
      <c r="Z2546" s="17"/>
      <c r="AA2546" s="17"/>
      <c r="AB2546" s="17"/>
      <c r="AC2546" s="17"/>
      <c r="AD2546" s="17"/>
      <c r="AE2546" s="17"/>
      <c r="AF2546" s="17"/>
      <c r="AG2546" s="17"/>
      <c r="AH2546" s="17"/>
      <c r="AI2546" s="17"/>
      <c r="AJ2546" s="17"/>
      <c r="AK2546" s="17"/>
      <c r="AL2546" s="17"/>
      <c r="AM2546" s="17"/>
      <c r="AN2546" s="17"/>
      <c r="AO2546" s="17"/>
      <c r="AP2546" s="17"/>
      <c r="AQ2546" s="17"/>
      <c r="AR2546" s="17"/>
      <c r="AS2546" s="17"/>
      <c r="AT2546" s="17"/>
      <c r="AU2546" s="17"/>
    </row>
    <row r="2547" hidden="1">
      <c r="A2547" s="17">
        <v>2545</v>
      </c>
      <c r="B2547" s="17" t="s">
        <v>52</v>
      </c>
      <c r="C2547" s="34" t="s">
        <v>7285</v>
      </c>
      <c r="D2547" s="35" t="s">
        <v>6576</v>
      </c>
      <c r="E2547" s="17"/>
      <c r="F2547" s="17" t="s">
        <v>7286</v>
      </c>
      <c r="G2547" s="17">
        <v>21.961849999999998</v>
      </c>
      <c r="H2547" s="17">
        <v>87.633200000000002</v>
      </c>
      <c r="I2547" s="17"/>
      <c r="J2547" s="17"/>
      <c r="K2547" s="17"/>
      <c r="L2547" s="17"/>
      <c r="M2547" s="34" t="s">
        <v>7137</v>
      </c>
      <c r="N2547" s="17">
        <v>9064976029</v>
      </c>
      <c r="O2547" s="17"/>
      <c r="P2547" s="17"/>
      <c r="Q2547" s="17"/>
      <c r="R2547" s="17"/>
      <c r="S2547" s="17"/>
      <c r="T2547" s="17"/>
      <c r="U2547" s="17"/>
      <c r="V2547" s="17"/>
      <c r="W2547" s="17"/>
      <c r="X2547" s="17"/>
      <c r="Y2547" s="17"/>
      <c r="Z2547" s="17"/>
      <c r="AA2547" s="17"/>
      <c r="AB2547" s="17"/>
      <c r="AC2547" s="17"/>
      <c r="AD2547" s="17"/>
      <c r="AE2547" s="17"/>
      <c r="AF2547" s="17"/>
      <c r="AG2547" s="17"/>
      <c r="AH2547" s="17"/>
      <c r="AI2547" s="17"/>
      <c r="AJ2547" s="17"/>
      <c r="AK2547" s="17"/>
      <c r="AL2547" s="17"/>
      <c r="AM2547" s="17"/>
      <c r="AN2547" s="17"/>
      <c r="AO2547" s="17"/>
      <c r="AP2547" s="17"/>
      <c r="AQ2547" s="17"/>
      <c r="AR2547" s="17"/>
      <c r="AS2547" s="17"/>
      <c r="AT2547" s="17"/>
      <c r="AU2547" s="17"/>
    </row>
    <row r="2548" hidden="1">
      <c r="A2548" s="17">
        <v>2546</v>
      </c>
      <c r="B2548" s="17" t="s">
        <v>52</v>
      </c>
      <c r="C2548" s="34" t="s">
        <v>7287</v>
      </c>
      <c r="D2548" s="35" t="s">
        <v>6576</v>
      </c>
      <c r="E2548" s="17" t="s">
        <v>7288</v>
      </c>
      <c r="F2548" s="17">
        <v>0</v>
      </c>
      <c r="G2548" s="17">
        <v>22.080351</v>
      </c>
      <c r="H2548" s="17">
        <v>87.588594000000001</v>
      </c>
      <c r="I2548" s="17"/>
      <c r="J2548" s="17"/>
      <c r="K2548" s="17"/>
      <c r="L2548" s="17"/>
      <c r="M2548" s="34" t="s">
        <v>7137</v>
      </c>
      <c r="N2548" s="17">
        <v>9064976029</v>
      </c>
      <c r="O2548" s="17"/>
      <c r="P2548" s="17"/>
      <c r="Q2548" s="17"/>
      <c r="R2548" s="17"/>
      <c r="S2548" s="17"/>
      <c r="T2548" s="17"/>
      <c r="U2548" s="17"/>
      <c r="V2548" s="17"/>
      <c r="W2548" s="17"/>
      <c r="X2548" s="17"/>
      <c r="Y2548" s="17"/>
      <c r="Z2548" s="17"/>
      <c r="AA2548" s="17"/>
      <c r="AB2548" s="17"/>
      <c r="AC2548" s="17"/>
      <c r="AD2548" s="17"/>
      <c r="AE2548" s="17"/>
      <c r="AF2548" s="17"/>
      <c r="AG2548" s="17"/>
      <c r="AH2548" s="17"/>
      <c r="AI2548" s="17"/>
      <c r="AJ2548" s="17"/>
      <c r="AK2548" s="17"/>
      <c r="AL2548" s="17"/>
      <c r="AM2548" s="17"/>
      <c r="AN2548" s="17"/>
      <c r="AO2548" s="17"/>
      <c r="AP2548" s="17"/>
      <c r="AQ2548" s="17"/>
      <c r="AR2548" s="17"/>
      <c r="AS2548" s="17"/>
      <c r="AT2548" s="17"/>
      <c r="AU2548" s="17"/>
    </row>
    <row r="2549" hidden="1">
      <c r="A2549" s="17">
        <v>2547</v>
      </c>
      <c r="B2549" s="17" t="s">
        <v>52</v>
      </c>
      <c r="C2549" s="46" t="s">
        <v>7289</v>
      </c>
      <c r="D2549" s="35" t="s">
        <v>6576</v>
      </c>
      <c r="E2549" s="17"/>
      <c r="F2549" s="17"/>
      <c r="G2549" s="17"/>
      <c r="H2549" s="17"/>
      <c r="I2549" s="17"/>
      <c r="J2549" s="17"/>
      <c r="K2549" s="17"/>
      <c r="L2549" s="17"/>
      <c r="M2549" s="34" t="s">
        <v>7137</v>
      </c>
      <c r="N2549" s="17">
        <v>9064976029</v>
      </c>
      <c r="O2549" s="17"/>
      <c r="P2549" s="17"/>
      <c r="Q2549" s="17"/>
      <c r="R2549" s="17"/>
      <c r="S2549" s="17"/>
      <c r="T2549" s="17"/>
      <c r="U2549" s="17"/>
      <c r="V2549" s="17"/>
      <c r="W2549" s="17"/>
      <c r="X2549" s="17"/>
      <c r="Y2549" s="17"/>
      <c r="Z2549" s="17"/>
      <c r="AA2549" s="17"/>
      <c r="AB2549" s="17"/>
      <c r="AC2549" s="17"/>
      <c r="AD2549" s="17"/>
      <c r="AE2549" s="17"/>
      <c r="AF2549" s="17"/>
      <c r="AG2549" s="17"/>
      <c r="AH2549" s="17"/>
      <c r="AI2549" s="17"/>
      <c r="AJ2549" s="17"/>
      <c r="AK2549" s="17"/>
      <c r="AL2549" s="17"/>
      <c r="AM2549" s="17"/>
      <c r="AN2549" s="17"/>
      <c r="AO2549" s="17"/>
      <c r="AP2549" s="17"/>
      <c r="AQ2549" s="17"/>
      <c r="AR2549" s="17"/>
      <c r="AS2549" s="17"/>
      <c r="AT2549" s="17"/>
      <c r="AU2549" s="17"/>
    </row>
    <row r="2550" hidden="1">
      <c r="A2550" s="17">
        <v>2548</v>
      </c>
      <c r="B2550" s="17" t="s">
        <v>52</v>
      </c>
      <c r="C2550" s="46" t="s">
        <v>7290</v>
      </c>
      <c r="D2550" s="35" t="s">
        <v>6576</v>
      </c>
      <c r="E2550" s="17"/>
      <c r="F2550" s="17"/>
      <c r="G2550" s="17"/>
      <c r="H2550" s="17"/>
      <c r="I2550" s="17"/>
      <c r="J2550" s="17"/>
      <c r="K2550" s="17"/>
      <c r="L2550" s="17"/>
      <c r="M2550" s="34" t="s">
        <v>7137</v>
      </c>
      <c r="N2550" s="17">
        <v>9064976029</v>
      </c>
      <c r="O2550" s="17"/>
      <c r="P2550" s="17"/>
      <c r="Q2550" s="17"/>
      <c r="R2550" s="17"/>
      <c r="S2550" s="17"/>
      <c r="T2550" s="17"/>
      <c r="U2550" s="17"/>
      <c r="V2550" s="17"/>
      <c r="W2550" s="17"/>
      <c r="X2550" s="17"/>
      <c r="Y2550" s="17"/>
      <c r="Z2550" s="17"/>
      <c r="AA2550" s="17"/>
      <c r="AB2550" s="17"/>
      <c r="AC2550" s="17"/>
      <c r="AD2550" s="17"/>
      <c r="AE2550" s="17"/>
      <c r="AF2550" s="17"/>
      <c r="AG2550" s="17"/>
      <c r="AH2550" s="17"/>
      <c r="AI2550" s="17"/>
      <c r="AJ2550" s="17"/>
      <c r="AK2550" s="17"/>
      <c r="AL2550" s="17"/>
      <c r="AM2550" s="17"/>
      <c r="AN2550" s="17"/>
      <c r="AO2550" s="17"/>
      <c r="AP2550" s="17"/>
      <c r="AQ2550" s="17"/>
      <c r="AR2550" s="17"/>
      <c r="AS2550" s="17"/>
      <c r="AT2550" s="17"/>
      <c r="AU2550" s="17"/>
    </row>
    <row r="2551" hidden="1">
      <c r="A2551" s="17">
        <v>2549</v>
      </c>
      <c r="B2551" s="17" t="s">
        <v>52</v>
      </c>
      <c r="C2551" s="34" t="s">
        <v>7291</v>
      </c>
      <c r="D2551" s="35" t="s">
        <v>6576</v>
      </c>
      <c r="E2551" s="17" t="s">
        <v>7292</v>
      </c>
      <c r="F2551" s="17" t="s">
        <v>7293</v>
      </c>
      <c r="G2551" s="17">
        <v>21.999669000000001</v>
      </c>
      <c r="H2551" s="17">
        <v>87.671120999999999</v>
      </c>
      <c r="I2551" s="17"/>
      <c r="J2551" s="17"/>
      <c r="K2551" s="17"/>
      <c r="L2551" s="17"/>
      <c r="M2551" s="34" t="s">
        <v>7137</v>
      </c>
      <c r="N2551" s="17">
        <v>9064976029</v>
      </c>
      <c r="O2551" s="17"/>
      <c r="P2551" s="17"/>
      <c r="Q2551" s="17"/>
      <c r="R2551" s="17"/>
      <c r="S2551" s="17"/>
      <c r="T2551" s="17"/>
      <c r="U2551" s="17"/>
      <c r="V2551" s="17"/>
      <c r="W2551" s="17"/>
      <c r="X2551" s="17"/>
      <c r="Y2551" s="17"/>
      <c r="Z2551" s="17"/>
      <c r="AA2551" s="17"/>
      <c r="AB2551" s="17"/>
      <c r="AC2551" s="17"/>
      <c r="AD2551" s="17"/>
      <c r="AE2551" s="17"/>
      <c r="AF2551" s="17"/>
      <c r="AG2551" s="17"/>
      <c r="AH2551" s="17"/>
      <c r="AI2551" s="17"/>
      <c r="AJ2551" s="17"/>
      <c r="AK2551" s="17"/>
      <c r="AL2551" s="17"/>
      <c r="AM2551" s="17"/>
      <c r="AN2551" s="17"/>
      <c r="AO2551" s="17"/>
      <c r="AP2551" s="17"/>
      <c r="AQ2551" s="17"/>
      <c r="AR2551" s="17"/>
      <c r="AS2551" s="17"/>
      <c r="AT2551" s="17"/>
      <c r="AU2551" s="17"/>
    </row>
    <row r="2552" hidden="1">
      <c r="A2552" s="17">
        <v>2550</v>
      </c>
      <c r="B2552" s="17" t="s">
        <v>52</v>
      </c>
      <c r="C2552" s="34" t="s">
        <v>7294</v>
      </c>
      <c r="D2552" s="35" t="s">
        <v>6576</v>
      </c>
      <c r="E2552" s="17" t="s">
        <v>7295</v>
      </c>
      <c r="F2552" s="17" t="s">
        <v>7296</v>
      </c>
      <c r="G2552" s="17">
        <v>21.815674999999999</v>
      </c>
      <c r="H2552" s="17">
        <v>87.512097999999995</v>
      </c>
      <c r="I2552" s="17"/>
      <c r="J2552" s="17"/>
      <c r="K2552" s="17"/>
      <c r="L2552" s="17"/>
      <c r="M2552" s="34" t="s">
        <v>7297</v>
      </c>
      <c r="N2552" s="17">
        <v>9382828463</v>
      </c>
      <c r="O2552" s="17"/>
      <c r="P2552" s="17"/>
      <c r="Q2552" s="17"/>
      <c r="R2552" s="17"/>
      <c r="S2552" s="17"/>
      <c r="T2552" s="17"/>
      <c r="U2552" s="17"/>
      <c r="V2552" s="17"/>
      <c r="W2552" s="17"/>
      <c r="X2552" s="17"/>
      <c r="Y2552" s="17"/>
      <c r="Z2552" s="17"/>
      <c r="AA2552" s="17"/>
      <c r="AB2552" s="17"/>
      <c r="AC2552" s="17"/>
      <c r="AD2552" s="17"/>
      <c r="AE2552" s="17"/>
      <c r="AF2552" s="17"/>
      <c r="AG2552" s="17"/>
      <c r="AH2552" s="17"/>
      <c r="AI2552" s="17"/>
      <c r="AJ2552" s="17"/>
      <c r="AK2552" s="17"/>
      <c r="AL2552" s="17"/>
      <c r="AM2552" s="17"/>
      <c r="AN2552" s="17"/>
      <c r="AO2552" s="17"/>
      <c r="AP2552" s="17"/>
      <c r="AQ2552" s="17"/>
      <c r="AR2552" s="17"/>
      <c r="AS2552" s="17"/>
      <c r="AT2552" s="17"/>
      <c r="AU2552" s="17"/>
    </row>
    <row r="2553" hidden="1">
      <c r="A2553" s="17">
        <v>2551</v>
      </c>
      <c r="B2553" s="17" t="s">
        <v>52</v>
      </c>
      <c r="C2553" s="34" t="s">
        <v>7298</v>
      </c>
      <c r="D2553" s="35" t="s">
        <v>6576</v>
      </c>
      <c r="E2553" s="17" t="s">
        <v>7299</v>
      </c>
      <c r="F2553" s="17" t="s">
        <v>7300</v>
      </c>
      <c r="G2553" s="17">
        <v>21.752718000000002</v>
      </c>
      <c r="H2553" s="17">
        <v>87.618773000000004</v>
      </c>
      <c r="I2553" s="17"/>
      <c r="J2553" s="17"/>
      <c r="K2553" s="17"/>
      <c r="L2553" s="17"/>
      <c r="M2553" s="34" t="s">
        <v>7297</v>
      </c>
      <c r="N2553" s="17"/>
      <c r="O2553" s="17"/>
      <c r="P2553" s="17"/>
      <c r="Q2553" s="17"/>
      <c r="R2553" s="17"/>
      <c r="S2553" s="17"/>
      <c r="T2553" s="17"/>
      <c r="U2553" s="17"/>
      <c r="V2553" s="17"/>
      <c r="W2553" s="17"/>
      <c r="X2553" s="17"/>
      <c r="Y2553" s="17"/>
      <c r="Z2553" s="17"/>
      <c r="AA2553" s="17"/>
      <c r="AB2553" s="17"/>
      <c r="AC2553" s="17"/>
      <c r="AD2553" s="17"/>
      <c r="AE2553" s="17"/>
      <c r="AF2553" s="17"/>
      <c r="AG2553" s="17"/>
      <c r="AH2553" s="17"/>
      <c r="AI2553" s="17"/>
      <c r="AJ2553" s="17"/>
      <c r="AK2553" s="17"/>
      <c r="AL2553" s="17"/>
      <c r="AM2553" s="17"/>
      <c r="AN2553" s="17"/>
      <c r="AO2553" s="17"/>
      <c r="AP2553" s="17"/>
      <c r="AQ2553" s="17"/>
      <c r="AR2553" s="17"/>
      <c r="AS2553" s="17"/>
      <c r="AT2553" s="17"/>
      <c r="AU2553" s="17"/>
    </row>
    <row r="2554" hidden="1">
      <c r="A2554" s="17">
        <v>2552</v>
      </c>
      <c r="B2554" s="17" t="s">
        <v>52</v>
      </c>
      <c r="C2554" s="34" t="s">
        <v>7301</v>
      </c>
      <c r="D2554" s="35" t="s">
        <v>6576</v>
      </c>
      <c r="E2554" s="17"/>
      <c r="F2554" s="17"/>
      <c r="G2554" s="17"/>
      <c r="H2554" s="17"/>
      <c r="I2554" s="17"/>
      <c r="J2554" s="17"/>
      <c r="K2554" s="17"/>
      <c r="L2554" s="17"/>
      <c r="M2554" s="34" t="s">
        <v>7297</v>
      </c>
      <c r="N2554" s="17"/>
      <c r="O2554" s="17"/>
      <c r="P2554" s="17"/>
      <c r="Q2554" s="17"/>
      <c r="R2554" s="17"/>
      <c r="S2554" s="17"/>
      <c r="T2554" s="17"/>
      <c r="U2554" s="17"/>
      <c r="V2554" s="17"/>
      <c r="W2554" s="17"/>
      <c r="X2554" s="17"/>
      <c r="Y2554" s="17"/>
      <c r="Z2554" s="17"/>
      <c r="AA2554" s="17"/>
      <c r="AB2554" s="17"/>
      <c r="AC2554" s="17"/>
      <c r="AD2554" s="17"/>
      <c r="AE2554" s="17"/>
      <c r="AF2554" s="17"/>
      <c r="AG2554" s="17"/>
      <c r="AH2554" s="17"/>
      <c r="AI2554" s="17"/>
      <c r="AJ2554" s="17"/>
      <c r="AK2554" s="17"/>
      <c r="AL2554" s="17"/>
      <c r="AM2554" s="17"/>
      <c r="AN2554" s="17"/>
      <c r="AO2554" s="17"/>
      <c r="AP2554" s="17"/>
      <c r="AQ2554" s="17"/>
      <c r="AR2554" s="17"/>
      <c r="AS2554" s="17"/>
      <c r="AT2554" s="17"/>
      <c r="AU2554" s="17"/>
    </row>
    <row r="2555" hidden="1">
      <c r="A2555" s="17">
        <v>2553</v>
      </c>
      <c r="B2555" s="17" t="s">
        <v>52</v>
      </c>
      <c r="C2555" s="34" t="s">
        <v>7302</v>
      </c>
      <c r="D2555" s="35" t="s">
        <v>6576</v>
      </c>
      <c r="E2555" s="17"/>
      <c r="F2555" s="17"/>
      <c r="G2555" s="17"/>
      <c r="H2555" s="17"/>
      <c r="I2555" s="17"/>
      <c r="J2555" s="17"/>
      <c r="K2555" s="17"/>
      <c r="L2555" s="17"/>
      <c r="M2555" s="34" t="s">
        <v>7297</v>
      </c>
      <c r="N2555" s="17"/>
      <c r="O2555" s="17"/>
      <c r="P2555" s="17"/>
      <c r="Q2555" s="17"/>
      <c r="R2555" s="17"/>
      <c r="S2555" s="17"/>
      <c r="T2555" s="17"/>
      <c r="U2555" s="17"/>
      <c r="V2555" s="17"/>
      <c r="W2555" s="17"/>
      <c r="X2555" s="17"/>
      <c r="Y2555" s="17"/>
      <c r="Z2555" s="17"/>
      <c r="AA2555" s="17"/>
      <c r="AB2555" s="17"/>
      <c r="AC2555" s="17"/>
      <c r="AD2555" s="17"/>
      <c r="AE2555" s="17"/>
      <c r="AF2555" s="17"/>
      <c r="AG2555" s="17"/>
      <c r="AH2555" s="17"/>
      <c r="AI2555" s="17"/>
      <c r="AJ2555" s="17"/>
      <c r="AK2555" s="17"/>
      <c r="AL2555" s="17"/>
      <c r="AM2555" s="17"/>
      <c r="AN2555" s="17"/>
      <c r="AO2555" s="17"/>
      <c r="AP2555" s="17"/>
      <c r="AQ2555" s="17"/>
      <c r="AR2555" s="17"/>
      <c r="AS2555" s="17"/>
      <c r="AT2555" s="17"/>
      <c r="AU2555" s="17"/>
    </row>
    <row r="2556" hidden="1">
      <c r="A2556" s="17">
        <v>2554</v>
      </c>
      <c r="B2556" s="17" t="s">
        <v>52</v>
      </c>
      <c r="C2556" s="34" t="s">
        <v>7303</v>
      </c>
      <c r="D2556" s="35" t="s">
        <v>6576</v>
      </c>
      <c r="E2556" s="17"/>
      <c r="F2556" s="17"/>
      <c r="G2556" s="17"/>
      <c r="H2556" s="17"/>
      <c r="I2556" s="17"/>
      <c r="J2556" s="17"/>
      <c r="K2556" s="17"/>
      <c r="L2556" s="17"/>
      <c r="M2556" s="34" t="s">
        <v>7297</v>
      </c>
      <c r="N2556" s="17"/>
      <c r="O2556" s="17"/>
      <c r="P2556" s="17"/>
      <c r="Q2556" s="17"/>
      <c r="R2556" s="17"/>
      <c r="S2556" s="17"/>
      <c r="T2556" s="17"/>
      <c r="U2556" s="17"/>
      <c r="V2556" s="17"/>
      <c r="W2556" s="17"/>
      <c r="X2556" s="17"/>
      <c r="Y2556" s="17"/>
      <c r="Z2556" s="17"/>
      <c r="AA2556" s="17"/>
      <c r="AB2556" s="17"/>
      <c r="AC2556" s="17"/>
      <c r="AD2556" s="17"/>
      <c r="AE2556" s="17"/>
      <c r="AF2556" s="17"/>
      <c r="AG2556" s="17"/>
      <c r="AH2556" s="17"/>
      <c r="AI2556" s="17"/>
      <c r="AJ2556" s="17"/>
      <c r="AK2556" s="17"/>
      <c r="AL2556" s="17"/>
      <c r="AM2556" s="17"/>
      <c r="AN2556" s="17"/>
      <c r="AO2556" s="17"/>
      <c r="AP2556" s="17"/>
      <c r="AQ2556" s="17"/>
      <c r="AR2556" s="17"/>
      <c r="AS2556" s="17"/>
      <c r="AT2556" s="17"/>
      <c r="AU2556" s="17"/>
    </row>
    <row r="2557" hidden="1">
      <c r="A2557" s="17">
        <v>2555</v>
      </c>
      <c r="B2557" s="17" t="s">
        <v>52</v>
      </c>
      <c r="C2557" s="34" t="s">
        <v>7304</v>
      </c>
      <c r="D2557" s="35" t="s">
        <v>6576</v>
      </c>
      <c r="E2557" s="17"/>
      <c r="F2557" s="17"/>
      <c r="G2557" s="17"/>
      <c r="H2557" s="17"/>
      <c r="I2557" s="17"/>
      <c r="J2557" s="17"/>
      <c r="K2557" s="17"/>
      <c r="L2557" s="17"/>
      <c r="M2557" s="34" t="s">
        <v>7297</v>
      </c>
      <c r="N2557" s="17"/>
      <c r="O2557" s="17"/>
      <c r="P2557" s="17"/>
      <c r="Q2557" s="17"/>
      <c r="R2557" s="17"/>
      <c r="S2557" s="17"/>
      <c r="T2557" s="17"/>
      <c r="U2557" s="17"/>
      <c r="V2557" s="17"/>
      <c r="W2557" s="17"/>
      <c r="X2557" s="17"/>
      <c r="Y2557" s="17"/>
      <c r="Z2557" s="17"/>
      <c r="AA2557" s="17"/>
      <c r="AB2557" s="17"/>
      <c r="AC2557" s="17"/>
      <c r="AD2557" s="17"/>
      <c r="AE2557" s="17"/>
      <c r="AF2557" s="17"/>
      <c r="AG2557" s="17"/>
      <c r="AH2557" s="17"/>
      <c r="AI2557" s="17"/>
      <c r="AJ2557" s="17"/>
      <c r="AK2557" s="17"/>
      <c r="AL2557" s="17"/>
      <c r="AM2557" s="17"/>
      <c r="AN2557" s="17"/>
      <c r="AO2557" s="17"/>
      <c r="AP2557" s="17"/>
      <c r="AQ2557" s="17"/>
      <c r="AR2557" s="17"/>
      <c r="AS2557" s="17"/>
      <c r="AT2557" s="17"/>
      <c r="AU2557" s="17"/>
    </row>
    <row r="2558" hidden="1">
      <c r="A2558" s="17">
        <v>2556</v>
      </c>
      <c r="B2558" s="17" t="s">
        <v>52</v>
      </c>
      <c r="C2558" s="34" t="s">
        <v>7305</v>
      </c>
      <c r="D2558" s="35" t="s">
        <v>6576</v>
      </c>
      <c r="E2558" s="17" t="s">
        <v>6752</v>
      </c>
      <c r="F2558" s="17" t="s">
        <v>7306</v>
      </c>
      <c r="G2558" s="17">
        <v>21.765900999999999</v>
      </c>
      <c r="H2558" s="17">
        <v>87.572254999999998</v>
      </c>
      <c r="I2558" s="17"/>
      <c r="J2558" s="17"/>
      <c r="K2558" s="17"/>
      <c r="L2558" s="17"/>
      <c r="M2558" s="34" t="s">
        <v>7297</v>
      </c>
      <c r="N2558" s="17"/>
      <c r="O2558" s="17"/>
      <c r="P2558" s="17"/>
      <c r="Q2558" s="17"/>
      <c r="R2558" s="17"/>
      <c r="S2558" s="17"/>
      <c r="T2558" s="17"/>
      <c r="U2558" s="17"/>
      <c r="V2558" s="17"/>
      <c r="W2558" s="17"/>
      <c r="X2558" s="17"/>
      <c r="Y2558" s="17"/>
      <c r="Z2558" s="17"/>
      <c r="AA2558" s="17"/>
      <c r="AB2558" s="17"/>
      <c r="AC2558" s="17"/>
      <c r="AD2558" s="17"/>
      <c r="AE2558" s="17"/>
      <c r="AF2558" s="17"/>
      <c r="AG2558" s="17"/>
      <c r="AH2558" s="17"/>
      <c r="AI2558" s="17"/>
      <c r="AJ2558" s="17"/>
      <c r="AK2558" s="17"/>
      <c r="AL2558" s="17"/>
      <c r="AM2558" s="17"/>
      <c r="AN2558" s="17"/>
      <c r="AO2558" s="17"/>
      <c r="AP2558" s="17"/>
      <c r="AQ2558" s="17"/>
      <c r="AR2558" s="17"/>
      <c r="AS2558" s="17"/>
      <c r="AT2558" s="17"/>
      <c r="AU2558" s="17"/>
    </row>
    <row r="2559" hidden="1">
      <c r="A2559" s="17">
        <v>2557</v>
      </c>
      <c r="B2559" s="17" t="s">
        <v>52</v>
      </c>
      <c r="C2559" s="34" t="s">
        <v>7307</v>
      </c>
      <c r="D2559" s="35" t="s">
        <v>6576</v>
      </c>
      <c r="E2559" s="17" t="s">
        <v>7308</v>
      </c>
      <c r="F2559" s="17" t="s">
        <v>7309</v>
      </c>
      <c r="G2559" s="17">
        <v>21.645495</v>
      </c>
      <c r="H2559" s="17">
        <v>87.607071000000005</v>
      </c>
      <c r="I2559" s="17"/>
      <c r="J2559" s="17"/>
      <c r="K2559" s="17"/>
      <c r="L2559" s="17"/>
      <c r="M2559" s="34" t="s">
        <v>7297</v>
      </c>
      <c r="N2559" s="17"/>
      <c r="O2559" s="17"/>
      <c r="P2559" s="17"/>
      <c r="Q2559" s="17"/>
      <c r="R2559" s="17"/>
      <c r="S2559" s="17"/>
      <c r="T2559" s="17"/>
      <c r="U2559" s="17"/>
      <c r="V2559" s="17"/>
      <c r="W2559" s="17"/>
      <c r="X2559" s="17"/>
      <c r="Y2559" s="17"/>
      <c r="Z2559" s="17"/>
      <c r="AA2559" s="17"/>
      <c r="AB2559" s="17"/>
      <c r="AC2559" s="17"/>
      <c r="AD2559" s="17"/>
      <c r="AE2559" s="17"/>
      <c r="AF2559" s="17"/>
      <c r="AG2559" s="17"/>
      <c r="AH2559" s="17"/>
      <c r="AI2559" s="17"/>
      <c r="AJ2559" s="17"/>
      <c r="AK2559" s="17"/>
      <c r="AL2559" s="17"/>
      <c r="AM2559" s="17"/>
      <c r="AN2559" s="17"/>
      <c r="AO2559" s="17"/>
      <c r="AP2559" s="17"/>
      <c r="AQ2559" s="17"/>
      <c r="AR2559" s="17"/>
      <c r="AS2559" s="17"/>
      <c r="AT2559" s="17"/>
      <c r="AU2559" s="17"/>
    </row>
    <row r="2560" hidden="1">
      <c r="A2560" s="17">
        <v>2558</v>
      </c>
      <c r="B2560" s="17" t="s">
        <v>52</v>
      </c>
      <c r="C2560" s="34" t="s">
        <v>7310</v>
      </c>
      <c r="D2560" s="35" t="s">
        <v>6576</v>
      </c>
      <c r="E2560" s="17" t="s">
        <v>7311</v>
      </c>
      <c r="F2560" s="17" t="s">
        <v>7312</v>
      </c>
      <c r="G2560" s="17">
        <v>21.642628999999999</v>
      </c>
      <c r="H2560" s="17">
        <v>87.557428000000002</v>
      </c>
      <c r="I2560" s="17"/>
      <c r="J2560" s="17"/>
      <c r="K2560" s="17"/>
      <c r="L2560" s="17"/>
      <c r="M2560" s="34" t="s">
        <v>7297</v>
      </c>
      <c r="N2560" s="17"/>
      <c r="O2560" s="17"/>
      <c r="P2560" s="17"/>
      <c r="Q2560" s="17"/>
      <c r="R2560" s="17"/>
      <c r="S2560" s="17"/>
      <c r="T2560" s="17"/>
      <c r="U2560" s="17"/>
      <c r="V2560" s="17"/>
      <c r="W2560" s="17"/>
      <c r="X2560" s="17"/>
      <c r="Y2560" s="17"/>
      <c r="Z2560" s="17"/>
      <c r="AA2560" s="17"/>
      <c r="AB2560" s="17"/>
      <c r="AC2560" s="17"/>
      <c r="AD2560" s="17"/>
      <c r="AE2560" s="17"/>
      <c r="AF2560" s="17"/>
      <c r="AG2560" s="17"/>
      <c r="AH2560" s="17"/>
      <c r="AI2560" s="17"/>
      <c r="AJ2560" s="17"/>
      <c r="AK2560" s="17"/>
      <c r="AL2560" s="17"/>
      <c r="AM2560" s="17"/>
      <c r="AN2560" s="17"/>
      <c r="AO2560" s="17"/>
      <c r="AP2560" s="17"/>
      <c r="AQ2560" s="17"/>
      <c r="AR2560" s="17"/>
      <c r="AS2560" s="17"/>
      <c r="AT2560" s="17"/>
      <c r="AU2560" s="17"/>
    </row>
    <row r="2561" hidden="1">
      <c r="A2561" s="17">
        <v>2559</v>
      </c>
      <c r="B2561" s="17" t="s">
        <v>52</v>
      </c>
      <c r="C2561" s="34" t="s">
        <v>7313</v>
      </c>
      <c r="D2561" s="35" t="s">
        <v>6576</v>
      </c>
      <c r="E2561" s="17" t="s">
        <v>7314</v>
      </c>
      <c r="F2561" s="17" t="s">
        <v>7315</v>
      </c>
      <c r="G2561" s="17">
        <v>21.775171</v>
      </c>
      <c r="H2561" s="17">
        <v>87.471986999999999</v>
      </c>
      <c r="I2561" s="17"/>
      <c r="J2561" s="17"/>
      <c r="K2561" s="17"/>
      <c r="L2561" s="17"/>
      <c r="M2561" s="34" t="s">
        <v>7297</v>
      </c>
      <c r="N2561" s="17"/>
      <c r="O2561" s="17"/>
      <c r="P2561" s="17"/>
      <c r="Q2561" s="17"/>
      <c r="R2561" s="17"/>
      <c r="S2561" s="17"/>
      <c r="T2561" s="17"/>
      <c r="U2561" s="17"/>
      <c r="V2561" s="17"/>
      <c r="W2561" s="17"/>
      <c r="X2561" s="17"/>
      <c r="Y2561" s="17"/>
      <c r="Z2561" s="17"/>
      <c r="AA2561" s="17"/>
      <c r="AB2561" s="17"/>
      <c r="AC2561" s="17"/>
      <c r="AD2561" s="17"/>
      <c r="AE2561" s="17"/>
      <c r="AF2561" s="17"/>
      <c r="AG2561" s="17"/>
      <c r="AH2561" s="17"/>
      <c r="AI2561" s="17"/>
      <c r="AJ2561" s="17"/>
      <c r="AK2561" s="17"/>
      <c r="AL2561" s="17"/>
      <c r="AM2561" s="17"/>
      <c r="AN2561" s="17"/>
      <c r="AO2561" s="17"/>
      <c r="AP2561" s="17"/>
      <c r="AQ2561" s="17"/>
      <c r="AR2561" s="17"/>
      <c r="AS2561" s="17"/>
      <c r="AT2561" s="17"/>
      <c r="AU2561" s="17"/>
    </row>
    <row r="2562" hidden="1">
      <c r="A2562" s="17">
        <v>2560</v>
      </c>
      <c r="B2562" s="17" t="s">
        <v>52</v>
      </c>
      <c r="C2562" s="34" t="s">
        <v>7316</v>
      </c>
      <c r="D2562" s="35" t="s">
        <v>6576</v>
      </c>
      <c r="E2562" s="17" t="s">
        <v>7317</v>
      </c>
      <c r="F2562" s="17" t="s">
        <v>7318</v>
      </c>
      <c r="G2562" s="17">
        <v>21.794015000000002</v>
      </c>
      <c r="H2562" s="17">
        <v>87.512664000000001</v>
      </c>
      <c r="I2562" s="17"/>
      <c r="J2562" s="17"/>
      <c r="K2562" s="17"/>
      <c r="L2562" s="17"/>
      <c r="M2562" s="34" t="s">
        <v>7297</v>
      </c>
      <c r="N2562" s="17"/>
      <c r="O2562" s="17"/>
      <c r="P2562" s="17"/>
      <c r="Q2562" s="17"/>
      <c r="R2562" s="17"/>
      <c r="S2562" s="17"/>
      <c r="T2562" s="17"/>
      <c r="U2562" s="17"/>
      <c r="V2562" s="17"/>
      <c r="W2562" s="17"/>
      <c r="X2562" s="17"/>
      <c r="Y2562" s="17"/>
      <c r="Z2562" s="17"/>
      <c r="AA2562" s="17"/>
      <c r="AB2562" s="17"/>
      <c r="AC2562" s="17"/>
      <c r="AD2562" s="17"/>
      <c r="AE2562" s="17"/>
      <c r="AF2562" s="17"/>
      <c r="AG2562" s="17"/>
      <c r="AH2562" s="17"/>
      <c r="AI2562" s="17"/>
      <c r="AJ2562" s="17"/>
      <c r="AK2562" s="17"/>
      <c r="AL2562" s="17"/>
      <c r="AM2562" s="17"/>
      <c r="AN2562" s="17"/>
      <c r="AO2562" s="17"/>
      <c r="AP2562" s="17"/>
      <c r="AQ2562" s="17"/>
      <c r="AR2562" s="17"/>
      <c r="AS2562" s="17"/>
      <c r="AT2562" s="17"/>
      <c r="AU2562" s="17"/>
    </row>
    <row r="2563" hidden="1">
      <c r="A2563" s="17">
        <v>2561</v>
      </c>
      <c r="B2563" s="17" t="s">
        <v>52</v>
      </c>
      <c r="C2563" s="34" t="s">
        <v>7319</v>
      </c>
      <c r="D2563" s="35" t="s">
        <v>6576</v>
      </c>
      <c r="E2563" s="17" t="s">
        <v>7320</v>
      </c>
      <c r="F2563" s="17" t="s">
        <v>7321</v>
      </c>
      <c r="G2563" s="17">
        <v>21.821141000000001</v>
      </c>
      <c r="H2563" s="17">
        <v>87.481138999999999</v>
      </c>
      <c r="I2563" s="17"/>
      <c r="J2563" s="17"/>
      <c r="K2563" s="17"/>
      <c r="L2563" s="17"/>
      <c r="M2563" s="34" t="s">
        <v>7297</v>
      </c>
      <c r="N2563" s="17"/>
      <c r="O2563" s="17"/>
      <c r="P2563" s="17"/>
      <c r="Q2563" s="17"/>
      <c r="R2563" s="17"/>
      <c r="S2563" s="17"/>
      <c r="T2563" s="17"/>
      <c r="U2563" s="17"/>
      <c r="V2563" s="17"/>
      <c r="W2563" s="17"/>
      <c r="X2563" s="17"/>
      <c r="Y2563" s="17"/>
      <c r="Z2563" s="17"/>
      <c r="AA2563" s="17"/>
      <c r="AB2563" s="17"/>
      <c r="AC2563" s="17"/>
      <c r="AD2563" s="17"/>
      <c r="AE2563" s="17"/>
      <c r="AF2563" s="17"/>
      <c r="AG2563" s="17"/>
      <c r="AH2563" s="17"/>
      <c r="AI2563" s="17"/>
      <c r="AJ2563" s="17"/>
      <c r="AK2563" s="17"/>
      <c r="AL2563" s="17"/>
      <c r="AM2563" s="17"/>
      <c r="AN2563" s="17"/>
      <c r="AO2563" s="17"/>
      <c r="AP2563" s="17"/>
      <c r="AQ2563" s="17"/>
      <c r="AR2563" s="17"/>
      <c r="AS2563" s="17"/>
      <c r="AT2563" s="17"/>
      <c r="AU2563" s="17"/>
    </row>
    <row r="2564" hidden="1">
      <c r="A2564" s="17">
        <v>2562</v>
      </c>
      <c r="B2564" s="17" t="s">
        <v>52</v>
      </c>
      <c r="C2564" s="34" t="s">
        <v>7322</v>
      </c>
      <c r="D2564" s="35" t="s">
        <v>6576</v>
      </c>
      <c r="E2564" s="17" t="s">
        <v>7323</v>
      </c>
      <c r="F2564" s="17" t="s">
        <v>7324</v>
      </c>
      <c r="G2564" s="17">
        <v>21.782969000000001</v>
      </c>
      <c r="H2564" s="17">
        <v>87.540591000000006</v>
      </c>
      <c r="I2564" s="17"/>
      <c r="J2564" s="17"/>
      <c r="K2564" s="17"/>
      <c r="L2564" s="17"/>
      <c r="M2564" s="34" t="s">
        <v>7297</v>
      </c>
      <c r="N2564" s="17"/>
      <c r="O2564" s="17"/>
      <c r="P2564" s="17"/>
      <c r="Q2564" s="17"/>
      <c r="R2564" s="17"/>
      <c r="S2564" s="17"/>
      <c r="T2564" s="17"/>
      <c r="U2564" s="17"/>
      <c r="V2564" s="17"/>
      <c r="W2564" s="17"/>
      <c r="X2564" s="17"/>
      <c r="Y2564" s="17"/>
      <c r="Z2564" s="17"/>
      <c r="AA2564" s="17"/>
      <c r="AB2564" s="17"/>
      <c r="AC2564" s="17"/>
      <c r="AD2564" s="17"/>
      <c r="AE2564" s="17"/>
      <c r="AF2564" s="17"/>
      <c r="AG2564" s="17"/>
      <c r="AH2564" s="17"/>
      <c r="AI2564" s="17"/>
      <c r="AJ2564" s="17"/>
      <c r="AK2564" s="17"/>
      <c r="AL2564" s="17"/>
      <c r="AM2564" s="17"/>
      <c r="AN2564" s="17"/>
      <c r="AO2564" s="17"/>
      <c r="AP2564" s="17"/>
      <c r="AQ2564" s="17"/>
      <c r="AR2564" s="17"/>
      <c r="AS2564" s="17"/>
      <c r="AT2564" s="17"/>
      <c r="AU2564" s="17"/>
    </row>
    <row r="2565" hidden="1">
      <c r="A2565" s="17">
        <v>2563</v>
      </c>
      <c r="B2565" s="17" t="s">
        <v>52</v>
      </c>
      <c r="C2565" s="34" t="s">
        <v>7325</v>
      </c>
      <c r="D2565" s="35" t="s">
        <v>6576</v>
      </c>
      <c r="E2565" s="17" t="s">
        <v>6752</v>
      </c>
      <c r="F2565" s="17" t="s">
        <v>7326</v>
      </c>
      <c r="G2565" s="17">
        <v>21.775048000000002</v>
      </c>
      <c r="H2565" s="17">
        <v>87.517173999999997</v>
      </c>
      <c r="I2565" s="17"/>
      <c r="J2565" s="17"/>
      <c r="K2565" s="17"/>
      <c r="L2565" s="17"/>
      <c r="M2565" s="34" t="s">
        <v>7297</v>
      </c>
      <c r="N2565" s="17"/>
      <c r="O2565" s="17"/>
      <c r="P2565" s="17"/>
      <c r="Q2565" s="17"/>
      <c r="R2565" s="17"/>
      <c r="S2565" s="17"/>
      <c r="T2565" s="17"/>
      <c r="U2565" s="17"/>
      <c r="V2565" s="17"/>
      <c r="W2565" s="17"/>
      <c r="X2565" s="17"/>
      <c r="Y2565" s="17"/>
      <c r="Z2565" s="17"/>
      <c r="AA2565" s="17"/>
      <c r="AB2565" s="17"/>
      <c r="AC2565" s="17"/>
      <c r="AD2565" s="17"/>
      <c r="AE2565" s="17"/>
      <c r="AF2565" s="17"/>
      <c r="AG2565" s="17"/>
      <c r="AH2565" s="17"/>
      <c r="AI2565" s="17"/>
      <c r="AJ2565" s="17"/>
      <c r="AK2565" s="17"/>
      <c r="AL2565" s="17"/>
      <c r="AM2565" s="17"/>
      <c r="AN2565" s="17"/>
      <c r="AO2565" s="17"/>
      <c r="AP2565" s="17"/>
      <c r="AQ2565" s="17"/>
      <c r="AR2565" s="17"/>
      <c r="AS2565" s="17"/>
      <c r="AT2565" s="17"/>
      <c r="AU2565" s="17"/>
    </row>
    <row r="2566" hidden="1">
      <c r="A2566" s="17">
        <v>2564</v>
      </c>
      <c r="B2566" s="17" t="s">
        <v>52</v>
      </c>
      <c r="C2566" s="34" t="s">
        <v>7327</v>
      </c>
      <c r="D2566" s="35" t="s">
        <v>6576</v>
      </c>
      <c r="E2566" s="17" t="s">
        <v>6752</v>
      </c>
      <c r="F2566" s="17" t="s">
        <v>7328</v>
      </c>
      <c r="G2566" s="17">
        <v>21.793707000000001</v>
      </c>
      <c r="H2566" s="17">
        <v>87.449350999999993</v>
      </c>
      <c r="I2566" s="17"/>
      <c r="J2566" s="17"/>
      <c r="K2566" s="17"/>
      <c r="L2566" s="17"/>
      <c r="M2566" s="34" t="s">
        <v>7297</v>
      </c>
      <c r="N2566" s="17"/>
      <c r="O2566" s="17"/>
      <c r="P2566" s="17"/>
      <c r="Q2566" s="17"/>
      <c r="R2566" s="17"/>
      <c r="S2566" s="17"/>
      <c r="T2566" s="17"/>
      <c r="U2566" s="17"/>
      <c r="V2566" s="17"/>
      <c r="W2566" s="17"/>
      <c r="X2566" s="17"/>
      <c r="Y2566" s="17"/>
      <c r="Z2566" s="17"/>
      <c r="AA2566" s="17"/>
      <c r="AB2566" s="17"/>
      <c r="AC2566" s="17"/>
      <c r="AD2566" s="17"/>
      <c r="AE2566" s="17"/>
      <c r="AF2566" s="17"/>
      <c r="AG2566" s="17"/>
      <c r="AH2566" s="17"/>
      <c r="AI2566" s="17"/>
      <c r="AJ2566" s="17"/>
      <c r="AK2566" s="17"/>
      <c r="AL2566" s="17"/>
      <c r="AM2566" s="17"/>
      <c r="AN2566" s="17"/>
      <c r="AO2566" s="17"/>
      <c r="AP2566" s="17"/>
      <c r="AQ2566" s="17"/>
      <c r="AR2566" s="17"/>
      <c r="AS2566" s="17"/>
      <c r="AT2566" s="17"/>
      <c r="AU2566" s="17"/>
    </row>
    <row r="2567" hidden="1">
      <c r="A2567" s="17">
        <v>2565</v>
      </c>
      <c r="B2567" s="17" t="s">
        <v>52</v>
      </c>
      <c r="C2567" s="34" t="s">
        <v>7329</v>
      </c>
      <c r="D2567" s="35" t="s">
        <v>6576</v>
      </c>
      <c r="E2567" s="17" t="s">
        <v>6752</v>
      </c>
      <c r="F2567" s="17" t="s">
        <v>7330</v>
      </c>
      <c r="G2567" s="17">
        <v>21.732520999999998</v>
      </c>
      <c r="H2567" s="17">
        <v>87.499499999999998</v>
      </c>
      <c r="I2567" s="17"/>
      <c r="J2567" s="17"/>
      <c r="K2567" s="17"/>
      <c r="L2567" s="17"/>
      <c r="M2567" s="34" t="s">
        <v>7297</v>
      </c>
      <c r="N2567" s="17"/>
      <c r="O2567" s="17"/>
      <c r="P2567" s="17"/>
      <c r="Q2567" s="17"/>
      <c r="R2567" s="17"/>
      <c r="S2567" s="17"/>
      <c r="T2567" s="17"/>
      <c r="U2567" s="17"/>
      <c r="V2567" s="17"/>
      <c r="W2567" s="17"/>
      <c r="X2567" s="17"/>
      <c r="Y2567" s="17"/>
      <c r="Z2567" s="17"/>
      <c r="AA2567" s="17"/>
      <c r="AB2567" s="17"/>
      <c r="AC2567" s="17"/>
      <c r="AD2567" s="17"/>
      <c r="AE2567" s="17"/>
      <c r="AF2567" s="17"/>
      <c r="AG2567" s="17"/>
      <c r="AH2567" s="17"/>
      <c r="AI2567" s="17"/>
      <c r="AJ2567" s="17"/>
      <c r="AK2567" s="17"/>
      <c r="AL2567" s="17"/>
      <c r="AM2567" s="17"/>
      <c r="AN2567" s="17"/>
      <c r="AO2567" s="17"/>
      <c r="AP2567" s="17"/>
      <c r="AQ2567" s="17"/>
      <c r="AR2567" s="17"/>
      <c r="AS2567" s="17"/>
      <c r="AT2567" s="17"/>
      <c r="AU2567" s="17"/>
    </row>
    <row r="2568" hidden="1">
      <c r="A2568" s="17">
        <v>2566</v>
      </c>
      <c r="B2568" s="17" t="s">
        <v>52</v>
      </c>
      <c r="C2568" s="34" t="s">
        <v>7331</v>
      </c>
      <c r="D2568" s="35" t="s">
        <v>6576</v>
      </c>
      <c r="E2568" s="17" t="s">
        <v>6752</v>
      </c>
      <c r="F2568" s="17">
        <v>0</v>
      </c>
      <c r="G2568" s="17">
        <v>21.821472</v>
      </c>
      <c r="H2568" s="17">
        <v>87.497898000000006</v>
      </c>
      <c r="I2568" s="17"/>
      <c r="J2568" s="17"/>
      <c r="K2568" s="17"/>
      <c r="L2568" s="17"/>
      <c r="M2568" s="34" t="s">
        <v>7297</v>
      </c>
      <c r="N2568" s="17"/>
      <c r="O2568" s="17"/>
      <c r="P2568" s="17"/>
      <c r="Q2568" s="17"/>
      <c r="R2568" s="17"/>
      <c r="S2568" s="17"/>
      <c r="T2568" s="17"/>
      <c r="U2568" s="17"/>
      <c r="V2568" s="17"/>
      <c r="W2568" s="17"/>
      <c r="X2568" s="17"/>
      <c r="Y2568" s="17"/>
      <c r="Z2568" s="17"/>
      <c r="AA2568" s="17"/>
      <c r="AB2568" s="17"/>
      <c r="AC2568" s="17"/>
      <c r="AD2568" s="17"/>
      <c r="AE2568" s="17"/>
      <c r="AF2568" s="17"/>
      <c r="AG2568" s="17"/>
      <c r="AH2568" s="17"/>
      <c r="AI2568" s="17"/>
      <c r="AJ2568" s="17"/>
      <c r="AK2568" s="17"/>
      <c r="AL2568" s="17"/>
      <c r="AM2568" s="17"/>
      <c r="AN2568" s="17"/>
      <c r="AO2568" s="17"/>
      <c r="AP2568" s="17"/>
      <c r="AQ2568" s="17"/>
      <c r="AR2568" s="17"/>
      <c r="AS2568" s="17"/>
      <c r="AT2568" s="17"/>
      <c r="AU2568" s="17"/>
    </row>
    <row r="2569" hidden="1">
      <c r="A2569" s="17">
        <v>2567</v>
      </c>
      <c r="B2569" s="17" t="s">
        <v>52</v>
      </c>
      <c r="C2569" s="34" t="s">
        <v>7332</v>
      </c>
      <c r="D2569" s="35" t="s">
        <v>6576</v>
      </c>
      <c r="E2569" s="17" t="s">
        <v>7333</v>
      </c>
      <c r="F2569" s="17" t="s">
        <v>7334</v>
      </c>
      <c r="G2569" s="17">
        <v>21.744617000000002</v>
      </c>
      <c r="H2569" s="17">
        <v>87.655951000000002</v>
      </c>
      <c r="I2569" s="17"/>
      <c r="J2569" s="17"/>
      <c r="K2569" s="17"/>
      <c r="L2569" s="17"/>
      <c r="M2569" s="34" t="s">
        <v>7297</v>
      </c>
      <c r="N2569" s="17"/>
      <c r="O2569" s="17"/>
      <c r="P2569" s="17"/>
      <c r="Q2569" s="17"/>
      <c r="R2569" s="17"/>
      <c r="S2569" s="17"/>
      <c r="T2569" s="17"/>
      <c r="U2569" s="17"/>
      <c r="V2569" s="17"/>
      <c r="W2569" s="17"/>
      <c r="X2569" s="17"/>
      <c r="Y2569" s="17"/>
      <c r="Z2569" s="17"/>
      <c r="AA2569" s="17"/>
      <c r="AB2569" s="17"/>
      <c r="AC2569" s="17"/>
      <c r="AD2569" s="17"/>
      <c r="AE2569" s="17"/>
      <c r="AF2569" s="17"/>
      <c r="AG2569" s="17"/>
      <c r="AH2569" s="17"/>
      <c r="AI2569" s="17"/>
      <c r="AJ2569" s="17"/>
      <c r="AK2569" s="17"/>
      <c r="AL2569" s="17"/>
      <c r="AM2569" s="17"/>
      <c r="AN2569" s="17"/>
      <c r="AO2569" s="17"/>
      <c r="AP2569" s="17"/>
      <c r="AQ2569" s="17"/>
      <c r="AR2569" s="17"/>
      <c r="AS2569" s="17"/>
      <c r="AT2569" s="17"/>
      <c r="AU2569" s="17"/>
    </row>
    <row r="2570" hidden="1">
      <c r="A2570" s="17">
        <v>2568</v>
      </c>
      <c r="B2570" s="17" t="s">
        <v>52</v>
      </c>
      <c r="C2570" s="34" t="s">
        <v>7335</v>
      </c>
      <c r="D2570" s="35" t="s">
        <v>6576</v>
      </c>
      <c r="E2570" s="17" t="s">
        <v>7336</v>
      </c>
      <c r="F2570" s="17" t="s">
        <v>7337</v>
      </c>
      <c r="G2570" s="17">
        <v>21.752434999999998</v>
      </c>
      <c r="H2570" s="17">
        <v>87.505077</v>
      </c>
      <c r="I2570" s="17"/>
      <c r="J2570" s="17"/>
      <c r="K2570" s="17"/>
      <c r="L2570" s="17"/>
      <c r="M2570" s="34" t="s">
        <v>7297</v>
      </c>
      <c r="N2570" s="17"/>
      <c r="O2570" s="17"/>
      <c r="P2570" s="17"/>
      <c r="Q2570" s="17"/>
      <c r="R2570" s="17"/>
      <c r="S2570" s="17"/>
      <c r="T2570" s="17"/>
      <c r="U2570" s="17"/>
      <c r="V2570" s="17"/>
      <c r="W2570" s="17"/>
      <c r="X2570" s="17"/>
      <c r="Y2570" s="17"/>
      <c r="Z2570" s="17"/>
      <c r="AA2570" s="17"/>
      <c r="AB2570" s="17"/>
      <c r="AC2570" s="17"/>
      <c r="AD2570" s="17"/>
      <c r="AE2570" s="17"/>
      <c r="AF2570" s="17"/>
      <c r="AG2570" s="17"/>
      <c r="AH2570" s="17"/>
      <c r="AI2570" s="17"/>
      <c r="AJ2570" s="17"/>
      <c r="AK2570" s="17"/>
      <c r="AL2570" s="17"/>
      <c r="AM2570" s="17"/>
      <c r="AN2570" s="17"/>
      <c r="AO2570" s="17"/>
      <c r="AP2570" s="17"/>
      <c r="AQ2570" s="17"/>
      <c r="AR2570" s="17"/>
      <c r="AS2570" s="17"/>
      <c r="AT2570" s="17"/>
      <c r="AU2570" s="17"/>
    </row>
    <row r="2571" hidden="1">
      <c r="A2571" s="17">
        <v>2569</v>
      </c>
      <c r="B2571" s="17" t="s">
        <v>52</v>
      </c>
      <c r="C2571" s="34" t="s">
        <v>7338</v>
      </c>
      <c r="D2571" s="35" t="s">
        <v>6576</v>
      </c>
      <c r="E2571" s="17" t="s">
        <v>7339</v>
      </c>
      <c r="F2571" s="17" t="s">
        <v>7340</v>
      </c>
      <c r="G2571" s="17">
        <v>21.754431</v>
      </c>
      <c r="H2571" s="17">
        <v>87.483795999999998</v>
      </c>
      <c r="I2571" s="17"/>
      <c r="J2571" s="17"/>
      <c r="K2571" s="17"/>
      <c r="L2571" s="17"/>
      <c r="M2571" s="34" t="s">
        <v>7297</v>
      </c>
      <c r="N2571" s="17"/>
      <c r="O2571" s="17"/>
      <c r="P2571" s="17"/>
      <c r="Q2571" s="17"/>
      <c r="R2571" s="17"/>
      <c r="S2571" s="17"/>
      <c r="T2571" s="17"/>
      <c r="U2571" s="17"/>
      <c r="V2571" s="17"/>
      <c r="W2571" s="17"/>
      <c r="X2571" s="17"/>
      <c r="Y2571" s="17"/>
      <c r="Z2571" s="17"/>
      <c r="AA2571" s="17"/>
      <c r="AB2571" s="17"/>
      <c r="AC2571" s="17"/>
      <c r="AD2571" s="17"/>
      <c r="AE2571" s="17"/>
      <c r="AF2571" s="17"/>
      <c r="AG2571" s="17"/>
      <c r="AH2571" s="17"/>
      <c r="AI2571" s="17"/>
      <c r="AJ2571" s="17"/>
      <c r="AK2571" s="17"/>
      <c r="AL2571" s="17"/>
      <c r="AM2571" s="17"/>
      <c r="AN2571" s="17"/>
      <c r="AO2571" s="17"/>
      <c r="AP2571" s="17"/>
      <c r="AQ2571" s="17"/>
      <c r="AR2571" s="17"/>
      <c r="AS2571" s="17"/>
      <c r="AT2571" s="17"/>
      <c r="AU2571" s="17"/>
    </row>
    <row r="2572" hidden="1">
      <c r="A2572" s="17">
        <v>2570</v>
      </c>
      <c r="B2572" s="17" t="s">
        <v>52</v>
      </c>
      <c r="C2572" s="34" t="s">
        <v>7341</v>
      </c>
      <c r="D2572" s="35" t="s">
        <v>6576</v>
      </c>
      <c r="E2572" s="17" t="s">
        <v>7342</v>
      </c>
      <c r="F2572" s="17" t="s">
        <v>7343</v>
      </c>
      <c r="G2572" s="17">
        <v>21.750689999999999</v>
      </c>
      <c r="H2572" s="17">
        <v>87.450659999999999</v>
      </c>
      <c r="I2572" s="17"/>
      <c r="J2572" s="17"/>
      <c r="K2572" s="17"/>
      <c r="L2572" s="17"/>
      <c r="M2572" s="34" t="s">
        <v>7297</v>
      </c>
      <c r="N2572" s="17"/>
      <c r="O2572" s="17"/>
      <c r="P2572" s="17"/>
      <c r="Q2572" s="17"/>
      <c r="R2572" s="17"/>
      <c r="S2572" s="17"/>
      <c r="T2572" s="17"/>
      <c r="U2572" s="17"/>
      <c r="V2572" s="17"/>
      <c r="W2572" s="17"/>
      <c r="X2572" s="17"/>
      <c r="Y2572" s="17"/>
      <c r="Z2572" s="17"/>
      <c r="AA2572" s="17"/>
      <c r="AB2572" s="17"/>
      <c r="AC2572" s="17"/>
      <c r="AD2572" s="17"/>
      <c r="AE2572" s="17"/>
      <c r="AF2572" s="17"/>
      <c r="AG2572" s="17"/>
      <c r="AH2572" s="17"/>
      <c r="AI2572" s="17"/>
      <c r="AJ2572" s="17"/>
      <c r="AK2572" s="17"/>
      <c r="AL2572" s="17"/>
      <c r="AM2572" s="17"/>
      <c r="AN2572" s="17"/>
      <c r="AO2572" s="17"/>
      <c r="AP2572" s="17"/>
      <c r="AQ2572" s="17"/>
      <c r="AR2572" s="17"/>
      <c r="AS2572" s="17"/>
      <c r="AT2572" s="17"/>
      <c r="AU2572" s="17"/>
    </row>
    <row r="2573" hidden="1">
      <c r="A2573" s="17">
        <v>2571</v>
      </c>
      <c r="B2573" s="17" t="s">
        <v>52</v>
      </c>
      <c r="C2573" s="34" t="s">
        <v>7344</v>
      </c>
      <c r="D2573" s="35" t="s">
        <v>6576</v>
      </c>
      <c r="E2573" s="17" t="s">
        <v>7345</v>
      </c>
      <c r="F2573" s="17" t="s">
        <v>7346</v>
      </c>
      <c r="G2573" s="17">
        <v>21.741968</v>
      </c>
      <c r="H2573" s="17">
        <v>87.580755999999994</v>
      </c>
      <c r="I2573" s="17"/>
      <c r="J2573" s="17"/>
      <c r="K2573" s="17"/>
      <c r="L2573" s="17"/>
      <c r="M2573" s="34" t="s">
        <v>7297</v>
      </c>
      <c r="N2573" s="17"/>
      <c r="O2573" s="17"/>
      <c r="P2573" s="17"/>
      <c r="Q2573" s="17"/>
      <c r="R2573" s="17"/>
      <c r="S2573" s="17"/>
      <c r="T2573" s="17"/>
      <c r="U2573" s="17"/>
      <c r="V2573" s="17"/>
      <c r="W2573" s="17"/>
      <c r="X2573" s="17"/>
      <c r="Y2573" s="17"/>
      <c r="Z2573" s="17"/>
      <c r="AA2573" s="17"/>
      <c r="AB2573" s="17"/>
      <c r="AC2573" s="17"/>
      <c r="AD2573" s="17"/>
      <c r="AE2573" s="17"/>
      <c r="AF2573" s="17"/>
      <c r="AG2573" s="17"/>
      <c r="AH2573" s="17"/>
      <c r="AI2573" s="17"/>
      <c r="AJ2573" s="17"/>
      <c r="AK2573" s="17"/>
      <c r="AL2573" s="17"/>
      <c r="AM2573" s="17"/>
      <c r="AN2573" s="17"/>
      <c r="AO2573" s="17"/>
      <c r="AP2573" s="17"/>
      <c r="AQ2573" s="17"/>
      <c r="AR2573" s="17"/>
      <c r="AS2573" s="17"/>
      <c r="AT2573" s="17"/>
      <c r="AU2573" s="17"/>
    </row>
    <row r="2574" hidden="1">
      <c r="A2574" s="17">
        <v>2572</v>
      </c>
      <c r="B2574" s="17" t="s">
        <v>52</v>
      </c>
      <c r="C2574" s="34" t="s">
        <v>7347</v>
      </c>
      <c r="D2574" s="35" t="s">
        <v>6576</v>
      </c>
      <c r="E2574" s="17" t="s">
        <v>7348</v>
      </c>
      <c r="F2574" s="17" t="s">
        <v>7349</v>
      </c>
      <c r="G2574" s="17">
        <v>21.765779999999999</v>
      </c>
      <c r="H2574" s="17">
        <v>87.548199999999994</v>
      </c>
      <c r="I2574" s="17"/>
      <c r="J2574" s="17"/>
      <c r="K2574" s="17"/>
      <c r="L2574" s="17"/>
      <c r="M2574" s="34" t="s">
        <v>7297</v>
      </c>
      <c r="N2574" s="17"/>
      <c r="O2574" s="17"/>
      <c r="P2574" s="17"/>
      <c r="Q2574" s="17"/>
      <c r="R2574" s="17"/>
      <c r="S2574" s="17"/>
      <c r="T2574" s="17"/>
      <c r="U2574" s="17"/>
      <c r="V2574" s="17"/>
      <c r="W2574" s="17"/>
      <c r="X2574" s="17"/>
      <c r="Y2574" s="17"/>
      <c r="Z2574" s="17"/>
      <c r="AA2574" s="17"/>
      <c r="AB2574" s="17"/>
      <c r="AC2574" s="17"/>
      <c r="AD2574" s="17"/>
      <c r="AE2574" s="17"/>
      <c r="AF2574" s="17"/>
      <c r="AG2574" s="17"/>
      <c r="AH2574" s="17"/>
      <c r="AI2574" s="17"/>
      <c r="AJ2574" s="17"/>
      <c r="AK2574" s="17"/>
      <c r="AL2574" s="17"/>
      <c r="AM2574" s="17"/>
      <c r="AN2574" s="17"/>
      <c r="AO2574" s="17"/>
      <c r="AP2574" s="17"/>
      <c r="AQ2574" s="17"/>
      <c r="AR2574" s="17"/>
      <c r="AS2574" s="17"/>
      <c r="AT2574" s="17"/>
      <c r="AU2574" s="17"/>
    </row>
    <row r="2575" hidden="1">
      <c r="A2575" s="17">
        <v>2573</v>
      </c>
      <c r="B2575" s="17" t="s">
        <v>52</v>
      </c>
      <c r="C2575" s="34" t="s">
        <v>7350</v>
      </c>
      <c r="D2575" s="35" t="s">
        <v>6576</v>
      </c>
      <c r="E2575" s="17" t="s">
        <v>7351</v>
      </c>
      <c r="F2575" s="17" t="s">
        <v>7352</v>
      </c>
      <c r="G2575" s="17">
        <v>21.754237</v>
      </c>
      <c r="H2575" s="17">
        <v>87.595691000000002</v>
      </c>
      <c r="I2575" s="17"/>
      <c r="J2575" s="17"/>
      <c r="K2575" s="17"/>
      <c r="L2575" s="17"/>
      <c r="M2575" s="34" t="s">
        <v>7297</v>
      </c>
      <c r="N2575" s="17"/>
      <c r="O2575" s="17"/>
      <c r="P2575" s="17"/>
      <c r="Q2575" s="17"/>
      <c r="R2575" s="17"/>
      <c r="S2575" s="17"/>
      <c r="T2575" s="17"/>
      <c r="U2575" s="17"/>
      <c r="V2575" s="17"/>
      <c r="W2575" s="17"/>
      <c r="X2575" s="17"/>
      <c r="Y2575" s="17"/>
      <c r="Z2575" s="17"/>
      <c r="AA2575" s="17"/>
      <c r="AB2575" s="17"/>
      <c r="AC2575" s="17"/>
      <c r="AD2575" s="17"/>
      <c r="AE2575" s="17"/>
      <c r="AF2575" s="17"/>
      <c r="AG2575" s="17"/>
      <c r="AH2575" s="17"/>
      <c r="AI2575" s="17"/>
      <c r="AJ2575" s="17"/>
      <c r="AK2575" s="17"/>
      <c r="AL2575" s="17"/>
      <c r="AM2575" s="17"/>
      <c r="AN2575" s="17"/>
      <c r="AO2575" s="17"/>
      <c r="AP2575" s="17"/>
      <c r="AQ2575" s="17"/>
      <c r="AR2575" s="17"/>
      <c r="AS2575" s="17"/>
      <c r="AT2575" s="17"/>
      <c r="AU2575" s="17"/>
    </row>
    <row r="2576" hidden="1">
      <c r="A2576" s="17">
        <v>2574</v>
      </c>
      <c r="B2576" s="17" t="s">
        <v>52</v>
      </c>
      <c r="C2576" s="34" t="s">
        <v>7353</v>
      </c>
      <c r="D2576" s="35" t="s">
        <v>6576</v>
      </c>
      <c r="E2576" s="17" t="s">
        <v>7354</v>
      </c>
      <c r="F2576" s="17" t="s">
        <v>7355</v>
      </c>
      <c r="G2576" s="17">
        <v>21.715688</v>
      </c>
      <c r="H2576" s="17">
        <v>87.622996999999998</v>
      </c>
      <c r="I2576" s="17"/>
      <c r="J2576" s="17"/>
      <c r="K2576" s="17"/>
      <c r="L2576" s="17"/>
      <c r="M2576" s="34" t="s">
        <v>7297</v>
      </c>
      <c r="N2576" s="17"/>
      <c r="O2576" s="17"/>
      <c r="P2576" s="17"/>
      <c r="Q2576" s="17"/>
      <c r="R2576" s="17"/>
      <c r="S2576" s="17"/>
      <c r="T2576" s="17"/>
      <c r="U2576" s="17"/>
      <c r="V2576" s="17"/>
      <c r="W2576" s="17"/>
      <c r="X2576" s="17"/>
      <c r="Y2576" s="17"/>
      <c r="Z2576" s="17"/>
      <c r="AA2576" s="17"/>
      <c r="AB2576" s="17"/>
      <c r="AC2576" s="17"/>
      <c r="AD2576" s="17"/>
      <c r="AE2576" s="17"/>
      <c r="AF2576" s="17"/>
      <c r="AG2576" s="17"/>
      <c r="AH2576" s="17"/>
      <c r="AI2576" s="17"/>
      <c r="AJ2576" s="17"/>
      <c r="AK2576" s="17"/>
      <c r="AL2576" s="17"/>
      <c r="AM2576" s="17"/>
      <c r="AN2576" s="17"/>
      <c r="AO2576" s="17"/>
      <c r="AP2576" s="17"/>
      <c r="AQ2576" s="17"/>
      <c r="AR2576" s="17"/>
      <c r="AS2576" s="17"/>
      <c r="AT2576" s="17"/>
      <c r="AU2576" s="17"/>
    </row>
    <row r="2577" hidden="1">
      <c r="A2577" s="17">
        <v>2575</v>
      </c>
      <c r="B2577" s="17" t="s">
        <v>52</v>
      </c>
      <c r="C2577" s="34" t="s">
        <v>7356</v>
      </c>
      <c r="D2577" s="35" t="s">
        <v>6576</v>
      </c>
      <c r="E2577" s="17" t="s">
        <v>7357</v>
      </c>
      <c r="F2577" s="17" t="s">
        <v>7358</v>
      </c>
      <c r="G2577" s="17">
        <v>21.733498000000001</v>
      </c>
      <c r="H2577" s="17">
        <v>87.607650000000007</v>
      </c>
      <c r="I2577" s="17"/>
      <c r="J2577" s="17"/>
      <c r="K2577" s="17"/>
      <c r="L2577" s="17"/>
      <c r="M2577" s="34" t="s">
        <v>7297</v>
      </c>
      <c r="N2577" s="17"/>
      <c r="O2577" s="17"/>
      <c r="P2577" s="17"/>
      <c r="Q2577" s="17"/>
      <c r="R2577" s="17"/>
      <c r="S2577" s="17"/>
      <c r="T2577" s="17"/>
      <c r="U2577" s="17"/>
      <c r="V2577" s="17"/>
      <c r="W2577" s="17"/>
      <c r="X2577" s="17"/>
      <c r="Y2577" s="17"/>
      <c r="Z2577" s="17"/>
      <c r="AA2577" s="17"/>
      <c r="AB2577" s="17"/>
      <c r="AC2577" s="17"/>
      <c r="AD2577" s="17"/>
      <c r="AE2577" s="17"/>
      <c r="AF2577" s="17"/>
      <c r="AG2577" s="17"/>
      <c r="AH2577" s="17"/>
      <c r="AI2577" s="17"/>
      <c r="AJ2577" s="17"/>
      <c r="AK2577" s="17"/>
      <c r="AL2577" s="17"/>
      <c r="AM2577" s="17"/>
      <c r="AN2577" s="17"/>
      <c r="AO2577" s="17"/>
      <c r="AP2577" s="17"/>
      <c r="AQ2577" s="17"/>
      <c r="AR2577" s="17"/>
      <c r="AS2577" s="17"/>
      <c r="AT2577" s="17"/>
      <c r="AU2577" s="17"/>
    </row>
    <row r="2578" hidden="1">
      <c r="A2578" s="17">
        <v>2576</v>
      </c>
      <c r="B2578" s="17" t="s">
        <v>52</v>
      </c>
      <c r="C2578" s="34" t="s">
        <v>7359</v>
      </c>
      <c r="D2578" s="35" t="s">
        <v>6576</v>
      </c>
      <c r="E2578" s="17" t="s">
        <v>7360</v>
      </c>
      <c r="F2578" s="17">
        <v>0</v>
      </c>
      <c r="G2578" s="17">
        <v>21.793379999999999</v>
      </c>
      <c r="H2578" s="17">
        <v>87.441829999999996</v>
      </c>
      <c r="I2578" s="17"/>
      <c r="J2578" s="17"/>
      <c r="K2578" s="17"/>
      <c r="L2578" s="17"/>
      <c r="M2578" s="34" t="s">
        <v>7297</v>
      </c>
      <c r="N2578" s="17"/>
      <c r="O2578" s="17"/>
      <c r="P2578" s="17"/>
      <c r="Q2578" s="17"/>
      <c r="R2578" s="17"/>
      <c r="S2578" s="17"/>
      <c r="T2578" s="17"/>
      <c r="U2578" s="17"/>
      <c r="V2578" s="17"/>
      <c r="W2578" s="17"/>
      <c r="X2578" s="17"/>
      <c r="Y2578" s="17"/>
      <c r="Z2578" s="17"/>
      <c r="AA2578" s="17"/>
      <c r="AB2578" s="17"/>
      <c r="AC2578" s="17"/>
      <c r="AD2578" s="17"/>
      <c r="AE2578" s="17"/>
      <c r="AF2578" s="17"/>
      <c r="AG2578" s="17"/>
      <c r="AH2578" s="17"/>
      <c r="AI2578" s="17"/>
      <c r="AJ2578" s="17"/>
      <c r="AK2578" s="17"/>
      <c r="AL2578" s="17"/>
      <c r="AM2578" s="17"/>
      <c r="AN2578" s="17"/>
      <c r="AO2578" s="17"/>
      <c r="AP2578" s="17"/>
      <c r="AQ2578" s="17"/>
      <c r="AR2578" s="17"/>
      <c r="AS2578" s="17"/>
      <c r="AT2578" s="17"/>
      <c r="AU2578" s="17"/>
    </row>
    <row r="2579" hidden="1">
      <c r="A2579" s="17">
        <v>2577</v>
      </c>
      <c r="B2579" s="17" t="s">
        <v>52</v>
      </c>
      <c r="C2579" s="34" t="s">
        <v>7361</v>
      </c>
      <c r="D2579" s="35" t="s">
        <v>6576</v>
      </c>
      <c r="E2579" s="17" t="s">
        <v>7362</v>
      </c>
      <c r="F2579" s="17" t="s">
        <v>7363</v>
      </c>
      <c r="G2579" s="17">
        <v>21.624433</v>
      </c>
      <c r="H2579" s="17">
        <v>87.517261000000005</v>
      </c>
      <c r="I2579" s="17"/>
      <c r="J2579" s="17"/>
      <c r="K2579" s="17"/>
      <c r="L2579" s="17"/>
      <c r="M2579" s="34" t="s">
        <v>7297</v>
      </c>
      <c r="N2579" s="17"/>
      <c r="O2579" s="17"/>
      <c r="P2579" s="17"/>
      <c r="Q2579" s="17"/>
      <c r="R2579" s="17"/>
      <c r="S2579" s="17"/>
      <c r="T2579" s="17"/>
      <c r="U2579" s="17"/>
      <c r="V2579" s="17"/>
      <c r="W2579" s="17"/>
      <c r="X2579" s="17"/>
      <c r="Y2579" s="17"/>
      <c r="Z2579" s="17"/>
      <c r="AA2579" s="17"/>
      <c r="AB2579" s="17"/>
      <c r="AC2579" s="17"/>
      <c r="AD2579" s="17"/>
      <c r="AE2579" s="17"/>
      <c r="AF2579" s="17"/>
      <c r="AG2579" s="17"/>
      <c r="AH2579" s="17"/>
      <c r="AI2579" s="17"/>
      <c r="AJ2579" s="17"/>
      <c r="AK2579" s="17"/>
      <c r="AL2579" s="17"/>
      <c r="AM2579" s="17"/>
      <c r="AN2579" s="17"/>
      <c r="AO2579" s="17"/>
      <c r="AP2579" s="17"/>
      <c r="AQ2579" s="17"/>
      <c r="AR2579" s="17"/>
      <c r="AS2579" s="17"/>
      <c r="AT2579" s="17"/>
      <c r="AU2579" s="17"/>
    </row>
    <row r="2580" hidden="1">
      <c r="A2580" s="17">
        <v>2578</v>
      </c>
      <c r="B2580" s="17" t="s">
        <v>52</v>
      </c>
      <c r="C2580" s="34" t="s">
        <v>7364</v>
      </c>
      <c r="D2580" s="35" t="s">
        <v>6576</v>
      </c>
      <c r="E2580" s="17" t="s">
        <v>7365</v>
      </c>
      <c r="F2580" s="17" t="s">
        <v>7366</v>
      </c>
      <c r="G2580" s="17">
        <v>21.647144999999998</v>
      </c>
      <c r="H2580" s="17">
        <v>87.571957999999995</v>
      </c>
      <c r="I2580" s="17"/>
      <c r="J2580" s="17"/>
      <c r="K2580" s="17"/>
      <c r="L2580" s="17"/>
      <c r="M2580" s="34" t="s">
        <v>7297</v>
      </c>
      <c r="N2580" s="17"/>
      <c r="O2580" s="17"/>
      <c r="P2580" s="17"/>
      <c r="Q2580" s="17"/>
      <c r="R2580" s="17"/>
      <c r="S2580" s="17"/>
      <c r="T2580" s="17"/>
      <c r="U2580" s="17"/>
      <c r="V2580" s="17"/>
      <c r="W2580" s="17"/>
      <c r="X2580" s="17"/>
      <c r="Y2580" s="17"/>
      <c r="Z2580" s="17"/>
      <c r="AA2580" s="17"/>
      <c r="AB2580" s="17"/>
      <c r="AC2580" s="17"/>
      <c r="AD2580" s="17"/>
      <c r="AE2580" s="17"/>
      <c r="AF2580" s="17"/>
      <c r="AG2580" s="17"/>
      <c r="AH2580" s="17"/>
      <c r="AI2580" s="17"/>
      <c r="AJ2580" s="17"/>
      <c r="AK2580" s="17"/>
      <c r="AL2580" s="17"/>
      <c r="AM2580" s="17"/>
      <c r="AN2580" s="17"/>
      <c r="AO2580" s="17"/>
      <c r="AP2580" s="17"/>
      <c r="AQ2580" s="17"/>
      <c r="AR2580" s="17"/>
      <c r="AS2580" s="17"/>
      <c r="AT2580" s="17"/>
      <c r="AU2580" s="17"/>
    </row>
    <row r="2581" hidden="1">
      <c r="A2581" s="17">
        <v>2579</v>
      </c>
      <c r="B2581" s="17" t="s">
        <v>52</v>
      </c>
      <c r="C2581" s="34" t="s">
        <v>7367</v>
      </c>
      <c r="D2581" s="35" t="s">
        <v>6576</v>
      </c>
      <c r="E2581" s="17" t="s">
        <v>7368</v>
      </c>
      <c r="F2581" s="17" t="s">
        <v>7369</v>
      </c>
      <c r="G2581" s="17">
        <v>21.667477999999999</v>
      </c>
      <c r="H2581" s="17">
        <v>87.493296999999998</v>
      </c>
      <c r="I2581" s="17"/>
      <c r="J2581" s="17"/>
      <c r="K2581" s="17"/>
      <c r="L2581" s="17"/>
      <c r="M2581" s="34" t="s">
        <v>7297</v>
      </c>
      <c r="N2581" s="17"/>
      <c r="O2581" s="17"/>
      <c r="P2581" s="17"/>
      <c r="Q2581" s="17"/>
      <c r="R2581" s="17"/>
      <c r="S2581" s="17"/>
      <c r="T2581" s="17"/>
      <c r="U2581" s="17"/>
      <c r="V2581" s="17"/>
      <c r="W2581" s="17"/>
      <c r="X2581" s="17"/>
      <c r="Y2581" s="17"/>
      <c r="Z2581" s="17"/>
      <c r="AA2581" s="17"/>
      <c r="AB2581" s="17"/>
      <c r="AC2581" s="17"/>
      <c r="AD2581" s="17"/>
      <c r="AE2581" s="17"/>
      <c r="AF2581" s="17"/>
      <c r="AG2581" s="17"/>
      <c r="AH2581" s="17"/>
      <c r="AI2581" s="17"/>
      <c r="AJ2581" s="17"/>
      <c r="AK2581" s="17"/>
      <c r="AL2581" s="17"/>
      <c r="AM2581" s="17"/>
      <c r="AN2581" s="17"/>
      <c r="AO2581" s="17"/>
      <c r="AP2581" s="17"/>
      <c r="AQ2581" s="17"/>
      <c r="AR2581" s="17"/>
      <c r="AS2581" s="17"/>
      <c r="AT2581" s="17"/>
      <c r="AU2581" s="17"/>
    </row>
    <row r="2582" hidden="1">
      <c r="A2582" s="17">
        <v>2580</v>
      </c>
      <c r="B2582" s="17" t="s">
        <v>52</v>
      </c>
      <c r="C2582" s="34" t="s">
        <v>7370</v>
      </c>
      <c r="D2582" s="35" t="s">
        <v>6576</v>
      </c>
      <c r="E2582" s="17" t="s">
        <v>6725</v>
      </c>
      <c r="F2582" s="17" t="s">
        <v>7371</v>
      </c>
      <c r="G2582" s="17">
        <v>21.679279999999999</v>
      </c>
      <c r="H2582" s="17">
        <v>87.565079999999995</v>
      </c>
      <c r="I2582" s="17"/>
      <c r="J2582" s="17"/>
      <c r="K2582" s="17"/>
      <c r="L2582" s="17"/>
      <c r="M2582" s="34" t="s">
        <v>7297</v>
      </c>
      <c r="N2582" s="17"/>
      <c r="O2582" s="17"/>
      <c r="P2582" s="17"/>
      <c r="Q2582" s="17"/>
      <c r="R2582" s="17"/>
      <c r="S2582" s="17"/>
      <c r="T2582" s="17"/>
      <c r="U2582" s="17"/>
      <c r="V2582" s="17"/>
      <c r="W2582" s="17"/>
      <c r="X2582" s="17"/>
      <c r="Y2582" s="17"/>
      <c r="Z2582" s="17"/>
      <c r="AA2582" s="17"/>
      <c r="AB2582" s="17"/>
      <c r="AC2582" s="17"/>
      <c r="AD2582" s="17"/>
      <c r="AE2582" s="17"/>
      <c r="AF2582" s="17"/>
      <c r="AG2582" s="17"/>
      <c r="AH2582" s="17"/>
      <c r="AI2582" s="17"/>
      <c r="AJ2582" s="17"/>
      <c r="AK2582" s="17"/>
      <c r="AL2582" s="17"/>
      <c r="AM2582" s="17"/>
      <c r="AN2582" s="17"/>
      <c r="AO2582" s="17"/>
      <c r="AP2582" s="17"/>
      <c r="AQ2582" s="17"/>
      <c r="AR2582" s="17"/>
      <c r="AS2582" s="17"/>
      <c r="AT2582" s="17"/>
      <c r="AU2582" s="17"/>
    </row>
    <row r="2583" hidden="1">
      <c r="A2583" s="17">
        <v>2581</v>
      </c>
      <c r="B2583" s="17" t="s">
        <v>52</v>
      </c>
      <c r="C2583" s="34" t="s">
        <v>7372</v>
      </c>
      <c r="D2583" s="35" t="s">
        <v>6576</v>
      </c>
      <c r="E2583" s="17" t="s">
        <v>7373</v>
      </c>
      <c r="F2583" s="17" t="s">
        <v>7374</v>
      </c>
      <c r="G2583" s="17">
        <v>21.751709000000002</v>
      </c>
      <c r="H2583" s="17">
        <v>87.535741999999999</v>
      </c>
      <c r="I2583" s="17"/>
      <c r="J2583" s="17"/>
      <c r="K2583" s="17"/>
      <c r="L2583" s="17"/>
      <c r="M2583" s="34" t="s">
        <v>7297</v>
      </c>
      <c r="N2583" s="17"/>
      <c r="O2583" s="17"/>
      <c r="P2583" s="17"/>
      <c r="Q2583" s="17"/>
      <c r="R2583" s="17"/>
      <c r="S2583" s="17"/>
      <c r="T2583" s="17"/>
      <c r="U2583" s="17"/>
      <c r="V2583" s="17"/>
      <c r="W2583" s="17"/>
      <c r="X2583" s="17"/>
      <c r="Y2583" s="17"/>
      <c r="Z2583" s="17"/>
      <c r="AA2583" s="17"/>
      <c r="AB2583" s="17"/>
      <c r="AC2583" s="17"/>
      <c r="AD2583" s="17"/>
      <c r="AE2583" s="17"/>
      <c r="AF2583" s="17"/>
      <c r="AG2583" s="17"/>
      <c r="AH2583" s="17"/>
      <c r="AI2583" s="17"/>
      <c r="AJ2583" s="17"/>
      <c r="AK2583" s="17"/>
      <c r="AL2583" s="17"/>
      <c r="AM2583" s="17"/>
      <c r="AN2583" s="17"/>
      <c r="AO2583" s="17"/>
      <c r="AP2583" s="17"/>
      <c r="AQ2583" s="17"/>
      <c r="AR2583" s="17"/>
      <c r="AS2583" s="17"/>
      <c r="AT2583" s="17"/>
      <c r="AU2583" s="17"/>
    </row>
    <row r="2584" hidden="1">
      <c r="A2584" s="17">
        <v>2582</v>
      </c>
      <c r="B2584" s="17" t="s">
        <v>52</v>
      </c>
      <c r="C2584" s="34" t="s">
        <v>7375</v>
      </c>
      <c r="D2584" s="35" t="s">
        <v>6576</v>
      </c>
      <c r="E2584" s="17" t="s">
        <v>7376</v>
      </c>
      <c r="F2584" s="17" t="s">
        <v>7377</v>
      </c>
      <c r="G2584" s="17">
        <v>21.717327999999998</v>
      </c>
      <c r="H2584" s="17">
        <v>87.487232000000006</v>
      </c>
      <c r="I2584" s="17"/>
      <c r="J2584" s="17"/>
      <c r="K2584" s="17"/>
      <c r="L2584" s="17"/>
      <c r="M2584" s="34" t="s">
        <v>7297</v>
      </c>
      <c r="N2584" s="17"/>
      <c r="O2584" s="17"/>
      <c r="P2584" s="17"/>
      <c r="Q2584" s="17"/>
      <c r="R2584" s="17"/>
      <c r="S2584" s="17"/>
      <c r="T2584" s="17"/>
      <c r="U2584" s="17"/>
      <c r="V2584" s="17"/>
      <c r="W2584" s="17"/>
      <c r="X2584" s="17"/>
      <c r="Y2584" s="17"/>
      <c r="Z2584" s="17"/>
      <c r="AA2584" s="17"/>
      <c r="AB2584" s="17"/>
      <c r="AC2584" s="17"/>
      <c r="AD2584" s="17"/>
      <c r="AE2584" s="17"/>
      <c r="AF2584" s="17"/>
      <c r="AG2584" s="17"/>
      <c r="AH2584" s="17"/>
      <c r="AI2584" s="17"/>
      <c r="AJ2584" s="17"/>
      <c r="AK2584" s="17"/>
      <c r="AL2584" s="17"/>
      <c r="AM2584" s="17"/>
      <c r="AN2584" s="17"/>
      <c r="AO2584" s="17"/>
      <c r="AP2584" s="17"/>
      <c r="AQ2584" s="17"/>
      <c r="AR2584" s="17"/>
      <c r="AS2584" s="17"/>
      <c r="AT2584" s="17"/>
      <c r="AU2584" s="17"/>
    </row>
    <row r="2585" hidden="1">
      <c r="A2585" s="17">
        <v>2583</v>
      </c>
      <c r="B2585" s="17" t="s">
        <v>52</v>
      </c>
      <c r="C2585" s="34" t="s">
        <v>7378</v>
      </c>
      <c r="D2585" s="35" t="s">
        <v>6576</v>
      </c>
      <c r="E2585" s="17" t="s">
        <v>7379</v>
      </c>
      <c r="F2585" s="17" t="s">
        <v>7380</v>
      </c>
      <c r="G2585" s="17">
        <v>21.870429999999999</v>
      </c>
      <c r="H2585" s="17">
        <v>87.967986999999994</v>
      </c>
      <c r="I2585" s="17"/>
      <c r="J2585" s="17"/>
      <c r="K2585" s="17"/>
      <c r="L2585" s="17"/>
      <c r="M2585" s="34" t="s">
        <v>7381</v>
      </c>
      <c r="N2585" s="17">
        <v>7003188369</v>
      </c>
      <c r="O2585" s="17"/>
      <c r="P2585" s="17"/>
      <c r="Q2585" s="17"/>
      <c r="R2585" s="17"/>
      <c r="S2585" s="17"/>
      <c r="T2585" s="17"/>
      <c r="U2585" s="17"/>
      <c r="V2585" s="17"/>
      <c r="W2585" s="17"/>
      <c r="X2585" s="17"/>
      <c r="Y2585" s="17"/>
      <c r="Z2585" s="17"/>
      <c r="AA2585" s="17"/>
      <c r="AB2585" s="17"/>
      <c r="AC2585" s="17"/>
      <c r="AD2585" s="17"/>
      <c r="AE2585" s="17"/>
      <c r="AF2585" s="17"/>
      <c r="AG2585" s="17"/>
      <c r="AH2585" s="17"/>
      <c r="AI2585" s="17"/>
      <c r="AJ2585" s="17"/>
      <c r="AK2585" s="17"/>
      <c r="AL2585" s="17"/>
      <c r="AM2585" s="17"/>
      <c r="AN2585" s="17"/>
      <c r="AO2585" s="17"/>
      <c r="AP2585" s="17"/>
      <c r="AQ2585" s="17"/>
      <c r="AR2585" s="17"/>
      <c r="AS2585" s="17"/>
      <c r="AT2585" s="17"/>
      <c r="AU2585" s="17"/>
    </row>
    <row r="2586" hidden="1">
      <c r="A2586" s="17">
        <v>2584</v>
      </c>
      <c r="B2586" s="17" t="s">
        <v>52</v>
      </c>
      <c r="C2586" s="34" t="s">
        <v>7382</v>
      </c>
      <c r="D2586" s="35" t="s">
        <v>6576</v>
      </c>
      <c r="E2586" s="17" t="s">
        <v>7383</v>
      </c>
      <c r="F2586" s="17" t="s">
        <v>7384</v>
      </c>
      <c r="G2586" s="17">
        <v>21.922364999999999</v>
      </c>
      <c r="H2586" s="17">
        <v>87.850846000000004</v>
      </c>
      <c r="I2586" s="17"/>
      <c r="J2586" s="17"/>
      <c r="K2586" s="17"/>
      <c r="L2586" s="17"/>
      <c r="M2586" s="34" t="s">
        <v>7381</v>
      </c>
      <c r="N2586" s="17"/>
      <c r="O2586" s="17">
        <v>20</v>
      </c>
      <c r="P2586" s="17">
        <v>60</v>
      </c>
      <c r="Q2586" s="17" t="s">
        <v>73</v>
      </c>
      <c r="R2586" s="17" t="s">
        <v>104</v>
      </c>
      <c r="S2586" s="17" t="s">
        <v>75</v>
      </c>
      <c r="T2586" s="17"/>
      <c r="U2586" s="17" t="s">
        <v>105</v>
      </c>
      <c r="V2586" s="17" t="s">
        <v>77</v>
      </c>
      <c r="W2586" s="17" t="s">
        <v>5486</v>
      </c>
      <c r="X2586" s="17">
        <v>3</v>
      </c>
      <c r="Y2586" s="17">
        <v>0</v>
      </c>
      <c r="Z2586" s="17"/>
      <c r="AA2586" s="17" t="s">
        <v>73</v>
      </c>
      <c r="AB2586" s="17" t="s">
        <v>79</v>
      </c>
      <c r="AC2586" s="17">
        <v>2</v>
      </c>
      <c r="AD2586" s="17">
        <v>0</v>
      </c>
      <c r="AE2586" s="17">
        <v>0</v>
      </c>
      <c r="AF2586" s="17" t="s">
        <v>7385</v>
      </c>
      <c r="AG2586" s="17" t="s">
        <v>724</v>
      </c>
      <c r="AH2586" s="17"/>
      <c r="AI2586" s="17"/>
      <c r="AJ2586" s="17"/>
      <c r="AK2586" s="17"/>
      <c r="AL2586" s="17"/>
      <c r="AM2586" s="17"/>
      <c r="AN2586" s="17"/>
      <c r="AO2586" s="17"/>
      <c r="AP2586" s="17"/>
      <c r="AQ2586" s="17"/>
      <c r="AR2586" s="17"/>
      <c r="AS2586" s="17"/>
      <c r="AT2586" s="17"/>
      <c r="AU2586" s="17" t="s">
        <v>111</v>
      </c>
    </row>
    <row r="2587" hidden="1">
      <c r="A2587" s="17">
        <v>2585</v>
      </c>
      <c r="B2587" s="17" t="s">
        <v>52</v>
      </c>
      <c r="C2587" s="34" t="s">
        <v>7386</v>
      </c>
      <c r="D2587" s="35" t="s">
        <v>6576</v>
      </c>
      <c r="E2587" s="17"/>
      <c r="F2587" s="17"/>
      <c r="G2587" s="17"/>
      <c r="H2587" s="17"/>
      <c r="I2587" s="17"/>
      <c r="J2587" s="17"/>
      <c r="K2587" s="17"/>
      <c r="L2587" s="17"/>
      <c r="M2587" s="34" t="s">
        <v>7381</v>
      </c>
      <c r="N2587" s="17"/>
      <c r="O2587" s="17" t="s">
        <v>7387</v>
      </c>
      <c r="P2587" s="17"/>
      <c r="Q2587" s="17"/>
      <c r="R2587" s="17"/>
      <c r="S2587" s="17"/>
      <c r="T2587" s="17"/>
      <c r="U2587" s="17"/>
      <c r="V2587" s="17"/>
      <c r="W2587" s="17"/>
      <c r="X2587" s="17"/>
      <c r="Y2587" s="17"/>
      <c r="Z2587" s="17"/>
      <c r="AA2587" s="17"/>
      <c r="AB2587" s="17"/>
      <c r="AC2587" s="17"/>
      <c r="AD2587" s="17"/>
      <c r="AE2587" s="17"/>
      <c r="AF2587" s="17"/>
      <c r="AG2587" s="17"/>
      <c r="AH2587" s="17"/>
      <c r="AI2587" s="17"/>
      <c r="AJ2587" s="17"/>
      <c r="AK2587" s="17"/>
      <c r="AL2587" s="17"/>
      <c r="AM2587" s="17"/>
      <c r="AN2587" s="17"/>
      <c r="AO2587" s="17"/>
      <c r="AP2587" s="17"/>
      <c r="AQ2587" s="17"/>
      <c r="AR2587" s="17"/>
      <c r="AS2587" s="17"/>
      <c r="AT2587" s="17"/>
      <c r="AU2587" s="17"/>
    </row>
    <row r="2588" hidden="1">
      <c r="A2588" s="17">
        <v>2586</v>
      </c>
      <c r="B2588" s="17" t="s">
        <v>52</v>
      </c>
      <c r="C2588" s="34" t="s">
        <v>132</v>
      </c>
      <c r="D2588" s="35" t="s">
        <v>6576</v>
      </c>
      <c r="E2588" s="17"/>
      <c r="F2588" s="17"/>
      <c r="G2588" s="17"/>
      <c r="H2588" s="17"/>
      <c r="I2588" s="17"/>
      <c r="J2588" s="17"/>
      <c r="K2588" s="17"/>
      <c r="L2588" s="17"/>
      <c r="M2588" s="34" t="s">
        <v>7381</v>
      </c>
      <c r="N2588" s="17"/>
      <c r="O2588" s="17"/>
      <c r="P2588" s="17"/>
      <c r="Q2588" s="17"/>
      <c r="R2588" s="17"/>
      <c r="S2588" s="17"/>
      <c r="T2588" s="17"/>
      <c r="U2588" s="17"/>
      <c r="V2588" s="17"/>
      <c r="W2588" s="17"/>
      <c r="X2588" s="17"/>
      <c r="Y2588" s="17"/>
      <c r="Z2588" s="17"/>
      <c r="AA2588" s="17"/>
      <c r="AB2588" s="17"/>
      <c r="AC2588" s="17"/>
      <c r="AD2588" s="17"/>
      <c r="AE2588" s="17"/>
      <c r="AF2588" s="17"/>
      <c r="AG2588" s="17"/>
      <c r="AH2588" s="17"/>
      <c r="AI2588" s="17"/>
      <c r="AJ2588" s="17"/>
      <c r="AK2588" s="17"/>
      <c r="AL2588" s="17"/>
      <c r="AM2588" s="17"/>
      <c r="AN2588" s="17"/>
      <c r="AO2588" s="17"/>
      <c r="AP2588" s="17"/>
      <c r="AQ2588" s="17"/>
      <c r="AR2588" s="17"/>
      <c r="AS2588" s="17"/>
      <c r="AT2588" s="17"/>
      <c r="AU2588" s="17"/>
    </row>
    <row r="2589" hidden="1">
      <c r="A2589" s="17">
        <v>2587</v>
      </c>
      <c r="B2589" s="17" t="s">
        <v>52</v>
      </c>
      <c r="C2589" s="34" t="s">
        <v>7388</v>
      </c>
      <c r="D2589" s="35" t="s">
        <v>6576</v>
      </c>
      <c r="E2589" s="17"/>
      <c r="F2589" s="17"/>
      <c r="G2589" s="17"/>
      <c r="H2589" s="17"/>
      <c r="I2589" s="17"/>
      <c r="J2589" s="17"/>
      <c r="K2589" s="17"/>
      <c r="L2589" s="17"/>
      <c r="M2589" s="34" t="s">
        <v>7381</v>
      </c>
      <c r="N2589" s="17"/>
      <c r="O2589" s="17"/>
      <c r="P2589" s="17"/>
      <c r="Q2589" s="17"/>
      <c r="R2589" s="17"/>
      <c r="S2589" s="17"/>
      <c r="T2589" s="17"/>
      <c r="U2589" s="17"/>
      <c r="V2589" s="17"/>
      <c r="W2589" s="17"/>
      <c r="X2589" s="17"/>
      <c r="Y2589" s="17"/>
      <c r="Z2589" s="17"/>
      <c r="AA2589" s="17"/>
      <c r="AB2589" s="17"/>
      <c r="AC2589" s="17"/>
      <c r="AD2589" s="17"/>
      <c r="AE2589" s="17"/>
      <c r="AF2589" s="17"/>
      <c r="AG2589" s="17"/>
      <c r="AH2589" s="17"/>
      <c r="AI2589" s="17"/>
      <c r="AJ2589" s="17"/>
      <c r="AK2589" s="17"/>
      <c r="AL2589" s="17"/>
      <c r="AM2589" s="17"/>
      <c r="AN2589" s="17"/>
      <c r="AO2589" s="17"/>
      <c r="AP2589" s="17"/>
      <c r="AQ2589" s="17"/>
      <c r="AR2589" s="17"/>
      <c r="AS2589" s="17"/>
      <c r="AT2589" s="17"/>
      <c r="AU2589" s="17"/>
    </row>
    <row r="2590" hidden="1">
      <c r="A2590" s="17">
        <v>2588</v>
      </c>
      <c r="B2590" s="17" t="s">
        <v>52</v>
      </c>
      <c r="C2590" s="34" t="s">
        <v>7389</v>
      </c>
      <c r="D2590" s="35" t="s">
        <v>6576</v>
      </c>
      <c r="E2590" s="17"/>
      <c r="F2590" s="17"/>
      <c r="G2590" s="17"/>
      <c r="H2590" s="17"/>
      <c r="I2590" s="17"/>
      <c r="J2590" s="17"/>
      <c r="K2590" s="17"/>
      <c r="L2590" s="17"/>
      <c r="M2590" s="34" t="s">
        <v>7381</v>
      </c>
      <c r="N2590" s="17"/>
      <c r="O2590" s="17"/>
      <c r="P2590" s="17"/>
      <c r="Q2590" s="17"/>
      <c r="R2590" s="17"/>
      <c r="S2590" s="17"/>
      <c r="T2590" s="17"/>
      <c r="U2590" s="17"/>
      <c r="V2590" s="17"/>
      <c r="W2590" s="17"/>
      <c r="X2590" s="17"/>
      <c r="Y2590" s="17"/>
      <c r="Z2590" s="17"/>
      <c r="AA2590" s="17"/>
      <c r="AB2590" s="17"/>
      <c r="AC2590" s="17"/>
      <c r="AD2590" s="17"/>
      <c r="AE2590" s="17"/>
      <c r="AF2590" s="17"/>
      <c r="AG2590" s="17"/>
      <c r="AH2590" s="17"/>
      <c r="AI2590" s="17"/>
      <c r="AJ2590" s="17"/>
      <c r="AK2590" s="17"/>
      <c r="AL2590" s="17"/>
      <c r="AM2590" s="17"/>
      <c r="AN2590" s="17"/>
      <c r="AO2590" s="17"/>
      <c r="AP2590" s="17"/>
      <c r="AQ2590" s="17"/>
      <c r="AR2590" s="17"/>
      <c r="AS2590" s="17"/>
      <c r="AT2590" s="17"/>
      <c r="AU2590" s="17"/>
    </row>
    <row r="2591" hidden="1">
      <c r="A2591" s="17">
        <v>2589</v>
      </c>
      <c r="B2591" s="17" t="s">
        <v>52</v>
      </c>
      <c r="C2591" s="34" t="s">
        <v>7390</v>
      </c>
      <c r="D2591" s="35" t="s">
        <v>6576</v>
      </c>
      <c r="E2591" s="17"/>
      <c r="F2591" s="17"/>
      <c r="G2591" s="17"/>
      <c r="H2591" s="17"/>
      <c r="I2591" s="17"/>
      <c r="J2591" s="17"/>
      <c r="K2591" s="17"/>
      <c r="L2591" s="17"/>
      <c r="M2591" s="34" t="s">
        <v>7381</v>
      </c>
      <c r="N2591" s="17"/>
      <c r="O2591" s="17"/>
      <c r="P2591" s="17"/>
      <c r="Q2591" s="17"/>
      <c r="R2591" s="17"/>
      <c r="S2591" s="17"/>
      <c r="T2591" s="17"/>
      <c r="U2591" s="17"/>
      <c r="V2591" s="17"/>
      <c r="W2591" s="17"/>
      <c r="X2591" s="17"/>
      <c r="Y2591" s="17"/>
      <c r="Z2591" s="17"/>
      <c r="AA2591" s="17"/>
      <c r="AB2591" s="17"/>
      <c r="AC2591" s="17"/>
      <c r="AD2591" s="17"/>
      <c r="AE2591" s="17"/>
      <c r="AF2591" s="17"/>
      <c r="AG2591" s="17"/>
      <c r="AH2591" s="17"/>
      <c r="AI2591" s="17"/>
      <c r="AJ2591" s="17"/>
      <c r="AK2591" s="17"/>
      <c r="AL2591" s="17"/>
      <c r="AM2591" s="17"/>
      <c r="AN2591" s="17"/>
      <c r="AO2591" s="17"/>
      <c r="AP2591" s="17"/>
      <c r="AQ2591" s="17"/>
      <c r="AR2591" s="17"/>
      <c r="AS2591" s="17"/>
      <c r="AT2591" s="17"/>
      <c r="AU2591" s="17"/>
    </row>
    <row r="2592" hidden="1">
      <c r="A2592" s="17">
        <v>2590</v>
      </c>
      <c r="B2592" s="17" t="s">
        <v>52</v>
      </c>
      <c r="C2592" s="34" t="s">
        <v>7391</v>
      </c>
      <c r="D2592" s="35" t="s">
        <v>6576</v>
      </c>
      <c r="E2592" s="17"/>
      <c r="F2592" s="17"/>
      <c r="G2592" s="17"/>
      <c r="H2592" s="17"/>
      <c r="I2592" s="17"/>
      <c r="J2592" s="17"/>
      <c r="K2592" s="17"/>
      <c r="L2592" s="17"/>
      <c r="M2592" s="34" t="s">
        <v>7381</v>
      </c>
      <c r="N2592" s="17"/>
      <c r="O2592" s="17"/>
      <c r="P2592" s="17"/>
      <c r="Q2592" s="17"/>
      <c r="R2592" s="17"/>
      <c r="S2592" s="17"/>
      <c r="T2592" s="17"/>
      <c r="U2592" s="17"/>
      <c r="V2592" s="17"/>
      <c r="W2592" s="17"/>
      <c r="X2592" s="17"/>
      <c r="Y2592" s="17"/>
      <c r="Z2592" s="17"/>
      <c r="AA2592" s="17"/>
      <c r="AB2592" s="17"/>
      <c r="AC2592" s="17"/>
      <c r="AD2592" s="17"/>
      <c r="AE2592" s="17"/>
      <c r="AF2592" s="17"/>
      <c r="AG2592" s="17"/>
      <c r="AH2592" s="17"/>
      <c r="AI2592" s="17"/>
      <c r="AJ2592" s="17"/>
      <c r="AK2592" s="17"/>
      <c r="AL2592" s="17"/>
      <c r="AM2592" s="17"/>
      <c r="AN2592" s="17"/>
      <c r="AO2592" s="17"/>
      <c r="AP2592" s="17"/>
      <c r="AQ2592" s="17"/>
      <c r="AR2592" s="17"/>
      <c r="AS2592" s="17"/>
      <c r="AT2592" s="17"/>
      <c r="AU2592" s="17"/>
    </row>
    <row r="2593" hidden="1">
      <c r="A2593" s="17">
        <v>2591</v>
      </c>
      <c r="B2593" s="17" t="s">
        <v>52</v>
      </c>
      <c r="C2593" s="34" t="s">
        <v>7392</v>
      </c>
      <c r="D2593" s="35" t="s">
        <v>6576</v>
      </c>
      <c r="E2593" s="17"/>
      <c r="F2593" s="17"/>
      <c r="G2593" s="17"/>
      <c r="H2593" s="17"/>
      <c r="I2593" s="17"/>
      <c r="J2593" s="17"/>
      <c r="K2593" s="17"/>
      <c r="L2593" s="17"/>
      <c r="M2593" s="34" t="s">
        <v>7381</v>
      </c>
      <c r="N2593" s="17"/>
      <c r="O2593" s="17"/>
      <c r="P2593" s="17"/>
      <c r="Q2593" s="17"/>
      <c r="R2593" s="17"/>
      <c r="S2593" s="17"/>
      <c r="T2593" s="17"/>
      <c r="U2593" s="17"/>
      <c r="V2593" s="17"/>
      <c r="W2593" s="17"/>
      <c r="X2593" s="17"/>
      <c r="Y2593" s="17"/>
      <c r="Z2593" s="17"/>
      <c r="AA2593" s="17"/>
      <c r="AB2593" s="17"/>
      <c r="AC2593" s="17"/>
      <c r="AD2593" s="17"/>
      <c r="AE2593" s="17"/>
      <c r="AF2593" s="17"/>
      <c r="AG2593" s="17"/>
      <c r="AH2593" s="17"/>
      <c r="AI2593" s="17"/>
      <c r="AJ2593" s="17"/>
      <c r="AK2593" s="17"/>
      <c r="AL2593" s="17"/>
      <c r="AM2593" s="17"/>
      <c r="AN2593" s="17"/>
      <c r="AO2593" s="17"/>
      <c r="AP2593" s="17"/>
      <c r="AQ2593" s="17"/>
      <c r="AR2593" s="17"/>
      <c r="AS2593" s="17"/>
      <c r="AT2593" s="17"/>
      <c r="AU2593" s="17"/>
    </row>
    <row r="2594" hidden="1">
      <c r="A2594" s="17">
        <v>2592</v>
      </c>
      <c r="B2594" s="17" t="s">
        <v>52</v>
      </c>
      <c r="C2594" s="34" t="s">
        <v>7393</v>
      </c>
      <c r="D2594" s="35" t="s">
        <v>6576</v>
      </c>
      <c r="E2594" s="17"/>
      <c r="F2594" s="17"/>
      <c r="G2594" s="17"/>
      <c r="H2594" s="17"/>
      <c r="I2594" s="17"/>
      <c r="J2594" s="17"/>
      <c r="K2594" s="17"/>
      <c r="L2594" s="17"/>
      <c r="M2594" s="34" t="s">
        <v>7381</v>
      </c>
      <c r="N2594" s="17"/>
      <c r="O2594" s="17"/>
      <c r="P2594" s="17"/>
      <c r="Q2594" s="17"/>
      <c r="R2594" s="17"/>
      <c r="S2594" s="17"/>
      <c r="T2594" s="17"/>
      <c r="U2594" s="17"/>
      <c r="V2594" s="17"/>
      <c r="W2594" s="17"/>
      <c r="X2594" s="17"/>
      <c r="Y2594" s="17"/>
      <c r="Z2594" s="17"/>
      <c r="AA2594" s="17"/>
      <c r="AB2594" s="17"/>
      <c r="AC2594" s="17"/>
      <c r="AD2594" s="17"/>
      <c r="AE2594" s="17"/>
      <c r="AF2594" s="17"/>
      <c r="AG2594" s="17"/>
      <c r="AH2594" s="17"/>
      <c r="AI2594" s="17"/>
      <c r="AJ2594" s="17"/>
      <c r="AK2594" s="17"/>
      <c r="AL2594" s="17"/>
      <c r="AM2594" s="17"/>
      <c r="AN2594" s="17"/>
      <c r="AO2594" s="17"/>
      <c r="AP2594" s="17"/>
      <c r="AQ2594" s="17"/>
      <c r="AR2594" s="17"/>
      <c r="AS2594" s="17"/>
      <c r="AT2594" s="17"/>
      <c r="AU2594" s="17"/>
    </row>
    <row r="2595" hidden="1">
      <c r="A2595" s="17">
        <v>2593</v>
      </c>
      <c r="B2595" s="17" t="s">
        <v>52</v>
      </c>
      <c r="C2595" s="34" t="s">
        <v>7394</v>
      </c>
      <c r="D2595" s="35" t="s">
        <v>6576</v>
      </c>
      <c r="E2595" s="17"/>
      <c r="F2595" s="17"/>
      <c r="G2595" s="17"/>
      <c r="H2595" s="17"/>
      <c r="I2595" s="17"/>
      <c r="J2595" s="17"/>
      <c r="K2595" s="17"/>
      <c r="L2595" s="17"/>
      <c r="M2595" s="34" t="s">
        <v>7381</v>
      </c>
      <c r="N2595" s="17"/>
      <c r="O2595" s="17"/>
      <c r="P2595" s="17"/>
      <c r="Q2595" s="17"/>
      <c r="R2595" s="17"/>
      <c r="S2595" s="17"/>
      <c r="T2595" s="17"/>
      <c r="U2595" s="17"/>
      <c r="V2595" s="17"/>
      <c r="W2595" s="17"/>
      <c r="X2595" s="17"/>
      <c r="Y2595" s="17"/>
      <c r="Z2595" s="17"/>
      <c r="AA2595" s="17"/>
      <c r="AB2595" s="17"/>
      <c r="AC2595" s="17"/>
      <c r="AD2595" s="17"/>
      <c r="AE2595" s="17"/>
      <c r="AF2595" s="17"/>
      <c r="AG2595" s="17"/>
      <c r="AH2595" s="17"/>
      <c r="AI2595" s="17"/>
      <c r="AJ2595" s="17"/>
      <c r="AK2595" s="17"/>
      <c r="AL2595" s="17"/>
      <c r="AM2595" s="17"/>
      <c r="AN2595" s="17"/>
      <c r="AO2595" s="17"/>
      <c r="AP2595" s="17"/>
      <c r="AQ2595" s="17"/>
      <c r="AR2595" s="17"/>
      <c r="AS2595" s="17"/>
      <c r="AT2595" s="17"/>
      <c r="AU2595" s="17"/>
    </row>
    <row r="2596" hidden="1">
      <c r="A2596" s="17">
        <v>2594</v>
      </c>
      <c r="B2596" s="17" t="s">
        <v>52</v>
      </c>
      <c r="C2596" s="34" t="s">
        <v>7395</v>
      </c>
      <c r="D2596" s="35" t="s">
        <v>6576</v>
      </c>
      <c r="E2596" s="17"/>
      <c r="F2596" s="17"/>
      <c r="G2596" s="17"/>
      <c r="H2596" s="17"/>
      <c r="I2596" s="17"/>
      <c r="J2596" s="17"/>
      <c r="K2596" s="17"/>
      <c r="L2596" s="17"/>
      <c r="M2596" s="34" t="s">
        <v>7381</v>
      </c>
      <c r="N2596" s="17"/>
      <c r="O2596" s="17"/>
      <c r="P2596" s="17"/>
      <c r="Q2596" s="17"/>
      <c r="R2596" s="17"/>
      <c r="S2596" s="17"/>
      <c r="T2596" s="17"/>
      <c r="U2596" s="17"/>
      <c r="V2596" s="17"/>
      <c r="W2596" s="17"/>
      <c r="X2596" s="17"/>
      <c r="Y2596" s="17"/>
      <c r="Z2596" s="17"/>
      <c r="AA2596" s="17"/>
      <c r="AB2596" s="17"/>
      <c r="AC2596" s="17"/>
      <c r="AD2596" s="17"/>
      <c r="AE2596" s="17"/>
      <c r="AF2596" s="17"/>
      <c r="AG2596" s="17"/>
      <c r="AH2596" s="17"/>
      <c r="AI2596" s="17"/>
      <c r="AJ2596" s="17"/>
      <c r="AK2596" s="17"/>
      <c r="AL2596" s="17"/>
      <c r="AM2596" s="17"/>
      <c r="AN2596" s="17"/>
      <c r="AO2596" s="17"/>
      <c r="AP2596" s="17"/>
      <c r="AQ2596" s="17"/>
      <c r="AR2596" s="17"/>
      <c r="AS2596" s="17"/>
      <c r="AT2596" s="17"/>
      <c r="AU2596" s="17"/>
    </row>
    <row r="2597" hidden="1">
      <c r="A2597" s="17">
        <v>2595</v>
      </c>
      <c r="B2597" s="17" t="s">
        <v>52</v>
      </c>
      <c r="C2597" s="34" t="s">
        <v>7396</v>
      </c>
      <c r="D2597" s="35" t="s">
        <v>6576</v>
      </c>
      <c r="E2597" s="17"/>
      <c r="F2597" s="17"/>
      <c r="G2597" s="17"/>
      <c r="H2597" s="17"/>
      <c r="I2597" s="17"/>
      <c r="J2597" s="17"/>
      <c r="K2597" s="17"/>
      <c r="L2597" s="17"/>
      <c r="M2597" s="34" t="s">
        <v>7381</v>
      </c>
      <c r="N2597" s="17"/>
      <c r="O2597" s="17"/>
      <c r="P2597" s="17"/>
      <c r="Q2597" s="17"/>
      <c r="R2597" s="17"/>
      <c r="S2597" s="17"/>
      <c r="T2597" s="17"/>
      <c r="U2597" s="17"/>
      <c r="V2597" s="17"/>
      <c r="W2597" s="17"/>
      <c r="X2597" s="17"/>
      <c r="Y2597" s="17"/>
      <c r="Z2597" s="17"/>
      <c r="AA2597" s="17"/>
      <c r="AB2597" s="17"/>
      <c r="AC2597" s="17"/>
      <c r="AD2597" s="17"/>
      <c r="AE2597" s="17"/>
      <c r="AF2597" s="17"/>
      <c r="AG2597" s="17"/>
      <c r="AH2597" s="17"/>
      <c r="AI2597" s="17"/>
      <c r="AJ2597" s="17"/>
      <c r="AK2597" s="17"/>
      <c r="AL2597" s="17"/>
      <c r="AM2597" s="17"/>
      <c r="AN2597" s="17"/>
      <c r="AO2597" s="17"/>
      <c r="AP2597" s="17"/>
      <c r="AQ2597" s="17"/>
      <c r="AR2597" s="17"/>
      <c r="AS2597" s="17"/>
      <c r="AT2597" s="17"/>
      <c r="AU2597" s="17"/>
    </row>
    <row r="2598" hidden="1">
      <c r="A2598" s="17">
        <v>2596</v>
      </c>
      <c r="B2598" s="17" t="s">
        <v>52</v>
      </c>
      <c r="C2598" s="34" t="s">
        <v>7397</v>
      </c>
      <c r="D2598" s="35" t="s">
        <v>6576</v>
      </c>
      <c r="E2598" s="17"/>
      <c r="F2598" s="17"/>
      <c r="G2598" s="17"/>
      <c r="H2598" s="17"/>
      <c r="I2598" s="17"/>
      <c r="J2598" s="17"/>
      <c r="K2598" s="17"/>
      <c r="L2598" s="17"/>
      <c r="M2598" s="34" t="s">
        <v>7381</v>
      </c>
      <c r="N2598" s="17"/>
      <c r="O2598" s="17"/>
      <c r="P2598" s="17"/>
      <c r="Q2598" s="17"/>
      <c r="R2598" s="17"/>
      <c r="S2598" s="17"/>
      <c r="T2598" s="17"/>
      <c r="U2598" s="17"/>
      <c r="V2598" s="17"/>
      <c r="W2598" s="17"/>
      <c r="X2598" s="17"/>
      <c r="Y2598" s="17"/>
      <c r="Z2598" s="17"/>
      <c r="AA2598" s="17"/>
      <c r="AB2598" s="17"/>
      <c r="AC2598" s="17"/>
      <c r="AD2598" s="17"/>
      <c r="AE2598" s="17"/>
      <c r="AF2598" s="17"/>
      <c r="AG2598" s="17"/>
      <c r="AH2598" s="17"/>
      <c r="AI2598" s="17"/>
      <c r="AJ2598" s="17"/>
      <c r="AK2598" s="17"/>
      <c r="AL2598" s="17"/>
      <c r="AM2598" s="17"/>
      <c r="AN2598" s="17"/>
      <c r="AO2598" s="17"/>
      <c r="AP2598" s="17"/>
      <c r="AQ2598" s="17"/>
      <c r="AR2598" s="17"/>
      <c r="AS2598" s="17"/>
      <c r="AT2598" s="17"/>
      <c r="AU2598" s="17"/>
    </row>
    <row r="2599" hidden="1">
      <c r="A2599" s="17">
        <v>2597</v>
      </c>
      <c r="B2599" s="17" t="s">
        <v>52</v>
      </c>
      <c r="C2599" s="34" t="s">
        <v>7398</v>
      </c>
      <c r="D2599" s="35" t="s">
        <v>6576</v>
      </c>
      <c r="E2599" s="17"/>
      <c r="F2599" s="17"/>
      <c r="G2599" s="17"/>
      <c r="H2599" s="17"/>
      <c r="I2599" s="17"/>
      <c r="J2599" s="17"/>
      <c r="K2599" s="17"/>
      <c r="L2599" s="17"/>
      <c r="M2599" s="34" t="s">
        <v>7381</v>
      </c>
      <c r="N2599" s="17"/>
      <c r="O2599" s="17"/>
      <c r="P2599" s="17"/>
      <c r="Q2599" s="17"/>
      <c r="R2599" s="17"/>
      <c r="S2599" s="17"/>
      <c r="T2599" s="17"/>
      <c r="U2599" s="17"/>
      <c r="V2599" s="17"/>
      <c r="W2599" s="17"/>
      <c r="X2599" s="17"/>
      <c r="Y2599" s="17"/>
      <c r="Z2599" s="17"/>
      <c r="AA2599" s="17"/>
      <c r="AB2599" s="17"/>
      <c r="AC2599" s="17"/>
      <c r="AD2599" s="17"/>
      <c r="AE2599" s="17"/>
      <c r="AF2599" s="17"/>
      <c r="AG2599" s="17"/>
      <c r="AH2599" s="17"/>
      <c r="AI2599" s="17"/>
      <c r="AJ2599" s="17"/>
      <c r="AK2599" s="17"/>
      <c r="AL2599" s="17"/>
      <c r="AM2599" s="17"/>
      <c r="AN2599" s="17"/>
      <c r="AO2599" s="17"/>
      <c r="AP2599" s="17"/>
      <c r="AQ2599" s="17"/>
      <c r="AR2599" s="17"/>
      <c r="AS2599" s="17"/>
      <c r="AT2599" s="17"/>
      <c r="AU2599" s="17"/>
    </row>
    <row r="2600" hidden="1">
      <c r="A2600" s="17">
        <v>2598</v>
      </c>
      <c r="B2600" s="17" t="s">
        <v>52</v>
      </c>
      <c r="C2600" s="34" t="s">
        <v>7399</v>
      </c>
      <c r="D2600" s="35" t="s">
        <v>6576</v>
      </c>
      <c r="E2600" s="17"/>
      <c r="F2600" s="17"/>
      <c r="G2600" s="17"/>
      <c r="H2600" s="17"/>
      <c r="I2600" s="17"/>
      <c r="J2600" s="17"/>
      <c r="K2600" s="17"/>
      <c r="L2600" s="17"/>
      <c r="M2600" s="34" t="s">
        <v>7381</v>
      </c>
      <c r="N2600" s="17"/>
      <c r="O2600" s="17"/>
      <c r="P2600" s="17"/>
      <c r="Q2600" s="17"/>
      <c r="R2600" s="17"/>
      <c r="S2600" s="17"/>
      <c r="T2600" s="17"/>
      <c r="U2600" s="17"/>
      <c r="V2600" s="17"/>
      <c r="W2600" s="17"/>
      <c r="X2600" s="17"/>
      <c r="Y2600" s="17"/>
      <c r="Z2600" s="17"/>
      <c r="AA2600" s="17"/>
      <c r="AB2600" s="17"/>
      <c r="AC2600" s="17"/>
      <c r="AD2600" s="17"/>
      <c r="AE2600" s="17"/>
      <c r="AF2600" s="17"/>
      <c r="AG2600" s="17"/>
      <c r="AH2600" s="17"/>
      <c r="AI2600" s="17"/>
      <c r="AJ2600" s="17"/>
      <c r="AK2600" s="17"/>
      <c r="AL2600" s="17"/>
      <c r="AM2600" s="17"/>
      <c r="AN2600" s="17"/>
      <c r="AO2600" s="17"/>
      <c r="AP2600" s="17"/>
      <c r="AQ2600" s="17"/>
      <c r="AR2600" s="17"/>
      <c r="AS2600" s="17"/>
      <c r="AT2600" s="17"/>
      <c r="AU2600" s="17"/>
    </row>
    <row r="2601" hidden="1">
      <c r="A2601" s="17">
        <v>2599</v>
      </c>
      <c r="B2601" s="17" t="s">
        <v>52</v>
      </c>
      <c r="C2601" s="34" t="s">
        <v>7400</v>
      </c>
      <c r="D2601" s="35" t="s">
        <v>6576</v>
      </c>
      <c r="E2601" s="17"/>
      <c r="F2601" s="17"/>
      <c r="G2601" s="17"/>
      <c r="H2601" s="17"/>
      <c r="I2601" s="17"/>
      <c r="J2601" s="17"/>
      <c r="K2601" s="17"/>
      <c r="L2601" s="17"/>
      <c r="M2601" s="34" t="s">
        <v>7381</v>
      </c>
      <c r="N2601" s="17"/>
      <c r="O2601" s="17"/>
      <c r="P2601" s="17"/>
      <c r="Q2601" s="17"/>
      <c r="R2601" s="17"/>
      <c r="S2601" s="17"/>
      <c r="T2601" s="17"/>
      <c r="U2601" s="17"/>
      <c r="V2601" s="17"/>
      <c r="W2601" s="17"/>
      <c r="X2601" s="17"/>
      <c r="Y2601" s="17"/>
      <c r="Z2601" s="17"/>
      <c r="AA2601" s="17"/>
      <c r="AB2601" s="17"/>
      <c r="AC2601" s="17"/>
      <c r="AD2601" s="17"/>
      <c r="AE2601" s="17"/>
      <c r="AF2601" s="17"/>
      <c r="AG2601" s="17"/>
      <c r="AH2601" s="17"/>
      <c r="AI2601" s="17"/>
      <c r="AJ2601" s="17"/>
      <c r="AK2601" s="17"/>
      <c r="AL2601" s="17"/>
      <c r="AM2601" s="17"/>
      <c r="AN2601" s="17"/>
      <c r="AO2601" s="17"/>
      <c r="AP2601" s="17"/>
      <c r="AQ2601" s="17"/>
      <c r="AR2601" s="17"/>
      <c r="AS2601" s="17"/>
      <c r="AT2601" s="17"/>
      <c r="AU2601" s="17"/>
    </row>
    <row r="2602" hidden="1">
      <c r="A2602" s="17">
        <v>2600</v>
      </c>
      <c r="B2602" s="17" t="s">
        <v>52</v>
      </c>
      <c r="C2602" s="34" t="s">
        <v>112</v>
      </c>
      <c r="D2602" s="35" t="s">
        <v>6576</v>
      </c>
      <c r="E2602" s="17" t="s">
        <v>54</v>
      </c>
      <c r="F2602" s="17" t="s">
        <v>113</v>
      </c>
      <c r="G2602" s="17">
        <v>21.983514</v>
      </c>
      <c r="H2602" s="17">
        <v>87.913253999999995</v>
      </c>
      <c r="I2602" s="17"/>
      <c r="J2602" s="17"/>
      <c r="K2602" s="17"/>
      <c r="L2602" s="17"/>
      <c r="M2602" s="34" t="s">
        <v>7381</v>
      </c>
      <c r="N2602" s="17"/>
      <c r="O2602" s="17"/>
      <c r="P2602" s="17"/>
      <c r="Q2602" s="17"/>
      <c r="R2602" s="17"/>
      <c r="S2602" s="17"/>
      <c r="T2602" s="17"/>
      <c r="U2602" s="17"/>
      <c r="V2602" s="17"/>
      <c r="W2602" s="17"/>
      <c r="X2602" s="17"/>
      <c r="Y2602" s="17"/>
      <c r="Z2602" s="17"/>
      <c r="AA2602" s="17"/>
      <c r="AB2602" s="17"/>
      <c r="AC2602" s="17"/>
      <c r="AD2602" s="17"/>
      <c r="AE2602" s="17"/>
      <c r="AF2602" s="17"/>
      <c r="AG2602" s="17"/>
      <c r="AH2602" s="17"/>
      <c r="AI2602" s="17"/>
      <c r="AJ2602" s="17"/>
      <c r="AK2602" s="17"/>
      <c r="AL2602" s="17"/>
      <c r="AM2602" s="17"/>
      <c r="AN2602" s="17"/>
      <c r="AO2602" s="17"/>
      <c r="AP2602" s="17"/>
      <c r="AQ2602" s="17"/>
      <c r="AR2602" s="17"/>
      <c r="AS2602" s="17"/>
      <c r="AT2602" s="17"/>
      <c r="AU2602" s="17"/>
    </row>
    <row r="2603" hidden="1">
      <c r="A2603" s="17">
        <v>2601</v>
      </c>
      <c r="B2603" s="17" t="s">
        <v>52</v>
      </c>
      <c r="C2603" s="34" t="s">
        <v>7401</v>
      </c>
      <c r="D2603" s="35" t="s">
        <v>6576</v>
      </c>
      <c r="E2603" s="17" t="s">
        <v>7402</v>
      </c>
      <c r="F2603" s="17" t="s">
        <v>7403</v>
      </c>
      <c r="G2603" s="17">
        <v>21.941880000000001</v>
      </c>
      <c r="H2603" s="17">
        <v>87.881344999999996</v>
      </c>
      <c r="I2603" s="17"/>
      <c r="J2603" s="17"/>
      <c r="K2603" s="17"/>
      <c r="L2603" s="17"/>
      <c r="M2603" s="34" t="s">
        <v>7381</v>
      </c>
      <c r="N2603" s="17"/>
      <c r="O2603" s="17"/>
      <c r="P2603" s="17"/>
      <c r="Q2603" s="17"/>
      <c r="R2603" s="17"/>
      <c r="S2603" s="17"/>
      <c r="T2603" s="17"/>
      <c r="U2603" s="17"/>
      <c r="V2603" s="17"/>
      <c r="W2603" s="17"/>
      <c r="X2603" s="17"/>
      <c r="Y2603" s="17"/>
      <c r="Z2603" s="17"/>
      <c r="AA2603" s="17"/>
      <c r="AB2603" s="17"/>
      <c r="AC2603" s="17"/>
      <c r="AD2603" s="17"/>
      <c r="AE2603" s="17"/>
      <c r="AF2603" s="17"/>
      <c r="AG2603" s="17"/>
      <c r="AH2603" s="17"/>
      <c r="AI2603" s="17"/>
      <c r="AJ2603" s="17"/>
      <c r="AK2603" s="17"/>
      <c r="AL2603" s="17"/>
      <c r="AM2603" s="17"/>
      <c r="AN2603" s="17"/>
      <c r="AO2603" s="17"/>
      <c r="AP2603" s="17"/>
      <c r="AQ2603" s="17"/>
      <c r="AR2603" s="17"/>
      <c r="AS2603" s="17"/>
      <c r="AT2603" s="17"/>
      <c r="AU2603" s="17"/>
    </row>
    <row r="2604" hidden="1">
      <c r="A2604" s="17">
        <v>2602</v>
      </c>
      <c r="B2604" s="17" t="s">
        <v>52</v>
      </c>
      <c r="C2604" s="34" t="s">
        <v>7404</v>
      </c>
      <c r="D2604" s="35" t="s">
        <v>6576</v>
      </c>
      <c r="E2604" s="17" t="s">
        <v>7405</v>
      </c>
      <c r="F2604" s="17" t="s">
        <v>7406</v>
      </c>
      <c r="G2604" s="17">
        <v>21.965731999999999</v>
      </c>
      <c r="H2604" s="17">
        <v>87.889224999999996</v>
      </c>
      <c r="I2604" s="17"/>
      <c r="J2604" s="17"/>
      <c r="K2604" s="17"/>
      <c r="L2604" s="17"/>
      <c r="M2604" s="34" t="s">
        <v>7381</v>
      </c>
      <c r="N2604" s="17"/>
      <c r="O2604" s="17"/>
      <c r="P2604" s="17"/>
      <c r="Q2604" s="17"/>
      <c r="R2604" s="17"/>
      <c r="S2604" s="17"/>
      <c r="T2604" s="17"/>
      <c r="U2604" s="17"/>
      <c r="V2604" s="17"/>
      <c r="W2604" s="17"/>
      <c r="X2604" s="17"/>
      <c r="Y2604" s="17"/>
      <c r="Z2604" s="17"/>
      <c r="AA2604" s="17"/>
      <c r="AB2604" s="17"/>
      <c r="AC2604" s="17"/>
      <c r="AD2604" s="17"/>
      <c r="AE2604" s="17"/>
      <c r="AF2604" s="17"/>
      <c r="AG2604" s="17"/>
      <c r="AH2604" s="17"/>
      <c r="AI2604" s="17"/>
      <c r="AJ2604" s="17"/>
      <c r="AK2604" s="17"/>
      <c r="AL2604" s="17"/>
      <c r="AM2604" s="17"/>
      <c r="AN2604" s="17"/>
      <c r="AO2604" s="17"/>
      <c r="AP2604" s="17"/>
      <c r="AQ2604" s="17"/>
      <c r="AR2604" s="17"/>
      <c r="AS2604" s="17"/>
      <c r="AT2604" s="17"/>
      <c r="AU2604" s="17"/>
    </row>
    <row r="2605" hidden="1">
      <c r="A2605" s="17">
        <v>2603</v>
      </c>
      <c r="B2605" s="17" t="s">
        <v>52</v>
      </c>
      <c r="C2605" s="34" t="s">
        <v>7407</v>
      </c>
      <c r="D2605" s="35" t="s">
        <v>6576</v>
      </c>
      <c r="E2605" s="17" t="s">
        <v>7408</v>
      </c>
      <c r="F2605" s="17" t="s">
        <v>7409</v>
      </c>
      <c r="G2605" s="17">
        <v>21.958192</v>
      </c>
      <c r="H2605" s="17">
        <v>87.837896000000001</v>
      </c>
      <c r="I2605" s="17"/>
      <c r="J2605" s="17"/>
      <c r="K2605" s="17"/>
      <c r="L2605" s="17"/>
      <c r="M2605" s="34" t="s">
        <v>7381</v>
      </c>
      <c r="N2605" s="17"/>
      <c r="O2605" s="17"/>
      <c r="P2605" s="17"/>
      <c r="Q2605" s="17"/>
      <c r="R2605" s="17"/>
      <c r="S2605" s="17"/>
      <c r="T2605" s="17"/>
      <c r="U2605" s="17"/>
      <c r="V2605" s="17"/>
      <c r="W2605" s="17"/>
      <c r="X2605" s="17"/>
      <c r="Y2605" s="17"/>
      <c r="Z2605" s="17"/>
      <c r="AA2605" s="17"/>
      <c r="AB2605" s="17"/>
      <c r="AC2605" s="17"/>
      <c r="AD2605" s="17"/>
      <c r="AE2605" s="17"/>
      <c r="AF2605" s="17"/>
      <c r="AG2605" s="17"/>
      <c r="AH2605" s="17"/>
      <c r="AI2605" s="17"/>
      <c r="AJ2605" s="17"/>
      <c r="AK2605" s="17"/>
      <c r="AL2605" s="17"/>
      <c r="AM2605" s="17"/>
      <c r="AN2605" s="17"/>
      <c r="AO2605" s="17"/>
      <c r="AP2605" s="17"/>
      <c r="AQ2605" s="17"/>
      <c r="AR2605" s="17"/>
      <c r="AS2605" s="17"/>
      <c r="AT2605" s="17"/>
      <c r="AU2605" s="17"/>
    </row>
    <row r="2606" hidden="1">
      <c r="A2606" s="17">
        <v>2604</v>
      </c>
      <c r="B2606" s="17" t="s">
        <v>52</v>
      </c>
      <c r="C2606" s="34" t="s">
        <v>7410</v>
      </c>
      <c r="D2606" s="35" t="s">
        <v>6576</v>
      </c>
      <c r="E2606" s="17" t="s">
        <v>7411</v>
      </c>
      <c r="F2606" s="17" t="s">
        <v>7412</v>
      </c>
      <c r="G2606" s="17">
        <v>21.946622000000001</v>
      </c>
      <c r="H2606" s="17">
        <v>87.864317999999997</v>
      </c>
      <c r="I2606" s="17"/>
      <c r="J2606" s="17"/>
      <c r="K2606" s="17"/>
      <c r="L2606" s="17"/>
      <c r="M2606" s="34" t="s">
        <v>7381</v>
      </c>
      <c r="N2606" s="17"/>
      <c r="O2606" s="17"/>
      <c r="P2606" s="17"/>
      <c r="Q2606" s="17"/>
      <c r="R2606" s="17"/>
      <c r="S2606" s="17"/>
      <c r="T2606" s="17"/>
      <c r="U2606" s="17"/>
      <c r="V2606" s="17"/>
      <c r="W2606" s="17"/>
      <c r="X2606" s="17"/>
      <c r="Y2606" s="17"/>
      <c r="Z2606" s="17"/>
      <c r="AA2606" s="17"/>
      <c r="AB2606" s="17"/>
      <c r="AC2606" s="17"/>
      <c r="AD2606" s="17"/>
      <c r="AE2606" s="17"/>
      <c r="AF2606" s="17"/>
      <c r="AG2606" s="17"/>
      <c r="AH2606" s="17"/>
      <c r="AI2606" s="17"/>
      <c r="AJ2606" s="17"/>
      <c r="AK2606" s="17"/>
      <c r="AL2606" s="17"/>
      <c r="AM2606" s="17"/>
      <c r="AN2606" s="17"/>
      <c r="AO2606" s="17"/>
      <c r="AP2606" s="17"/>
      <c r="AQ2606" s="17"/>
      <c r="AR2606" s="17"/>
      <c r="AS2606" s="17"/>
      <c r="AT2606" s="17"/>
      <c r="AU2606" s="17"/>
    </row>
    <row r="2607" hidden="1">
      <c r="A2607" s="17">
        <v>2605</v>
      </c>
      <c r="B2607" s="17" t="s">
        <v>52</v>
      </c>
      <c r="C2607" s="34" t="s">
        <v>7413</v>
      </c>
      <c r="D2607" s="35" t="s">
        <v>6576</v>
      </c>
      <c r="E2607" s="17" t="s">
        <v>7414</v>
      </c>
      <c r="F2607" s="17" t="s">
        <v>7415</v>
      </c>
      <c r="G2607" s="17">
        <v>21.91854</v>
      </c>
      <c r="H2607" s="17">
        <v>87.926338000000001</v>
      </c>
      <c r="I2607" s="17"/>
      <c r="J2607" s="17"/>
      <c r="K2607" s="17"/>
      <c r="L2607" s="17"/>
      <c r="M2607" s="34" t="s">
        <v>7381</v>
      </c>
      <c r="N2607" s="17"/>
      <c r="O2607" s="17"/>
      <c r="P2607" s="17"/>
      <c r="Q2607" s="17"/>
      <c r="R2607" s="17"/>
      <c r="S2607" s="17"/>
      <c r="T2607" s="17"/>
      <c r="U2607" s="17"/>
      <c r="V2607" s="17"/>
      <c r="W2607" s="17"/>
      <c r="X2607" s="17"/>
      <c r="Y2607" s="17"/>
      <c r="Z2607" s="17"/>
      <c r="AA2607" s="17"/>
      <c r="AB2607" s="17"/>
      <c r="AC2607" s="17"/>
      <c r="AD2607" s="17"/>
      <c r="AE2607" s="17"/>
      <c r="AF2607" s="17"/>
      <c r="AG2607" s="17"/>
      <c r="AH2607" s="17"/>
      <c r="AI2607" s="17"/>
      <c r="AJ2607" s="17"/>
      <c r="AK2607" s="17"/>
      <c r="AL2607" s="17"/>
      <c r="AM2607" s="17"/>
      <c r="AN2607" s="17"/>
      <c r="AO2607" s="17"/>
      <c r="AP2607" s="17"/>
      <c r="AQ2607" s="17"/>
      <c r="AR2607" s="17"/>
      <c r="AS2607" s="17"/>
      <c r="AT2607" s="17"/>
      <c r="AU2607" s="17"/>
    </row>
    <row r="2608" hidden="1">
      <c r="A2608" s="17">
        <v>2606</v>
      </c>
      <c r="B2608" s="17" t="s">
        <v>52</v>
      </c>
      <c r="C2608" s="34" t="s">
        <v>7416</v>
      </c>
      <c r="D2608" s="35" t="s">
        <v>6576</v>
      </c>
      <c r="E2608" s="17" t="s">
        <v>7417</v>
      </c>
      <c r="F2608" s="17" t="s">
        <v>7418</v>
      </c>
      <c r="G2608" s="17">
        <v>21.934894</v>
      </c>
      <c r="H2608" s="17">
        <v>87.905912000000001</v>
      </c>
      <c r="I2608" s="17"/>
      <c r="J2608" s="17"/>
      <c r="K2608" s="17"/>
      <c r="L2608" s="17"/>
      <c r="M2608" s="34" t="s">
        <v>7381</v>
      </c>
      <c r="N2608" s="17"/>
      <c r="O2608" s="17"/>
      <c r="P2608" s="17"/>
      <c r="Q2608" s="17"/>
      <c r="R2608" s="17"/>
      <c r="S2608" s="17"/>
      <c r="T2608" s="17"/>
      <c r="U2608" s="17"/>
      <c r="V2608" s="17"/>
      <c r="W2608" s="17"/>
      <c r="X2608" s="17"/>
      <c r="Y2608" s="17"/>
      <c r="Z2608" s="17"/>
      <c r="AA2608" s="17"/>
      <c r="AB2608" s="17"/>
      <c r="AC2608" s="17"/>
      <c r="AD2608" s="17"/>
      <c r="AE2608" s="17"/>
      <c r="AF2608" s="17"/>
      <c r="AG2608" s="17"/>
      <c r="AH2608" s="17"/>
      <c r="AI2608" s="17"/>
      <c r="AJ2608" s="17"/>
      <c r="AK2608" s="17"/>
      <c r="AL2608" s="17"/>
      <c r="AM2608" s="17"/>
      <c r="AN2608" s="17"/>
      <c r="AO2608" s="17"/>
      <c r="AP2608" s="17"/>
      <c r="AQ2608" s="17"/>
      <c r="AR2608" s="17"/>
      <c r="AS2608" s="17"/>
      <c r="AT2608" s="17"/>
      <c r="AU2608" s="17"/>
    </row>
    <row r="2609" hidden="1">
      <c r="A2609" s="17">
        <v>2607</v>
      </c>
      <c r="B2609" s="17" t="s">
        <v>52</v>
      </c>
      <c r="C2609" s="34" t="s">
        <v>7419</v>
      </c>
      <c r="D2609" s="35" t="s">
        <v>6576</v>
      </c>
      <c r="E2609" s="17" t="s">
        <v>7420</v>
      </c>
      <c r="F2609" s="17" t="s">
        <v>7421</v>
      </c>
      <c r="G2609" s="17">
        <v>21.822272000000002</v>
      </c>
      <c r="H2609" s="17">
        <v>87.933384000000004</v>
      </c>
      <c r="I2609" s="17"/>
      <c r="J2609" s="17"/>
      <c r="K2609" s="17"/>
      <c r="L2609" s="17"/>
      <c r="M2609" s="34" t="s">
        <v>7381</v>
      </c>
      <c r="N2609" s="17"/>
      <c r="O2609" s="17"/>
      <c r="P2609" s="17"/>
      <c r="Q2609" s="17"/>
      <c r="R2609" s="17"/>
      <c r="S2609" s="17"/>
      <c r="T2609" s="17"/>
      <c r="U2609" s="17"/>
      <c r="V2609" s="17"/>
      <c r="W2609" s="17"/>
      <c r="X2609" s="17"/>
      <c r="Y2609" s="17"/>
      <c r="Z2609" s="17"/>
      <c r="AA2609" s="17"/>
      <c r="AB2609" s="17"/>
      <c r="AC2609" s="17"/>
      <c r="AD2609" s="17"/>
      <c r="AE2609" s="17"/>
      <c r="AF2609" s="17"/>
      <c r="AG2609" s="17"/>
      <c r="AH2609" s="17"/>
      <c r="AI2609" s="17"/>
      <c r="AJ2609" s="17"/>
      <c r="AK2609" s="17"/>
      <c r="AL2609" s="17"/>
      <c r="AM2609" s="17"/>
      <c r="AN2609" s="17"/>
      <c r="AO2609" s="17"/>
      <c r="AP2609" s="17"/>
      <c r="AQ2609" s="17"/>
      <c r="AR2609" s="17"/>
      <c r="AS2609" s="17"/>
      <c r="AT2609" s="17"/>
      <c r="AU2609" s="17"/>
    </row>
    <row r="2610" hidden="1">
      <c r="A2610" s="17">
        <v>2608</v>
      </c>
      <c r="B2610" s="17" t="s">
        <v>52</v>
      </c>
      <c r="C2610" s="34" t="s">
        <v>7422</v>
      </c>
      <c r="D2610" s="35" t="s">
        <v>6576</v>
      </c>
      <c r="E2610" s="17" t="s">
        <v>7423</v>
      </c>
      <c r="F2610" s="17" t="s">
        <v>7424</v>
      </c>
      <c r="G2610" s="17">
        <v>21.883728999999999</v>
      </c>
      <c r="H2610" s="17">
        <v>87.894277000000002</v>
      </c>
      <c r="I2610" s="17"/>
      <c r="J2610" s="17"/>
      <c r="K2610" s="17"/>
      <c r="L2610" s="17"/>
      <c r="M2610" s="34" t="s">
        <v>7381</v>
      </c>
      <c r="N2610" s="17"/>
      <c r="O2610" s="17"/>
      <c r="P2610" s="17"/>
      <c r="Q2610" s="17"/>
      <c r="R2610" s="17"/>
      <c r="S2610" s="17"/>
      <c r="T2610" s="17"/>
      <c r="U2610" s="17"/>
      <c r="V2610" s="17"/>
      <c r="W2610" s="17"/>
      <c r="X2610" s="17"/>
      <c r="Y2610" s="17"/>
      <c r="Z2610" s="17"/>
      <c r="AA2610" s="17"/>
      <c r="AB2610" s="17"/>
      <c r="AC2610" s="17"/>
      <c r="AD2610" s="17"/>
      <c r="AE2610" s="17"/>
      <c r="AF2610" s="17"/>
      <c r="AG2610" s="17"/>
      <c r="AH2610" s="17"/>
      <c r="AI2610" s="17"/>
      <c r="AJ2610" s="17"/>
      <c r="AK2610" s="17"/>
      <c r="AL2610" s="17"/>
      <c r="AM2610" s="17"/>
      <c r="AN2610" s="17"/>
      <c r="AO2610" s="17"/>
      <c r="AP2610" s="17"/>
      <c r="AQ2610" s="17"/>
      <c r="AR2610" s="17"/>
      <c r="AS2610" s="17"/>
      <c r="AT2610" s="17"/>
      <c r="AU2610" s="17"/>
    </row>
    <row r="2611" hidden="1">
      <c r="A2611" s="17">
        <v>2609</v>
      </c>
      <c r="B2611" s="17" t="s">
        <v>52</v>
      </c>
      <c r="C2611" s="34" t="s">
        <v>7425</v>
      </c>
      <c r="D2611" s="35" t="s">
        <v>6576</v>
      </c>
      <c r="E2611" s="17" t="s">
        <v>7426</v>
      </c>
      <c r="F2611" s="17" t="s">
        <v>7427</v>
      </c>
      <c r="G2611" s="17">
        <v>21.900110999999999</v>
      </c>
      <c r="H2611" s="17">
        <v>87.932123000000004</v>
      </c>
      <c r="I2611" s="17"/>
      <c r="J2611" s="17"/>
      <c r="K2611" s="17"/>
      <c r="L2611" s="17"/>
      <c r="M2611" s="34" t="s">
        <v>7381</v>
      </c>
      <c r="N2611" s="17"/>
      <c r="O2611" s="17"/>
      <c r="P2611" s="17"/>
      <c r="Q2611" s="17"/>
      <c r="R2611" s="17"/>
      <c r="S2611" s="17"/>
      <c r="T2611" s="17"/>
      <c r="U2611" s="17"/>
      <c r="V2611" s="17"/>
      <c r="W2611" s="17"/>
      <c r="X2611" s="17"/>
      <c r="Y2611" s="17"/>
      <c r="Z2611" s="17"/>
      <c r="AA2611" s="17"/>
      <c r="AB2611" s="17"/>
      <c r="AC2611" s="17"/>
      <c r="AD2611" s="17"/>
      <c r="AE2611" s="17"/>
      <c r="AF2611" s="17"/>
      <c r="AG2611" s="17"/>
      <c r="AH2611" s="17"/>
      <c r="AI2611" s="17"/>
      <c r="AJ2611" s="17"/>
      <c r="AK2611" s="17"/>
      <c r="AL2611" s="17"/>
      <c r="AM2611" s="17"/>
      <c r="AN2611" s="17"/>
      <c r="AO2611" s="17"/>
      <c r="AP2611" s="17"/>
      <c r="AQ2611" s="17"/>
      <c r="AR2611" s="17"/>
      <c r="AS2611" s="17"/>
      <c r="AT2611" s="17"/>
      <c r="AU2611" s="17"/>
    </row>
    <row r="2612" hidden="1">
      <c r="A2612" s="17">
        <v>2610</v>
      </c>
      <c r="B2612" s="17" t="s">
        <v>52</v>
      </c>
      <c r="C2612" s="34" t="s">
        <v>7428</v>
      </c>
      <c r="D2612" s="35" t="s">
        <v>6576</v>
      </c>
      <c r="E2612" s="17" t="s">
        <v>7429</v>
      </c>
      <c r="F2612" s="17" t="s">
        <v>7430</v>
      </c>
      <c r="G2612" s="17">
        <v>21.889616</v>
      </c>
      <c r="H2612" s="17">
        <v>87.976414000000005</v>
      </c>
      <c r="I2612" s="17"/>
      <c r="J2612" s="17"/>
      <c r="K2612" s="17"/>
      <c r="L2612" s="17"/>
      <c r="M2612" s="34" t="s">
        <v>7381</v>
      </c>
      <c r="N2612" s="17"/>
      <c r="O2612" s="17"/>
      <c r="P2612" s="17"/>
      <c r="Q2612" s="17"/>
      <c r="R2612" s="17"/>
      <c r="S2612" s="17"/>
      <c r="T2612" s="17"/>
      <c r="U2612" s="17"/>
      <c r="V2612" s="17"/>
      <c r="W2612" s="17"/>
      <c r="X2612" s="17"/>
      <c r="Y2612" s="17"/>
      <c r="Z2612" s="17"/>
      <c r="AA2612" s="17"/>
      <c r="AB2612" s="17"/>
      <c r="AC2612" s="17"/>
      <c r="AD2612" s="17"/>
      <c r="AE2612" s="17"/>
      <c r="AF2612" s="17"/>
      <c r="AG2612" s="17"/>
      <c r="AH2612" s="17"/>
      <c r="AI2612" s="17"/>
      <c r="AJ2612" s="17"/>
      <c r="AK2612" s="17"/>
      <c r="AL2612" s="17"/>
      <c r="AM2612" s="17"/>
      <c r="AN2612" s="17"/>
      <c r="AO2612" s="17"/>
      <c r="AP2612" s="17"/>
      <c r="AQ2612" s="17"/>
      <c r="AR2612" s="17"/>
      <c r="AS2612" s="17"/>
      <c r="AT2612" s="17"/>
      <c r="AU2612" s="17"/>
    </row>
    <row r="2613" hidden="1">
      <c r="A2613" s="17">
        <v>2611</v>
      </c>
      <c r="B2613" s="17" t="s">
        <v>52</v>
      </c>
      <c r="C2613" s="34" t="s">
        <v>7431</v>
      </c>
      <c r="D2613" s="35" t="s">
        <v>6576</v>
      </c>
      <c r="E2613" s="17" t="s">
        <v>7432</v>
      </c>
      <c r="F2613" s="17" t="s">
        <v>7433</v>
      </c>
      <c r="G2613" s="17">
        <v>21.904358999999999</v>
      </c>
      <c r="H2613" s="17">
        <v>87.882116999999994</v>
      </c>
      <c r="I2613" s="17"/>
      <c r="J2613" s="17"/>
      <c r="K2613" s="17"/>
      <c r="L2613" s="17"/>
      <c r="M2613" s="34" t="s">
        <v>7381</v>
      </c>
      <c r="N2613" s="17"/>
      <c r="O2613" s="17"/>
      <c r="P2613" s="17"/>
      <c r="Q2613" s="17"/>
      <c r="R2613" s="17"/>
      <c r="S2613" s="17"/>
      <c r="T2613" s="17"/>
      <c r="U2613" s="17"/>
      <c r="V2613" s="17"/>
      <c r="W2613" s="17"/>
      <c r="X2613" s="17"/>
      <c r="Y2613" s="17"/>
      <c r="Z2613" s="17"/>
      <c r="AA2613" s="17"/>
      <c r="AB2613" s="17"/>
      <c r="AC2613" s="17"/>
      <c r="AD2613" s="17"/>
      <c r="AE2613" s="17"/>
      <c r="AF2613" s="17"/>
      <c r="AG2613" s="17"/>
      <c r="AH2613" s="17"/>
      <c r="AI2613" s="17"/>
      <c r="AJ2613" s="17"/>
      <c r="AK2613" s="17"/>
      <c r="AL2613" s="17"/>
      <c r="AM2613" s="17"/>
      <c r="AN2613" s="17"/>
      <c r="AO2613" s="17"/>
      <c r="AP2613" s="17"/>
      <c r="AQ2613" s="17"/>
      <c r="AR2613" s="17"/>
      <c r="AS2613" s="17"/>
      <c r="AT2613" s="17"/>
      <c r="AU2613" s="17"/>
    </row>
    <row r="2614" hidden="1">
      <c r="A2614" s="17">
        <v>2612</v>
      </c>
      <c r="B2614" s="17" t="s">
        <v>52</v>
      </c>
      <c r="C2614" s="34" t="s">
        <v>7434</v>
      </c>
      <c r="D2614" s="35" t="s">
        <v>6576</v>
      </c>
      <c r="E2614" s="17" t="s">
        <v>7435</v>
      </c>
      <c r="F2614" s="17">
        <v>0</v>
      </c>
      <c r="G2614" s="17">
        <v>21.805527999999999</v>
      </c>
      <c r="H2614" s="17">
        <v>87.902393000000004</v>
      </c>
      <c r="I2614" s="17"/>
      <c r="J2614" s="17"/>
      <c r="K2614" s="17"/>
      <c r="L2614" s="17"/>
      <c r="M2614" s="34" t="s">
        <v>7381</v>
      </c>
      <c r="N2614" s="17"/>
      <c r="O2614" s="17"/>
      <c r="P2614" s="17"/>
      <c r="Q2614" s="17"/>
      <c r="R2614" s="17"/>
      <c r="S2614" s="17"/>
      <c r="T2614" s="17"/>
      <c r="U2614" s="17"/>
      <c r="V2614" s="17"/>
      <c r="W2614" s="17"/>
      <c r="X2614" s="17"/>
      <c r="Y2614" s="17"/>
      <c r="Z2614" s="17"/>
      <c r="AA2614" s="17"/>
      <c r="AB2614" s="17"/>
      <c r="AC2614" s="17"/>
      <c r="AD2614" s="17"/>
      <c r="AE2614" s="17"/>
      <c r="AF2614" s="17"/>
      <c r="AG2614" s="17"/>
      <c r="AH2614" s="17"/>
      <c r="AI2614" s="17"/>
      <c r="AJ2614" s="17"/>
      <c r="AK2614" s="17"/>
      <c r="AL2614" s="17"/>
      <c r="AM2614" s="17"/>
      <c r="AN2614" s="17"/>
      <c r="AO2614" s="17"/>
      <c r="AP2614" s="17"/>
      <c r="AQ2614" s="17"/>
      <c r="AR2614" s="17"/>
      <c r="AS2614" s="17"/>
      <c r="AT2614" s="17"/>
      <c r="AU2614" s="17"/>
    </row>
    <row r="2615" hidden="1">
      <c r="A2615" s="17">
        <v>2613</v>
      </c>
      <c r="B2615" s="17" t="s">
        <v>52</v>
      </c>
      <c r="C2615" s="34" t="s">
        <v>7436</v>
      </c>
      <c r="D2615" s="35" t="s">
        <v>6576</v>
      </c>
      <c r="E2615" s="17" t="s">
        <v>7437</v>
      </c>
      <c r="F2615" s="17">
        <v>0</v>
      </c>
      <c r="G2615" s="17">
        <v>21.882249000000002</v>
      </c>
      <c r="H2615" s="17">
        <v>87.933560999999997</v>
      </c>
      <c r="I2615" s="17"/>
      <c r="J2615" s="17"/>
      <c r="K2615" s="17"/>
      <c r="L2615" s="17"/>
      <c r="M2615" s="34" t="s">
        <v>7381</v>
      </c>
      <c r="N2615" s="17"/>
      <c r="O2615" s="17"/>
      <c r="P2615" s="17"/>
      <c r="Q2615" s="17"/>
      <c r="R2615" s="17"/>
      <c r="S2615" s="17"/>
      <c r="T2615" s="17"/>
      <c r="U2615" s="17"/>
      <c r="V2615" s="17"/>
      <c r="W2615" s="17"/>
      <c r="X2615" s="17"/>
      <c r="Y2615" s="17"/>
      <c r="Z2615" s="17"/>
      <c r="AA2615" s="17"/>
      <c r="AB2615" s="17"/>
      <c r="AC2615" s="17"/>
      <c r="AD2615" s="17"/>
      <c r="AE2615" s="17"/>
      <c r="AF2615" s="17"/>
      <c r="AG2615" s="17"/>
      <c r="AH2615" s="17"/>
      <c r="AI2615" s="17"/>
      <c r="AJ2615" s="17"/>
      <c r="AK2615" s="17"/>
      <c r="AL2615" s="17"/>
      <c r="AM2615" s="17"/>
      <c r="AN2615" s="17"/>
      <c r="AO2615" s="17"/>
      <c r="AP2615" s="17"/>
      <c r="AQ2615" s="17"/>
      <c r="AR2615" s="17"/>
      <c r="AS2615" s="17"/>
      <c r="AT2615" s="17"/>
      <c r="AU2615" s="17"/>
    </row>
    <row r="2616" hidden="1">
      <c r="A2616" s="17">
        <v>2614</v>
      </c>
      <c r="B2616" s="17" t="s">
        <v>52</v>
      </c>
      <c r="C2616" s="34" t="s">
        <v>128</v>
      </c>
      <c r="D2616" s="35" t="s">
        <v>6576</v>
      </c>
      <c r="E2616" s="17" t="s">
        <v>129</v>
      </c>
      <c r="F2616" s="17" t="s">
        <v>130</v>
      </c>
      <c r="G2616" s="17">
        <v>21.972470000000001</v>
      </c>
      <c r="H2616" s="17">
        <v>87.871110999999999</v>
      </c>
      <c r="I2616" s="17"/>
      <c r="J2616" s="17"/>
      <c r="K2616" s="17"/>
      <c r="L2616" s="17"/>
      <c r="M2616" s="34" t="s">
        <v>7381</v>
      </c>
      <c r="N2616" s="17"/>
      <c r="O2616" s="17">
        <v>20</v>
      </c>
      <c r="P2616" s="17">
        <v>90</v>
      </c>
      <c r="Q2616" s="17" t="s">
        <v>105</v>
      </c>
      <c r="R2616" s="17" t="s">
        <v>142</v>
      </c>
      <c r="S2616" s="17" t="s">
        <v>75</v>
      </c>
      <c r="T2616" s="17"/>
      <c r="U2616" s="17" t="s">
        <v>503</v>
      </c>
      <c r="V2616" s="17" t="s">
        <v>504</v>
      </c>
      <c r="W2616" s="17" t="s">
        <v>151</v>
      </c>
      <c r="X2616" s="17">
        <v>2</v>
      </c>
      <c r="Y2616" s="17">
        <v>0</v>
      </c>
      <c r="Z2616" s="17"/>
      <c r="AA2616" s="17" t="s">
        <v>105</v>
      </c>
      <c r="AB2616" s="17" t="s">
        <v>79</v>
      </c>
      <c r="AC2616" s="17">
        <v>5</v>
      </c>
      <c r="AD2616" s="17">
        <v>0</v>
      </c>
      <c r="AE2616" s="17">
        <v>0</v>
      </c>
      <c r="AF2616" s="17"/>
      <c r="AG2616" s="17" t="s">
        <v>124</v>
      </c>
      <c r="AH2616" s="17" t="s">
        <v>82</v>
      </c>
      <c r="AI2616" s="17" t="s">
        <v>83</v>
      </c>
      <c r="AJ2616" s="17">
        <v>2111</v>
      </c>
      <c r="AK2616" s="17" t="s">
        <v>75</v>
      </c>
      <c r="AL2616" s="17" t="s">
        <v>75</v>
      </c>
      <c r="AM2616" s="17" t="s">
        <v>75</v>
      </c>
      <c r="AN2616" s="17" t="s">
        <v>84</v>
      </c>
      <c r="AO2616" s="17" t="s">
        <v>75</v>
      </c>
      <c r="AP2616" s="17"/>
      <c r="AQ2616" s="17"/>
      <c r="AR2616" s="17"/>
      <c r="AS2616" s="17"/>
      <c r="AT2616" s="17"/>
      <c r="AU2616" s="17" t="s">
        <v>127</v>
      </c>
    </row>
    <row r="2617" hidden="1">
      <c r="A2617" s="17">
        <v>2615</v>
      </c>
      <c r="B2617" s="17" t="s">
        <v>52</v>
      </c>
      <c r="C2617" s="34" t="s">
        <v>7438</v>
      </c>
      <c r="D2617" s="35" t="s">
        <v>6576</v>
      </c>
      <c r="E2617" s="17" t="s">
        <v>7439</v>
      </c>
      <c r="F2617" s="17" t="s">
        <v>7440</v>
      </c>
      <c r="G2617" s="17">
        <v>21.930415</v>
      </c>
      <c r="H2617" s="17">
        <v>87.927503000000002</v>
      </c>
      <c r="I2617" s="17"/>
      <c r="J2617" s="17"/>
      <c r="K2617" s="17"/>
      <c r="L2617" s="17"/>
      <c r="M2617" s="34" t="s">
        <v>7381</v>
      </c>
      <c r="N2617" s="17"/>
      <c r="O2617" s="17">
        <v>20</v>
      </c>
      <c r="P2617" s="17">
        <v>80</v>
      </c>
      <c r="Q2617" s="17" t="s">
        <v>73</v>
      </c>
      <c r="R2617" s="17" t="s">
        <v>74</v>
      </c>
      <c r="S2617" s="17" t="s">
        <v>137</v>
      </c>
      <c r="T2617" s="17" t="s">
        <v>7441</v>
      </c>
      <c r="U2617" s="17" t="s">
        <v>160</v>
      </c>
      <c r="V2617" s="17" t="s">
        <v>77</v>
      </c>
      <c r="W2617" s="17" t="s">
        <v>161</v>
      </c>
      <c r="X2617" s="17">
        <v>5</v>
      </c>
      <c r="Y2617" s="17">
        <v>0</v>
      </c>
      <c r="Z2617" s="17"/>
      <c r="AA2617" s="17" t="s">
        <v>73</v>
      </c>
      <c r="AB2617" s="17" t="s">
        <v>79</v>
      </c>
      <c r="AC2617" s="17">
        <v>2</v>
      </c>
      <c r="AD2617" s="17">
        <v>0</v>
      </c>
      <c r="AE2617" s="17">
        <v>0</v>
      </c>
      <c r="AF2617" s="17"/>
      <c r="AG2617" s="17" t="s">
        <v>81</v>
      </c>
      <c r="AH2617" s="17" t="s">
        <v>82</v>
      </c>
      <c r="AI2617" s="17" t="s">
        <v>107</v>
      </c>
      <c r="AJ2617" s="17"/>
      <c r="AK2617" s="17" t="s">
        <v>75</v>
      </c>
      <c r="AL2617" s="17" t="s">
        <v>75</v>
      </c>
      <c r="AM2617" s="17" t="s">
        <v>75</v>
      </c>
      <c r="AN2617" s="17" t="s">
        <v>84</v>
      </c>
      <c r="AO2617" s="17" t="s">
        <v>75</v>
      </c>
      <c r="AP2617" s="17"/>
      <c r="AQ2617" s="17"/>
      <c r="AR2617" s="17"/>
      <c r="AS2617" s="17"/>
      <c r="AT2617" s="17" t="s">
        <v>7442</v>
      </c>
      <c r="AU2617" s="17" t="s">
        <v>127</v>
      </c>
    </row>
    <row r="2618" hidden="1">
      <c r="A2618" s="17">
        <v>2616</v>
      </c>
      <c r="B2618" s="17" t="s">
        <v>52</v>
      </c>
      <c r="C2618" s="34" t="s">
        <v>7443</v>
      </c>
      <c r="D2618" s="35" t="s">
        <v>6576</v>
      </c>
      <c r="E2618" s="17" t="s">
        <v>7444</v>
      </c>
      <c r="F2618" s="17" t="s">
        <v>7445</v>
      </c>
      <c r="G2618" s="17">
        <v>21.90906</v>
      </c>
      <c r="H2618" s="17">
        <v>87.844989999999996</v>
      </c>
      <c r="I2618" s="17"/>
      <c r="J2618" s="17"/>
      <c r="K2618" s="17"/>
      <c r="L2618" s="17"/>
      <c r="M2618" s="34" t="s">
        <v>7381</v>
      </c>
      <c r="N2618" s="17"/>
      <c r="O2618" s="17">
        <v>16</v>
      </c>
      <c r="P2618" s="17">
        <v>95</v>
      </c>
      <c r="Q2618" s="17" t="s">
        <v>187</v>
      </c>
      <c r="R2618" s="17" t="s">
        <v>74</v>
      </c>
      <c r="S2618" s="17" t="s">
        <v>75</v>
      </c>
      <c r="T2618" s="17"/>
      <c r="U2618" s="17" t="s">
        <v>503</v>
      </c>
      <c r="V2618" s="17" t="s">
        <v>504</v>
      </c>
      <c r="W2618" s="17" t="s">
        <v>593</v>
      </c>
      <c r="X2618" s="17">
        <v>2</v>
      </c>
      <c r="Y2618" s="17">
        <v>0</v>
      </c>
      <c r="Z2618" s="17" t="s">
        <v>7446</v>
      </c>
      <c r="AA2618" s="17" t="s">
        <v>187</v>
      </c>
      <c r="AB2618" s="17" t="s">
        <v>79</v>
      </c>
      <c r="AC2618" s="17">
        <v>1</v>
      </c>
      <c r="AD2618" s="17">
        <v>0</v>
      </c>
      <c r="AE2618" s="17">
        <v>0</v>
      </c>
      <c r="AF2618" s="17"/>
      <c r="AG2618" s="17" t="s">
        <v>124</v>
      </c>
      <c r="AH2618" s="17" t="s">
        <v>162</v>
      </c>
      <c r="AI2618" s="17" t="s">
        <v>83</v>
      </c>
      <c r="AJ2618" s="17">
        <v>2112</v>
      </c>
      <c r="AK2618" s="17" t="s">
        <v>75</v>
      </c>
      <c r="AL2618" s="17" t="s">
        <v>75</v>
      </c>
      <c r="AM2618" s="17" t="s">
        <v>75</v>
      </c>
      <c r="AN2618" s="17" t="s">
        <v>84</v>
      </c>
      <c r="AO2618" s="17" t="s">
        <v>75</v>
      </c>
      <c r="AP2618" s="17"/>
      <c r="AQ2618" s="17"/>
      <c r="AR2618" s="17"/>
      <c r="AS2618" s="17"/>
      <c r="AT2618" s="17" t="s">
        <v>429</v>
      </c>
      <c r="AU2618" s="17" t="s">
        <v>111</v>
      </c>
    </row>
    <row r="2619" hidden="1">
      <c r="A2619" s="17">
        <v>2617</v>
      </c>
      <c r="B2619" s="17" t="s">
        <v>52</v>
      </c>
      <c r="C2619" s="34" t="s">
        <v>7447</v>
      </c>
      <c r="D2619" s="35" t="s">
        <v>6576</v>
      </c>
      <c r="E2619" s="17" t="s">
        <v>7448</v>
      </c>
      <c r="F2619" s="17" t="s">
        <v>7449</v>
      </c>
      <c r="G2619" s="17">
        <v>21.906517999999998</v>
      </c>
      <c r="H2619" s="17">
        <v>87.958248999999995</v>
      </c>
      <c r="I2619" s="17"/>
      <c r="J2619" s="17"/>
      <c r="K2619" s="17"/>
      <c r="L2619" s="17"/>
      <c r="M2619" s="34" t="s">
        <v>7381</v>
      </c>
      <c r="N2619" s="17"/>
      <c r="O2619" s="17">
        <v>18</v>
      </c>
      <c r="P2619" s="17">
        <v>95</v>
      </c>
      <c r="Q2619" s="17" t="s">
        <v>73</v>
      </c>
      <c r="R2619" s="17" t="s">
        <v>74</v>
      </c>
      <c r="S2619" s="17" t="s">
        <v>75</v>
      </c>
      <c r="T2619" s="17"/>
      <c r="U2619" s="17" t="s">
        <v>105</v>
      </c>
      <c r="V2619" s="17" t="s">
        <v>77</v>
      </c>
      <c r="W2619" s="17" t="s">
        <v>5486</v>
      </c>
      <c r="X2619" s="17">
        <v>5</v>
      </c>
      <c r="Y2619" s="17">
        <v>0</v>
      </c>
      <c r="Z2619" s="17"/>
      <c r="AA2619" s="17" t="s">
        <v>73</v>
      </c>
      <c r="AB2619" s="17" t="s">
        <v>79</v>
      </c>
      <c r="AC2619" s="17">
        <v>2</v>
      </c>
      <c r="AD2619" s="17">
        <v>0</v>
      </c>
      <c r="AE2619" s="17">
        <v>0</v>
      </c>
      <c r="AF2619" s="17"/>
      <c r="AG2619" s="17" t="s">
        <v>124</v>
      </c>
      <c r="AH2619" s="17" t="s">
        <v>162</v>
      </c>
      <c r="AI2619" s="17" t="s">
        <v>83</v>
      </c>
      <c r="AJ2619" s="17">
        <v>2112</v>
      </c>
      <c r="AK2619" s="17" t="s">
        <v>75</v>
      </c>
      <c r="AL2619" s="17" t="s">
        <v>75</v>
      </c>
      <c r="AM2619" s="17" t="s">
        <v>75</v>
      </c>
      <c r="AN2619" s="17" t="s">
        <v>84</v>
      </c>
      <c r="AO2619" s="17" t="s">
        <v>75</v>
      </c>
      <c r="AP2619" s="17"/>
      <c r="AQ2619" s="17"/>
      <c r="AR2619" s="17"/>
      <c r="AS2619" s="17"/>
      <c r="AT2619" s="17" t="s">
        <v>7450</v>
      </c>
      <c r="AU2619" s="17" t="s">
        <v>127</v>
      </c>
    </row>
    <row r="2620" hidden="1">
      <c r="A2620" s="17">
        <v>2618</v>
      </c>
      <c r="B2620" s="17" t="s">
        <v>52</v>
      </c>
      <c r="C2620" s="34" t="s">
        <v>7451</v>
      </c>
      <c r="D2620" s="35" t="s">
        <v>6576</v>
      </c>
      <c r="E2620" s="17" t="s">
        <v>7452</v>
      </c>
      <c r="F2620" s="17" t="s">
        <v>7453</v>
      </c>
      <c r="G2620" s="17">
        <v>21.866295999999998</v>
      </c>
      <c r="H2620" s="17">
        <v>87.916382999999996</v>
      </c>
      <c r="I2620" s="17"/>
      <c r="J2620" s="17"/>
      <c r="K2620" s="17"/>
      <c r="L2620" s="17"/>
      <c r="M2620" s="34" t="s">
        <v>7381</v>
      </c>
      <c r="N2620" s="17"/>
      <c r="O2620" s="17">
        <v>15</v>
      </c>
      <c r="P2620" s="17">
        <v>120</v>
      </c>
      <c r="Q2620" s="17" t="s">
        <v>105</v>
      </c>
      <c r="R2620" s="17" t="s">
        <v>142</v>
      </c>
      <c r="S2620" s="17" t="s">
        <v>75</v>
      </c>
      <c r="T2620" s="17"/>
      <c r="U2620" s="17" t="s">
        <v>503</v>
      </c>
      <c r="V2620" s="17" t="s">
        <v>77</v>
      </c>
      <c r="W2620" s="17" t="s">
        <v>593</v>
      </c>
      <c r="X2620" s="17">
        <v>2</v>
      </c>
      <c r="Y2620" s="17">
        <v>0</v>
      </c>
      <c r="Z2620" s="17"/>
      <c r="AA2620" s="17" t="s">
        <v>105</v>
      </c>
      <c r="AB2620" s="17" t="s">
        <v>79</v>
      </c>
      <c r="AC2620" s="17">
        <v>6</v>
      </c>
      <c r="AD2620" s="17">
        <v>0</v>
      </c>
      <c r="AE2620" s="17">
        <v>0</v>
      </c>
      <c r="AF2620" s="17"/>
      <c r="AG2620" s="17" t="s">
        <v>81</v>
      </c>
      <c r="AH2620" s="17" t="s">
        <v>82</v>
      </c>
      <c r="AI2620" s="17" t="s">
        <v>107</v>
      </c>
      <c r="AJ2620" s="17"/>
      <c r="AK2620" s="17" t="s">
        <v>75</v>
      </c>
      <c r="AL2620" s="17" t="s">
        <v>75</v>
      </c>
      <c r="AM2620" s="17" t="s">
        <v>75</v>
      </c>
      <c r="AN2620" s="17" t="s">
        <v>84</v>
      </c>
      <c r="AO2620" s="17" t="s">
        <v>75</v>
      </c>
      <c r="AP2620" s="17"/>
      <c r="AQ2620" s="17"/>
      <c r="AR2620" s="17"/>
      <c r="AS2620" s="17"/>
      <c r="AT2620" s="17"/>
      <c r="AU2620" s="17"/>
    </row>
    <row r="2621" hidden="1">
      <c r="A2621" s="17">
        <v>2619</v>
      </c>
      <c r="B2621" s="17" t="s">
        <v>52</v>
      </c>
      <c r="C2621" s="34" t="s">
        <v>7454</v>
      </c>
      <c r="D2621" s="35" t="s">
        <v>6576</v>
      </c>
      <c r="E2621" s="17" t="s">
        <v>7455</v>
      </c>
      <c r="F2621" s="17" t="s">
        <v>7456</v>
      </c>
      <c r="G2621" s="17">
        <v>21.878329000000001</v>
      </c>
      <c r="H2621" s="17">
        <v>87.876247000000006</v>
      </c>
      <c r="I2621" s="17"/>
      <c r="J2621" s="17"/>
      <c r="K2621" s="17"/>
      <c r="L2621" s="17"/>
      <c r="M2621" s="34" t="s">
        <v>7381</v>
      </c>
      <c r="N2621" s="17"/>
      <c r="O2621" s="17"/>
      <c r="P2621" s="17"/>
      <c r="Q2621" s="17"/>
      <c r="R2621" s="17"/>
      <c r="S2621" s="17"/>
      <c r="T2621" s="17"/>
      <c r="U2621" s="17"/>
      <c r="V2621" s="17"/>
      <c r="W2621" s="17"/>
      <c r="X2621" s="17"/>
      <c r="Y2621" s="17"/>
      <c r="Z2621" s="17"/>
      <c r="AA2621" s="17"/>
      <c r="AB2621" s="17"/>
      <c r="AC2621" s="17"/>
      <c r="AD2621" s="17"/>
      <c r="AE2621" s="17"/>
      <c r="AF2621" s="17"/>
      <c r="AG2621" s="17"/>
      <c r="AH2621" s="17"/>
      <c r="AI2621" s="17"/>
      <c r="AJ2621" s="17"/>
      <c r="AK2621" s="17"/>
      <c r="AL2621" s="17"/>
      <c r="AM2621" s="17"/>
      <c r="AN2621" s="17"/>
      <c r="AO2621" s="17"/>
      <c r="AP2621" s="17"/>
      <c r="AQ2621" s="17"/>
      <c r="AR2621" s="17"/>
      <c r="AS2621" s="17"/>
      <c r="AT2621" s="17"/>
      <c r="AU2621" s="17"/>
    </row>
    <row r="2622" hidden="1">
      <c r="A2622" s="17">
        <v>2620</v>
      </c>
      <c r="B2622" s="17" t="s">
        <v>52</v>
      </c>
      <c r="C2622" s="34" t="s">
        <v>7457</v>
      </c>
      <c r="D2622" s="35" t="s">
        <v>6576</v>
      </c>
      <c r="E2622" s="17" t="s">
        <v>7458</v>
      </c>
      <c r="F2622" s="17" t="s">
        <v>7459</v>
      </c>
      <c r="G2622" s="17">
        <v>21.84282</v>
      </c>
      <c r="H2622" s="17">
        <v>87.899109999999993</v>
      </c>
      <c r="I2622" s="17"/>
      <c r="J2622" s="17"/>
      <c r="K2622" s="17"/>
      <c r="L2622" s="17"/>
      <c r="M2622" s="34" t="s">
        <v>7381</v>
      </c>
      <c r="N2622" s="17"/>
      <c r="O2622" s="17"/>
      <c r="P2622" s="17"/>
      <c r="Q2622" s="17"/>
      <c r="R2622" s="17"/>
      <c r="S2622" s="17"/>
      <c r="T2622" s="17"/>
      <c r="U2622" s="17"/>
      <c r="V2622" s="17"/>
      <c r="W2622" s="17"/>
      <c r="X2622" s="17"/>
      <c r="Y2622" s="17"/>
      <c r="Z2622" s="17"/>
      <c r="AA2622" s="17"/>
      <c r="AB2622" s="17"/>
      <c r="AC2622" s="17"/>
      <c r="AD2622" s="17"/>
      <c r="AE2622" s="17"/>
      <c r="AF2622" s="17"/>
      <c r="AG2622" s="17"/>
      <c r="AH2622" s="17"/>
      <c r="AI2622" s="17"/>
      <c r="AJ2622" s="17"/>
      <c r="AK2622" s="17"/>
      <c r="AL2622" s="17"/>
      <c r="AM2622" s="17"/>
      <c r="AN2622" s="17"/>
      <c r="AO2622" s="17"/>
      <c r="AP2622" s="17"/>
      <c r="AQ2622" s="17"/>
      <c r="AR2622" s="17"/>
      <c r="AS2622" s="17"/>
      <c r="AT2622" s="17"/>
      <c r="AU2622" s="17"/>
    </row>
    <row r="2623" hidden="1">
      <c r="A2623" s="17">
        <v>2621</v>
      </c>
      <c r="B2623" s="17" t="s">
        <v>52</v>
      </c>
      <c r="C2623" s="34" t="s">
        <v>7460</v>
      </c>
      <c r="D2623" s="35" t="s">
        <v>6576</v>
      </c>
      <c r="E2623" s="17" t="s">
        <v>7461</v>
      </c>
      <c r="F2623" s="17" t="s">
        <v>7462</v>
      </c>
      <c r="G2623" s="17">
        <v>21.893619999999999</v>
      </c>
      <c r="H2623" s="17">
        <v>87.90728</v>
      </c>
      <c r="I2623" s="17"/>
      <c r="J2623" s="17"/>
      <c r="K2623" s="17"/>
      <c r="L2623" s="17"/>
      <c r="M2623" s="34" t="s">
        <v>7381</v>
      </c>
      <c r="N2623" s="17"/>
      <c r="O2623" s="17"/>
      <c r="P2623" s="17"/>
      <c r="Q2623" s="17"/>
      <c r="R2623" s="17"/>
      <c r="S2623" s="17"/>
      <c r="T2623" s="17"/>
      <c r="U2623" s="17"/>
      <c r="V2623" s="17"/>
      <c r="W2623" s="17"/>
      <c r="X2623" s="17"/>
      <c r="Y2623" s="17"/>
      <c r="Z2623" s="17"/>
      <c r="AA2623" s="17"/>
      <c r="AB2623" s="17"/>
      <c r="AC2623" s="17"/>
      <c r="AD2623" s="17"/>
      <c r="AE2623" s="17"/>
      <c r="AF2623" s="17"/>
      <c r="AG2623" s="17"/>
      <c r="AH2623" s="17"/>
      <c r="AI2623" s="17"/>
      <c r="AJ2623" s="17"/>
      <c r="AK2623" s="17"/>
      <c r="AL2623" s="17"/>
      <c r="AM2623" s="17"/>
      <c r="AN2623" s="17"/>
      <c r="AO2623" s="17"/>
      <c r="AP2623" s="17"/>
      <c r="AQ2623" s="17"/>
      <c r="AR2623" s="17"/>
      <c r="AS2623" s="17"/>
      <c r="AT2623" s="17"/>
      <c r="AU2623" s="17"/>
    </row>
    <row r="2624" hidden="1">
      <c r="A2624" s="17">
        <v>2622</v>
      </c>
      <c r="B2624" s="17" t="s">
        <v>52</v>
      </c>
      <c r="C2624" s="34" t="s">
        <v>7463</v>
      </c>
      <c r="D2624" s="35" t="s">
        <v>6576</v>
      </c>
      <c r="E2624" s="17" t="s">
        <v>7464</v>
      </c>
      <c r="F2624" s="17" t="s">
        <v>7465</v>
      </c>
      <c r="G2624" s="17">
        <v>21.83642</v>
      </c>
      <c r="H2624" s="17">
        <v>87.930800000000005</v>
      </c>
      <c r="I2624" s="17"/>
      <c r="J2624" s="17"/>
      <c r="K2624" s="17"/>
      <c r="L2624" s="17"/>
      <c r="M2624" s="34" t="s">
        <v>7381</v>
      </c>
      <c r="N2624" s="17"/>
      <c r="O2624" s="17"/>
      <c r="P2624" s="17"/>
      <c r="Q2624" s="17"/>
      <c r="R2624" s="17"/>
      <c r="S2624" s="17"/>
      <c r="T2624" s="17"/>
      <c r="U2624" s="17"/>
      <c r="V2624" s="17"/>
      <c r="W2624" s="17"/>
      <c r="X2624" s="17"/>
      <c r="Y2624" s="17"/>
      <c r="Z2624" s="17"/>
      <c r="AA2624" s="17"/>
      <c r="AB2624" s="17"/>
      <c r="AC2624" s="17"/>
      <c r="AD2624" s="17"/>
      <c r="AE2624" s="17"/>
      <c r="AF2624" s="17"/>
      <c r="AG2624" s="17"/>
      <c r="AH2624" s="17"/>
      <c r="AI2624" s="17"/>
      <c r="AJ2624" s="17"/>
      <c r="AK2624" s="17"/>
      <c r="AL2624" s="17"/>
      <c r="AM2624" s="17"/>
      <c r="AN2624" s="17"/>
      <c r="AO2624" s="17"/>
      <c r="AP2624" s="17"/>
      <c r="AQ2624" s="17"/>
      <c r="AR2624" s="17"/>
      <c r="AS2624" s="17"/>
      <c r="AT2624" s="17"/>
      <c r="AU2624" s="17"/>
    </row>
    <row r="2625" hidden="1">
      <c r="A2625" s="17">
        <v>2623</v>
      </c>
      <c r="B2625" s="17" t="s">
        <v>52</v>
      </c>
      <c r="C2625" s="34" t="s">
        <v>7466</v>
      </c>
      <c r="D2625" s="35" t="s">
        <v>6576</v>
      </c>
      <c r="E2625" s="17" t="s">
        <v>7467</v>
      </c>
      <c r="F2625" s="17" t="s">
        <v>7468</v>
      </c>
      <c r="G2625" s="17">
        <v>21.822056</v>
      </c>
      <c r="H2625" s="17">
        <v>87.894761000000003</v>
      </c>
      <c r="I2625" s="17"/>
      <c r="J2625" s="17"/>
      <c r="K2625" s="17"/>
      <c r="L2625" s="17"/>
      <c r="M2625" s="34" t="s">
        <v>7381</v>
      </c>
      <c r="N2625" s="17"/>
      <c r="O2625" s="17"/>
      <c r="P2625" s="17"/>
      <c r="Q2625" s="17"/>
      <c r="R2625" s="17"/>
      <c r="S2625" s="17"/>
      <c r="T2625" s="17"/>
      <c r="U2625" s="17"/>
      <c r="V2625" s="17"/>
      <c r="W2625" s="17"/>
      <c r="X2625" s="17"/>
      <c r="Y2625" s="17"/>
      <c r="Z2625" s="17"/>
      <c r="AA2625" s="17"/>
      <c r="AB2625" s="17"/>
      <c r="AC2625" s="17"/>
      <c r="AD2625" s="17"/>
      <c r="AE2625" s="17"/>
      <c r="AF2625" s="17"/>
      <c r="AG2625" s="17"/>
      <c r="AH2625" s="17"/>
      <c r="AI2625" s="17"/>
      <c r="AJ2625" s="17"/>
      <c r="AK2625" s="17"/>
      <c r="AL2625" s="17"/>
      <c r="AM2625" s="17"/>
      <c r="AN2625" s="17"/>
      <c r="AO2625" s="17"/>
      <c r="AP2625" s="17"/>
      <c r="AQ2625" s="17"/>
      <c r="AR2625" s="17"/>
      <c r="AS2625" s="17"/>
      <c r="AT2625" s="17"/>
      <c r="AU2625" s="17"/>
    </row>
    <row r="2626" hidden="1">
      <c r="A2626" s="17">
        <v>2624</v>
      </c>
      <c r="B2626" s="17" t="s">
        <v>52</v>
      </c>
      <c r="C2626" s="34" t="s">
        <v>7469</v>
      </c>
      <c r="D2626" s="35" t="s">
        <v>6576</v>
      </c>
      <c r="E2626" s="17" t="s">
        <v>7470</v>
      </c>
      <c r="F2626" s="17" t="s">
        <v>7471</v>
      </c>
      <c r="G2626" s="17">
        <v>21.830576000000001</v>
      </c>
      <c r="H2626" s="17">
        <v>87.906908999999999</v>
      </c>
      <c r="I2626" s="17"/>
      <c r="J2626" s="17"/>
      <c r="K2626" s="17"/>
      <c r="L2626" s="17"/>
      <c r="M2626" s="34" t="s">
        <v>7381</v>
      </c>
      <c r="N2626" s="17"/>
      <c r="O2626" s="17"/>
      <c r="P2626" s="17"/>
      <c r="Q2626" s="17"/>
      <c r="R2626" s="17"/>
      <c r="S2626" s="17"/>
      <c r="T2626" s="17"/>
      <c r="U2626" s="17"/>
      <c r="V2626" s="17"/>
      <c r="W2626" s="17"/>
      <c r="X2626" s="17"/>
      <c r="Y2626" s="17"/>
      <c r="Z2626" s="17"/>
      <c r="AA2626" s="17"/>
      <c r="AB2626" s="17"/>
      <c r="AC2626" s="17"/>
      <c r="AD2626" s="17"/>
      <c r="AE2626" s="17"/>
      <c r="AF2626" s="17"/>
      <c r="AG2626" s="17"/>
      <c r="AH2626" s="17"/>
      <c r="AI2626" s="17"/>
      <c r="AJ2626" s="17"/>
      <c r="AK2626" s="17"/>
      <c r="AL2626" s="17"/>
      <c r="AM2626" s="17"/>
      <c r="AN2626" s="17"/>
      <c r="AO2626" s="17"/>
      <c r="AP2626" s="17"/>
      <c r="AQ2626" s="17"/>
      <c r="AR2626" s="17"/>
      <c r="AS2626" s="17"/>
      <c r="AT2626" s="17"/>
      <c r="AU2626" s="17"/>
    </row>
    <row r="2627" hidden="1">
      <c r="A2627" s="17">
        <v>2625</v>
      </c>
      <c r="B2627" s="17" t="s">
        <v>52</v>
      </c>
      <c r="C2627" s="34" t="s">
        <v>7472</v>
      </c>
      <c r="D2627" s="35" t="s">
        <v>6576</v>
      </c>
      <c r="E2627" s="17" t="s">
        <v>7473</v>
      </c>
      <c r="F2627" s="17" t="s">
        <v>7474</v>
      </c>
      <c r="G2627" s="17">
        <v>21.852674</v>
      </c>
      <c r="H2627" s="17">
        <v>87.942022000000009</v>
      </c>
      <c r="I2627" s="17"/>
      <c r="J2627" s="17"/>
      <c r="K2627" s="17"/>
      <c r="L2627" s="17"/>
      <c r="M2627" s="34" t="s">
        <v>7381</v>
      </c>
      <c r="N2627" s="17"/>
      <c r="O2627" s="17"/>
      <c r="P2627" s="17"/>
      <c r="Q2627" s="17"/>
      <c r="R2627" s="17"/>
      <c r="S2627" s="17"/>
      <c r="T2627" s="17"/>
      <c r="U2627" s="17"/>
      <c r="V2627" s="17"/>
      <c r="W2627" s="17"/>
      <c r="X2627" s="17"/>
      <c r="Y2627" s="17"/>
      <c r="Z2627" s="17"/>
      <c r="AA2627" s="17"/>
      <c r="AB2627" s="17"/>
      <c r="AC2627" s="17"/>
      <c r="AD2627" s="17"/>
      <c r="AE2627" s="17"/>
      <c r="AF2627" s="17"/>
      <c r="AG2627" s="17"/>
      <c r="AH2627" s="17"/>
      <c r="AI2627" s="17"/>
      <c r="AJ2627" s="17"/>
      <c r="AK2627" s="17"/>
      <c r="AL2627" s="17"/>
      <c r="AM2627" s="17"/>
      <c r="AN2627" s="17"/>
      <c r="AO2627" s="17"/>
      <c r="AP2627" s="17"/>
      <c r="AQ2627" s="17"/>
      <c r="AR2627" s="17"/>
      <c r="AS2627" s="17"/>
      <c r="AT2627" s="17"/>
      <c r="AU2627" s="17"/>
    </row>
    <row r="2628" hidden="1">
      <c r="A2628" s="17">
        <v>2626</v>
      </c>
      <c r="B2628" s="17" t="s">
        <v>52</v>
      </c>
      <c r="C2628" s="34" t="s">
        <v>667</v>
      </c>
      <c r="D2628" s="35" t="s">
        <v>6576</v>
      </c>
      <c r="E2628" s="17" t="s">
        <v>668</v>
      </c>
      <c r="F2628" s="17" t="s">
        <v>669</v>
      </c>
      <c r="G2628" s="17">
        <v>21.966459</v>
      </c>
      <c r="H2628" s="17">
        <v>87.911704999999998</v>
      </c>
      <c r="I2628" s="17"/>
      <c r="J2628" s="17"/>
      <c r="K2628" s="17"/>
      <c r="L2628" s="17"/>
      <c r="M2628" s="34" t="s">
        <v>7381</v>
      </c>
      <c r="N2628" s="17"/>
      <c r="O2628" s="17"/>
      <c r="P2628" s="17"/>
      <c r="Q2628" s="17"/>
      <c r="R2628" s="17"/>
      <c r="S2628" s="17"/>
      <c r="T2628" s="17"/>
      <c r="U2628" s="17"/>
      <c r="V2628" s="17"/>
      <c r="W2628" s="17"/>
      <c r="X2628" s="17"/>
      <c r="Y2628" s="17"/>
      <c r="Z2628" s="17"/>
      <c r="AA2628" s="17"/>
      <c r="AB2628" s="17"/>
      <c r="AC2628" s="17"/>
      <c r="AD2628" s="17"/>
      <c r="AE2628" s="17"/>
      <c r="AF2628" s="17"/>
      <c r="AG2628" s="17"/>
      <c r="AH2628" s="17"/>
      <c r="AI2628" s="17"/>
      <c r="AJ2628" s="17"/>
      <c r="AK2628" s="17"/>
      <c r="AL2628" s="17"/>
      <c r="AM2628" s="17"/>
      <c r="AN2628" s="17"/>
      <c r="AO2628" s="17"/>
      <c r="AP2628" s="17"/>
      <c r="AQ2628" s="17"/>
      <c r="AR2628" s="17"/>
      <c r="AS2628" s="17"/>
      <c r="AT2628" s="17"/>
      <c r="AU2628" s="17"/>
    </row>
    <row r="2629" hidden="1">
      <c r="A2629" s="17">
        <v>2627</v>
      </c>
      <c r="B2629" s="17" t="s">
        <v>52</v>
      </c>
      <c r="C2629" s="34" t="s">
        <v>7475</v>
      </c>
      <c r="D2629" s="35" t="s">
        <v>6576</v>
      </c>
      <c r="E2629" s="17" t="s">
        <v>7476</v>
      </c>
      <c r="F2629" s="17" t="s">
        <v>7477</v>
      </c>
      <c r="G2629" s="17">
        <v>21.855395999999999</v>
      </c>
      <c r="H2629" s="17">
        <v>87.917771999999999</v>
      </c>
      <c r="I2629" s="17"/>
      <c r="J2629" s="17"/>
      <c r="K2629" s="17"/>
      <c r="L2629" s="17"/>
      <c r="M2629" s="34" t="s">
        <v>7381</v>
      </c>
      <c r="N2629" s="17"/>
      <c r="O2629" s="17"/>
      <c r="P2629" s="17"/>
      <c r="Q2629" s="17"/>
      <c r="R2629" s="17"/>
      <c r="S2629" s="17"/>
      <c r="T2629" s="17"/>
      <c r="U2629" s="17"/>
      <c r="V2629" s="17"/>
      <c r="W2629" s="17"/>
      <c r="X2629" s="17"/>
      <c r="Y2629" s="17"/>
      <c r="Z2629" s="17"/>
      <c r="AA2629" s="17"/>
      <c r="AB2629" s="17"/>
      <c r="AC2629" s="17"/>
      <c r="AD2629" s="17"/>
      <c r="AE2629" s="17"/>
      <c r="AF2629" s="17"/>
      <c r="AG2629" s="17"/>
      <c r="AH2629" s="17"/>
      <c r="AI2629" s="17"/>
      <c r="AJ2629" s="17"/>
      <c r="AK2629" s="17"/>
      <c r="AL2629" s="17"/>
      <c r="AM2629" s="17"/>
      <c r="AN2629" s="17"/>
      <c r="AO2629" s="17"/>
      <c r="AP2629" s="17"/>
      <c r="AQ2629" s="17"/>
      <c r="AR2629" s="17"/>
      <c r="AS2629" s="17"/>
      <c r="AT2629" s="17"/>
      <c r="AU2629" s="17"/>
    </row>
    <row r="2630" hidden="1">
      <c r="A2630" s="17">
        <v>2628</v>
      </c>
      <c r="B2630" s="17" t="s">
        <v>52</v>
      </c>
      <c r="C2630" s="34" t="s">
        <v>7478</v>
      </c>
      <c r="D2630" s="35" t="s">
        <v>6576</v>
      </c>
      <c r="E2630" s="17"/>
      <c r="F2630" s="17">
        <v>0</v>
      </c>
      <c r="G2630" s="17">
        <v>21.839739999999999</v>
      </c>
      <c r="H2630" s="17">
        <v>87.887270000000001</v>
      </c>
      <c r="I2630" s="17"/>
      <c r="J2630" s="17"/>
      <c r="K2630" s="17"/>
      <c r="L2630" s="17"/>
      <c r="M2630" s="34" t="s">
        <v>7381</v>
      </c>
      <c r="N2630" s="17"/>
      <c r="O2630" s="17"/>
      <c r="P2630" s="17"/>
      <c r="Q2630" s="17"/>
      <c r="R2630" s="17"/>
      <c r="S2630" s="17"/>
      <c r="T2630" s="17"/>
      <c r="U2630" s="17"/>
      <c r="V2630" s="17"/>
      <c r="W2630" s="17"/>
      <c r="X2630" s="17"/>
      <c r="Y2630" s="17"/>
      <c r="Z2630" s="17"/>
      <c r="AA2630" s="17"/>
      <c r="AB2630" s="17"/>
      <c r="AC2630" s="17"/>
      <c r="AD2630" s="17"/>
      <c r="AE2630" s="17"/>
      <c r="AF2630" s="17"/>
      <c r="AG2630" s="17"/>
      <c r="AH2630" s="17"/>
      <c r="AI2630" s="17"/>
      <c r="AJ2630" s="17"/>
      <c r="AK2630" s="17"/>
      <c r="AL2630" s="17"/>
      <c r="AM2630" s="17"/>
      <c r="AN2630" s="17"/>
      <c r="AO2630" s="17"/>
      <c r="AP2630" s="17"/>
      <c r="AQ2630" s="17"/>
      <c r="AR2630" s="17"/>
      <c r="AS2630" s="17"/>
      <c r="AT2630" s="17"/>
      <c r="AU2630" s="17"/>
    </row>
    <row r="2631" hidden="1">
      <c r="A2631" s="17">
        <v>2629</v>
      </c>
      <c r="B2631" s="17" t="s">
        <v>52</v>
      </c>
      <c r="C2631" s="34" t="s">
        <v>7479</v>
      </c>
      <c r="D2631" s="35" t="s">
        <v>6576</v>
      </c>
      <c r="E2631" s="17"/>
      <c r="F2631" s="17"/>
      <c r="G2631" s="17"/>
      <c r="H2631" s="17"/>
      <c r="I2631" s="17"/>
      <c r="J2631" s="17"/>
      <c r="K2631" s="17"/>
      <c r="L2631" s="17"/>
      <c r="M2631" s="34" t="s">
        <v>7381</v>
      </c>
      <c r="N2631" s="17"/>
      <c r="O2631" s="17"/>
      <c r="P2631" s="17"/>
      <c r="Q2631" s="17"/>
      <c r="R2631" s="17"/>
      <c r="S2631" s="17"/>
      <c r="T2631" s="17"/>
      <c r="U2631" s="17"/>
      <c r="V2631" s="17"/>
      <c r="W2631" s="17"/>
      <c r="X2631" s="17"/>
      <c r="Y2631" s="17"/>
      <c r="Z2631" s="17"/>
      <c r="AA2631" s="17"/>
      <c r="AB2631" s="17"/>
      <c r="AC2631" s="17"/>
      <c r="AD2631" s="17"/>
      <c r="AE2631" s="17"/>
      <c r="AF2631" s="17"/>
      <c r="AG2631" s="17"/>
      <c r="AH2631" s="17"/>
      <c r="AI2631" s="17"/>
      <c r="AJ2631" s="17"/>
      <c r="AK2631" s="17"/>
      <c r="AL2631" s="17"/>
      <c r="AM2631" s="17"/>
      <c r="AN2631" s="17"/>
      <c r="AO2631" s="17"/>
      <c r="AP2631" s="17"/>
      <c r="AQ2631" s="17"/>
      <c r="AR2631" s="17"/>
      <c r="AS2631" s="17"/>
      <c r="AT2631" s="17"/>
      <c r="AU2631" s="17"/>
    </row>
    <row r="2632" hidden="1">
      <c r="A2632" s="17">
        <v>2630</v>
      </c>
      <c r="B2632" s="17" t="s">
        <v>52</v>
      </c>
      <c r="C2632" s="34" t="s">
        <v>7480</v>
      </c>
      <c r="D2632" s="35" t="s">
        <v>6576</v>
      </c>
      <c r="E2632" s="17" t="s">
        <v>7379</v>
      </c>
      <c r="F2632" s="17" t="s">
        <v>7481</v>
      </c>
      <c r="G2632" s="17">
        <v>21.863482999999999</v>
      </c>
      <c r="H2632" s="17">
        <v>87.932175999999998</v>
      </c>
      <c r="I2632" s="17"/>
      <c r="J2632" s="17"/>
      <c r="K2632" s="17"/>
      <c r="L2632" s="17"/>
      <c r="M2632" s="34" t="s">
        <v>7381</v>
      </c>
      <c r="N2632" s="17"/>
      <c r="O2632" s="17"/>
      <c r="P2632" s="17"/>
      <c r="Q2632" s="17"/>
      <c r="R2632" s="17"/>
      <c r="S2632" s="17"/>
      <c r="T2632" s="17"/>
      <c r="U2632" s="17"/>
      <c r="V2632" s="17"/>
      <c r="W2632" s="17"/>
      <c r="X2632" s="17"/>
      <c r="Y2632" s="17"/>
      <c r="Z2632" s="17"/>
      <c r="AA2632" s="17"/>
      <c r="AB2632" s="17"/>
      <c r="AC2632" s="17"/>
      <c r="AD2632" s="17"/>
      <c r="AE2632" s="17"/>
      <c r="AF2632" s="17"/>
      <c r="AG2632" s="17"/>
      <c r="AH2632" s="17"/>
      <c r="AI2632" s="17"/>
      <c r="AJ2632" s="17"/>
      <c r="AK2632" s="17"/>
      <c r="AL2632" s="17"/>
      <c r="AM2632" s="17"/>
      <c r="AN2632" s="17"/>
      <c r="AO2632" s="17"/>
      <c r="AP2632" s="17"/>
      <c r="AQ2632" s="17"/>
      <c r="AR2632" s="17"/>
      <c r="AS2632" s="17"/>
      <c r="AT2632" s="17"/>
      <c r="AU2632" s="17"/>
    </row>
    <row r="2633" hidden="1">
      <c r="A2633" s="17">
        <v>2631</v>
      </c>
      <c r="B2633" s="17" t="s">
        <v>52</v>
      </c>
      <c r="C2633" s="34" t="s">
        <v>7482</v>
      </c>
      <c r="D2633" s="35" t="s">
        <v>6576</v>
      </c>
      <c r="E2633" s="17" t="s">
        <v>7483</v>
      </c>
      <c r="F2633" s="17" t="s">
        <v>7484</v>
      </c>
      <c r="G2633" s="17">
        <v>21.679196000000001</v>
      </c>
      <c r="H2633" s="17">
        <v>87.696178000000003</v>
      </c>
      <c r="I2633" s="17"/>
      <c r="J2633" s="17"/>
      <c r="K2633" s="17"/>
      <c r="L2633" s="17"/>
      <c r="M2633" s="34" t="s">
        <v>7485</v>
      </c>
      <c r="N2633" s="17"/>
      <c r="O2633" s="17">
        <v>16</v>
      </c>
      <c r="P2633" s="17">
        <v>50</v>
      </c>
      <c r="Q2633" s="17" t="s">
        <v>73</v>
      </c>
      <c r="R2633" s="17" t="s">
        <v>104</v>
      </c>
      <c r="S2633" s="17"/>
      <c r="T2633" s="17"/>
      <c r="U2633" s="17" t="s">
        <v>105</v>
      </c>
      <c r="V2633" s="17" t="s">
        <v>77</v>
      </c>
      <c r="W2633" s="17" t="s">
        <v>136</v>
      </c>
      <c r="X2633" s="17">
        <v>3</v>
      </c>
      <c r="Y2633" s="17">
        <v>2</v>
      </c>
      <c r="Z2633" s="17"/>
      <c r="AA2633" s="17" t="s">
        <v>73</v>
      </c>
      <c r="AB2633" s="17" t="s">
        <v>79</v>
      </c>
      <c r="AC2633" s="17">
        <v>1</v>
      </c>
      <c r="AD2633" s="17">
        <v>0</v>
      </c>
      <c r="AE2633" s="17">
        <v>0</v>
      </c>
      <c r="AF2633" s="17"/>
      <c r="AG2633" s="17" t="s">
        <v>724</v>
      </c>
      <c r="AH2633" s="17"/>
      <c r="AI2633" s="17"/>
      <c r="AJ2633" s="17"/>
      <c r="AK2633" s="17"/>
      <c r="AL2633" s="17"/>
      <c r="AM2633" s="17"/>
      <c r="AN2633" s="17"/>
      <c r="AO2633" s="17"/>
      <c r="AP2633" s="17"/>
      <c r="AQ2633" s="17"/>
      <c r="AR2633" s="17"/>
      <c r="AS2633" s="17"/>
      <c r="AT2633" s="17" t="s">
        <v>7486</v>
      </c>
      <c r="AU2633" s="17" t="s">
        <v>111</v>
      </c>
    </row>
    <row r="2634" hidden="1">
      <c r="A2634" s="17">
        <v>2632</v>
      </c>
      <c r="B2634" s="17" t="s">
        <v>52</v>
      </c>
      <c r="C2634" s="34" t="s">
        <v>7487</v>
      </c>
      <c r="D2634" s="35" t="s">
        <v>6576</v>
      </c>
      <c r="E2634" s="17"/>
      <c r="F2634" s="17"/>
      <c r="G2634" s="17"/>
      <c r="H2634" s="17"/>
      <c r="I2634" s="17"/>
      <c r="J2634" s="17"/>
      <c r="K2634" s="17"/>
      <c r="L2634" s="17"/>
      <c r="M2634" s="34" t="s">
        <v>7485</v>
      </c>
      <c r="N2634" s="17"/>
      <c r="O2634" s="17"/>
      <c r="P2634" s="17"/>
      <c r="Q2634" s="17"/>
      <c r="R2634" s="17"/>
      <c r="S2634" s="17"/>
      <c r="T2634" s="17"/>
      <c r="U2634" s="17"/>
      <c r="V2634" s="17"/>
      <c r="W2634" s="17"/>
      <c r="X2634" s="17"/>
      <c r="Y2634" s="17"/>
      <c r="Z2634" s="17"/>
      <c r="AA2634" s="17"/>
      <c r="AB2634" s="17"/>
      <c r="AC2634" s="17"/>
      <c r="AD2634" s="17"/>
      <c r="AE2634" s="17"/>
      <c r="AF2634" s="17"/>
      <c r="AG2634" s="17"/>
      <c r="AH2634" s="17"/>
      <c r="AI2634" s="17"/>
      <c r="AJ2634" s="17"/>
      <c r="AK2634" s="17"/>
      <c r="AL2634" s="17"/>
      <c r="AM2634" s="17"/>
      <c r="AN2634" s="17"/>
      <c r="AO2634" s="17"/>
      <c r="AP2634" s="17"/>
      <c r="AQ2634" s="17"/>
      <c r="AR2634" s="17"/>
      <c r="AS2634" s="17"/>
      <c r="AT2634" s="17"/>
      <c r="AU2634" s="17"/>
    </row>
    <row r="2635" hidden="1">
      <c r="A2635" s="17">
        <v>2633</v>
      </c>
      <c r="B2635" s="17" t="s">
        <v>52</v>
      </c>
      <c r="C2635" s="34" t="s">
        <v>7488</v>
      </c>
      <c r="D2635" s="35" t="s">
        <v>6576</v>
      </c>
      <c r="E2635" s="17"/>
      <c r="F2635" s="17"/>
      <c r="G2635" s="17"/>
      <c r="H2635" s="17"/>
      <c r="I2635" s="17"/>
      <c r="J2635" s="17"/>
      <c r="K2635" s="17"/>
      <c r="L2635" s="17"/>
      <c r="M2635" s="34" t="s">
        <v>7485</v>
      </c>
      <c r="N2635" s="17"/>
      <c r="O2635" s="17"/>
      <c r="P2635" s="17"/>
      <c r="Q2635" s="17"/>
      <c r="R2635" s="17"/>
      <c r="S2635" s="17"/>
      <c r="T2635" s="17"/>
      <c r="U2635" s="17"/>
      <c r="V2635" s="17"/>
      <c r="W2635" s="17"/>
      <c r="X2635" s="17"/>
      <c r="Y2635" s="17"/>
      <c r="Z2635" s="17"/>
      <c r="AA2635" s="17"/>
      <c r="AB2635" s="17"/>
      <c r="AC2635" s="17"/>
      <c r="AD2635" s="17"/>
      <c r="AE2635" s="17"/>
      <c r="AF2635" s="17"/>
      <c r="AG2635" s="17"/>
      <c r="AH2635" s="17"/>
      <c r="AI2635" s="17"/>
      <c r="AJ2635" s="17"/>
      <c r="AK2635" s="17"/>
      <c r="AL2635" s="17"/>
      <c r="AM2635" s="17"/>
      <c r="AN2635" s="17"/>
      <c r="AO2635" s="17"/>
      <c r="AP2635" s="17"/>
      <c r="AQ2635" s="17"/>
      <c r="AR2635" s="17"/>
      <c r="AS2635" s="17"/>
      <c r="AT2635" s="17"/>
      <c r="AU2635" s="17"/>
    </row>
    <row r="2636" hidden="1">
      <c r="A2636" s="17">
        <v>2634</v>
      </c>
      <c r="B2636" s="17" t="s">
        <v>52</v>
      </c>
      <c r="C2636" s="34" t="s">
        <v>7489</v>
      </c>
      <c r="D2636" s="35" t="s">
        <v>6576</v>
      </c>
      <c r="E2636" s="17"/>
      <c r="F2636" s="17"/>
      <c r="G2636" s="17"/>
      <c r="H2636" s="17"/>
      <c r="I2636" s="17"/>
      <c r="J2636" s="17"/>
      <c r="K2636" s="17"/>
      <c r="L2636" s="17"/>
      <c r="M2636" s="34" t="s">
        <v>7485</v>
      </c>
      <c r="N2636" s="17"/>
      <c r="O2636" s="17"/>
      <c r="P2636" s="17"/>
      <c r="Q2636" s="17"/>
      <c r="R2636" s="17"/>
      <c r="S2636" s="17"/>
      <c r="T2636" s="17"/>
      <c r="U2636" s="17"/>
      <c r="V2636" s="17"/>
      <c r="W2636" s="17"/>
      <c r="X2636" s="17"/>
      <c r="Y2636" s="17"/>
      <c r="Z2636" s="17"/>
      <c r="AA2636" s="17"/>
      <c r="AB2636" s="17"/>
      <c r="AC2636" s="17"/>
      <c r="AD2636" s="17"/>
      <c r="AE2636" s="17"/>
      <c r="AF2636" s="17"/>
      <c r="AG2636" s="17"/>
      <c r="AH2636" s="17"/>
      <c r="AI2636" s="17"/>
      <c r="AJ2636" s="17"/>
      <c r="AK2636" s="17"/>
      <c r="AL2636" s="17"/>
      <c r="AM2636" s="17"/>
      <c r="AN2636" s="17"/>
      <c r="AO2636" s="17"/>
      <c r="AP2636" s="17"/>
      <c r="AQ2636" s="17"/>
      <c r="AR2636" s="17"/>
      <c r="AS2636" s="17"/>
      <c r="AT2636" s="17"/>
      <c r="AU2636" s="17"/>
    </row>
    <row r="2637" hidden="1">
      <c r="A2637" s="17">
        <v>2635</v>
      </c>
      <c r="B2637" s="17" t="s">
        <v>52</v>
      </c>
      <c r="C2637" s="34" t="s">
        <v>7490</v>
      </c>
      <c r="D2637" s="35" t="s">
        <v>6576</v>
      </c>
      <c r="E2637" s="17"/>
      <c r="F2637" s="17"/>
      <c r="G2637" s="17"/>
      <c r="H2637" s="17"/>
      <c r="I2637" s="17"/>
      <c r="J2637" s="17"/>
      <c r="K2637" s="17"/>
      <c r="L2637" s="17"/>
      <c r="M2637" s="34" t="s">
        <v>7485</v>
      </c>
      <c r="N2637" s="17"/>
      <c r="O2637" s="17"/>
      <c r="P2637" s="17"/>
      <c r="Q2637" s="17"/>
      <c r="R2637" s="17"/>
      <c r="S2637" s="17"/>
      <c r="T2637" s="17"/>
      <c r="U2637" s="17"/>
      <c r="V2637" s="17"/>
      <c r="W2637" s="17"/>
      <c r="X2637" s="17"/>
      <c r="Y2637" s="17"/>
      <c r="Z2637" s="17"/>
      <c r="AA2637" s="17"/>
      <c r="AB2637" s="17"/>
      <c r="AC2637" s="17"/>
      <c r="AD2637" s="17"/>
      <c r="AE2637" s="17"/>
      <c r="AF2637" s="17"/>
      <c r="AG2637" s="17"/>
      <c r="AH2637" s="17"/>
      <c r="AI2637" s="17"/>
      <c r="AJ2637" s="17"/>
      <c r="AK2637" s="17"/>
      <c r="AL2637" s="17"/>
      <c r="AM2637" s="17"/>
      <c r="AN2637" s="17"/>
      <c r="AO2637" s="17"/>
      <c r="AP2637" s="17"/>
      <c r="AQ2637" s="17"/>
      <c r="AR2637" s="17"/>
      <c r="AS2637" s="17"/>
      <c r="AT2637" s="17"/>
      <c r="AU2637" s="17"/>
    </row>
    <row r="2638" hidden="1">
      <c r="A2638" s="17">
        <v>2636</v>
      </c>
      <c r="B2638" s="17" t="s">
        <v>52</v>
      </c>
      <c r="C2638" s="34" t="s">
        <v>7491</v>
      </c>
      <c r="D2638" s="35" t="s">
        <v>6576</v>
      </c>
      <c r="E2638" s="17"/>
      <c r="F2638" s="17"/>
      <c r="G2638" s="17"/>
      <c r="H2638" s="17"/>
      <c r="I2638" s="17"/>
      <c r="J2638" s="17"/>
      <c r="K2638" s="17"/>
      <c r="L2638" s="17"/>
      <c r="M2638" s="34" t="s">
        <v>7485</v>
      </c>
      <c r="N2638" s="17"/>
      <c r="O2638" s="17"/>
      <c r="P2638" s="17"/>
      <c r="Q2638" s="17"/>
      <c r="R2638" s="17"/>
      <c r="S2638" s="17"/>
      <c r="T2638" s="17"/>
      <c r="U2638" s="17"/>
      <c r="V2638" s="17"/>
      <c r="W2638" s="17"/>
      <c r="X2638" s="17"/>
      <c r="Y2638" s="17"/>
      <c r="Z2638" s="17"/>
      <c r="AA2638" s="17"/>
      <c r="AB2638" s="17"/>
      <c r="AC2638" s="17"/>
      <c r="AD2638" s="17"/>
      <c r="AE2638" s="17"/>
      <c r="AF2638" s="17"/>
      <c r="AG2638" s="17"/>
      <c r="AH2638" s="17"/>
      <c r="AI2638" s="17"/>
      <c r="AJ2638" s="17"/>
      <c r="AK2638" s="17"/>
      <c r="AL2638" s="17"/>
      <c r="AM2638" s="17"/>
      <c r="AN2638" s="17"/>
      <c r="AO2638" s="17"/>
      <c r="AP2638" s="17"/>
      <c r="AQ2638" s="17"/>
      <c r="AR2638" s="17"/>
      <c r="AS2638" s="17"/>
      <c r="AT2638" s="17"/>
      <c r="AU2638" s="17"/>
    </row>
    <row r="2639" hidden="1">
      <c r="A2639" s="17">
        <v>2637</v>
      </c>
      <c r="B2639" s="17" t="s">
        <v>52</v>
      </c>
      <c r="C2639" s="34" t="s">
        <v>7492</v>
      </c>
      <c r="D2639" s="35" t="s">
        <v>6576</v>
      </c>
      <c r="E2639" s="17" t="s">
        <v>7493</v>
      </c>
      <c r="F2639" s="17" t="s">
        <v>7494</v>
      </c>
      <c r="G2639" s="17">
        <v>21.766878999999999</v>
      </c>
      <c r="H2639" s="17">
        <v>87.744878999999997</v>
      </c>
      <c r="I2639" s="17"/>
      <c r="J2639" s="17"/>
      <c r="K2639" s="17"/>
      <c r="L2639" s="17"/>
      <c r="M2639" s="34" t="s">
        <v>7485</v>
      </c>
      <c r="N2639" s="17"/>
      <c r="O2639" s="17"/>
      <c r="P2639" s="17"/>
      <c r="Q2639" s="17"/>
      <c r="R2639" s="17"/>
      <c r="S2639" s="17"/>
      <c r="T2639" s="17"/>
      <c r="U2639" s="17"/>
      <c r="V2639" s="17"/>
      <c r="W2639" s="17"/>
      <c r="X2639" s="17"/>
      <c r="Y2639" s="17"/>
      <c r="Z2639" s="17"/>
      <c r="AA2639" s="17"/>
      <c r="AB2639" s="17"/>
      <c r="AC2639" s="17"/>
      <c r="AD2639" s="17"/>
      <c r="AE2639" s="17"/>
      <c r="AF2639" s="17"/>
      <c r="AG2639" s="17"/>
      <c r="AH2639" s="17"/>
      <c r="AI2639" s="17"/>
      <c r="AJ2639" s="17"/>
      <c r="AK2639" s="17"/>
      <c r="AL2639" s="17"/>
      <c r="AM2639" s="17"/>
      <c r="AN2639" s="17"/>
      <c r="AO2639" s="17"/>
      <c r="AP2639" s="17"/>
      <c r="AQ2639" s="17"/>
      <c r="AR2639" s="17"/>
      <c r="AS2639" s="17"/>
      <c r="AT2639" s="17"/>
      <c r="AU2639" s="17"/>
    </row>
    <row r="2640" hidden="1">
      <c r="A2640" s="17">
        <v>2638</v>
      </c>
      <c r="B2640" s="17" t="s">
        <v>52</v>
      </c>
      <c r="C2640" s="34" t="s">
        <v>7495</v>
      </c>
      <c r="D2640" s="35" t="s">
        <v>6576</v>
      </c>
      <c r="E2640" s="17"/>
      <c r="F2640" s="17"/>
      <c r="G2640" s="17"/>
      <c r="H2640" s="17"/>
      <c r="I2640" s="17"/>
      <c r="J2640" s="17"/>
      <c r="K2640" s="17"/>
      <c r="L2640" s="17"/>
      <c r="M2640" s="34" t="s">
        <v>7485</v>
      </c>
      <c r="N2640" s="17"/>
      <c r="O2640" s="17"/>
      <c r="P2640" s="17"/>
      <c r="Q2640" s="17"/>
      <c r="R2640" s="17"/>
      <c r="S2640" s="17"/>
      <c r="T2640" s="17"/>
      <c r="U2640" s="17"/>
      <c r="V2640" s="17"/>
      <c r="W2640" s="17"/>
      <c r="X2640" s="17"/>
      <c r="Y2640" s="17"/>
      <c r="Z2640" s="17"/>
      <c r="AA2640" s="17"/>
      <c r="AB2640" s="17"/>
      <c r="AC2640" s="17"/>
      <c r="AD2640" s="17"/>
      <c r="AE2640" s="17"/>
      <c r="AF2640" s="17"/>
      <c r="AG2640" s="17"/>
      <c r="AH2640" s="17"/>
      <c r="AI2640" s="17"/>
      <c r="AJ2640" s="17"/>
      <c r="AK2640" s="17"/>
      <c r="AL2640" s="17"/>
      <c r="AM2640" s="17"/>
      <c r="AN2640" s="17"/>
      <c r="AO2640" s="17"/>
      <c r="AP2640" s="17"/>
      <c r="AQ2640" s="17"/>
      <c r="AR2640" s="17"/>
      <c r="AS2640" s="17"/>
      <c r="AT2640" s="17"/>
      <c r="AU2640" s="17"/>
    </row>
    <row r="2641" hidden="1">
      <c r="A2641" s="17">
        <v>2639</v>
      </c>
      <c r="B2641" s="17" t="s">
        <v>52</v>
      </c>
      <c r="C2641" s="34" t="s">
        <v>7496</v>
      </c>
      <c r="D2641" s="35" t="s">
        <v>6576</v>
      </c>
      <c r="E2641" s="17" t="s">
        <v>7497</v>
      </c>
      <c r="F2641" s="17" t="s">
        <v>7498</v>
      </c>
      <c r="G2641" s="17">
        <v>21.721357000000001</v>
      </c>
      <c r="H2641" s="17">
        <v>87.744724000000005</v>
      </c>
      <c r="I2641" s="17"/>
      <c r="J2641" s="17"/>
      <c r="K2641" s="17"/>
      <c r="L2641" s="17"/>
      <c r="M2641" s="34" t="s">
        <v>7485</v>
      </c>
      <c r="N2641" s="17"/>
      <c r="O2641" s="17"/>
      <c r="P2641" s="17"/>
      <c r="Q2641" s="17"/>
      <c r="R2641" s="17"/>
      <c r="S2641" s="17"/>
      <c r="T2641" s="17"/>
      <c r="U2641" s="17"/>
      <c r="V2641" s="17"/>
      <c r="W2641" s="17"/>
      <c r="X2641" s="17"/>
      <c r="Y2641" s="17"/>
      <c r="Z2641" s="17"/>
      <c r="AA2641" s="17"/>
      <c r="AB2641" s="17"/>
      <c r="AC2641" s="17"/>
      <c r="AD2641" s="17"/>
      <c r="AE2641" s="17"/>
      <c r="AF2641" s="17"/>
      <c r="AG2641" s="17"/>
      <c r="AH2641" s="17"/>
      <c r="AI2641" s="17"/>
      <c r="AJ2641" s="17"/>
      <c r="AK2641" s="17"/>
      <c r="AL2641" s="17"/>
      <c r="AM2641" s="17"/>
      <c r="AN2641" s="17"/>
      <c r="AO2641" s="17"/>
      <c r="AP2641" s="17"/>
      <c r="AQ2641" s="17"/>
      <c r="AR2641" s="17"/>
      <c r="AS2641" s="17"/>
      <c r="AT2641" s="17"/>
      <c r="AU2641" s="17"/>
    </row>
    <row r="2642" hidden="1">
      <c r="A2642" s="17">
        <v>2640</v>
      </c>
      <c r="B2642" s="17" t="s">
        <v>52</v>
      </c>
      <c r="C2642" s="34" t="s">
        <v>7499</v>
      </c>
      <c r="D2642" s="35" t="s">
        <v>6576</v>
      </c>
      <c r="E2642" s="17" t="s">
        <v>7500</v>
      </c>
      <c r="F2642" s="17" t="s">
        <v>7501</v>
      </c>
      <c r="G2642" s="17">
        <v>21.775696</v>
      </c>
      <c r="H2642" s="17">
        <v>87.745187000000001</v>
      </c>
      <c r="I2642" s="17"/>
      <c r="J2642" s="17"/>
      <c r="K2642" s="17"/>
      <c r="L2642" s="17"/>
      <c r="M2642" s="34" t="s">
        <v>7485</v>
      </c>
      <c r="N2642" s="17"/>
      <c r="O2642" s="17"/>
      <c r="P2642" s="17"/>
      <c r="Q2642" s="17"/>
      <c r="R2642" s="17"/>
      <c r="S2642" s="17"/>
      <c r="T2642" s="17"/>
      <c r="U2642" s="17"/>
      <c r="V2642" s="17"/>
      <c r="W2642" s="17"/>
      <c r="X2642" s="17"/>
      <c r="Y2642" s="17"/>
      <c r="Z2642" s="17"/>
      <c r="AA2642" s="17"/>
      <c r="AB2642" s="17"/>
      <c r="AC2642" s="17"/>
      <c r="AD2642" s="17"/>
      <c r="AE2642" s="17"/>
      <c r="AF2642" s="17"/>
      <c r="AG2642" s="17"/>
      <c r="AH2642" s="17"/>
      <c r="AI2642" s="17"/>
      <c r="AJ2642" s="17"/>
      <c r="AK2642" s="17"/>
      <c r="AL2642" s="17"/>
      <c r="AM2642" s="17"/>
      <c r="AN2642" s="17"/>
      <c r="AO2642" s="17"/>
      <c r="AP2642" s="17"/>
      <c r="AQ2642" s="17"/>
      <c r="AR2642" s="17"/>
      <c r="AS2642" s="17"/>
      <c r="AT2642" s="17"/>
      <c r="AU2642" s="17"/>
    </row>
    <row r="2643" hidden="1">
      <c r="A2643" s="17">
        <v>2641</v>
      </c>
      <c r="B2643" s="17" t="s">
        <v>52</v>
      </c>
      <c r="C2643" s="34" t="s">
        <v>7502</v>
      </c>
      <c r="D2643" s="35" t="s">
        <v>6576</v>
      </c>
      <c r="E2643" s="17" t="s">
        <v>7503</v>
      </c>
      <c r="F2643" s="17" t="s">
        <v>7504</v>
      </c>
      <c r="G2643" s="17">
        <v>21.728835</v>
      </c>
      <c r="H2643" s="17">
        <v>87.714284000000006</v>
      </c>
      <c r="I2643" s="17"/>
      <c r="J2643" s="17"/>
      <c r="K2643" s="17"/>
      <c r="L2643" s="17"/>
      <c r="M2643" s="34" t="s">
        <v>7485</v>
      </c>
      <c r="N2643" s="17"/>
      <c r="O2643" s="17"/>
      <c r="P2643" s="17"/>
      <c r="Q2643" s="17"/>
      <c r="R2643" s="17"/>
      <c r="S2643" s="17"/>
      <c r="T2643" s="17"/>
      <c r="U2643" s="17"/>
      <c r="V2643" s="17"/>
      <c r="W2643" s="17"/>
      <c r="X2643" s="17"/>
      <c r="Y2643" s="17"/>
      <c r="Z2643" s="17"/>
      <c r="AA2643" s="17"/>
      <c r="AB2643" s="17"/>
      <c r="AC2643" s="17"/>
      <c r="AD2643" s="17"/>
      <c r="AE2643" s="17"/>
      <c r="AF2643" s="17"/>
      <c r="AG2643" s="17"/>
      <c r="AH2643" s="17"/>
      <c r="AI2643" s="17"/>
      <c r="AJ2643" s="17"/>
      <c r="AK2643" s="17"/>
      <c r="AL2643" s="17"/>
      <c r="AM2643" s="17"/>
      <c r="AN2643" s="17"/>
      <c r="AO2643" s="17"/>
      <c r="AP2643" s="17"/>
      <c r="AQ2643" s="17"/>
      <c r="AR2643" s="17"/>
      <c r="AS2643" s="17"/>
      <c r="AT2643" s="17"/>
      <c r="AU2643" s="17"/>
    </row>
    <row r="2644" hidden="1">
      <c r="A2644" s="17">
        <v>2642</v>
      </c>
      <c r="B2644" s="17" t="s">
        <v>52</v>
      </c>
      <c r="C2644" s="34" t="s">
        <v>7505</v>
      </c>
      <c r="D2644" s="35" t="s">
        <v>6576</v>
      </c>
      <c r="E2644" s="17" t="s">
        <v>7506</v>
      </c>
      <c r="F2644" s="17" t="s">
        <v>7507</v>
      </c>
      <c r="G2644" s="17">
        <v>21.744668000000001</v>
      </c>
      <c r="H2644" s="17">
        <v>87.733001000000002</v>
      </c>
      <c r="I2644" s="17"/>
      <c r="J2644" s="17"/>
      <c r="K2644" s="17"/>
      <c r="L2644" s="17"/>
      <c r="M2644" s="34" t="s">
        <v>7485</v>
      </c>
      <c r="N2644" s="17"/>
      <c r="O2644" s="17"/>
      <c r="P2644" s="17"/>
      <c r="Q2644" s="17"/>
      <c r="R2644" s="17"/>
      <c r="S2644" s="17"/>
      <c r="T2644" s="17"/>
      <c r="U2644" s="17"/>
      <c r="V2644" s="17"/>
      <c r="W2644" s="17"/>
      <c r="X2644" s="17"/>
      <c r="Y2644" s="17"/>
      <c r="Z2644" s="17"/>
      <c r="AA2644" s="17"/>
      <c r="AB2644" s="17"/>
      <c r="AC2644" s="17"/>
      <c r="AD2644" s="17"/>
      <c r="AE2644" s="17"/>
      <c r="AF2644" s="17"/>
      <c r="AG2644" s="17"/>
      <c r="AH2644" s="17"/>
      <c r="AI2644" s="17"/>
      <c r="AJ2644" s="17"/>
      <c r="AK2644" s="17"/>
      <c r="AL2644" s="17"/>
      <c r="AM2644" s="17"/>
      <c r="AN2644" s="17"/>
      <c r="AO2644" s="17"/>
      <c r="AP2644" s="17"/>
      <c r="AQ2644" s="17"/>
      <c r="AR2644" s="17"/>
      <c r="AS2644" s="17"/>
      <c r="AT2644" s="17"/>
      <c r="AU2644" s="17"/>
    </row>
    <row r="2645" hidden="1">
      <c r="A2645" s="17">
        <v>2643</v>
      </c>
      <c r="B2645" s="17" t="s">
        <v>52</v>
      </c>
      <c r="C2645" s="34" t="s">
        <v>7508</v>
      </c>
      <c r="D2645" s="35" t="s">
        <v>6576</v>
      </c>
      <c r="E2645" s="17" t="s">
        <v>7509</v>
      </c>
      <c r="F2645" s="17" t="s">
        <v>7510</v>
      </c>
      <c r="G2645" s="17">
        <v>21.715216999999999</v>
      </c>
      <c r="H2645" s="17">
        <v>87.787751</v>
      </c>
      <c r="I2645" s="17"/>
      <c r="J2645" s="17"/>
      <c r="K2645" s="17"/>
      <c r="L2645" s="17"/>
      <c r="M2645" s="34" t="s">
        <v>7485</v>
      </c>
      <c r="N2645" s="17"/>
      <c r="O2645" s="17"/>
      <c r="P2645" s="17"/>
      <c r="Q2645" s="17"/>
      <c r="R2645" s="17"/>
      <c r="S2645" s="17"/>
      <c r="T2645" s="17"/>
      <c r="U2645" s="17"/>
      <c r="V2645" s="17"/>
      <c r="W2645" s="17"/>
      <c r="X2645" s="17"/>
      <c r="Y2645" s="17"/>
      <c r="Z2645" s="17"/>
      <c r="AA2645" s="17"/>
      <c r="AB2645" s="17"/>
      <c r="AC2645" s="17"/>
      <c r="AD2645" s="17"/>
      <c r="AE2645" s="17"/>
      <c r="AF2645" s="17"/>
      <c r="AG2645" s="17"/>
      <c r="AH2645" s="17"/>
      <c r="AI2645" s="17"/>
      <c r="AJ2645" s="17"/>
      <c r="AK2645" s="17"/>
      <c r="AL2645" s="17"/>
      <c r="AM2645" s="17"/>
      <c r="AN2645" s="17"/>
      <c r="AO2645" s="17"/>
      <c r="AP2645" s="17"/>
      <c r="AQ2645" s="17"/>
      <c r="AR2645" s="17"/>
      <c r="AS2645" s="17"/>
      <c r="AT2645" s="17"/>
      <c r="AU2645" s="17"/>
    </row>
    <row r="2646" hidden="1">
      <c r="A2646" s="17">
        <v>2644</v>
      </c>
      <c r="B2646" s="17" t="s">
        <v>52</v>
      </c>
      <c r="C2646" s="34" t="s">
        <v>7511</v>
      </c>
      <c r="D2646" s="35" t="s">
        <v>6576</v>
      </c>
      <c r="E2646" s="17" t="s">
        <v>7512</v>
      </c>
      <c r="F2646" s="17" t="s">
        <v>7513</v>
      </c>
      <c r="G2646" s="17">
        <v>21.781033999999998</v>
      </c>
      <c r="H2646" s="17">
        <v>87.773964000000007</v>
      </c>
      <c r="I2646" s="17"/>
      <c r="J2646" s="17"/>
      <c r="K2646" s="17"/>
      <c r="L2646" s="17"/>
      <c r="M2646" s="34" t="s">
        <v>7485</v>
      </c>
      <c r="N2646" s="17"/>
      <c r="O2646" s="17"/>
      <c r="P2646" s="17"/>
      <c r="Q2646" s="17"/>
      <c r="R2646" s="17"/>
      <c r="S2646" s="17"/>
      <c r="T2646" s="17"/>
      <c r="U2646" s="17"/>
      <c r="V2646" s="17"/>
      <c r="W2646" s="17"/>
      <c r="X2646" s="17"/>
      <c r="Y2646" s="17"/>
      <c r="Z2646" s="17"/>
      <c r="AA2646" s="17"/>
      <c r="AB2646" s="17"/>
      <c r="AC2646" s="17"/>
      <c r="AD2646" s="17"/>
      <c r="AE2646" s="17"/>
      <c r="AF2646" s="17"/>
      <c r="AG2646" s="17"/>
      <c r="AH2646" s="17"/>
      <c r="AI2646" s="17"/>
      <c r="AJ2646" s="17"/>
      <c r="AK2646" s="17"/>
      <c r="AL2646" s="17"/>
      <c r="AM2646" s="17"/>
      <c r="AN2646" s="17"/>
      <c r="AO2646" s="17"/>
      <c r="AP2646" s="17"/>
      <c r="AQ2646" s="17"/>
      <c r="AR2646" s="17"/>
      <c r="AS2646" s="17"/>
      <c r="AT2646" s="17"/>
      <c r="AU2646" s="17"/>
    </row>
    <row r="2647" hidden="1">
      <c r="A2647" s="17">
        <v>2645</v>
      </c>
      <c r="B2647" s="17" t="s">
        <v>52</v>
      </c>
      <c r="C2647" s="34" t="s">
        <v>7514</v>
      </c>
      <c r="D2647" s="35" t="s">
        <v>6576</v>
      </c>
      <c r="E2647" s="17"/>
      <c r="F2647" s="17"/>
      <c r="G2647" s="17"/>
      <c r="H2647" s="17"/>
      <c r="I2647" s="17"/>
      <c r="J2647" s="17"/>
      <c r="K2647" s="17"/>
      <c r="L2647" s="17"/>
      <c r="M2647" s="34" t="s">
        <v>7485</v>
      </c>
      <c r="N2647" s="17"/>
      <c r="O2647" s="17"/>
      <c r="P2647" s="17"/>
      <c r="Q2647" s="17"/>
      <c r="R2647" s="17"/>
      <c r="S2647" s="17"/>
      <c r="T2647" s="17"/>
      <c r="U2647" s="17"/>
      <c r="V2647" s="17"/>
      <c r="W2647" s="17"/>
      <c r="X2647" s="17"/>
      <c r="Y2647" s="17"/>
      <c r="Z2647" s="17"/>
      <c r="AA2647" s="17"/>
      <c r="AB2647" s="17"/>
      <c r="AC2647" s="17"/>
      <c r="AD2647" s="17"/>
      <c r="AE2647" s="17"/>
      <c r="AF2647" s="17"/>
      <c r="AG2647" s="17"/>
      <c r="AH2647" s="17"/>
      <c r="AI2647" s="17"/>
      <c r="AJ2647" s="17"/>
      <c r="AK2647" s="17"/>
      <c r="AL2647" s="17"/>
      <c r="AM2647" s="17"/>
      <c r="AN2647" s="17"/>
      <c r="AO2647" s="17"/>
      <c r="AP2647" s="17"/>
      <c r="AQ2647" s="17"/>
      <c r="AR2647" s="17"/>
      <c r="AS2647" s="17"/>
      <c r="AT2647" s="17"/>
      <c r="AU2647" s="17"/>
    </row>
    <row r="2648" hidden="1">
      <c r="A2648" s="17">
        <v>2646</v>
      </c>
      <c r="B2648" s="17" t="s">
        <v>52</v>
      </c>
      <c r="C2648" s="34" t="s">
        <v>7515</v>
      </c>
      <c r="D2648" s="35" t="s">
        <v>6576</v>
      </c>
      <c r="E2648" s="17" t="s">
        <v>7516</v>
      </c>
      <c r="F2648" s="17" t="s">
        <v>7517</v>
      </c>
      <c r="G2648" s="17">
        <v>21.761385000000001</v>
      </c>
      <c r="H2648" s="17">
        <v>87.640872000000002</v>
      </c>
      <c r="I2648" s="17"/>
      <c r="J2648" s="17"/>
      <c r="K2648" s="17"/>
      <c r="L2648" s="17"/>
      <c r="M2648" s="34" t="s">
        <v>7485</v>
      </c>
      <c r="N2648" s="17"/>
      <c r="O2648" s="17"/>
      <c r="P2648" s="17"/>
      <c r="Q2648" s="17"/>
      <c r="R2648" s="17"/>
      <c r="S2648" s="17"/>
      <c r="T2648" s="17"/>
      <c r="U2648" s="17"/>
      <c r="V2648" s="17"/>
      <c r="W2648" s="17"/>
      <c r="X2648" s="17"/>
      <c r="Y2648" s="17"/>
      <c r="Z2648" s="17"/>
      <c r="AA2648" s="17"/>
      <c r="AB2648" s="17"/>
      <c r="AC2648" s="17"/>
      <c r="AD2648" s="17"/>
      <c r="AE2648" s="17"/>
      <c r="AF2648" s="17"/>
      <c r="AG2648" s="17"/>
      <c r="AH2648" s="17"/>
      <c r="AI2648" s="17"/>
      <c r="AJ2648" s="17"/>
      <c r="AK2648" s="17"/>
      <c r="AL2648" s="17"/>
      <c r="AM2648" s="17"/>
      <c r="AN2648" s="17"/>
      <c r="AO2648" s="17"/>
      <c r="AP2648" s="17"/>
      <c r="AQ2648" s="17"/>
      <c r="AR2648" s="17"/>
      <c r="AS2648" s="17"/>
      <c r="AT2648" s="17"/>
      <c r="AU2648" s="17"/>
    </row>
    <row r="2649" hidden="1">
      <c r="A2649" s="17">
        <v>2647</v>
      </c>
      <c r="B2649" s="17" t="s">
        <v>52</v>
      </c>
      <c r="C2649" s="34" t="s">
        <v>7518</v>
      </c>
      <c r="D2649" s="35" t="s">
        <v>6576</v>
      </c>
      <c r="E2649" s="17" t="s">
        <v>7519</v>
      </c>
      <c r="F2649" s="17" t="s">
        <v>7520</v>
      </c>
      <c r="G2649" s="17">
        <v>21.699112</v>
      </c>
      <c r="H2649" s="17">
        <v>87.670500000000004</v>
      </c>
      <c r="I2649" s="17"/>
      <c r="J2649" s="17"/>
      <c r="K2649" s="17"/>
      <c r="L2649" s="17"/>
      <c r="M2649" s="34" t="s">
        <v>7485</v>
      </c>
      <c r="N2649" s="17"/>
      <c r="O2649" s="17"/>
      <c r="P2649" s="17"/>
      <c r="Q2649" s="17"/>
      <c r="R2649" s="17"/>
      <c r="S2649" s="17"/>
      <c r="T2649" s="17"/>
      <c r="U2649" s="17"/>
      <c r="V2649" s="17"/>
      <c r="W2649" s="17"/>
      <c r="X2649" s="17"/>
      <c r="Y2649" s="17"/>
      <c r="Z2649" s="17"/>
      <c r="AA2649" s="17"/>
      <c r="AB2649" s="17"/>
      <c r="AC2649" s="17"/>
      <c r="AD2649" s="17"/>
      <c r="AE2649" s="17"/>
      <c r="AF2649" s="17"/>
      <c r="AG2649" s="17"/>
      <c r="AH2649" s="17"/>
      <c r="AI2649" s="17"/>
      <c r="AJ2649" s="17"/>
      <c r="AK2649" s="17"/>
      <c r="AL2649" s="17"/>
      <c r="AM2649" s="17"/>
      <c r="AN2649" s="17"/>
      <c r="AO2649" s="17"/>
      <c r="AP2649" s="17"/>
      <c r="AQ2649" s="17"/>
      <c r="AR2649" s="17"/>
      <c r="AS2649" s="17"/>
      <c r="AT2649" s="17"/>
      <c r="AU2649" s="17"/>
    </row>
    <row r="2650" hidden="1">
      <c r="A2650" s="17">
        <v>2648</v>
      </c>
      <c r="B2650" s="17" t="s">
        <v>52</v>
      </c>
      <c r="C2650" s="34" t="s">
        <v>7521</v>
      </c>
      <c r="D2650" s="35" t="s">
        <v>6576</v>
      </c>
      <c r="E2650" s="17" t="s">
        <v>7522</v>
      </c>
      <c r="F2650" s="17" t="s">
        <v>7523</v>
      </c>
      <c r="G2650" s="17">
        <v>21.656841</v>
      </c>
      <c r="H2650" s="17">
        <v>87.676434</v>
      </c>
      <c r="I2650" s="17"/>
      <c r="J2650" s="17"/>
      <c r="K2650" s="17"/>
      <c r="L2650" s="17"/>
      <c r="M2650" s="34" t="s">
        <v>7485</v>
      </c>
      <c r="N2650" s="17"/>
      <c r="O2650" s="17"/>
      <c r="P2650" s="17"/>
      <c r="Q2650" s="17"/>
      <c r="R2650" s="17"/>
      <c r="S2650" s="17"/>
      <c r="T2650" s="17"/>
      <c r="U2650" s="17"/>
      <c r="V2650" s="17"/>
      <c r="W2650" s="17"/>
      <c r="X2650" s="17"/>
      <c r="Y2650" s="17"/>
      <c r="Z2650" s="17"/>
      <c r="AA2650" s="17"/>
      <c r="AB2650" s="17"/>
      <c r="AC2650" s="17"/>
      <c r="AD2650" s="17"/>
      <c r="AE2650" s="17"/>
      <c r="AF2650" s="17"/>
      <c r="AG2650" s="17"/>
      <c r="AH2650" s="17"/>
      <c r="AI2650" s="17"/>
      <c r="AJ2650" s="17"/>
      <c r="AK2650" s="17"/>
      <c r="AL2650" s="17"/>
      <c r="AM2650" s="17"/>
      <c r="AN2650" s="17"/>
      <c r="AO2650" s="17"/>
      <c r="AP2650" s="17"/>
      <c r="AQ2650" s="17"/>
      <c r="AR2650" s="17"/>
      <c r="AS2650" s="17"/>
      <c r="AT2650" s="17"/>
      <c r="AU2650" s="17"/>
    </row>
    <row r="2651" hidden="1">
      <c r="A2651" s="17">
        <v>2649</v>
      </c>
      <c r="B2651" s="17" t="s">
        <v>52</v>
      </c>
      <c r="C2651" s="34" t="s">
        <v>7524</v>
      </c>
      <c r="D2651" s="35" t="s">
        <v>6576</v>
      </c>
      <c r="E2651" s="17" t="s">
        <v>7525</v>
      </c>
      <c r="F2651" s="17" t="s">
        <v>7526</v>
      </c>
      <c r="G2651" s="17">
        <v>21.779917999999999</v>
      </c>
      <c r="H2651" s="17">
        <v>87.761003000000002</v>
      </c>
      <c r="I2651" s="17"/>
      <c r="J2651" s="17"/>
      <c r="K2651" s="17"/>
      <c r="L2651" s="17"/>
      <c r="M2651" s="34" t="s">
        <v>7485</v>
      </c>
      <c r="N2651" s="17"/>
      <c r="O2651" s="17">
        <v>16</v>
      </c>
      <c r="P2651" s="17">
        <v>120</v>
      </c>
      <c r="Q2651" s="17" t="s">
        <v>73</v>
      </c>
      <c r="R2651" s="17" t="s">
        <v>74</v>
      </c>
      <c r="S2651" s="17"/>
      <c r="T2651" s="17"/>
      <c r="U2651" s="17" t="s">
        <v>105</v>
      </c>
      <c r="V2651" s="17" t="s">
        <v>77</v>
      </c>
      <c r="W2651" s="17" t="s">
        <v>454</v>
      </c>
      <c r="X2651" s="17">
        <v>5</v>
      </c>
      <c r="Y2651" s="17">
        <v>0</v>
      </c>
      <c r="Z2651" s="17"/>
      <c r="AA2651" s="17" t="s">
        <v>73</v>
      </c>
      <c r="AB2651" s="17" t="s">
        <v>79</v>
      </c>
      <c r="AC2651" s="17">
        <v>2</v>
      </c>
      <c r="AD2651" s="17">
        <v>0</v>
      </c>
      <c r="AE2651" s="17">
        <v>1</v>
      </c>
      <c r="AF2651" s="17" t="s">
        <v>7527</v>
      </c>
      <c r="AG2651" s="17" t="s">
        <v>81</v>
      </c>
      <c r="AH2651" s="17" t="s">
        <v>82</v>
      </c>
      <c r="AI2651" s="17" t="s">
        <v>107</v>
      </c>
      <c r="AJ2651" s="17"/>
      <c r="AK2651" s="17" t="s">
        <v>75</v>
      </c>
      <c r="AL2651" s="17" t="s">
        <v>137</v>
      </c>
      <c r="AM2651" s="17" t="s">
        <v>163</v>
      </c>
      <c r="AN2651" s="17" t="s">
        <v>84</v>
      </c>
      <c r="AO2651" s="17" t="s">
        <v>137</v>
      </c>
      <c r="AP2651" s="17"/>
      <c r="AQ2651" s="17"/>
      <c r="AR2651" s="17"/>
      <c r="AS2651" s="17"/>
      <c r="AT2651" s="17"/>
      <c r="AU2651" s="17" t="s">
        <v>127</v>
      </c>
    </row>
    <row r="2652" hidden="1">
      <c r="A2652" s="17">
        <v>2650</v>
      </c>
      <c r="B2652" s="17" t="s">
        <v>52</v>
      </c>
      <c r="C2652" s="34" t="s">
        <v>7528</v>
      </c>
      <c r="D2652" s="35" t="s">
        <v>6576</v>
      </c>
      <c r="E2652" s="17" t="s">
        <v>7529</v>
      </c>
      <c r="F2652" s="17" t="s">
        <v>7530</v>
      </c>
      <c r="G2652" s="17">
        <v>21.751906999999999</v>
      </c>
      <c r="H2652" s="17">
        <v>87.777221999999995</v>
      </c>
      <c r="I2652" s="17"/>
      <c r="J2652" s="17"/>
      <c r="K2652" s="17"/>
      <c r="L2652" s="17"/>
      <c r="M2652" s="34" t="s">
        <v>7485</v>
      </c>
      <c r="N2652" s="17"/>
      <c r="O2652" s="17">
        <v>10</v>
      </c>
      <c r="P2652" s="17">
        <v>100</v>
      </c>
      <c r="Q2652" s="17" t="s">
        <v>73</v>
      </c>
      <c r="R2652" s="17" t="s">
        <v>74</v>
      </c>
      <c r="S2652" s="17" t="s">
        <v>137</v>
      </c>
      <c r="T2652" s="17" t="s">
        <v>7531</v>
      </c>
      <c r="U2652" s="17" t="s">
        <v>160</v>
      </c>
      <c r="V2652" s="17" t="s">
        <v>77</v>
      </c>
      <c r="W2652" s="17" t="s">
        <v>78</v>
      </c>
      <c r="X2652" s="17">
        <v>5</v>
      </c>
      <c r="Y2652" s="17">
        <v>0</v>
      </c>
      <c r="Z2652" s="17"/>
      <c r="AA2652" s="17" t="s">
        <v>73</v>
      </c>
      <c r="AB2652" s="17" t="s">
        <v>79</v>
      </c>
      <c r="AC2652" s="17">
        <v>2</v>
      </c>
      <c r="AD2652" s="17">
        <v>0</v>
      </c>
      <c r="AE2652" s="17">
        <v>0</v>
      </c>
      <c r="AF2652" s="17"/>
      <c r="AG2652" s="17" t="s">
        <v>124</v>
      </c>
      <c r="AH2652" s="17" t="s">
        <v>82</v>
      </c>
      <c r="AI2652" s="17" t="s">
        <v>83</v>
      </c>
      <c r="AJ2652" s="17">
        <v>2111</v>
      </c>
      <c r="AK2652" s="17" t="s">
        <v>75</v>
      </c>
      <c r="AL2652" s="17" t="s">
        <v>75</v>
      </c>
      <c r="AM2652" s="17" t="s">
        <v>75</v>
      </c>
      <c r="AN2652" s="17" t="s">
        <v>84</v>
      </c>
      <c r="AO2652" s="17" t="s">
        <v>75</v>
      </c>
      <c r="AP2652" s="17"/>
      <c r="AQ2652" s="17"/>
      <c r="AR2652" s="17"/>
      <c r="AS2652" s="17"/>
      <c r="AT2652" s="17" t="s">
        <v>7532</v>
      </c>
      <c r="AU2652" s="17" t="s">
        <v>127</v>
      </c>
    </row>
    <row r="2653" hidden="1">
      <c r="A2653" s="17">
        <v>2651</v>
      </c>
      <c r="B2653" s="17" t="s">
        <v>52</v>
      </c>
      <c r="C2653" s="34" t="s">
        <v>7533</v>
      </c>
      <c r="D2653" s="35" t="s">
        <v>6576</v>
      </c>
      <c r="E2653" s="17" t="s">
        <v>7534</v>
      </c>
      <c r="F2653" s="17" t="s">
        <v>7535</v>
      </c>
      <c r="G2653" s="17">
        <v>21.726507999999999</v>
      </c>
      <c r="H2653" s="17">
        <v>87.664344</v>
      </c>
      <c r="I2653" s="17"/>
      <c r="J2653" s="17"/>
      <c r="K2653" s="17"/>
      <c r="L2653" s="17"/>
      <c r="M2653" s="34" t="s">
        <v>7485</v>
      </c>
      <c r="N2653" s="17"/>
      <c r="O2653" s="17">
        <v>12</v>
      </c>
      <c r="P2653" s="17">
        <v>115</v>
      </c>
      <c r="Q2653" s="17" t="s">
        <v>187</v>
      </c>
      <c r="R2653" s="17" t="s">
        <v>74</v>
      </c>
      <c r="S2653" s="17"/>
      <c r="T2653" s="17"/>
      <c r="U2653" s="17" t="s">
        <v>7536</v>
      </c>
      <c r="V2653" s="17" t="s">
        <v>442</v>
      </c>
      <c r="W2653" s="17" t="s">
        <v>449</v>
      </c>
      <c r="X2653" s="17">
        <v>6</v>
      </c>
      <c r="Y2653" s="17">
        <v>4</v>
      </c>
      <c r="Z2653" s="17"/>
      <c r="AA2653" s="17" t="s">
        <v>187</v>
      </c>
      <c r="AB2653" s="17" t="s">
        <v>79</v>
      </c>
      <c r="AC2653" s="17">
        <v>5</v>
      </c>
      <c r="AD2653" s="17">
        <v>0</v>
      </c>
      <c r="AE2653" s="17">
        <v>0</v>
      </c>
      <c r="AF2653" s="17"/>
      <c r="AG2653" s="17" t="s">
        <v>124</v>
      </c>
      <c r="AH2653" s="17" t="s">
        <v>162</v>
      </c>
      <c r="AI2653" s="17" t="s">
        <v>83</v>
      </c>
      <c r="AJ2653" s="17">
        <v>2112</v>
      </c>
      <c r="AK2653" s="17" t="s">
        <v>75</v>
      </c>
      <c r="AL2653" s="17" t="s">
        <v>75</v>
      </c>
      <c r="AM2653" s="17" t="s">
        <v>75</v>
      </c>
      <c r="AN2653" s="17" t="s">
        <v>84</v>
      </c>
      <c r="AO2653" s="17" t="s">
        <v>75</v>
      </c>
      <c r="AP2653" s="17"/>
      <c r="AQ2653" s="17"/>
      <c r="AR2653" s="17"/>
      <c r="AS2653" s="17"/>
      <c r="AT2653" s="17"/>
      <c r="AU2653" s="17" t="s">
        <v>111</v>
      </c>
    </row>
    <row r="2654" hidden="1">
      <c r="A2654" s="17">
        <v>2652</v>
      </c>
      <c r="B2654" s="17" t="s">
        <v>52</v>
      </c>
      <c r="C2654" s="34" t="s">
        <v>7537</v>
      </c>
      <c r="D2654" s="35" t="s">
        <v>6576</v>
      </c>
      <c r="E2654" s="17" t="s">
        <v>7538</v>
      </c>
      <c r="F2654" s="17" t="s">
        <v>7539</v>
      </c>
      <c r="G2654" s="17">
        <v>21.712508</v>
      </c>
      <c r="H2654" s="17">
        <v>87.699785000000006</v>
      </c>
      <c r="I2654" s="17"/>
      <c r="J2654" s="17"/>
      <c r="K2654" s="17"/>
      <c r="L2654" s="17"/>
      <c r="M2654" s="34" t="s">
        <v>7485</v>
      </c>
      <c r="N2654" s="17"/>
      <c r="O2654" s="17">
        <v>9</v>
      </c>
      <c r="P2654" s="17">
        <v>95</v>
      </c>
      <c r="Q2654" s="17" t="s">
        <v>73</v>
      </c>
      <c r="R2654" s="17" t="s">
        <v>74</v>
      </c>
      <c r="S2654" s="17"/>
      <c r="T2654" s="17"/>
      <c r="U2654" s="17" t="s">
        <v>76</v>
      </c>
      <c r="V2654" s="17" t="s">
        <v>77</v>
      </c>
      <c r="W2654" s="17" t="s">
        <v>143</v>
      </c>
      <c r="X2654" s="17">
        <v>5</v>
      </c>
      <c r="Y2654" s="17">
        <v>4</v>
      </c>
      <c r="Z2654" s="17"/>
      <c r="AA2654" s="17" t="s">
        <v>73</v>
      </c>
      <c r="AB2654" s="17" t="s">
        <v>79</v>
      </c>
      <c r="AC2654" s="17">
        <v>1</v>
      </c>
      <c r="AD2654" s="17">
        <v>0</v>
      </c>
      <c r="AE2654" s="17">
        <v>0</v>
      </c>
      <c r="AF2654" s="17"/>
      <c r="AG2654" s="17" t="s">
        <v>124</v>
      </c>
      <c r="AH2654" s="17" t="s">
        <v>82</v>
      </c>
      <c r="AI2654" s="17" t="s">
        <v>83</v>
      </c>
      <c r="AJ2654" s="17">
        <v>2111</v>
      </c>
      <c r="AK2654" s="17" t="s">
        <v>75</v>
      </c>
      <c r="AL2654" s="17" t="s">
        <v>75</v>
      </c>
      <c r="AM2654" s="17" t="s">
        <v>75</v>
      </c>
      <c r="AN2654" s="17" t="s">
        <v>84</v>
      </c>
      <c r="AO2654" s="17" t="s">
        <v>75</v>
      </c>
      <c r="AP2654" s="17"/>
      <c r="AQ2654" s="17"/>
      <c r="AR2654" s="17"/>
      <c r="AS2654" s="17"/>
      <c r="AT2654" s="17" t="s">
        <v>7540</v>
      </c>
      <c r="AU2654" s="17" t="s">
        <v>111</v>
      </c>
    </row>
    <row r="2655" hidden="1">
      <c r="A2655" s="17">
        <v>2653</v>
      </c>
      <c r="B2655" s="17" t="s">
        <v>52</v>
      </c>
      <c r="C2655" s="34" t="s">
        <v>7541</v>
      </c>
      <c r="D2655" s="35" t="s">
        <v>6576</v>
      </c>
      <c r="E2655" s="17" t="s">
        <v>7542</v>
      </c>
      <c r="F2655" s="17" t="s">
        <v>7543</v>
      </c>
      <c r="G2655" s="17">
        <v>21.73366</v>
      </c>
      <c r="H2655" s="17">
        <v>87.776673000000002</v>
      </c>
      <c r="I2655" s="17"/>
      <c r="J2655" s="17"/>
      <c r="K2655" s="17"/>
      <c r="L2655" s="17"/>
      <c r="M2655" s="34" t="s">
        <v>7485</v>
      </c>
      <c r="N2655" s="17"/>
      <c r="O2655" s="17">
        <v>8</v>
      </c>
      <c r="P2655" s="17">
        <v>150</v>
      </c>
      <c r="Q2655" s="17" t="s">
        <v>73</v>
      </c>
      <c r="R2655" s="17" t="s">
        <v>74</v>
      </c>
      <c r="S2655" s="17"/>
      <c r="T2655" s="17"/>
      <c r="U2655" s="17" t="s">
        <v>76</v>
      </c>
      <c r="V2655" s="17" t="s">
        <v>77</v>
      </c>
      <c r="W2655" s="17" t="s">
        <v>123</v>
      </c>
      <c r="X2655" s="17">
        <v>5</v>
      </c>
      <c r="Y2655" s="17">
        <v>0</v>
      </c>
      <c r="Z2655" s="17"/>
      <c r="AA2655" s="17" t="s">
        <v>73</v>
      </c>
      <c r="AB2655" s="17" t="s">
        <v>79</v>
      </c>
      <c r="AC2655" s="17">
        <v>2</v>
      </c>
      <c r="AD2655" s="17">
        <v>0</v>
      </c>
      <c r="AE2655" s="17">
        <v>0</v>
      </c>
      <c r="AF2655" s="17"/>
      <c r="AG2655" s="17" t="s">
        <v>81</v>
      </c>
      <c r="AH2655" s="17" t="s">
        <v>82</v>
      </c>
      <c r="AI2655" s="17" t="s">
        <v>107</v>
      </c>
      <c r="AJ2655" s="17"/>
      <c r="AK2655" s="17" t="s">
        <v>75</v>
      </c>
      <c r="AL2655" s="17" t="s">
        <v>75</v>
      </c>
      <c r="AM2655" s="17" t="s">
        <v>75</v>
      </c>
      <c r="AN2655" s="17" t="s">
        <v>84</v>
      </c>
      <c r="AO2655" s="17" t="s">
        <v>75</v>
      </c>
      <c r="AP2655" s="17"/>
      <c r="AQ2655" s="17"/>
      <c r="AR2655" s="17"/>
      <c r="AS2655" s="17"/>
      <c r="AT2655" s="17" t="s">
        <v>7544</v>
      </c>
      <c r="AU2655" s="17" t="s">
        <v>111</v>
      </c>
    </row>
    <row r="2656" hidden="1">
      <c r="A2656" s="17">
        <v>2654</v>
      </c>
      <c r="B2656" s="17" t="s">
        <v>52</v>
      </c>
      <c r="C2656" s="34" t="s">
        <v>7545</v>
      </c>
      <c r="D2656" s="35" t="s">
        <v>6576</v>
      </c>
      <c r="E2656" s="17" t="s">
        <v>7546</v>
      </c>
      <c r="F2656" s="17" t="s">
        <v>7547</v>
      </c>
      <c r="G2656" s="17">
        <v>21.716203</v>
      </c>
      <c r="H2656" s="17">
        <v>87.713575000000006</v>
      </c>
      <c r="I2656" s="17"/>
      <c r="J2656" s="17"/>
      <c r="K2656" s="17"/>
      <c r="L2656" s="17"/>
      <c r="M2656" s="34" t="s">
        <v>7485</v>
      </c>
      <c r="N2656" s="17"/>
      <c r="O2656" s="17">
        <v>12</v>
      </c>
      <c r="P2656" s="17">
        <v>155</v>
      </c>
      <c r="Q2656" s="17" t="s">
        <v>105</v>
      </c>
      <c r="R2656" s="17" t="s">
        <v>74</v>
      </c>
      <c r="S2656" s="17"/>
      <c r="T2656" s="17"/>
      <c r="U2656" s="17" t="s">
        <v>160</v>
      </c>
      <c r="V2656" s="17" t="s">
        <v>77</v>
      </c>
      <c r="W2656" s="17" t="s">
        <v>252</v>
      </c>
      <c r="X2656" s="17">
        <v>6</v>
      </c>
      <c r="Y2656" s="17">
        <v>1</v>
      </c>
      <c r="Z2656" s="17"/>
      <c r="AA2656" s="17" t="s">
        <v>105</v>
      </c>
      <c r="AB2656" s="17" t="s">
        <v>79</v>
      </c>
      <c r="AC2656" s="17">
        <v>1</v>
      </c>
      <c r="AD2656" s="17">
        <v>0</v>
      </c>
      <c r="AE2656" s="17">
        <v>0</v>
      </c>
      <c r="AF2656" s="17"/>
      <c r="AG2656" s="17" t="s">
        <v>81</v>
      </c>
      <c r="AH2656" s="17" t="s">
        <v>82</v>
      </c>
      <c r="AI2656" s="17" t="s">
        <v>83</v>
      </c>
      <c r="AJ2656" s="17">
        <v>2111</v>
      </c>
      <c r="AK2656" s="17" t="s">
        <v>75</v>
      </c>
      <c r="AL2656" s="17" t="s">
        <v>75</v>
      </c>
      <c r="AM2656" s="17" t="s">
        <v>75</v>
      </c>
      <c r="AN2656" s="17" t="s">
        <v>125</v>
      </c>
      <c r="AO2656" s="17" t="s">
        <v>75</v>
      </c>
      <c r="AP2656" s="17"/>
      <c r="AQ2656" s="17"/>
      <c r="AR2656" s="17"/>
      <c r="AS2656" s="17"/>
      <c r="AT2656" s="17" t="s">
        <v>7548</v>
      </c>
      <c r="AU2656" s="17" t="s">
        <v>127</v>
      </c>
    </row>
    <row r="2657" hidden="1">
      <c r="A2657" s="17">
        <v>2655</v>
      </c>
      <c r="B2657" s="17" t="s">
        <v>52</v>
      </c>
      <c r="C2657" s="34" t="s">
        <v>7549</v>
      </c>
      <c r="D2657" s="35" t="s">
        <v>6576</v>
      </c>
      <c r="E2657" s="17" t="s">
        <v>7550</v>
      </c>
      <c r="F2657" s="17" t="s">
        <v>7551</v>
      </c>
      <c r="G2657" s="17">
        <v>21.707566</v>
      </c>
      <c r="H2657" s="17">
        <v>87.750142999999994</v>
      </c>
      <c r="I2657" s="17"/>
      <c r="J2657" s="17"/>
      <c r="K2657" s="17"/>
      <c r="L2657" s="17"/>
      <c r="M2657" s="34" t="s">
        <v>7485</v>
      </c>
      <c r="N2657" s="17"/>
      <c r="O2657" s="17">
        <v>18</v>
      </c>
      <c r="P2657" s="17">
        <v>90</v>
      </c>
      <c r="Q2657" s="17" t="s">
        <v>73</v>
      </c>
      <c r="R2657" s="17" t="s">
        <v>74</v>
      </c>
      <c r="S2657" s="17"/>
      <c r="T2657" s="17"/>
      <c r="U2657" s="17" t="s">
        <v>105</v>
      </c>
      <c r="V2657" s="17" t="s">
        <v>77</v>
      </c>
      <c r="W2657" s="17" t="s">
        <v>123</v>
      </c>
      <c r="X2657" s="17">
        <v>5</v>
      </c>
      <c r="Y2657" s="17">
        <v>2</v>
      </c>
      <c r="Z2657" s="17"/>
      <c r="AA2657" s="17" t="s">
        <v>73</v>
      </c>
      <c r="AB2657" s="17" t="s">
        <v>79</v>
      </c>
      <c r="AC2657" s="17">
        <v>1</v>
      </c>
      <c r="AD2657" s="17">
        <v>0</v>
      </c>
      <c r="AE2657" s="17">
        <v>0</v>
      </c>
      <c r="AF2657" s="17"/>
      <c r="AG2657" s="17" t="s">
        <v>81</v>
      </c>
      <c r="AH2657" s="17" t="s">
        <v>82</v>
      </c>
      <c r="AI2657" s="17" t="s">
        <v>107</v>
      </c>
      <c r="AJ2657" s="17"/>
      <c r="AK2657" s="17" t="s">
        <v>75</v>
      </c>
      <c r="AL2657" s="17" t="s">
        <v>75</v>
      </c>
      <c r="AM2657" s="17" t="s">
        <v>75</v>
      </c>
      <c r="AN2657" s="17" t="s">
        <v>125</v>
      </c>
      <c r="AO2657" s="17" t="s">
        <v>75</v>
      </c>
      <c r="AP2657" s="17"/>
      <c r="AQ2657" s="17"/>
      <c r="AR2657" s="17"/>
      <c r="AS2657" s="17"/>
      <c r="AT2657" s="17" t="s">
        <v>7552</v>
      </c>
      <c r="AU2657" s="17" t="s">
        <v>111</v>
      </c>
    </row>
    <row r="2658" hidden="1">
      <c r="A2658" s="17">
        <v>2656</v>
      </c>
      <c r="B2658" s="17" t="s">
        <v>52</v>
      </c>
      <c r="C2658" s="34" t="s">
        <v>7553</v>
      </c>
      <c r="D2658" s="35" t="s">
        <v>6576</v>
      </c>
      <c r="E2658" s="17" t="s">
        <v>7554</v>
      </c>
      <c r="F2658" s="17" t="s">
        <v>7555</v>
      </c>
      <c r="G2658" s="17">
        <v>21.737074</v>
      </c>
      <c r="H2658" s="17">
        <v>87.756926000000007</v>
      </c>
      <c r="I2658" s="17"/>
      <c r="J2658" s="17"/>
      <c r="K2658" s="17"/>
      <c r="L2658" s="17"/>
      <c r="M2658" s="34" t="s">
        <v>7485</v>
      </c>
      <c r="N2658" s="17"/>
      <c r="O2658" s="17">
        <v>15</v>
      </c>
      <c r="P2658" s="17">
        <v>130</v>
      </c>
      <c r="Q2658" s="17" t="s">
        <v>73</v>
      </c>
      <c r="R2658" s="17" t="s">
        <v>74</v>
      </c>
      <c r="S2658" s="17"/>
      <c r="T2658" s="17"/>
      <c r="U2658" s="17" t="s">
        <v>160</v>
      </c>
      <c r="V2658" s="17" t="s">
        <v>77</v>
      </c>
      <c r="W2658" s="17" t="s">
        <v>330</v>
      </c>
      <c r="X2658" s="17">
        <v>6</v>
      </c>
      <c r="Y2658" s="17">
        <v>0</v>
      </c>
      <c r="Z2658" s="17"/>
      <c r="AA2658" s="17" t="s">
        <v>73</v>
      </c>
      <c r="AB2658" s="17" t="s">
        <v>79</v>
      </c>
      <c r="AC2658" s="17">
        <v>2</v>
      </c>
      <c r="AD2658" s="17">
        <v>0</v>
      </c>
      <c r="AE2658" s="17">
        <v>0</v>
      </c>
      <c r="AF2658" s="17"/>
      <c r="AG2658" s="17" t="s">
        <v>124</v>
      </c>
      <c r="AH2658" s="17" t="s">
        <v>162</v>
      </c>
      <c r="AI2658" s="17" t="s">
        <v>83</v>
      </c>
      <c r="AJ2658" s="17">
        <v>2112</v>
      </c>
      <c r="AK2658" s="17" t="s">
        <v>75</v>
      </c>
      <c r="AL2658" s="17" t="s">
        <v>75</v>
      </c>
      <c r="AM2658" s="17" t="s">
        <v>75</v>
      </c>
      <c r="AN2658" s="17" t="s">
        <v>84</v>
      </c>
      <c r="AO2658" s="17" t="s">
        <v>75</v>
      </c>
      <c r="AP2658" s="17"/>
      <c r="AQ2658" s="17"/>
      <c r="AR2658" s="17"/>
      <c r="AS2658" s="17"/>
      <c r="AT2658" s="17"/>
      <c r="AU2658" s="17" t="s">
        <v>127</v>
      </c>
    </row>
    <row r="2659" hidden="1">
      <c r="A2659" s="17">
        <v>2657</v>
      </c>
      <c r="B2659" s="17" t="s">
        <v>52</v>
      </c>
      <c r="C2659" s="34" t="s">
        <v>7556</v>
      </c>
      <c r="D2659" s="35" t="s">
        <v>6576</v>
      </c>
      <c r="E2659" s="17" t="s">
        <v>7557</v>
      </c>
      <c r="F2659" s="17" t="s">
        <v>7558</v>
      </c>
      <c r="G2659" s="17">
        <v>21.737950000000001</v>
      </c>
      <c r="H2659" s="17">
        <v>87.693849999999998</v>
      </c>
      <c r="I2659" s="17"/>
      <c r="J2659" s="17"/>
      <c r="K2659" s="17"/>
      <c r="L2659" s="17"/>
      <c r="M2659" s="34" t="s">
        <v>7485</v>
      </c>
      <c r="N2659" s="17"/>
      <c r="O2659" s="17">
        <v>15</v>
      </c>
      <c r="P2659" s="17">
        <v>110</v>
      </c>
      <c r="Q2659" s="17" t="s">
        <v>73</v>
      </c>
      <c r="R2659" s="17" t="s">
        <v>74</v>
      </c>
      <c r="S2659" s="17"/>
      <c r="T2659" s="17"/>
      <c r="U2659" s="17" t="s">
        <v>160</v>
      </c>
      <c r="V2659" s="17" t="s">
        <v>77</v>
      </c>
      <c r="W2659" s="17" t="s">
        <v>330</v>
      </c>
      <c r="X2659" s="17">
        <v>5</v>
      </c>
      <c r="Y2659" s="17">
        <v>0</v>
      </c>
      <c r="Z2659" s="17"/>
      <c r="AA2659" s="17" t="s">
        <v>73</v>
      </c>
      <c r="AB2659" s="17"/>
      <c r="AC2659" s="17"/>
      <c r="AD2659" s="17"/>
      <c r="AE2659" s="17"/>
      <c r="AF2659" s="17"/>
      <c r="AG2659" s="17"/>
      <c r="AH2659" s="17"/>
      <c r="AI2659" s="17"/>
      <c r="AJ2659" s="17"/>
      <c r="AK2659" s="17"/>
      <c r="AL2659" s="17"/>
      <c r="AM2659" s="17"/>
      <c r="AN2659" s="17"/>
      <c r="AO2659" s="17"/>
      <c r="AP2659" s="17"/>
      <c r="AQ2659" s="17"/>
      <c r="AR2659" s="17"/>
      <c r="AS2659" s="17"/>
      <c r="AT2659" s="17"/>
      <c r="AU2659" s="17"/>
    </row>
    <row r="2660" hidden="1">
      <c r="A2660" s="17">
        <v>2658</v>
      </c>
      <c r="B2660" s="17" t="s">
        <v>52</v>
      </c>
      <c r="C2660" s="34" t="s">
        <v>7559</v>
      </c>
      <c r="D2660" s="35" t="s">
        <v>6576</v>
      </c>
      <c r="E2660" s="17" t="s">
        <v>7560</v>
      </c>
      <c r="F2660" s="17" t="s">
        <v>7561</v>
      </c>
      <c r="G2660" s="17">
        <v>21.75469</v>
      </c>
      <c r="H2660" s="17">
        <v>87.735439999999997</v>
      </c>
      <c r="I2660" s="17"/>
      <c r="J2660" s="17"/>
      <c r="K2660" s="17"/>
      <c r="L2660" s="17"/>
      <c r="M2660" s="34" t="s">
        <v>7485</v>
      </c>
      <c r="N2660" s="17"/>
      <c r="O2660" s="17"/>
      <c r="P2660" s="17"/>
      <c r="Q2660" s="17"/>
      <c r="R2660" s="17"/>
      <c r="S2660" s="17"/>
      <c r="T2660" s="17"/>
      <c r="U2660" s="17"/>
      <c r="V2660" s="17"/>
      <c r="W2660" s="17"/>
      <c r="X2660" s="17"/>
      <c r="Y2660" s="17"/>
      <c r="Z2660" s="17"/>
      <c r="AA2660" s="17"/>
      <c r="AB2660" s="17"/>
      <c r="AC2660" s="17"/>
      <c r="AD2660" s="17"/>
      <c r="AE2660" s="17"/>
      <c r="AF2660" s="17"/>
      <c r="AG2660" s="17"/>
      <c r="AH2660" s="17"/>
      <c r="AI2660" s="17"/>
      <c r="AJ2660" s="17"/>
      <c r="AK2660" s="17"/>
      <c r="AL2660" s="17"/>
      <c r="AM2660" s="17"/>
      <c r="AN2660" s="17"/>
      <c r="AO2660" s="17"/>
      <c r="AP2660" s="17"/>
      <c r="AQ2660" s="17"/>
      <c r="AR2660" s="17"/>
      <c r="AS2660" s="17"/>
      <c r="AT2660" s="17"/>
      <c r="AU2660" s="17"/>
    </row>
    <row r="2661" hidden="1">
      <c r="A2661" s="17">
        <v>2659</v>
      </c>
      <c r="B2661" s="17" t="s">
        <v>52</v>
      </c>
      <c r="C2661" s="34" t="s">
        <v>7562</v>
      </c>
      <c r="D2661" s="35" t="s">
        <v>6576</v>
      </c>
      <c r="E2661" s="17" t="s">
        <v>7563</v>
      </c>
      <c r="F2661" s="17" t="s">
        <v>7564</v>
      </c>
      <c r="G2661" s="17">
        <v>21.738541000000001</v>
      </c>
      <c r="H2661" s="17">
        <v>87.793383000000006</v>
      </c>
      <c r="I2661" s="17"/>
      <c r="J2661" s="17"/>
      <c r="K2661" s="17"/>
      <c r="L2661" s="17"/>
      <c r="M2661" s="34" t="s">
        <v>7485</v>
      </c>
      <c r="N2661" s="17"/>
      <c r="O2661" s="17"/>
      <c r="P2661" s="17"/>
      <c r="Q2661" s="17"/>
      <c r="R2661" s="17"/>
      <c r="S2661" s="17"/>
      <c r="T2661" s="17"/>
      <c r="U2661" s="17"/>
      <c r="V2661" s="17"/>
      <c r="W2661" s="17"/>
      <c r="X2661" s="17"/>
      <c r="Y2661" s="17"/>
      <c r="Z2661" s="17"/>
      <c r="AA2661" s="17"/>
      <c r="AB2661" s="17"/>
      <c r="AC2661" s="17"/>
      <c r="AD2661" s="17"/>
      <c r="AE2661" s="17"/>
      <c r="AF2661" s="17"/>
      <c r="AG2661" s="17"/>
      <c r="AH2661" s="17"/>
      <c r="AI2661" s="17"/>
      <c r="AJ2661" s="17"/>
      <c r="AK2661" s="17"/>
      <c r="AL2661" s="17"/>
      <c r="AM2661" s="17"/>
      <c r="AN2661" s="17"/>
      <c r="AO2661" s="17"/>
      <c r="AP2661" s="17"/>
      <c r="AQ2661" s="17"/>
      <c r="AR2661" s="17"/>
      <c r="AS2661" s="17"/>
      <c r="AT2661" s="17"/>
      <c r="AU2661" s="17"/>
    </row>
    <row r="2662" hidden="1">
      <c r="A2662" s="17">
        <v>2660</v>
      </c>
      <c r="B2662" s="17" t="s">
        <v>52</v>
      </c>
      <c r="C2662" s="34" t="s">
        <v>7565</v>
      </c>
      <c r="D2662" s="35" t="s">
        <v>6576</v>
      </c>
      <c r="E2662" s="17" t="s">
        <v>7566</v>
      </c>
      <c r="F2662" s="17" t="s">
        <v>7567</v>
      </c>
      <c r="G2662" s="17">
        <v>21.742609000000002</v>
      </c>
      <c r="H2662" s="17">
        <v>87.827544000000003</v>
      </c>
      <c r="I2662" s="17"/>
      <c r="J2662" s="17"/>
      <c r="K2662" s="17"/>
      <c r="L2662" s="17"/>
      <c r="M2662" s="34" t="s">
        <v>7485</v>
      </c>
      <c r="N2662" s="17"/>
      <c r="O2662" s="17"/>
      <c r="P2662" s="17"/>
      <c r="Q2662" s="17"/>
      <c r="R2662" s="17"/>
      <c r="S2662" s="17"/>
      <c r="T2662" s="17"/>
      <c r="U2662" s="17"/>
      <c r="V2662" s="17"/>
      <c r="W2662" s="17"/>
      <c r="X2662" s="17"/>
      <c r="Y2662" s="17"/>
      <c r="Z2662" s="17"/>
      <c r="AA2662" s="17"/>
      <c r="AB2662" s="17"/>
      <c r="AC2662" s="17"/>
      <c r="AD2662" s="17"/>
      <c r="AE2662" s="17"/>
      <c r="AF2662" s="17"/>
      <c r="AG2662" s="17"/>
      <c r="AH2662" s="17"/>
      <c r="AI2662" s="17"/>
      <c r="AJ2662" s="17"/>
      <c r="AK2662" s="17"/>
      <c r="AL2662" s="17"/>
      <c r="AM2662" s="17"/>
      <c r="AN2662" s="17"/>
      <c r="AO2662" s="17"/>
      <c r="AP2662" s="17"/>
      <c r="AQ2662" s="17"/>
      <c r="AR2662" s="17"/>
      <c r="AS2662" s="17"/>
      <c r="AT2662" s="17"/>
      <c r="AU2662" s="17"/>
    </row>
    <row r="2663" hidden="1">
      <c r="A2663" s="17">
        <v>2661</v>
      </c>
      <c r="B2663" s="17" t="s">
        <v>52</v>
      </c>
      <c r="C2663" s="34" t="s">
        <v>7568</v>
      </c>
      <c r="D2663" s="35" t="s">
        <v>6576</v>
      </c>
      <c r="E2663" s="17" t="s">
        <v>7569</v>
      </c>
      <c r="F2663" s="17" t="s">
        <v>7570</v>
      </c>
      <c r="G2663" s="17">
        <v>21.750962999999999</v>
      </c>
      <c r="H2663" s="17">
        <v>87.802088999999995</v>
      </c>
      <c r="I2663" s="17"/>
      <c r="J2663" s="17"/>
      <c r="K2663" s="17"/>
      <c r="L2663" s="17"/>
      <c r="M2663" s="34" t="s">
        <v>7485</v>
      </c>
      <c r="N2663" s="17"/>
      <c r="O2663" s="17"/>
      <c r="P2663" s="17"/>
      <c r="Q2663" s="17"/>
      <c r="R2663" s="17"/>
      <c r="S2663" s="17"/>
      <c r="T2663" s="17"/>
      <c r="U2663" s="17"/>
      <c r="V2663" s="17"/>
      <c r="W2663" s="17"/>
      <c r="X2663" s="17"/>
      <c r="Y2663" s="17"/>
      <c r="Z2663" s="17"/>
      <c r="AA2663" s="17"/>
      <c r="AB2663" s="17"/>
      <c r="AC2663" s="17"/>
      <c r="AD2663" s="17"/>
      <c r="AE2663" s="17"/>
      <c r="AF2663" s="17"/>
      <c r="AG2663" s="17"/>
      <c r="AH2663" s="17"/>
      <c r="AI2663" s="17"/>
      <c r="AJ2663" s="17"/>
      <c r="AK2663" s="17"/>
      <c r="AL2663" s="17"/>
      <c r="AM2663" s="17"/>
      <c r="AN2663" s="17"/>
      <c r="AO2663" s="17"/>
      <c r="AP2663" s="17"/>
      <c r="AQ2663" s="17"/>
      <c r="AR2663" s="17"/>
      <c r="AS2663" s="17"/>
      <c r="AT2663" s="17"/>
      <c r="AU2663" s="17"/>
    </row>
    <row r="2664" hidden="1">
      <c r="A2664" s="17">
        <v>2662</v>
      </c>
      <c r="B2664" s="17" t="s">
        <v>52</v>
      </c>
      <c r="C2664" s="34" t="s">
        <v>7571</v>
      </c>
      <c r="D2664" s="35" t="s">
        <v>6576</v>
      </c>
      <c r="E2664" s="17" t="s">
        <v>7572</v>
      </c>
      <c r="F2664" s="17" t="s">
        <v>7573</v>
      </c>
      <c r="G2664" s="17">
        <v>21.726202000000001</v>
      </c>
      <c r="H2664" s="17">
        <v>87.807607000000004</v>
      </c>
      <c r="I2664" s="17"/>
      <c r="J2664" s="17"/>
      <c r="K2664" s="17"/>
      <c r="L2664" s="17"/>
      <c r="M2664" s="34" t="s">
        <v>7485</v>
      </c>
      <c r="N2664" s="17"/>
      <c r="O2664" s="17"/>
      <c r="P2664" s="17"/>
      <c r="Q2664" s="17"/>
      <c r="R2664" s="17"/>
      <c r="S2664" s="17"/>
      <c r="T2664" s="17"/>
      <c r="U2664" s="17"/>
      <c r="V2664" s="17"/>
      <c r="W2664" s="17"/>
      <c r="X2664" s="17"/>
      <c r="Y2664" s="17"/>
      <c r="Z2664" s="17"/>
      <c r="AA2664" s="17"/>
      <c r="AB2664" s="17"/>
      <c r="AC2664" s="17"/>
      <c r="AD2664" s="17"/>
      <c r="AE2664" s="17"/>
      <c r="AF2664" s="17"/>
      <c r="AG2664" s="17"/>
      <c r="AH2664" s="17"/>
      <c r="AI2664" s="17"/>
      <c r="AJ2664" s="17"/>
      <c r="AK2664" s="17"/>
      <c r="AL2664" s="17"/>
      <c r="AM2664" s="17"/>
      <c r="AN2664" s="17"/>
      <c r="AO2664" s="17"/>
      <c r="AP2664" s="17"/>
      <c r="AQ2664" s="17"/>
      <c r="AR2664" s="17"/>
      <c r="AS2664" s="17"/>
      <c r="AT2664" s="17"/>
      <c r="AU2664" s="17"/>
    </row>
    <row r="2665" hidden="1">
      <c r="A2665" s="17">
        <v>2663</v>
      </c>
      <c r="B2665" s="17" t="s">
        <v>52</v>
      </c>
      <c r="C2665" s="34" t="s">
        <v>7574</v>
      </c>
      <c r="D2665" s="35" t="s">
        <v>6576</v>
      </c>
      <c r="E2665" s="17" t="s">
        <v>7575</v>
      </c>
      <c r="F2665" s="17" t="s">
        <v>7576</v>
      </c>
      <c r="G2665" s="17">
        <v>21.765764000000001</v>
      </c>
      <c r="H2665" s="17">
        <v>87.791045999999994</v>
      </c>
      <c r="I2665" s="17"/>
      <c r="J2665" s="17"/>
      <c r="K2665" s="17"/>
      <c r="L2665" s="17"/>
      <c r="M2665" s="34" t="s">
        <v>7485</v>
      </c>
      <c r="N2665" s="17"/>
      <c r="O2665" s="17"/>
      <c r="P2665" s="17"/>
      <c r="Q2665" s="17"/>
      <c r="R2665" s="17"/>
      <c r="S2665" s="17"/>
      <c r="T2665" s="17"/>
      <c r="U2665" s="17"/>
      <c r="V2665" s="17"/>
      <c r="W2665" s="17"/>
      <c r="X2665" s="17"/>
      <c r="Y2665" s="17"/>
      <c r="Z2665" s="17"/>
      <c r="AA2665" s="17"/>
      <c r="AB2665" s="17"/>
      <c r="AC2665" s="17"/>
      <c r="AD2665" s="17"/>
      <c r="AE2665" s="17"/>
      <c r="AF2665" s="17"/>
      <c r="AG2665" s="17"/>
      <c r="AH2665" s="17"/>
      <c r="AI2665" s="17"/>
      <c r="AJ2665" s="17"/>
      <c r="AK2665" s="17"/>
      <c r="AL2665" s="17"/>
      <c r="AM2665" s="17"/>
      <c r="AN2665" s="17"/>
      <c r="AO2665" s="17"/>
      <c r="AP2665" s="17"/>
      <c r="AQ2665" s="17"/>
      <c r="AR2665" s="17"/>
      <c r="AS2665" s="17"/>
      <c r="AT2665" s="17"/>
      <c r="AU2665" s="17"/>
    </row>
    <row r="2666" hidden="1">
      <c r="A2666" s="17">
        <v>2664</v>
      </c>
      <c r="B2666" s="17" t="s">
        <v>52</v>
      </c>
      <c r="C2666" s="34" t="s">
        <v>7577</v>
      </c>
      <c r="D2666" s="35" t="s">
        <v>6576</v>
      </c>
      <c r="E2666" s="17" t="s">
        <v>7578</v>
      </c>
      <c r="F2666" s="17" t="s">
        <v>7579</v>
      </c>
      <c r="G2666" s="17">
        <v>21.780121000000001</v>
      </c>
      <c r="H2666" s="17">
        <v>87.793091000000004</v>
      </c>
      <c r="I2666" s="17"/>
      <c r="J2666" s="17"/>
      <c r="K2666" s="17"/>
      <c r="L2666" s="17"/>
      <c r="M2666" s="34" t="s">
        <v>7485</v>
      </c>
      <c r="N2666" s="17"/>
      <c r="O2666" s="17"/>
      <c r="P2666" s="17"/>
      <c r="Q2666" s="17"/>
      <c r="R2666" s="17"/>
      <c r="S2666" s="17"/>
      <c r="T2666" s="17"/>
      <c r="U2666" s="17"/>
      <c r="V2666" s="17"/>
      <c r="W2666" s="17"/>
      <c r="X2666" s="17"/>
      <c r="Y2666" s="17"/>
      <c r="Z2666" s="17"/>
      <c r="AA2666" s="17"/>
      <c r="AB2666" s="17"/>
      <c r="AC2666" s="17"/>
      <c r="AD2666" s="17"/>
      <c r="AE2666" s="17"/>
      <c r="AF2666" s="17"/>
      <c r="AG2666" s="17"/>
      <c r="AH2666" s="17"/>
      <c r="AI2666" s="17"/>
      <c r="AJ2666" s="17"/>
      <c r="AK2666" s="17"/>
      <c r="AL2666" s="17"/>
      <c r="AM2666" s="17"/>
      <c r="AN2666" s="17"/>
      <c r="AO2666" s="17"/>
      <c r="AP2666" s="17"/>
      <c r="AQ2666" s="17"/>
      <c r="AR2666" s="17"/>
      <c r="AS2666" s="17"/>
      <c r="AT2666" s="17"/>
      <c r="AU2666" s="17"/>
    </row>
    <row r="2667" hidden="1">
      <c r="A2667" s="17">
        <v>2665</v>
      </c>
      <c r="B2667" s="17" t="s">
        <v>52</v>
      </c>
      <c r="C2667" s="34" t="s">
        <v>7580</v>
      </c>
      <c r="D2667" s="35" t="s">
        <v>6576</v>
      </c>
      <c r="E2667" s="17" t="s">
        <v>7581</v>
      </c>
      <c r="F2667" s="17" t="s">
        <v>7582</v>
      </c>
      <c r="G2667" s="17">
        <v>21.78894</v>
      </c>
      <c r="H2667" s="17">
        <v>87.78828</v>
      </c>
      <c r="I2667" s="17"/>
      <c r="J2667" s="17"/>
      <c r="K2667" s="17"/>
      <c r="L2667" s="17"/>
      <c r="M2667" s="34" t="s">
        <v>7485</v>
      </c>
      <c r="N2667" s="17"/>
      <c r="O2667" s="17"/>
      <c r="P2667" s="17"/>
      <c r="Q2667" s="17"/>
      <c r="R2667" s="17"/>
      <c r="S2667" s="17"/>
      <c r="T2667" s="17"/>
      <c r="U2667" s="17"/>
      <c r="V2667" s="17"/>
      <c r="W2667" s="17"/>
      <c r="X2667" s="17"/>
      <c r="Y2667" s="17"/>
      <c r="Z2667" s="17"/>
      <c r="AA2667" s="17"/>
      <c r="AB2667" s="17"/>
      <c r="AC2667" s="17"/>
      <c r="AD2667" s="17"/>
      <c r="AE2667" s="17"/>
      <c r="AF2667" s="17"/>
      <c r="AG2667" s="17"/>
      <c r="AH2667" s="17"/>
      <c r="AI2667" s="17"/>
      <c r="AJ2667" s="17"/>
      <c r="AK2667" s="17"/>
      <c r="AL2667" s="17"/>
      <c r="AM2667" s="17"/>
      <c r="AN2667" s="17"/>
      <c r="AO2667" s="17"/>
      <c r="AP2667" s="17"/>
      <c r="AQ2667" s="17"/>
      <c r="AR2667" s="17"/>
      <c r="AS2667" s="17"/>
      <c r="AT2667" s="17"/>
      <c r="AU2667" s="17"/>
    </row>
    <row r="2668" hidden="1">
      <c r="A2668" s="17">
        <v>2666</v>
      </c>
      <c r="B2668" s="17" t="s">
        <v>52</v>
      </c>
      <c r="C2668" s="34" t="s">
        <v>7583</v>
      </c>
      <c r="D2668" s="35" t="s">
        <v>6576</v>
      </c>
      <c r="E2668" s="17" t="s">
        <v>7584</v>
      </c>
      <c r="F2668" s="17" t="s">
        <v>7585</v>
      </c>
      <c r="G2668" s="17">
        <v>21.665711000000002</v>
      </c>
      <c r="H2668" s="17">
        <v>87.70223</v>
      </c>
      <c r="I2668" s="17"/>
      <c r="J2668" s="17"/>
      <c r="K2668" s="17"/>
      <c r="L2668" s="17"/>
      <c r="M2668" s="34" t="s">
        <v>7485</v>
      </c>
      <c r="N2668" s="17"/>
      <c r="O2668" s="17"/>
      <c r="P2668" s="17"/>
      <c r="Q2668" s="17"/>
      <c r="R2668" s="17"/>
      <c r="S2668" s="17"/>
      <c r="T2668" s="17"/>
      <c r="U2668" s="17"/>
      <c r="V2668" s="17"/>
      <c r="W2668" s="17"/>
      <c r="X2668" s="17"/>
      <c r="Y2668" s="17"/>
      <c r="Z2668" s="17"/>
      <c r="AA2668" s="17"/>
      <c r="AB2668" s="17"/>
      <c r="AC2668" s="17"/>
      <c r="AD2668" s="17"/>
      <c r="AE2668" s="17"/>
      <c r="AF2668" s="17"/>
      <c r="AG2668" s="17"/>
      <c r="AH2668" s="17"/>
      <c r="AI2668" s="17"/>
      <c r="AJ2668" s="17"/>
      <c r="AK2668" s="17"/>
      <c r="AL2668" s="17"/>
      <c r="AM2668" s="17"/>
      <c r="AN2668" s="17"/>
      <c r="AO2668" s="17"/>
      <c r="AP2668" s="17"/>
      <c r="AQ2668" s="17"/>
      <c r="AR2668" s="17"/>
      <c r="AS2668" s="17"/>
      <c r="AT2668" s="17"/>
      <c r="AU2668" s="17"/>
    </row>
    <row r="2669" hidden="1">
      <c r="A2669" s="17">
        <v>2667</v>
      </c>
      <c r="B2669" s="17" t="s">
        <v>52</v>
      </c>
      <c r="C2669" s="34" t="s">
        <v>7586</v>
      </c>
      <c r="D2669" s="35" t="s">
        <v>6576</v>
      </c>
      <c r="E2669" s="17" t="s">
        <v>7587</v>
      </c>
      <c r="F2669" s="17" t="s">
        <v>7588</v>
      </c>
      <c r="G2669" s="17">
        <v>21.659511999999999</v>
      </c>
      <c r="H2669" s="17">
        <v>87.690901999999994</v>
      </c>
      <c r="I2669" s="17"/>
      <c r="J2669" s="17"/>
      <c r="K2669" s="17"/>
      <c r="L2669" s="17"/>
      <c r="M2669" s="34" t="s">
        <v>7485</v>
      </c>
      <c r="N2669" s="17"/>
      <c r="O2669" s="17"/>
      <c r="P2669" s="17"/>
      <c r="Q2669" s="17"/>
      <c r="R2669" s="17"/>
      <c r="S2669" s="17"/>
      <c r="T2669" s="17"/>
      <c r="U2669" s="17"/>
      <c r="V2669" s="17"/>
      <c r="W2669" s="17"/>
      <c r="X2669" s="17"/>
      <c r="Y2669" s="17"/>
      <c r="Z2669" s="17"/>
      <c r="AA2669" s="17"/>
      <c r="AB2669" s="17"/>
      <c r="AC2669" s="17"/>
      <c r="AD2669" s="17"/>
      <c r="AE2669" s="17"/>
      <c r="AF2669" s="17"/>
      <c r="AG2669" s="17"/>
      <c r="AH2669" s="17"/>
      <c r="AI2669" s="17"/>
      <c r="AJ2669" s="17"/>
      <c r="AK2669" s="17"/>
      <c r="AL2669" s="17"/>
      <c r="AM2669" s="17"/>
      <c r="AN2669" s="17"/>
      <c r="AO2669" s="17"/>
      <c r="AP2669" s="17"/>
      <c r="AQ2669" s="17"/>
      <c r="AR2669" s="17"/>
      <c r="AS2669" s="17"/>
      <c r="AT2669" s="17"/>
      <c r="AU2669" s="17"/>
    </row>
    <row r="2670" hidden="1">
      <c r="A2670" s="17">
        <v>2668</v>
      </c>
      <c r="B2670" s="17" t="s">
        <v>52</v>
      </c>
      <c r="C2670" s="34" t="s">
        <v>7589</v>
      </c>
      <c r="D2670" s="35" t="s">
        <v>6576</v>
      </c>
      <c r="E2670" s="17" t="s">
        <v>7590</v>
      </c>
      <c r="F2670" s="17" t="s">
        <v>7591</v>
      </c>
      <c r="G2670" s="17">
        <v>21.688551</v>
      </c>
      <c r="H2670" s="17">
        <v>87.680036999999999</v>
      </c>
      <c r="I2670" s="17"/>
      <c r="J2670" s="17"/>
      <c r="K2670" s="17"/>
      <c r="L2670" s="17"/>
      <c r="M2670" s="34" t="s">
        <v>7485</v>
      </c>
      <c r="N2670" s="17"/>
      <c r="O2670" s="17"/>
      <c r="P2670" s="17"/>
      <c r="Q2670" s="17"/>
      <c r="R2670" s="17"/>
      <c r="S2670" s="17"/>
      <c r="T2670" s="17"/>
      <c r="U2670" s="17"/>
      <c r="V2670" s="17"/>
      <c r="W2670" s="17"/>
      <c r="X2670" s="17"/>
      <c r="Y2670" s="17"/>
      <c r="Z2670" s="17"/>
      <c r="AA2670" s="17"/>
      <c r="AB2670" s="17"/>
      <c r="AC2670" s="17"/>
      <c r="AD2670" s="17"/>
      <c r="AE2670" s="17"/>
      <c r="AF2670" s="17"/>
      <c r="AG2670" s="17"/>
      <c r="AH2670" s="17"/>
      <c r="AI2670" s="17"/>
      <c r="AJ2670" s="17"/>
      <c r="AK2670" s="17"/>
      <c r="AL2670" s="17"/>
      <c r="AM2670" s="17"/>
      <c r="AN2670" s="17"/>
      <c r="AO2670" s="17"/>
      <c r="AP2670" s="17"/>
      <c r="AQ2670" s="17"/>
      <c r="AR2670" s="17"/>
      <c r="AS2670" s="17"/>
      <c r="AT2670" s="17"/>
      <c r="AU2670" s="17"/>
    </row>
    <row r="2671" hidden="1">
      <c r="A2671" s="17">
        <v>2669</v>
      </c>
      <c r="B2671" s="17" t="s">
        <v>52</v>
      </c>
      <c r="C2671" s="34" t="s">
        <v>7592</v>
      </c>
      <c r="D2671" s="35" t="s">
        <v>6576</v>
      </c>
      <c r="E2671" s="17" t="s">
        <v>7522</v>
      </c>
      <c r="F2671" s="17" t="s">
        <v>7593</v>
      </c>
      <c r="G2671" s="17">
        <v>21.650545999999999</v>
      </c>
      <c r="H2671" s="17">
        <v>87.658051</v>
      </c>
      <c r="I2671" s="17"/>
      <c r="J2671" s="17"/>
      <c r="K2671" s="17"/>
      <c r="L2671" s="17"/>
      <c r="M2671" s="34" t="s">
        <v>7485</v>
      </c>
      <c r="N2671" s="17"/>
      <c r="O2671" s="17"/>
      <c r="P2671" s="17"/>
      <c r="Q2671" s="17"/>
      <c r="R2671" s="17"/>
      <c r="S2671" s="17"/>
      <c r="T2671" s="17"/>
      <c r="U2671" s="17"/>
      <c r="V2671" s="17"/>
      <c r="W2671" s="17"/>
      <c r="X2671" s="17"/>
      <c r="Y2671" s="17"/>
      <c r="Z2671" s="17"/>
      <c r="AA2671" s="17"/>
      <c r="AB2671" s="17"/>
      <c r="AC2671" s="17"/>
      <c r="AD2671" s="17"/>
      <c r="AE2671" s="17"/>
      <c r="AF2671" s="17"/>
      <c r="AG2671" s="17"/>
      <c r="AH2671" s="17"/>
      <c r="AI2671" s="17"/>
      <c r="AJ2671" s="17"/>
      <c r="AK2671" s="17"/>
      <c r="AL2671" s="17"/>
      <c r="AM2671" s="17"/>
      <c r="AN2671" s="17"/>
      <c r="AO2671" s="17"/>
      <c r="AP2671" s="17"/>
      <c r="AQ2671" s="17"/>
      <c r="AR2671" s="17"/>
      <c r="AS2671" s="17"/>
      <c r="AT2671" s="17"/>
      <c r="AU2671" s="17"/>
    </row>
    <row r="2672" hidden="1">
      <c r="A2672" s="17">
        <v>2670</v>
      </c>
      <c r="B2672" s="17" t="s">
        <v>52</v>
      </c>
      <c r="C2672" s="34" t="s">
        <v>7594</v>
      </c>
      <c r="D2672" s="35" t="s">
        <v>6576</v>
      </c>
      <c r="E2672" s="17" t="s">
        <v>7595</v>
      </c>
      <c r="F2672" s="17" t="s">
        <v>7596</v>
      </c>
      <c r="G2672" s="17">
        <v>21.715299999999999</v>
      </c>
      <c r="H2672" s="17">
        <v>87.678939999999997</v>
      </c>
      <c r="I2672" s="17"/>
      <c r="J2672" s="17"/>
      <c r="K2672" s="17"/>
      <c r="L2672" s="17"/>
      <c r="M2672" s="34" t="s">
        <v>7485</v>
      </c>
      <c r="N2672" s="17"/>
      <c r="O2672" s="17"/>
      <c r="P2672" s="17"/>
      <c r="Q2672" s="17"/>
      <c r="R2672" s="17"/>
      <c r="S2672" s="17"/>
      <c r="T2672" s="17"/>
      <c r="U2672" s="17"/>
      <c r="V2672" s="17"/>
      <c r="W2672" s="17"/>
      <c r="X2672" s="17"/>
      <c r="Y2672" s="17"/>
      <c r="Z2672" s="17"/>
      <c r="AA2672" s="17"/>
      <c r="AB2672" s="17"/>
      <c r="AC2672" s="17"/>
      <c r="AD2672" s="17"/>
      <c r="AE2672" s="17"/>
      <c r="AF2672" s="17"/>
      <c r="AG2672" s="17"/>
      <c r="AH2672" s="17"/>
      <c r="AI2672" s="17"/>
      <c r="AJ2672" s="17"/>
      <c r="AK2672" s="17"/>
      <c r="AL2672" s="17"/>
      <c r="AM2672" s="17"/>
      <c r="AN2672" s="17"/>
      <c r="AO2672" s="17"/>
      <c r="AP2672" s="17"/>
      <c r="AQ2672" s="17"/>
      <c r="AR2672" s="17"/>
      <c r="AS2672" s="17"/>
      <c r="AT2672" s="17"/>
      <c r="AU2672" s="17"/>
    </row>
    <row r="2673" hidden="1">
      <c r="A2673" s="17">
        <v>2671</v>
      </c>
      <c r="B2673" s="17" t="s">
        <v>52</v>
      </c>
      <c r="C2673" s="34" t="s">
        <v>7597</v>
      </c>
      <c r="D2673" s="35" t="s">
        <v>6576</v>
      </c>
      <c r="E2673" s="17" t="s">
        <v>7598</v>
      </c>
      <c r="F2673" s="17" t="s">
        <v>7599</v>
      </c>
      <c r="G2673" s="17">
        <v>21.786152000000001</v>
      </c>
      <c r="H2673" s="17">
        <v>87.746865</v>
      </c>
      <c r="I2673" s="17"/>
      <c r="J2673" s="17"/>
      <c r="K2673" s="17"/>
      <c r="L2673" s="17"/>
      <c r="M2673" s="34" t="s">
        <v>7485</v>
      </c>
      <c r="N2673" s="17"/>
      <c r="O2673" s="17"/>
      <c r="P2673" s="17"/>
      <c r="Q2673" s="17"/>
      <c r="R2673" s="17"/>
      <c r="S2673" s="17"/>
      <c r="T2673" s="17"/>
      <c r="U2673" s="17"/>
      <c r="V2673" s="17"/>
      <c r="W2673" s="17"/>
      <c r="X2673" s="17"/>
      <c r="Y2673" s="17"/>
      <c r="Z2673" s="17"/>
      <c r="AA2673" s="17"/>
      <c r="AB2673" s="17"/>
      <c r="AC2673" s="17"/>
      <c r="AD2673" s="17"/>
      <c r="AE2673" s="17"/>
      <c r="AF2673" s="17"/>
      <c r="AG2673" s="17"/>
      <c r="AH2673" s="17"/>
      <c r="AI2673" s="17"/>
      <c r="AJ2673" s="17"/>
      <c r="AK2673" s="17"/>
      <c r="AL2673" s="17"/>
      <c r="AM2673" s="17"/>
      <c r="AN2673" s="17"/>
      <c r="AO2673" s="17"/>
      <c r="AP2673" s="17"/>
      <c r="AQ2673" s="17"/>
      <c r="AR2673" s="17"/>
      <c r="AS2673" s="17"/>
      <c r="AT2673" s="17"/>
      <c r="AU2673" s="17"/>
    </row>
    <row r="2674" hidden="1">
      <c r="A2674" s="17">
        <v>2672</v>
      </c>
      <c r="B2674" s="17" t="s">
        <v>52</v>
      </c>
      <c r="C2674" s="34" t="s">
        <v>7600</v>
      </c>
      <c r="D2674" s="35" t="s">
        <v>6576</v>
      </c>
      <c r="E2674" s="17" t="s">
        <v>7601</v>
      </c>
      <c r="F2674" s="17" t="s">
        <v>7602</v>
      </c>
      <c r="G2674" s="17">
        <v>21.776368999999999</v>
      </c>
      <c r="H2674" s="17">
        <v>87.738923999999997</v>
      </c>
      <c r="I2674" s="17"/>
      <c r="J2674" s="17"/>
      <c r="K2674" s="17"/>
      <c r="L2674" s="17"/>
      <c r="M2674" s="34" t="s">
        <v>7485</v>
      </c>
      <c r="N2674" s="17"/>
      <c r="O2674" s="17"/>
      <c r="P2674" s="17"/>
      <c r="Q2674" s="17"/>
      <c r="R2674" s="17"/>
      <c r="S2674" s="17"/>
      <c r="T2674" s="17"/>
      <c r="U2674" s="17"/>
      <c r="V2674" s="17"/>
      <c r="W2674" s="17"/>
      <c r="X2674" s="17"/>
      <c r="Y2674" s="17"/>
      <c r="Z2674" s="17"/>
      <c r="AA2674" s="17"/>
      <c r="AB2674" s="17"/>
      <c r="AC2674" s="17"/>
      <c r="AD2674" s="17"/>
      <c r="AE2674" s="17"/>
      <c r="AF2674" s="17"/>
      <c r="AG2674" s="17"/>
      <c r="AH2674" s="17"/>
      <c r="AI2674" s="17"/>
      <c r="AJ2674" s="17"/>
      <c r="AK2674" s="17"/>
      <c r="AL2674" s="17"/>
      <c r="AM2674" s="17"/>
      <c r="AN2674" s="17"/>
      <c r="AO2674" s="17"/>
      <c r="AP2674" s="17"/>
      <c r="AQ2674" s="17"/>
      <c r="AR2674" s="17"/>
      <c r="AS2674" s="17"/>
      <c r="AT2674" s="17"/>
      <c r="AU2674" s="17"/>
    </row>
    <row r="2675" hidden="1">
      <c r="A2675" s="17">
        <v>2673</v>
      </c>
      <c r="B2675" s="17" t="s">
        <v>52</v>
      </c>
      <c r="C2675" s="34" t="s">
        <v>7603</v>
      </c>
      <c r="D2675" s="35" t="s">
        <v>6576</v>
      </c>
      <c r="E2675" s="17" t="s">
        <v>7604</v>
      </c>
      <c r="F2675" s="17" t="s">
        <v>7605</v>
      </c>
      <c r="G2675" s="17">
        <v>21.776475999999999</v>
      </c>
      <c r="H2675" s="17">
        <v>87.748284999999996</v>
      </c>
      <c r="I2675" s="17"/>
      <c r="J2675" s="17"/>
      <c r="K2675" s="17"/>
      <c r="L2675" s="17"/>
      <c r="M2675" s="34" t="s">
        <v>7485</v>
      </c>
      <c r="N2675" s="17"/>
      <c r="O2675" s="17"/>
      <c r="P2675" s="17"/>
      <c r="Q2675" s="17"/>
      <c r="R2675" s="17"/>
      <c r="S2675" s="17"/>
      <c r="T2675" s="17"/>
      <c r="U2675" s="17"/>
      <c r="V2675" s="17"/>
      <c r="W2675" s="17"/>
      <c r="X2675" s="17"/>
      <c r="Y2675" s="17"/>
      <c r="Z2675" s="17"/>
      <c r="AA2675" s="17"/>
      <c r="AB2675" s="17"/>
      <c r="AC2675" s="17"/>
      <c r="AD2675" s="17"/>
      <c r="AE2675" s="17"/>
      <c r="AF2675" s="17"/>
      <c r="AG2675" s="17"/>
      <c r="AH2675" s="17"/>
      <c r="AI2675" s="17"/>
      <c r="AJ2675" s="17"/>
      <c r="AK2675" s="17"/>
      <c r="AL2675" s="17"/>
      <c r="AM2675" s="17"/>
      <c r="AN2675" s="17"/>
      <c r="AO2675" s="17"/>
      <c r="AP2675" s="17"/>
      <c r="AQ2675" s="17"/>
      <c r="AR2675" s="17"/>
      <c r="AS2675" s="17"/>
      <c r="AT2675" s="17"/>
      <c r="AU2675" s="17"/>
    </row>
    <row r="2676" hidden="1">
      <c r="A2676" s="17">
        <v>2674</v>
      </c>
      <c r="B2676" s="17" t="s">
        <v>52</v>
      </c>
      <c r="C2676" s="34" t="s">
        <v>7606</v>
      </c>
      <c r="D2676" s="35" t="s">
        <v>6576</v>
      </c>
      <c r="E2676" s="17" t="s">
        <v>7607</v>
      </c>
      <c r="F2676" s="17" t="s">
        <v>7608</v>
      </c>
      <c r="G2676" s="17">
        <v>21.706227999999999</v>
      </c>
      <c r="H2676" s="17">
        <v>87.654820000000001</v>
      </c>
      <c r="I2676" s="17"/>
      <c r="J2676" s="17"/>
      <c r="K2676" s="17"/>
      <c r="L2676" s="17"/>
      <c r="M2676" s="34" t="s">
        <v>7485</v>
      </c>
      <c r="N2676" s="17"/>
      <c r="O2676" s="17"/>
      <c r="P2676" s="17"/>
      <c r="Q2676" s="17"/>
      <c r="R2676" s="17"/>
      <c r="S2676" s="17"/>
      <c r="T2676" s="17"/>
      <c r="U2676" s="17"/>
      <c r="V2676" s="17"/>
      <c r="W2676" s="17"/>
      <c r="X2676" s="17"/>
      <c r="Y2676" s="17"/>
      <c r="Z2676" s="17"/>
      <c r="AA2676" s="17"/>
      <c r="AB2676" s="17"/>
      <c r="AC2676" s="17"/>
      <c r="AD2676" s="17"/>
      <c r="AE2676" s="17"/>
      <c r="AF2676" s="17"/>
      <c r="AG2676" s="17"/>
      <c r="AH2676" s="17"/>
      <c r="AI2676" s="17"/>
      <c r="AJ2676" s="17"/>
      <c r="AK2676" s="17"/>
      <c r="AL2676" s="17"/>
      <c r="AM2676" s="17"/>
      <c r="AN2676" s="17"/>
      <c r="AO2676" s="17"/>
      <c r="AP2676" s="17"/>
      <c r="AQ2676" s="17"/>
      <c r="AR2676" s="17"/>
      <c r="AS2676" s="17"/>
      <c r="AT2676" s="17"/>
      <c r="AU2676" s="17"/>
    </row>
    <row r="2677" hidden="1">
      <c r="A2677" s="17">
        <v>2675</v>
      </c>
      <c r="B2677" s="17" t="s">
        <v>52</v>
      </c>
      <c r="C2677" s="34" t="s">
        <v>7609</v>
      </c>
      <c r="D2677" s="35" t="s">
        <v>6576</v>
      </c>
      <c r="E2677" s="17" t="s">
        <v>7610</v>
      </c>
      <c r="F2677" s="17" t="s">
        <v>7611</v>
      </c>
      <c r="G2677" s="17">
        <v>21.779416999999999</v>
      </c>
      <c r="H2677" s="17">
        <v>87.748433000000006</v>
      </c>
      <c r="I2677" s="17"/>
      <c r="J2677" s="17"/>
      <c r="K2677" s="17"/>
      <c r="L2677" s="17"/>
      <c r="M2677" s="34" t="s">
        <v>7612</v>
      </c>
      <c r="N2677" s="17"/>
      <c r="O2677" s="17"/>
      <c r="P2677" s="17"/>
      <c r="Q2677" s="17"/>
      <c r="R2677" s="17"/>
      <c r="S2677" s="17"/>
      <c r="T2677" s="17"/>
      <c r="U2677" s="17"/>
      <c r="V2677" s="17"/>
      <c r="W2677" s="17"/>
      <c r="X2677" s="17"/>
      <c r="Y2677" s="17"/>
      <c r="Z2677" s="17"/>
      <c r="AA2677" s="17"/>
      <c r="AB2677" s="17"/>
      <c r="AC2677" s="17"/>
      <c r="AD2677" s="17"/>
      <c r="AE2677" s="17"/>
      <c r="AF2677" s="17"/>
      <c r="AG2677" s="17"/>
      <c r="AH2677" s="17"/>
      <c r="AI2677" s="17"/>
      <c r="AJ2677" s="17"/>
      <c r="AK2677" s="17"/>
      <c r="AL2677" s="17"/>
      <c r="AM2677" s="17"/>
      <c r="AN2677" s="17"/>
      <c r="AO2677" s="17"/>
      <c r="AP2677" s="17"/>
      <c r="AQ2677" s="17"/>
      <c r="AR2677" s="17"/>
      <c r="AS2677" s="17"/>
      <c r="AT2677" s="17"/>
      <c r="AU2677" s="17"/>
    </row>
    <row r="2678" hidden="1">
      <c r="A2678" s="17">
        <v>2676</v>
      </c>
      <c r="B2678" s="17" t="s">
        <v>52</v>
      </c>
      <c r="C2678" s="34" t="s">
        <v>7613</v>
      </c>
      <c r="D2678" s="35" t="s">
        <v>6576</v>
      </c>
      <c r="E2678" s="17" t="s">
        <v>7614</v>
      </c>
      <c r="F2678" s="17" t="s">
        <v>7615</v>
      </c>
      <c r="G2678" s="17">
        <v>21.829635</v>
      </c>
      <c r="H2678" s="17">
        <v>87.864568000000006</v>
      </c>
      <c r="I2678" s="17"/>
      <c r="J2678" s="17"/>
      <c r="K2678" s="17"/>
      <c r="L2678" s="17"/>
      <c r="M2678" s="34" t="s">
        <v>7612</v>
      </c>
      <c r="N2678" s="17"/>
      <c r="O2678" s="17"/>
      <c r="P2678" s="17"/>
      <c r="Q2678" s="17"/>
      <c r="R2678" s="17"/>
      <c r="S2678" s="17"/>
      <c r="T2678" s="17"/>
      <c r="U2678" s="17"/>
      <c r="V2678" s="17"/>
      <c r="W2678" s="17"/>
      <c r="X2678" s="17"/>
      <c r="Y2678" s="17"/>
      <c r="Z2678" s="17"/>
      <c r="AA2678" s="17"/>
      <c r="AB2678" s="17"/>
      <c r="AC2678" s="17"/>
      <c r="AD2678" s="17"/>
      <c r="AE2678" s="17"/>
      <c r="AF2678" s="17"/>
      <c r="AG2678" s="17"/>
      <c r="AH2678" s="17"/>
      <c r="AI2678" s="17"/>
      <c r="AJ2678" s="17"/>
      <c r="AK2678" s="17"/>
      <c r="AL2678" s="17"/>
      <c r="AM2678" s="17"/>
      <c r="AN2678" s="17"/>
      <c r="AO2678" s="17"/>
      <c r="AP2678" s="17"/>
      <c r="AQ2678" s="17"/>
      <c r="AR2678" s="17"/>
      <c r="AS2678" s="17"/>
      <c r="AT2678" s="17"/>
      <c r="AU2678" s="17"/>
    </row>
    <row r="2679" hidden="1">
      <c r="A2679" s="17">
        <v>2677</v>
      </c>
      <c r="B2679" s="17" t="s">
        <v>52</v>
      </c>
      <c r="C2679" s="34" t="s">
        <v>7616</v>
      </c>
      <c r="D2679" s="35" t="s">
        <v>6576</v>
      </c>
      <c r="E2679" s="17" t="s">
        <v>7617</v>
      </c>
      <c r="F2679" s="17" t="s">
        <v>7618</v>
      </c>
      <c r="G2679" s="17">
        <v>21.883206999999999</v>
      </c>
      <c r="H2679" s="17">
        <v>87.824759999999998</v>
      </c>
      <c r="I2679" s="17"/>
      <c r="J2679" s="17"/>
      <c r="K2679" s="17"/>
      <c r="L2679" s="17"/>
      <c r="M2679" s="34" t="s">
        <v>7612</v>
      </c>
      <c r="N2679" s="17"/>
      <c r="O2679" s="17"/>
      <c r="P2679" s="17"/>
      <c r="Q2679" s="17"/>
      <c r="R2679" s="17"/>
      <c r="S2679" s="17"/>
      <c r="T2679" s="17"/>
      <c r="U2679" s="17"/>
      <c r="V2679" s="17"/>
      <c r="W2679" s="17"/>
      <c r="X2679" s="17"/>
      <c r="Y2679" s="17"/>
      <c r="Z2679" s="17"/>
      <c r="AA2679" s="17"/>
      <c r="AB2679" s="17"/>
      <c r="AC2679" s="17"/>
      <c r="AD2679" s="17"/>
      <c r="AE2679" s="17"/>
      <c r="AF2679" s="17"/>
      <c r="AG2679" s="17"/>
      <c r="AH2679" s="17"/>
      <c r="AI2679" s="17"/>
      <c r="AJ2679" s="17"/>
      <c r="AK2679" s="17"/>
      <c r="AL2679" s="17"/>
      <c r="AM2679" s="17"/>
      <c r="AN2679" s="17"/>
      <c r="AO2679" s="17"/>
      <c r="AP2679" s="17"/>
      <c r="AQ2679" s="17"/>
      <c r="AR2679" s="17"/>
      <c r="AS2679" s="17"/>
      <c r="AT2679" s="17"/>
      <c r="AU2679" s="17"/>
    </row>
    <row r="2680" hidden="1">
      <c r="A2680" s="17">
        <v>2678</v>
      </c>
      <c r="B2680" s="17" t="s">
        <v>52</v>
      </c>
      <c r="C2680" s="34" t="s">
        <v>7619</v>
      </c>
      <c r="D2680" s="35" t="s">
        <v>6576</v>
      </c>
      <c r="E2680" s="17" t="s">
        <v>7620</v>
      </c>
      <c r="F2680" s="17" t="s">
        <v>7621</v>
      </c>
      <c r="G2680" s="17">
        <v>21.846264000000001</v>
      </c>
      <c r="H2680" s="17">
        <v>87.779112999999995</v>
      </c>
      <c r="I2680" s="17"/>
      <c r="J2680" s="17"/>
      <c r="K2680" s="17"/>
      <c r="L2680" s="17"/>
      <c r="M2680" s="34" t="s">
        <v>7612</v>
      </c>
      <c r="N2680" s="17"/>
      <c r="O2680" s="17"/>
      <c r="P2680" s="17"/>
      <c r="Q2680" s="17"/>
      <c r="R2680" s="17"/>
      <c r="S2680" s="17"/>
      <c r="T2680" s="17"/>
      <c r="U2680" s="17"/>
      <c r="V2680" s="17"/>
      <c r="W2680" s="17"/>
      <c r="X2680" s="17"/>
      <c r="Y2680" s="17"/>
      <c r="Z2680" s="17"/>
      <c r="AA2680" s="17"/>
      <c r="AB2680" s="17"/>
      <c r="AC2680" s="17"/>
      <c r="AD2680" s="17"/>
      <c r="AE2680" s="17"/>
      <c r="AF2680" s="17"/>
      <c r="AG2680" s="17"/>
      <c r="AH2680" s="17"/>
      <c r="AI2680" s="17"/>
      <c r="AJ2680" s="17"/>
      <c r="AK2680" s="17"/>
      <c r="AL2680" s="17"/>
      <c r="AM2680" s="17"/>
      <c r="AN2680" s="17"/>
      <c r="AO2680" s="17"/>
      <c r="AP2680" s="17"/>
      <c r="AQ2680" s="17"/>
      <c r="AR2680" s="17"/>
      <c r="AS2680" s="17"/>
      <c r="AT2680" s="17"/>
      <c r="AU2680" s="17"/>
    </row>
    <row r="2681" hidden="1">
      <c r="A2681" s="17">
        <v>2679</v>
      </c>
      <c r="B2681" s="17" t="s">
        <v>52</v>
      </c>
      <c r="C2681" s="34" t="s">
        <v>7622</v>
      </c>
      <c r="D2681" s="35" t="s">
        <v>6576</v>
      </c>
      <c r="E2681" s="17"/>
      <c r="F2681" s="17"/>
      <c r="G2681" s="17"/>
      <c r="H2681" s="17"/>
      <c r="I2681" s="17"/>
      <c r="J2681" s="17"/>
      <c r="K2681" s="17"/>
      <c r="L2681" s="17"/>
      <c r="M2681" s="34" t="s">
        <v>7612</v>
      </c>
      <c r="N2681" s="17"/>
      <c r="O2681" s="17"/>
      <c r="P2681" s="17"/>
      <c r="Q2681" s="17"/>
      <c r="R2681" s="17"/>
      <c r="S2681" s="17"/>
      <c r="T2681" s="17"/>
      <c r="U2681" s="17"/>
      <c r="V2681" s="17"/>
      <c r="W2681" s="17"/>
      <c r="X2681" s="17"/>
      <c r="Y2681" s="17"/>
      <c r="Z2681" s="17"/>
      <c r="AA2681" s="17"/>
      <c r="AB2681" s="17"/>
      <c r="AC2681" s="17"/>
      <c r="AD2681" s="17"/>
      <c r="AE2681" s="17"/>
      <c r="AF2681" s="17"/>
      <c r="AG2681" s="17"/>
      <c r="AH2681" s="17"/>
      <c r="AI2681" s="17"/>
      <c r="AJ2681" s="17"/>
      <c r="AK2681" s="17"/>
      <c r="AL2681" s="17"/>
      <c r="AM2681" s="17"/>
      <c r="AN2681" s="17"/>
      <c r="AO2681" s="17"/>
      <c r="AP2681" s="17"/>
      <c r="AQ2681" s="17"/>
      <c r="AR2681" s="17"/>
      <c r="AS2681" s="17"/>
      <c r="AT2681" s="17"/>
      <c r="AU2681" s="17"/>
    </row>
    <row r="2682" hidden="1">
      <c r="A2682" s="17">
        <v>2680</v>
      </c>
      <c r="B2682" s="17" t="s">
        <v>52</v>
      </c>
      <c r="C2682" s="34" t="s">
        <v>7623</v>
      </c>
      <c r="D2682" s="35" t="s">
        <v>6576</v>
      </c>
      <c r="E2682" s="17"/>
      <c r="F2682" s="17"/>
      <c r="G2682" s="17"/>
      <c r="H2682" s="17"/>
      <c r="I2682" s="17"/>
      <c r="J2682" s="17"/>
      <c r="K2682" s="17"/>
      <c r="L2682" s="17"/>
      <c r="M2682" s="34" t="s">
        <v>7612</v>
      </c>
      <c r="N2682" s="17"/>
      <c r="O2682" s="17"/>
      <c r="P2682" s="17"/>
      <c r="Q2682" s="17"/>
      <c r="R2682" s="17"/>
      <c r="S2682" s="17"/>
      <c r="T2682" s="17"/>
      <c r="U2682" s="17"/>
      <c r="V2682" s="17"/>
      <c r="W2682" s="17"/>
      <c r="X2682" s="17"/>
      <c r="Y2682" s="17"/>
      <c r="Z2682" s="17"/>
      <c r="AA2682" s="17"/>
      <c r="AB2682" s="17"/>
      <c r="AC2682" s="17"/>
      <c r="AD2682" s="17"/>
      <c r="AE2682" s="17"/>
      <c r="AF2682" s="17"/>
      <c r="AG2682" s="17"/>
      <c r="AH2682" s="17"/>
      <c r="AI2682" s="17"/>
      <c r="AJ2682" s="17"/>
      <c r="AK2682" s="17"/>
      <c r="AL2682" s="17"/>
      <c r="AM2682" s="17"/>
      <c r="AN2682" s="17"/>
      <c r="AO2682" s="17"/>
      <c r="AP2682" s="17"/>
      <c r="AQ2682" s="17"/>
      <c r="AR2682" s="17"/>
      <c r="AS2682" s="17"/>
      <c r="AT2682" s="17"/>
      <c r="AU2682" s="17"/>
    </row>
    <row r="2683" hidden="1">
      <c r="A2683" s="17">
        <v>2681</v>
      </c>
      <c r="B2683" s="17" t="s">
        <v>52</v>
      </c>
      <c r="C2683" s="34" t="s">
        <v>7624</v>
      </c>
      <c r="D2683" s="35" t="s">
        <v>6576</v>
      </c>
      <c r="E2683" s="17"/>
      <c r="F2683" s="17"/>
      <c r="G2683" s="17"/>
      <c r="H2683" s="17"/>
      <c r="I2683" s="17"/>
      <c r="J2683" s="17"/>
      <c r="K2683" s="17"/>
      <c r="L2683" s="17"/>
      <c r="M2683" s="34" t="s">
        <v>7612</v>
      </c>
      <c r="N2683" s="17"/>
      <c r="O2683" s="17"/>
      <c r="P2683" s="17"/>
      <c r="Q2683" s="17"/>
      <c r="R2683" s="17"/>
      <c r="S2683" s="17"/>
      <c r="T2683" s="17"/>
      <c r="U2683" s="17"/>
      <c r="V2683" s="17"/>
      <c r="W2683" s="17"/>
      <c r="X2683" s="17"/>
      <c r="Y2683" s="17"/>
      <c r="Z2683" s="17"/>
      <c r="AA2683" s="17"/>
      <c r="AB2683" s="17"/>
      <c r="AC2683" s="17"/>
      <c r="AD2683" s="17"/>
      <c r="AE2683" s="17"/>
      <c r="AF2683" s="17"/>
      <c r="AG2683" s="17"/>
      <c r="AH2683" s="17"/>
      <c r="AI2683" s="17"/>
      <c r="AJ2683" s="17"/>
      <c r="AK2683" s="17"/>
      <c r="AL2683" s="17"/>
      <c r="AM2683" s="17"/>
      <c r="AN2683" s="17"/>
      <c r="AO2683" s="17"/>
      <c r="AP2683" s="17"/>
      <c r="AQ2683" s="17"/>
      <c r="AR2683" s="17"/>
      <c r="AS2683" s="17"/>
      <c r="AT2683" s="17"/>
      <c r="AU2683" s="17"/>
    </row>
    <row r="2684" hidden="1">
      <c r="A2684" s="17">
        <v>2682</v>
      </c>
      <c r="B2684" s="17" t="s">
        <v>52</v>
      </c>
      <c r="C2684" s="34" t="s">
        <v>7625</v>
      </c>
      <c r="D2684" s="35" t="s">
        <v>6576</v>
      </c>
      <c r="E2684" s="17"/>
      <c r="F2684" s="17"/>
      <c r="G2684" s="17"/>
      <c r="H2684" s="17"/>
      <c r="I2684" s="17"/>
      <c r="J2684" s="17"/>
      <c r="K2684" s="17"/>
      <c r="L2684" s="17"/>
      <c r="M2684" s="34" t="s">
        <v>7612</v>
      </c>
      <c r="N2684" s="17"/>
      <c r="O2684" s="17"/>
      <c r="P2684" s="17"/>
      <c r="Q2684" s="17"/>
      <c r="R2684" s="17"/>
      <c r="S2684" s="17"/>
      <c r="T2684" s="17"/>
      <c r="U2684" s="17"/>
      <c r="V2684" s="17"/>
      <c r="W2684" s="17"/>
      <c r="X2684" s="17"/>
      <c r="Y2684" s="17"/>
      <c r="Z2684" s="17"/>
      <c r="AA2684" s="17"/>
      <c r="AB2684" s="17"/>
      <c r="AC2684" s="17"/>
      <c r="AD2684" s="17"/>
      <c r="AE2684" s="17"/>
      <c r="AF2684" s="17"/>
      <c r="AG2684" s="17"/>
      <c r="AH2684" s="17"/>
      <c r="AI2684" s="17"/>
      <c r="AJ2684" s="17"/>
      <c r="AK2684" s="17"/>
      <c r="AL2684" s="17"/>
      <c r="AM2684" s="17"/>
      <c r="AN2684" s="17"/>
      <c r="AO2684" s="17"/>
      <c r="AP2684" s="17"/>
      <c r="AQ2684" s="17"/>
      <c r="AR2684" s="17"/>
      <c r="AS2684" s="17"/>
      <c r="AT2684" s="17"/>
      <c r="AU2684" s="17"/>
    </row>
    <row r="2685" hidden="1">
      <c r="A2685" s="17">
        <v>2683</v>
      </c>
      <c r="B2685" s="17" t="s">
        <v>52</v>
      </c>
      <c r="C2685" s="34" t="s">
        <v>7626</v>
      </c>
      <c r="D2685" s="35" t="s">
        <v>6576</v>
      </c>
      <c r="E2685" s="17"/>
      <c r="F2685" s="17"/>
      <c r="G2685" s="17"/>
      <c r="H2685" s="17"/>
      <c r="I2685" s="17"/>
      <c r="J2685" s="17"/>
      <c r="K2685" s="17"/>
      <c r="L2685" s="17"/>
      <c r="M2685" s="34" t="s">
        <v>7612</v>
      </c>
      <c r="N2685" s="17"/>
      <c r="O2685" s="17"/>
      <c r="P2685" s="17"/>
      <c r="Q2685" s="17"/>
      <c r="R2685" s="17"/>
      <c r="S2685" s="17"/>
      <c r="T2685" s="17"/>
      <c r="U2685" s="17"/>
      <c r="V2685" s="17"/>
      <c r="W2685" s="17"/>
      <c r="X2685" s="17"/>
      <c r="Y2685" s="17"/>
      <c r="Z2685" s="17"/>
      <c r="AA2685" s="17"/>
      <c r="AB2685" s="17"/>
      <c r="AC2685" s="17"/>
      <c r="AD2685" s="17"/>
      <c r="AE2685" s="17"/>
      <c r="AF2685" s="17"/>
      <c r="AG2685" s="17"/>
      <c r="AH2685" s="17"/>
      <c r="AI2685" s="17"/>
      <c r="AJ2685" s="17"/>
      <c r="AK2685" s="17"/>
      <c r="AL2685" s="17"/>
      <c r="AM2685" s="17"/>
      <c r="AN2685" s="17"/>
      <c r="AO2685" s="17"/>
      <c r="AP2685" s="17"/>
      <c r="AQ2685" s="17"/>
      <c r="AR2685" s="17"/>
      <c r="AS2685" s="17"/>
      <c r="AT2685" s="17"/>
      <c r="AU2685" s="17"/>
    </row>
    <row r="2686" hidden="1">
      <c r="A2686" s="17">
        <v>2684</v>
      </c>
      <c r="B2686" s="17" t="s">
        <v>52</v>
      </c>
      <c r="C2686" s="34" t="s">
        <v>7627</v>
      </c>
      <c r="D2686" s="35" t="s">
        <v>6576</v>
      </c>
      <c r="E2686" s="17"/>
      <c r="F2686" s="17"/>
      <c r="G2686" s="17"/>
      <c r="H2686" s="17"/>
      <c r="I2686" s="17"/>
      <c r="J2686" s="17"/>
      <c r="K2686" s="17"/>
      <c r="L2686" s="17"/>
      <c r="M2686" s="34" t="s">
        <v>7612</v>
      </c>
      <c r="N2686" s="17"/>
      <c r="O2686" s="17"/>
      <c r="P2686" s="17"/>
      <c r="Q2686" s="17"/>
      <c r="R2686" s="17"/>
      <c r="S2686" s="17"/>
      <c r="T2686" s="17"/>
      <c r="U2686" s="17"/>
      <c r="V2686" s="17"/>
      <c r="W2686" s="17"/>
      <c r="X2686" s="17"/>
      <c r="Y2686" s="17"/>
      <c r="Z2686" s="17"/>
      <c r="AA2686" s="17"/>
      <c r="AB2686" s="17"/>
      <c r="AC2686" s="17"/>
      <c r="AD2686" s="17"/>
      <c r="AE2686" s="17"/>
      <c r="AF2686" s="17"/>
      <c r="AG2686" s="17"/>
      <c r="AH2686" s="17"/>
      <c r="AI2686" s="17"/>
      <c r="AJ2686" s="17"/>
      <c r="AK2686" s="17"/>
      <c r="AL2686" s="17"/>
      <c r="AM2686" s="17"/>
      <c r="AN2686" s="17"/>
      <c r="AO2686" s="17"/>
      <c r="AP2686" s="17"/>
      <c r="AQ2686" s="17"/>
      <c r="AR2686" s="17"/>
      <c r="AS2686" s="17"/>
      <c r="AT2686" s="17"/>
      <c r="AU2686" s="17"/>
    </row>
    <row r="2687" hidden="1">
      <c r="A2687" s="17">
        <v>2685</v>
      </c>
      <c r="B2687" s="17" t="s">
        <v>52</v>
      </c>
      <c r="C2687" s="34" t="s">
        <v>7628</v>
      </c>
      <c r="D2687" s="35" t="s">
        <v>6576</v>
      </c>
      <c r="E2687" s="17"/>
      <c r="F2687" s="17"/>
      <c r="G2687" s="17"/>
      <c r="H2687" s="17"/>
      <c r="I2687" s="17"/>
      <c r="J2687" s="17"/>
      <c r="K2687" s="17"/>
      <c r="L2687" s="17"/>
      <c r="M2687" s="34" t="s">
        <v>7612</v>
      </c>
      <c r="N2687" s="17"/>
      <c r="O2687" s="17"/>
      <c r="P2687" s="17"/>
      <c r="Q2687" s="17"/>
      <c r="R2687" s="17"/>
      <c r="S2687" s="17"/>
      <c r="T2687" s="17"/>
      <c r="U2687" s="17"/>
      <c r="V2687" s="17"/>
      <c r="W2687" s="17"/>
      <c r="X2687" s="17"/>
      <c r="Y2687" s="17"/>
      <c r="Z2687" s="17"/>
      <c r="AA2687" s="17"/>
      <c r="AB2687" s="17"/>
      <c r="AC2687" s="17"/>
      <c r="AD2687" s="17"/>
      <c r="AE2687" s="17"/>
      <c r="AF2687" s="17"/>
      <c r="AG2687" s="17"/>
      <c r="AH2687" s="17"/>
      <c r="AI2687" s="17"/>
      <c r="AJ2687" s="17"/>
      <c r="AK2687" s="17"/>
      <c r="AL2687" s="17"/>
      <c r="AM2687" s="17"/>
      <c r="AN2687" s="17"/>
      <c r="AO2687" s="17"/>
      <c r="AP2687" s="17"/>
      <c r="AQ2687" s="17"/>
      <c r="AR2687" s="17"/>
      <c r="AS2687" s="17"/>
      <c r="AT2687" s="17"/>
      <c r="AU2687" s="17"/>
    </row>
    <row r="2688" hidden="1">
      <c r="A2688" s="17">
        <v>2686</v>
      </c>
      <c r="B2688" s="17" t="s">
        <v>52</v>
      </c>
      <c r="C2688" s="34" t="s">
        <v>7629</v>
      </c>
      <c r="D2688" s="35" t="s">
        <v>6576</v>
      </c>
      <c r="E2688" s="17"/>
      <c r="F2688" s="17"/>
      <c r="G2688" s="17"/>
      <c r="H2688" s="17"/>
      <c r="I2688" s="17"/>
      <c r="J2688" s="17"/>
      <c r="K2688" s="17"/>
      <c r="L2688" s="17"/>
      <c r="M2688" s="34" t="s">
        <v>7612</v>
      </c>
      <c r="N2688" s="17"/>
      <c r="O2688" s="17"/>
      <c r="P2688" s="17"/>
      <c r="Q2688" s="17"/>
      <c r="R2688" s="17"/>
      <c r="S2688" s="17"/>
      <c r="T2688" s="17"/>
      <c r="U2688" s="17"/>
      <c r="V2688" s="17"/>
      <c r="W2688" s="17"/>
      <c r="X2688" s="17"/>
      <c r="Y2688" s="17"/>
      <c r="Z2688" s="17"/>
      <c r="AA2688" s="17"/>
      <c r="AB2688" s="17"/>
      <c r="AC2688" s="17"/>
      <c r="AD2688" s="17"/>
      <c r="AE2688" s="17"/>
      <c r="AF2688" s="17"/>
      <c r="AG2688" s="17"/>
      <c r="AH2688" s="17"/>
      <c r="AI2688" s="17"/>
      <c r="AJ2688" s="17"/>
      <c r="AK2688" s="17"/>
      <c r="AL2688" s="17"/>
      <c r="AM2688" s="17"/>
      <c r="AN2688" s="17"/>
      <c r="AO2688" s="17"/>
      <c r="AP2688" s="17"/>
      <c r="AQ2688" s="17"/>
      <c r="AR2688" s="17"/>
      <c r="AS2688" s="17"/>
      <c r="AT2688" s="17"/>
      <c r="AU2688" s="17"/>
    </row>
    <row r="2689" hidden="1">
      <c r="A2689" s="17">
        <v>2687</v>
      </c>
      <c r="B2689" s="17" t="s">
        <v>52</v>
      </c>
      <c r="C2689" s="34" t="s">
        <v>7630</v>
      </c>
      <c r="D2689" s="35" t="s">
        <v>6576</v>
      </c>
      <c r="E2689" s="17"/>
      <c r="F2689" s="17"/>
      <c r="G2689" s="17"/>
      <c r="H2689" s="17"/>
      <c r="I2689" s="17"/>
      <c r="J2689" s="17"/>
      <c r="K2689" s="17"/>
      <c r="L2689" s="17"/>
      <c r="M2689" s="34" t="s">
        <v>7612</v>
      </c>
      <c r="N2689" s="17"/>
      <c r="O2689" s="17"/>
      <c r="P2689" s="17"/>
      <c r="Q2689" s="17"/>
      <c r="R2689" s="17"/>
      <c r="S2689" s="17"/>
      <c r="T2689" s="17"/>
      <c r="U2689" s="17"/>
      <c r="V2689" s="17"/>
      <c r="W2689" s="17"/>
      <c r="X2689" s="17"/>
      <c r="Y2689" s="17"/>
      <c r="Z2689" s="17"/>
      <c r="AA2689" s="17"/>
      <c r="AB2689" s="17"/>
      <c r="AC2689" s="17"/>
      <c r="AD2689" s="17"/>
      <c r="AE2689" s="17"/>
      <c r="AF2689" s="17"/>
      <c r="AG2689" s="17"/>
      <c r="AH2689" s="17"/>
      <c r="AI2689" s="17"/>
      <c r="AJ2689" s="17"/>
      <c r="AK2689" s="17"/>
      <c r="AL2689" s="17"/>
      <c r="AM2689" s="17"/>
      <c r="AN2689" s="17"/>
      <c r="AO2689" s="17"/>
      <c r="AP2689" s="17"/>
      <c r="AQ2689" s="17"/>
      <c r="AR2689" s="17"/>
      <c r="AS2689" s="17"/>
      <c r="AT2689" s="17"/>
      <c r="AU2689" s="17"/>
    </row>
    <row r="2690" hidden="1">
      <c r="A2690" s="17">
        <v>2688</v>
      </c>
      <c r="B2690" s="17" t="s">
        <v>52</v>
      </c>
      <c r="C2690" s="34" t="s">
        <v>7631</v>
      </c>
      <c r="D2690" s="35" t="s">
        <v>6576</v>
      </c>
      <c r="E2690" s="17"/>
      <c r="F2690" s="17"/>
      <c r="G2690" s="17"/>
      <c r="H2690" s="17"/>
      <c r="I2690" s="17"/>
      <c r="J2690" s="17"/>
      <c r="K2690" s="17"/>
      <c r="L2690" s="17"/>
      <c r="M2690" s="34" t="s">
        <v>7612</v>
      </c>
      <c r="N2690" s="17"/>
      <c r="O2690" s="17"/>
      <c r="P2690" s="17"/>
      <c r="Q2690" s="17"/>
      <c r="R2690" s="17"/>
      <c r="S2690" s="17"/>
      <c r="T2690" s="17"/>
      <c r="U2690" s="17"/>
      <c r="V2690" s="17"/>
      <c r="W2690" s="17"/>
      <c r="X2690" s="17"/>
      <c r="Y2690" s="17"/>
      <c r="Z2690" s="17"/>
      <c r="AA2690" s="17"/>
      <c r="AB2690" s="17"/>
      <c r="AC2690" s="17"/>
      <c r="AD2690" s="17"/>
      <c r="AE2690" s="17"/>
      <c r="AF2690" s="17"/>
      <c r="AG2690" s="17"/>
      <c r="AH2690" s="17"/>
      <c r="AI2690" s="17"/>
      <c r="AJ2690" s="17"/>
      <c r="AK2690" s="17"/>
      <c r="AL2690" s="17"/>
      <c r="AM2690" s="17"/>
      <c r="AN2690" s="17"/>
      <c r="AO2690" s="17"/>
      <c r="AP2690" s="17"/>
      <c r="AQ2690" s="17"/>
      <c r="AR2690" s="17"/>
      <c r="AS2690" s="17"/>
      <c r="AT2690" s="17"/>
      <c r="AU2690" s="17"/>
    </row>
    <row r="2691" hidden="1">
      <c r="A2691" s="17">
        <v>2689</v>
      </c>
      <c r="B2691" s="17" t="s">
        <v>52</v>
      </c>
      <c r="C2691" s="34" t="s">
        <v>7632</v>
      </c>
      <c r="D2691" s="35" t="s">
        <v>6576</v>
      </c>
      <c r="E2691" s="17"/>
      <c r="F2691" s="17"/>
      <c r="G2691" s="17"/>
      <c r="H2691" s="17"/>
      <c r="I2691" s="17"/>
      <c r="J2691" s="17"/>
      <c r="K2691" s="17"/>
      <c r="L2691" s="17"/>
      <c r="M2691" s="34" t="s">
        <v>7612</v>
      </c>
      <c r="N2691" s="17"/>
      <c r="O2691" s="17"/>
      <c r="P2691" s="17"/>
      <c r="Q2691" s="17"/>
      <c r="R2691" s="17"/>
      <c r="S2691" s="17"/>
      <c r="T2691" s="17"/>
      <c r="U2691" s="17"/>
      <c r="V2691" s="17"/>
      <c r="W2691" s="17"/>
      <c r="X2691" s="17"/>
      <c r="Y2691" s="17"/>
      <c r="Z2691" s="17"/>
      <c r="AA2691" s="17"/>
      <c r="AB2691" s="17"/>
      <c r="AC2691" s="17"/>
      <c r="AD2691" s="17"/>
      <c r="AE2691" s="17"/>
      <c r="AF2691" s="17"/>
      <c r="AG2691" s="17"/>
      <c r="AH2691" s="17"/>
      <c r="AI2691" s="17"/>
      <c r="AJ2691" s="17"/>
      <c r="AK2691" s="17"/>
      <c r="AL2691" s="17"/>
      <c r="AM2691" s="17"/>
      <c r="AN2691" s="17"/>
      <c r="AO2691" s="17"/>
      <c r="AP2691" s="17"/>
      <c r="AQ2691" s="17"/>
      <c r="AR2691" s="17"/>
      <c r="AS2691" s="17"/>
      <c r="AT2691" s="17"/>
      <c r="AU2691" s="17"/>
    </row>
    <row r="2692" hidden="1">
      <c r="A2692" s="17">
        <v>2690</v>
      </c>
      <c r="B2692" s="17" t="s">
        <v>52</v>
      </c>
      <c r="C2692" s="34" t="s">
        <v>7633</v>
      </c>
      <c r="D2692" s="35" t="s">
        <v>6576</v>
      </c>
      <c r="E2692" s="17" t="s">
        <v>6752</v>
      </c>
      <c r="F2692" s="17" t="s">
        <v>7634</v>
      </c>
      <c r="G2692" s="17">
        <v>21.781991000000001</v>
      </c>
      <c r="H2692" s="17">
        <v>87.744376000000003</v>
      </c>
      <c r="I2692" s="17"/>
      <c r="J2692" s="17"/>
      <c r="K2692" s="17"/>
      <c r="L2692" s="17"/>
      <c r="M2692" s="34" t="s">
        <v>7612</v>
      </c>
      <c r="N2692" s="17"/>
      <c r="O2692" s="17"/>
      <c r="P2692" s="17"/>
      <c r="Q2692" s="17"/>
      <c r="R2692" s="17"/>
      <c r="S2692" s="17"/>
      <c r="T2692" s="17"/>
      <c r="U2692" s="17"/>
      <c r="V2692" s="17"/>
      <c r="W2692" s="17"/>
      <c r="X2692" s="17"/>
      <c r="Y2692" s="17"/>
      <c r="Z2692" s="17"/>
      <c r="AA2692" s="17"/>
      <c r="AB2692" s="17"/>
      <c r="AC2692" s="17"/>
      <c r="AD2692" s="17"/>
      <c r="AE2692" s="17"/>
      <c r="AF2692" s="17"/>
      <c r="AG2692" s="17"/>
      <c r="AH2692" s="17"/>
      <c r="AI2692" s="17"/>
      <c r="AJ2692" s="17"/>
      <c r="AK2692" s="17"/>
      <c r="AL2692" s="17"/>
      <c r="AM2692" s="17"/>
      <c r="AN2692" s="17"/>
      <c r="AO2692" s="17"/>
      <c r="AP2692" s="17"/>
      <c r="AQ2692" s="17"/>
      <c r="AR2692" s="17"/>
      <c r="AS2692" s="17"/>
      <c r="AT2692" s="17"/>
      <c r="AU2692" s="17"/>
    </row>
    <row r="2693" hidden="1">
      <c r="A2693" s="17">
        <v>2691</v>
      </c>
      <c r="B2693" s="17" t="s">
        <v>52</v>
      </c>
      <c r="C2693" s="34" t="s">
        <v>7635</v>
      </c>
      <c r="D2693" s="35" t="s">
        <v>6576</v>
      </c>
      <c r="E2693" s="17"/>
      <c r="F2693" s="17"/>
      <c r="G2693" s="17"/>
      <c r="H2693" s="17"/>
      <c r="I2693" s="17"/>
      <c r="J2693" s="17"/>
      <c r="K2693" s="17"/>
      <c r="L2693" s="17"/>
      <c r="M2693" s="34" t="s">
        <v>7612</v>
      </c>
      <c r="N2693" s="17"/>
      <c r="O2693" s="17"/>
      <c r="P2693" s="17"/>
      <c r="Q2693" s="17"/>
      <c r="R2693" s="17"/>
      <c r="S2693" s="17"/>
      <c r="T2693" s="17"/>
      <c r="U2693" s="17"/>
      <c r="V2693" s="17"/>
      <c r="W2693" s="17"/>
      <c r="X2693" s="17"/>
      <c r="Y2693" s="17"/>
      <c r="Z2693" s="17"/>
      <c r="AA2693" s="17"/>
      <c r="AB2693" s="17"/>
      <c r="AC2693" s="17"/>
      <c r="AD2693" s="17"/>
      <c r="AE2693" s="17"/>
      <c r="AF2693" s="17"/>
      <c r="AG2693" s="17"/>
      <c r="AH2693" s="17"/>
      <c r="AI2693" s="17"/>
      <c r="AJ2693" s="17"/>
      <c r="AK2693" s="17"/>
      <c r="AL2693" s="17"/>
      <c r="AM2693" s="17"/>
      <c r="AN2693" s="17"/>
      <c r="AO2693" s="17"/>
      <c r="AP2693" s="17"/>
      <c r="AQ2693" s="17"/>
      <c r="AR2693" s="17"/>
      <c r="AS2693" s="17"/>
      <c r="AT2693" s="17"/>
      <c r="AU2693" s="17"/>
    </row>
    <row r="2694" hidden="1">
      <c r="A2694" s="17">
        <v>2692</v>
      </c>
      <c r="B2694" s="17" t="s">
        <v>52</v>
      </c>
      <c r="C2694" s="34" t="s">
        <v>7636</v>
      </c>
      <c r="D2694" s="35" t="s">
        <v>6576</v>
      </c>
      <c r="E2694" s="17"/>
      <c r="F2694" s="17"/>
      <c r="G2694" s="17"/>
      <c r="H2694" s="17"/>
      <c r="I2694" s="17"/>
      <c r="J2694" s="17"/>
      <c r="K2694" s="17"/>
      <c r="L2694" s="17"/>
      <c r="M2694" s="34" t="s">
        <v>7612</v>
      </c>
      <c r="N2694" s="17"/>
      <c r="O2694" s="17"/>
      <c r="P2694" s="17"/>
      <c r="Q2694" s="17"/>
      <c r="R2694" s="17"/>
      <c r="S2694" s="17"/>
      <c r="T2694" s="17"/>
      <c r="U2694" s="17"/>
      <c r="V2694" s="17"/>
      <c r="W2694" s="17"/>
      <c r="X2694" s="17"/>
      <c r="Y2694" s="17"/>
      <c r="Z2694" s="17"/>
      <c r="AA2694" s="17"/>
      <c r="AB2694" s="17"/>
      <c r="AC2694" s="17"/>
      <c r="AD2694" s="17"/>
      <c r="AE2694" s="17"/>
      <c r="AF2694" s="17"/>
      <c r="AG2694" s="17"/>
      <c r="AH2694" s="17"/>
      <c r="AI2694" s="17"/>
      <c r="AJ2694" s="17"/>
      <c r="AK2694" s="17"/>
      <c r="AL2694" s="17"/>
      <c r="AM2694" s="17"/>
      <c r="AN2694" s="17"/>
      <c r="AO2694" s="17"/>
      <c r="AP2694" s="17"/>
      <c r="AQ2694" s="17"/>
      <c r="AR2694" s="17"/>
      <c r="AS2694" s="17"/>
      <c r="AT2694" s="17"/>
      <c r="AU2694" s="17"/>
    </row>
    <row r="2695" hidden="1">
      <c r="A2695" s="17">
        <v>2693</v>
      </c>
      <c r="B2695" s="17" t="s">
        <v>52</v>
      </c>
      <c r="C2695" s="34" t="s">
        <v>7637</v>
      </c>
      <c r="D2695" s="35" t="s">
        <v>6576</v>
      </c>
      <c r="E2695" s="17" t="s">
        <v>7638</v>
      </c>
      <c r="F2695" s="17" t="s">
        <v>7639</v>
      </c>
      <c r="G2695" s="17">
        <v>21.860059</v>
      </c>
      <c r="H2695" s="17">
        <v>87.850537000000003</v>
      </c>
      <c r="I2695" s="17"/>
      <c r="J2695" s="17"/>
      <c r="K2695" s="17"/>
      <c r="L2695" s="17"/>
      <c r="M2695" s="34" t="s">
        <v>7612</v>
      </c>
      <c r="N2695" s="17"/>
      <c r="O2695" s="17"/>
      <c r="P2695" s="17"/>
      <c r="Q2695" s="17"/>
      <c r="R2695" s="17"/>
      <c r="S2695" s="17"/>
      <c r="T2695" s="17"/>
      <c r="U2695" s="17"/>
      <c r="V2695" s="17"/>
      <c r="W2695" s="17"/>
      <c r="X2695" s="17"/>
      <c r="Y2695" s="17"/>
      <c r="Z2695" s="17"/>
      <c r="AA2695" s="17"/>
      <c r="AB2695" s="17"/>
      <c r="AC2695" s="17"/>
      <c r="AD2695" s="17"/>
      <c r="AE2695" s="17"/>
      <c r="AF2695" s="17"/>
      <c r="AG2695" s="17"/>
      <c r="AH2695" s="17"/>
      <c r="AI2695" s="17"/>
      <c r="AJ2695" s="17"/>
      <c r="AK2695" s="17"/>
      <c r="AL2695" s="17"/>
      <c r="AM2695" s="17"/>
      <c r="AN2695" s="17"/>
      <c r="AO2695" s="17"/>
      <c r="AP2695" s="17"/>
      <c r="AQ2695" s="17"/>
      <c r="AR2695" s="17"/>
      <c r="AS2695" s="17"/>
      <c r="AT2695" s="17"/>
      <c r="AU2695" s="17"/>
    </row>
    <row r="2696" hidden="1">
      <c r="A2696" s="17">
        <v>2694</v>
      </c>
      <c r="B2696" s="17" t="s">
        <v>52</v>
      </c>
      <c r="C2696" s="34" t="s">
        <v>7640</v>
      </c>
      <c r="D2696" s="35" t="s">
        <v>6576</v>
      </c>
      <c r="E2696" s="17" t="s">
        <v>7641</v>
      </c>
      <c r="F2696" s="17" t="s">
        <v>7642</v>
      </c>
      <c r="G2696" s="17">
        <v>21.811561000000001</v>
      </c>
      <c r="H2696" s="17">
        <v>87.778625000000005</v>
      </c>
      <c r="I2696" s="17"/>
      <c r="J2696" s="17"/>
      <c r="K2696" s="17"/>
      <c r="L2696" s="17"/>
      <c r="M2696" s="34" t="s">
        <v>7612</v>
      </c>
      <c r="N2696" s="17"/>
      <c r="O2696" s="17"/>
      <c r="P2696" s="17"/>
      <c r="Q2696" s="17"/>
      <c r="R2696" s="17"/>
      <c r="S2696" s="17"/>
      <c r="T2696" s="17"/>
      <c r="U2696" s="17"/>
      <c r="V2696" s="17"/>
      <c r="W2696" s="17"/>
      <c r="X2696" s="17"/>
      <c r="Y2696" s="17"/>
      <c r="Z2696" s="17"/>
      <c r="AA2696" s="17"/>
      <c r="AB2696" s="17"/>
      <c r="AC2696" s="17"/>
      <c r="AD2696" s="17"/>
      <c r="AE2696" s="17"/>
      <c r="AF2696" s="17"/>
      <c r="AG2696" s="17"/>
      <c r="AH2696" s="17"/>
      <c r="AI2696" s="17"/>
      <c r="AJ2696" s="17"/>
      <c r="AK2696" s="17"/>
      <c r="AL2696" s="17"/>
      <c r="AM2696" s="17"/>
      <c r="AN2696" s="17"/>
      <c r="AO2696" s="17"/>
      <c r="AP2696" s="17"/>
      <c r="AQ2696" s="17"/>
      <c r="AR2696" s="17"/>
      <c r="AS2696" s="17"/>
      <c r="AT2696" s="17"/>
      <c r="AU2696" s="17"/>
    </row>
    <row r="2697" hidden="1">
      <c r="A2697" s="17">
        <v>2695</v>
      </c>
      <c r="B2697" s="17" t="s">
        <v>52</v>
      </c>
      <c r="C2697" s="34" t="s">
        <v>7643</v>
      </c>
      <c r="D2697" s="35" t="s">
        <v>6576</v>
      </c>
      <c r="E2697" s="17" t="s">
        <v>7644</v>
      </c>
      <c r="F2697" s="17" t="s">
        <v>7645</v>
      </c>
      <c r="G2697" s="17">
        <v>21.787980000000001</v>
      </c>
      <c r="H2697" s="17">
        <v>87.757852</v>
      </c>
      <c r="I2697" s="17"/>
      <c r="J2697" s="17"/>
      <c r="K2697" s="17"/>
      <c r="L2697" s="17"/>
      <c r="M2697" s="34" t="s">
        <v>7612</v>
      </c>
      <c r="N2697" s="17"/>
      <c r="O2697" s="17"/>
      <c r="P2697" s="17"/>
      <c r="Q2697" s="17"/>
      <c r="R2697" s="17"/>
      <c r="S2697" s="17"/>
      <c r="T2697" s="17"/>
      <c r="U2697" s="17"/>
      <c r="V2697" s="17"/>
      <c r="W2697" s="17"/>
      <c r="X2697" s="17"/>
      <c r="Y2697" s="17"/>
      <c r="Z2697" s="17"/>
      <c r="AA2697" s="17"/>
      <c r="AB2697" s="17"/>
      <c r="AC2697" s="17"/>
      <c r="AD2697" s="17"/>
      <c r="AE2697" s="17"/>
      <c r="AF2697" s="17"/>
      <c r="AG2697" s="17"/>
      <c r="AH2697" s="17"/>
      <c r="AI2697" s="17"/>
      <c r="AJ2697" s="17"/>
      <c r="AK2697" s="17"/>
      <c r="AL2697" s="17"/>
      <c r="AM2697" s="17"/>
      <c r="AN2697" s="17"/>
      <c r="AO2697" s="17"/>
      <c r="AP2697" s="17"/>
      <c r="AQ2697" s="17"/>
      <c r="AR2697" s="17"/>
      <c r="AS2697" s="17"/>
      <c r="AT2697" s="17"/>
      <c r="AU2697" s="17"/>
    </row>
    <row r="2698" hidden="1">
      <c r="A2698" s="17">
        <v>2696</v>
      </c>
      <c r="B2698" s="17" t="s">
        <v>52</v>
      </c>
      <c r="C2698" s="34" t="s">
        <v>7646</v>
      </c>
      <c r="D2698" s="35" t="s">
        <v>6576</v>
      </c>
      <c r="E2698" s="17" t="s">
        <v>7647</v>
      </c>
      <c r="F2698" s="17" t="s">
        <v>7648</v>
      </c>
      <c r="G2698" s="17">
        <v>21.804290999999999</v>
      </c>
      <c r="H2698" s="17">
        <v>87.811220000000006</v>
      </c>
      <c r="I2698" s="17"/>
      <c r="J2698" s="17"/>
      <c r="K2698" s="17"/>
      <c r="L2698" s="17"/>
      <c r="M2698" s="34" t="s">
        <v>7612</v>
      </c>
      <c r="N2698" s="17"/>
      <c r="O2698" s="17"/>
      <c r="P2698" s="17"/>
      <c r="Q2698" s="17"/>
      <c r="R2698" s="17"/>
      <c r="S2698" s="17"/>
      <c r="T2698" s="17"/>
      <c r="U2698" s="17"/>
      <c r="V2698" s="17"/>
      <c r="W2698" s="17"/>
      <c r="X2698" s="17"/>
      <c r="Y2698" s="17"/>
      <c r="Z2698" s="17"/>
      <c r="AA2698" s="17"/>
      <c r="AB2698" s="17"/>
      <c r="AC2698" s="17"/>
      <c r="AD2698" s="17"/>
      <c r="AE2698" s="17"/>
      <c r="AF2698" s="17"/>
      <c r="AG2698" s="17"/>
      <c r="AH2698" s="17"/>
      <c r="AI2698" s="17"/>
      <c r="AJ2698" s="17"/>
      <c r="AK2698" s="17"/>
      <c r="AL2698" s="17"/>
      <c r="AM2698" s="17"/>
      <c r="AN2698" s="17"/>
      <c r="AO2698" s="17"/>
      <c r="AP2698" s="17"/>
      <c r="AQ2698" s="17"/>
      <c r="AR2698" s="17"/>
      <c r="AS2698" s="17"/>
      <c r="AT2698" s="17"/>
      <c r="AU2698" s="17"/>
    </row>
    <row r="2699" hidden="1">
      <c r="A2699" s="17">
        <v>2697</v>
      </c>
      <c r="B2699" s="17" t="s">
        <v>52</v>
      </c>
      <c r="C2699" s="34" t="s">
        <v>7649</v>
      </c>
      <c r="D2699" s="35" t="s">
        <v>6576</v>
      </c>
      <c r="E2699" s="17" t="s">
        <v>7650</v>
      </c>
      <c r="F2699" s="17" t="s">
        <v>7651</v>
      </c>
      <c r="G2699" s="17">
        <v>21.789373999999999</v>
      </c>
      <c r="H2699" s="17">
        <v>87.837710999999999</v>
      </c>
      <c r="I2699" s="17"/>
      <c r="J2699" s="17"/>
      <c r="K2699" s="17"/>
      <c r="L2699" s="17"/>
      <c r="M2699" s="34" t="s">
        <v>7612</v>
      </c>
      <c r="N2699" s="17"/>
      <c r="O2699" s="17"/>
      <c r="P2699" s="17"/>
      <c r="Q2699" s="17"/>
      <c r="R2699" s="17"/>
      <c r="S2699" s="17"/>
      <c r="T2699" s="17"/>
      <c r="U2699" s="17"/>
      <c r="V2699" s="17"/>
      <c r="W2699" s="17"/>
      <c r="X2699" s="17"/>
      <c r="Y2699" s="17"/>
      <c r="Z2699" s="17"/>
      <c r="AA2699" s="17"/>
      <c r="AB2699" s="17"/>
      <c r="AC2699" s="17"/>
      <c r="AD2699" s="17"/>
      <c r="AE2699" s="17"/>
      <c r="AF2699" s="17"/>
      <c r="AG2699" s="17"/>
      <c r="AH2699" s="17"/>
      <c r="AI2699" s="17"/>
      <c r="AJ2699" s="17"/>
      <c r="AK2699" s="17"/>
      <c r="AL2699" s="17"/>
      <c r="AM2699" s="17"/>
      <c r="AN2699" s="17"/>
      <c r="AO2699" s="17"/>
      <c r="AP2699" s="17"/>
      <c r="AQ2699" s="17"/>
      <c r="AR2699" s="17"/>
      <c r="AS2699" s="17"/>
      <c r="AT2699" s="17"/>
      <c r="AU2699" s="17"/>
    </row>
    <row r="2700" hidden="1">
      <c r="A2700" s="17">
        <v>2698</v>
      </c>
      <c r="B2700" s="17" t="s">
        <v>52</v>
      </c>
      <c r="C2700" s="34" t="s">
        <v>7652</v>
      </c>
      <c r="D2700" s="35" t="s">
        <v>6576</v>
      </c>
      <c r="E2700" s="17" t="s">
        <v>7653</v>
      </c>
      <c r="F2700" s="17" t="s">
        <v>7654</v>
      </c>
      <c r="G2700" s="17">
        <v>21.808782999999998</v>
      </c>
      <c r="H2700" s="17">
        <v>87.830965000000006</v>
      </c>
      <c r="I2700" s="17"/>
      <c r="J2700" s="17"/>
      <c r="K2700" s="17"/>
      <c r="L2700" s="17"/>
      <c r="M2700" s="34" t="s">
        <v>7612</v>
      </c>
      <c r="N2700" s="17"/>
      <c r="O2700" s="17"/>
      <c r="P2700" s="17"/>
      <c r="Q2700" s="17"/>
      <c r="R2700" s="17"/>
      <c r="S2700" s="17"/>
      <c r="T2700" s="17"/>
      <c r="U2700" s="17"/>
      <c r="V2700" s="17"/>
      <c r="W2700" s="17"/>
      <c r="X2700" s="17"/>
      <c r="Y2700" s="17"/>
      <c r="Z2700" s="17"/>
      <c r="AA2700" s="17"/>
      <c r="AB2700" s="17"/>
      <c r="AC2700" s="17"/>
      <c r="AD2700" s="17"/>
      <c r="AE2700" s="17"/>
      <c r="AF2700" s="17"/>
      <c r="AG2700" s="17"/>
      <c r="AH2700" s="17"/>
      <c r="AI2700" s="17"/>
      <c r="AJ2700" s="17"/>
      <c r="AK2700" s="17"/>
      <c r="AL2700" s="17"/>
      <c r="AM2700" s="17"/>
      <c r="AN2700" s="17"/>
      <c r="AO2700" s="17"/>
      <c r="AP2700" s="17"/>
      <c r="AQ2700" s="17"/>
      <c r="AR2700" s="17"/>
      <c r="AS2700" s="17"/>
      <c r="AT2700" s="17"/>
      <c r="AU2700" s="17"/>
    </row>
    <row r="2701" hidden="1">
      <c r="A2701" s="17">
        <v>2699</v>
      </c>
      <c r="B2701" s="17" t="s">
        <v>52</v>
      </c>
      <c r="C2701" s="34" t="s">
        <v>7655</v>
      </c>
      <c r="D2701" s="35" t="s">
        <v>6576</v>
      </c>
      <c r="E2701" s="17" t="s">
        <v>7656</v>
      </c>
      <c r="F2701" s="17" t="s">
        <v>7657</v>
      </c>
      <c r="G2701" s="17">
        <v>21.821249999999999</v>
      </c>
      <c r="H2701" s="17">
        <v>87.700074000000001</v>
      </c>
      <c r="I2701" s="17"/>
      <c r="J2701" s="17"/>
      <c r="K2701" s="17"/>
      <c r="L2701" s="17"/>
      <c r="M2701" s="34" t="s">
        <v>7612</v>
      </c>
      <c r="N2701" s="17"/>
      <c r="O2701" s="17"/>
      <c r="P2701" s="17"/>
      <c r="Q2701" s="17"/>
      <c r="R2701" s="17"/>
      <c r="S2701" s="17"/>
      <c r="T2701" s="17"/>
      <c r="U2701" s="17"/>
      <c r="V2701" s="17"/>
      <c r="W2701" s="17"/>
      <c r="X2701" s="17"/>
      <c r="Y2701" s="17"/>
      <c r="Z2701" s="17"/>
      <c r="AA2701" s="17"/>
      <c r="AB2701" s="17"/>
      <c r="AC2701" s="17"/>
      <c r="AD2701" s="17"/>
      <c r="AE2701" s="17"/>
      <c r="AF2701" s="17"/>
      <c r="AG2701" s="17"/>
      <c r="AH2701" s="17"/>
      <c r="AI2701" s="17"/>
      <c r="AJ2701" s="17"/>
      <c r="AK2701" s="17"/>
      <c r="AL2701" s="17"/>
      <c r="AM2701" s="17"/>
      <c r="AN2701" s="17"/>
      <c r="AO2701" s="17"/>
      <c r="AP2701" s="17"/>
      <c r="AQ2701" s="17"/>
      <c r="AR2701" s="17"/>
      <c r="AS2701" s="17"/>
      <c r="AT2701" s="17"/>
      <c r="AU2701" s="17"/>
    </row>
    <row r="2702" hidden="1">
      <c r="A2702" s="17">
        <v>2700</v>
      </c>
      <c r="B2702" s="17" t="s">
        <v>52</v>
      </c>
      <c r="C2702" s="34" t="s">
        <v>7658</v>
      </c>
      <c r="D2702" s="35" t="s">
        <v>6576</v>
      </c>
      <c r="E2702" s="17" t="s">
        <v>7659</v>
      </c>
      <c r="F2702" s="17" t="s">
        <v>7660</v>
      </c>
      <c r="G2702" s="17">
        <v>21.834643</v>
      </c>
      <c r="H2702" s="17">
        <v>87.733980000000003</v>
      </c>
      <c r="I2702" s="17"/>
      <c r="J2702" s="17"/>
      <c r="K2702" s="17"/>
      <c r="L2702" s="17"/>
      <c r="M2702" s="34" t="s">
        <v>7612</v>
      </c>
      <c r="N2702" s="17"/>
      <c r="O2702" s="17"/>
      <c r="P2702" s="17"/>
      <c r="Q2702" s="17"/>
      <c r="R2702" s="17"/>
      <c r="S2702" s="17"/>
      <c r="T2702" s="17"/>
      <c r="U2702" s="17"/>
      <c r="V2702" s="17"/>
      <c r="W2702" s="17"/>
      <c r="X2702" s="17"/>
      <c r="Y2702" s="17"/>
      <c r="Z2702" s="17"/>
      <c r="AA2702" s="17"/>
      <c r="AB2702" s="17"/>
      <c r="AC2702" s="17"/>
      <c r="AD2702" s="17"/>
      <c r="AE2702" s="17"/>
      <c r="AF2702" s="17"/>
      <c r="AG2702" s="17"/>
      <c r="AH2702" s="17"/>
      <c r="AI2702" s="17"/>
      <c r="AJ2702" s="17"/>
      <c r="AK2702" s="17"/>
      <c r="AL2702" s="17"/>
      <c r="AM2702" s="17"/>
      <c r="AN2702" s="17"/>
      <c r="AO2702" s="17"/>
      <c r="AP2702" s="17"/>
      <c r="AQ2702" s="17"/>
      <c r="AR2702" s="17"/>
      <c r="AS2702" s="17"/>
      <c r="AT2702" s="17"/>
      <c r="AU2702" s="17"/>
    </row>
    <row r="2703" hidden="1">
      <c r="A2703" s="17">
        <v>2701</v>
      </c>
      <c r="B2703" s="17" t="s">
        <v>52</v>
      </c>
      <c r="C2703" s="34" t="s">
        <v>7661</v>
      </c>
      <c r="D2703" s="35" t="s">
        <v>6576</v>
      </c>
      <c r="E2703" s="17" t="s">
        <v>6752</v>
      </c>
      <c r="F2703" s="17" t="s">
        <v>7662</v>
      </c>
      <c r="G2703" s="17">
        <v>21.822989</v>
      </c>
      <c r="H2703" s="17">
        <v>87.775981999999999</v>
      </c>
      <c r="I2703" s="17"/>
      <c r="J2703" s="17"/>
      <c r="K2703" s="17"/>
      <c r="L2703" s="17"/>
      <c r="M2703" s="34" t="s">
        <v>7612</v>
      </c>
      <c r="N2703" s="17"/>
      <c r="O2703" s="17"/>
      <c r="P2703" s="17"/>
      <c r="Q2703" s="17"/>
      <c r="R2703" s="17"/>
      <c r="S2703" s="17"/>
      <c r="T2703" s="17"/>
      <c r="U2703" s="17"/>
      <c r="V2703" s="17"/>
      <c r="W2703" s="17"/>
      <c r="X2703" s="17"/>
      <c r="Y2703" s="17"/>
      <c r="Z2703" s="17"/>
      <c r="AA2703" s="17"/>
      <c r="AB2703" s="17"/>
      <c r="AC2703" s="17"/>
      <c r="AD2703" s="17"/>
      <c r="AE2703" s="17"/>
      <c r="AF2703" s="17"/>
      <c r="AG2703" s="17"/>
      <c r="AH2703" s="17"/>
      <c r="AI2703" s="17"/>
      <c r="AJ2703" s="17"/>
      <c r="AK2703" s="17"/>
      <c r="AL2703" s="17"/>
      <c r="AM2703" s="17"/>
      <c r="AN2703" s="17"/>
      <c r="AO2703" s="17"/>
      <c r="AP2703" s="17"/>
      <c r="AQ2703" s="17"/>
      <c r="AR2703" s="17"/>
      <c r="AS2703" s="17"/>
      <c r="AT2703" s="17"/>
      <c r="AU2703" s="17"/>
    </row>
    <row r="2704" hidden="1">
      <c r="A2704" s="17">
        <v>2702</v>
      </c>
      <c r="B2704" s="17" t="s">
        <v>52</v>
      </c>
      <c r="C2704" s="34" t="s">
        <v>7663</v>
      </c>
      <c r="D2704" s="35" t="s">
        <v>6576</v>
      </c>
      <c r="E2704" s="17" t="s">
        <v>7664</v>
      </c>
      <c r="F2704" s="17" t="s">
        <v>7665</v>
      </c>
      <c r="G2704" s="17">
        <v>21.851047999999999</v>
      </c>
      <c r="H2704" s="17">
        <v>87.700241000000005</v>
      </c>
      <c r="I2704" s="17"/>
      <c r="J2704" s="17"/>
      <c r="K2704" s="17"/>
      <c r="L2704" s="17"/>
      <c r="M2704" s="34" t="s">
        <v>7612</v>
      </c>
      <c r="N2704" s="17"/>
      <c r="O2704" s="17"/>
      <c r="P2704" s="17"/>
      <c r="Q2704" s="17"/>
      <c r="R2704" s="17"/>
      <c r="S2704" s="17"/>
      <c r="T2704" s="17"/>
      <c r="U2704" s="17"/>
      <c r="V2704" s="17"/>
      <c r="W2704" s="17"/>
      <c r="X2704" s="17"/>
      <c r="Y2704" s="17"/>
      <c r="Z2704" s="17"/>
      <c r="AA2704" s="17"/>
      <c r="AB2704" s="17"/>
      <c r="AC2704" s="17"/>
      <c r="AD2704" s="17"/>
      <c r="AE2704" s="17"/>
      <c r="AF2704" s="17"/>
      <c r="AG2704" s="17"/>
      <c r="AH2704" s="17"/>
      <c r="AI2704" s="17"/>
      <c r="AJ2704" s="17"/>
      <c r="AK2704" s="17"/>
      <c r="AL2704" s="17"/>
      <c r="AM2704" s="17"/>
      <c r="AN2704" s="17"/>
      <c r="AO2704" s="17"/>
      <c r="AP2704" s="17"/>
      <c r="AQ2704" s="17"/>
      <c r="AR2704" s="17"/>
      <c r="AS2704" s="17"/>
      <c r="AT2704" s="17"/>
      <c r="AU2704" s="17"/>
    </row>
    <row r="2705" hidden="1">
      <c r="A2705" s="17">
        <v>2703</v>
      </c>
      <c r="B2705" s="17" t="s">
        <v>52</v>
      </c>
      <c r="C2705" s="34" t="s">
        <v>7666</v>
      </c>
      <c r="D2705" s="35" t="s">
        <v>6576</v>
      </c>
      <c r="E2705" s="17"/>
      <c r="F2705" s="17"/>
      <c r="G2705" s="17"/>
      <c r="H2705" s="17"/>
      <c r="I2705" s="17"/>
      <c r="J2705" s="17"/>
      <c r="K2705" s="17"/>
      <c r="L2705" s="17"/>
      <c r="M2705" s="34" t="s">
        <v>7612</v>
      </c>
      <c r="N2705" s="17"/>
      <c r="O2705" s="17"/>
      <c r="P2705" s="17"/>
      <c r="Q2705" s="17"/>
      <c r="R2705" s="17"/>
      <c r="S2705" s="17"/>
      <c r="T2705" s="17"/>
      <c r="U2705" s="17"/>
      <c r="V2705" s="17"/>
      <c r="W2705" s="17"/>
      <c r="X2705" s="17"/>
      <c r="Y2705" s="17"/>
      <c r="Z2705" s="17"/>
      <c r="AA2705" s="17"/>
      <c r="AB2705" s="17"/>
      <c r="AC2705" s="17"/>
      <c r="AD2705" s="17"/>
      <c r="AE2705" s="17"/>
      <c r="AF2705" s="17"/>
      <c r="AG2705" s="17"/>
      <c r="AH2705" s="17"/>
      <c r="AI2705" s="17"/>
      <c r="AJ2705" s="17"/>
      <c r="AK2705" s="17"/>
      <c r="AL2705" s="17"/>
      <c r="AM2705" s="17"/>
      <c r="AN2705" s="17"/>
      <c r="AO2705" s="17"/>
      <c r="AP2705" s="17"/>
      <c r="AQ2705" s="17"/>
      <c r="AR2705" s="17"/>
      <c r="AS2705" s="17"/>
      <c r="AT2705" s="17"/>
      <c r="AU2705" s="17"/>
    </row>
    <row r="2706" hidden="1">
      <c r="A2706" s="17">
        <v>2704</v>
      </c>
      <c r="B2706" s="17" t="s">
        <v>52</v>
      </c>
      <c r="C2706" s="34" t="s">
        <v>7667</v>
      </c>
      <c r="D2706" s="35" t="s">
        <v>6576</v>
      </c>
      <c r="E2706" s="17" t="s">
        <v>7668</v>
      </c>
      <c r="F2706" s="17" t="s">
        <v>7669</v>
      </c>
      <c r="G2706" s="17">
        <v>21.781361</v>
      </c>
      <c r="H2706" s="17">
        <v>87.752894999999995</v>
      </c>
      <c r="I2706" s="17"/>
      <c r="J2706" s="17"/>
      <c r="K2706" s="17"/>
      <c r="L2706" s="17"/>
      <c r="M2706" s="34" t="s">
        <v>7612</v>
      </c>
      <c r="N2706" s="17"/>
      <c r="O2706" s="17"/>
      <c r="P2706" s="17"/>
      <c r="Q2706" s="17"/>
      <c r="R2706" s="17"/>
      <c r="S2706" s="17"/>
      <c r="T2706" s="17"/>
      <c r="U2706" s="17"/>
      <c r="V2706" s="17"/>
      <c r="W2706" s="17"/>
      <c r="X2706" s="17"/>
      <c r="Y2706" s="17"/>
      <c r="Z2706" s="17"/>
      <c r="AA2706" s="17"/>
      <c r="AB2706" s="17"/>
      <c r="AC2706" s="17"/>
      <c r="AD2706" s="17"/>
      <c r="AE2706" s="17"/>
      <c r="AF2706" s="17"/>
      <c r="AG2706" s="17"/>
      <c r="AH2706" s="17"/>
      <c r="AI2706" s="17"/>
      <c r="AJ2706" s="17"/>
      <c r="AK2706" s="17"/>
      <c r="AL2706" s="17"/>
      <c r="AM2706" s="17"/>
      <c r="AN2706" s="17"/>
      <c r="AO2706" s="17"/>
      <c r="AP2706" s="17"/>
      <c r="AQ2706" s="17"/>
      <c r="AR2706" s="17"/>
      <c r="AS2706" s="17"/>
      <c r="AT2706" s="17"/>
      <c r="AU2706" s="17"/>
    </row>
    <row r="2707" hidden="1">
      <c r="A2707" s="17">
        <v>2705</v>
      </c>
      <c r="B2707" s="17" t="s">
        <v>52</v>
      </c>
      <c r="C2707" s="34" t="s">
        <v>7670</v>
      </c>
      <c r="D2707" s="35" t="s">
        <v>6576</v>
      </c>
      <c r="E2707" s="17" t="s">
        <v>7671</v>
      </c>
      <c r="F2707" s="17" t="s">
        <v>7672</v>
      </c>
      <c r="G2707" s="17">
        <v>21.779461000000001</v>
      </c>
      <c r="H2707" s="17">
        <v>87.743290000000002</v>
      </c>
      <c r="I2707" s="17"/>
      <c r="J2707" s="17"/>
      <c r="K2707" s="17"/>
      <c r="L2707" s="17"/>
      <c r="M2707" s="34" t="s">
        <v>7612</v>
      </c>
      <c r="N2707" s="17"/>
      <c r="O2707" s="17"/>
      <c r="P2707" s="17"/>
      <c r="Q2707" s="17"/>
      <c r="R2707" s="17"/>
      <c r="S2707" s="17"/>
      <c r="T2707" s="17"/>
      <c r="U2707" s="17"/>
      <c r="V2707" s="17"/>
      <c r="W2707" s="17"/>
      <c r="X2707" s="17"/>
      <c r="Y2707" s="17"/>
      <c r="Z2707" s="17"/>
      <c r="AA2707" s="17"/>
      <c r="AB2707" s="17"/>
      <c r="AC2707" s="17"/>
      <c r="AD2707" s="17"/>
      <c r="AE2707" s="17"/>
      <c r="AF2707" s="17"/>
      <c r="AG2707" s="17"/>
      <c r="AH2707" s="17"/>
      <c r="AI2707" s="17"/>
      <c r="AJ2707" s="17"/>
      <c r="AK2707" s="17"/>
      <c r="AL2707" s="17"/>
      <c r="AM2707" s="17"/>
      <c r="AN2707" s="17"/>
      <c r="AO2707" s="17"/>
      <c r="AP2707" s="17"/>
      <c r="AQ2707" s="17"/>
      <c r="AR2707" s="17"/>
      <c r="AS2707" s="17"/>
      <c r="AT2707" s="17"/>
      <c r="AU2707" s="17"/>
    </row>
    <row r="2708" hidden="1">
      <c r="A2708" s="17">
        <v>2706</v>
      </c>
      <c r="B2708" s="17" t="s">
        <v>52</v>
      </c>
      <c r="C2708" s="34" t="s">
        <v>7673</v>
      </c>
      <c r="D2708" s="35" t="s">
        <v>6576</v>
      </c>
      <c r="E2708" s="17" t="s">
        <v>7674</v>
      </c>
      <c r="F2708" s="17" t="s">
        <v>7675</v>
      </c>
      <c r="G2708" s="17">
        <v>21.771968000000001</v>
      </c>
      <c r="H2708" s="17">
        <v>87.741242</v>
      </c>
      <c r="I2708" s="17"/>
      <c r="J2708" s="17"/>
      <c r="K2708" s="17"/>
      <c r="L2708" s="17"/>
      <c r="M2708" s="34" t="s">
        <v>7612</v>
      </c>
      <c r="N2708" s="17"/>
      <c r="O2708" s="17"/>
      <c r="P2708" s="17"/>
      <c r="Q2708" s="17"/>
      <c r="R2708" s="17"/>
      <c r="S2708" s="17"/>
      <c r="T2708" s="17"/>
      <c r="U2708" s="17"/>
      <c r="V2708" s="17"/>
      <c r="W2708" s="17"/>
      <c r="X2708" s="17"/>
      <c r="Y2708" s="17"/>
      <c r="Z2708" s="17"/>
      <c r="AA2708" s="17"/>
      <c r="AB2708" s="17"/>
      <c r="AC2708" s="17"/>
      <c r="AD2708" s="17"/>
      <c r="AE2708" s="17"/>
      <c r="AF2708" s="17"/>
      <c r="AG2708" s="17"/>
      <c r="AH2708" s="17"/>
      <c r="AI2708" s="17"/>
      <c r="AJ2708" s="17"/>
      <c r="AK2708" s="17"/>
      <c r="AL2708" s="17"/>
      <c r="AM2708" s="17"/>
      <c r="AN2708" s="17"/>
      <c r="AO2708" s="17"/>
      <c r="AP2708" s="17"/>
      <c r="AQ2708" s="17"/>
      <c r="AR2708" s="17"/>
      <c r="AS2708" s="17"/>
      <c r="AT2708" s="17"/>
      <c r="AU2708" s="17"/>
    </row>
    <row r="2709" hidden="1">
      <c r="A2709" s="17">
        <v>2707</v>
      </c>
      <c r="B2709" s="17" t="s">
        <v>52</v>
      </c>
      <c r="C2709" s="34" t="s">
        <v>7676</v>
      </c>
      <c r="D2709" s="35" t="s">
        <v>6576</v>
      </c>
      <c r="E2709" s="17" t="s">
        <v>7677</v>
      </c>
      <c r="F2709" s="17" t="s">
        <v>7678</v>
      </c>
      <c r="G2709" s="17">
        <v>21.777837000000002</v>
      </c>
      <c r="H2709" s="17">
        <v>87.754334999999998</v>
      </c>
      <c r="I2709" s="17"/>
      <c r="J2709" s="17"/>
      <c r="K2709" s="17"/>
      <c r="L2709" s="17"/>
      <c r="M2709" s="34" t="s">
        <v>7612</v>
      </c>
      <c r="N2709" s="17"/>
      <c r="O2709" s="17"/>
      <c r="P2709" s="17"/>
      <c r="Q2709" s="17"/>
      <c r="R2709" s="17"/>
      <c r="S2709" s="17"/>
      <c r="T2709" s="17"/>
      <c r="U2709" s="17"/>
      <c r="V2709" s="17"/>
      <c r="W2709" s="17"/>
      <c r="X2709" s="17"/>
      <c r="Y2709" s="17"/>
      <c r="Z2709" s="17"/>
      <c r="AA2709" s="17"/>
      <c r="AB2709" s="17"/>
      <c r="AC2709" s="17"/>
      <c r="AD2709" s="17"/>
      <c r="AE2709" s="17"/>
      <c r="AF2709" s="17"/>
      <c r="AG2709" s="17"/>
      <c r="AH2709" s="17"/>
      <c r="AI2709" s="17"/>
      <c r="AJ2709" s="17"/>
      <c r="AK2709" s="17"/>
      <c r="AL2709" s="17"/>
      <c r="AM2709" s="17"/>
      <c r="AN2709" s="17"/>
      <c r="AO2709" s="17"/>
      <c r="AP2709" s="17"/>
      <c r="AQ2709" s="17"/>
      <c r="AR2709" s="17"/>
      <c r="AS2709" s="17"/>
      <c r="AT2709" s="17"/>
      <c r="AU2709" s="17"/>
    </row>
    <row r="2710" hidden="1">
      <c r="A2710" s="17">
        <v>2708</v>
      </c>
      <c r="B2710" s="17" t="s">
        <v>52</v>
      </c>
      <c r="C2710" s="34" t="s">
        <v>7679</v>
      </c>
      <c r="D2710" s="35" t="s">
        <v>6576</v>
      </c>
      <c r="E2710" s="17" t="s">
        <v>7680</v>
      </c>
      <c r="F2710" s="17" t="s">
        <v>7681</v>
      </c>
      <c r="G2710" s="17">
        <v>21.770254999999999</v>
      </c>
      <c r="H2710" s="17">
        <v>87.754723999999996</v>
      </c>
      <c r="I2710" s="17"/>
      <c r="J2710" s="17"/>
      <c r="K2710" s="17"/>
      <c r="L2710" s="17"/>
      <c r="M2710" s="34" t="s">
        <v>7612</v>
      </c>
      <c r="N2710" s="17"/>
      <c r="O2710" s="17"/>
      <c r="P2710" s="17"/>
      <c r="Q2710" s="17"/>
      <c r="R2710" s="17"/>
      <c r="S2710" s="17"/>
      <c r="T2710" s="17"/>
      <c r="U2710" s="17"/>
      <c r="V2710" s="17"/>
      <c r="W2710" s="17"/>
      <c r="X2710" s="17"/>
      <c r="Y2710" s="17"/>
      <c r="Z2710" s="17"/>
      <c r="AA2710" s="17"/>
      <c r="AB2710" s="17"/>
      <c r="AC2710" s="17"/>
      <c r="AD2710" s="17"/>
      <c r="AE2710" s="17"/>
      <c r="AF2710" s="17"/>
      <c r="AG2710" s="17"/>
      <c r="AH2710" s="17"/>
      <c r="AI2710" s="17"/>
      <c r="AJ2710" s="17"/>
      <c r="AK2710" s="17"/>
      <c r="AL2710" s="17"/>
      <c r="AM2710" s="17"/>
      <c r="AN2710" s="17"/>
      <c r="AO2710" s="17"/>
      <c r="AP2710" s="17"/>
      <c r="AQ2710" s="17"/>
      <c r="AR2710" s="17"/>
      <c r="AS2710" s="17"/>
      <c r="AT2710" s="17"/>
      <c r="AU2710" s="17"/>
    </row>
    <row r="2711" hidden="1">
      <c r="A2711" s="17">
        <v>2709</v>
      </c>
      <c r="B2711" s="17" t="s">
        <v>52</v>
      </c>
      <c r="C2711" s="34" t="s">
        <v>7682</v>
      </c>
      <c r="D2711" s="35" t="s">
        <v>6576</v>
      </c>
      <c r="E2711" s="17" t="s">
        <v>7683</v>
      </c>
      <c r="F2711" s="17" t="s">
        <v>7684</v>
      </c>
      <c r="G2711" s="17">
        <v>21.756613999999999</v>
      </c>
      <c r="H2711" s="17">
        <v>87.756786000000005</v>
      </c>
      <c r="I2711" s="17"/>
      <c r="J2711" s="17"/>
      <c r="K2711" s="17"/>
      <c r="L2711" s="17"/>
      <c r="M2711" s="34" t="s">
        <v>7612</v>
      </c>
      <c r="N2711" s="17"/>
      <c r="O2711" s="17"/>
      <c r="P2711" s="17"/>
      <c r="Q2711" s="17"/>
      <c r="R2711" s="17"/>
      <c r="S2711" s="17"/>
      <c r="T2711" s="17"/>
      <c r="U2711" s="17"/>
      <c r="V2711" s="17"/>
      <c r="W2711" s="17"/>
      <c r="X2711" s="17"/>
      <c r="Y2711" s="17"/>
      <c r="Z2711" s="17"/>
      <c r="AA2711" s="17"/>
      <c r="AB2711" s="17"/>
      <c r="AC2711" s="17"/>
      <c r="AD2711" s="17"/>
      <c r="AE2711" s="17"/>
      <c r="AF2711" s="17"/>
      <c r="AG2711" s="17"/>
      <c r="AH2711" s="17"/>
      <c r="AI2711" s="17"/>
      <c r="AJ2711" s="17"/>
      <c r="AK2711" s="17"/>
      <c r="AL2711" s="17"/>
      <c r="AM2711" s="17"/>
      <c r="AN2711" s="17"/>
      <c r="AO2711" s="17"/>
      <c r="AP2711" s="17"/>
      <c r="AQ2711" s="17"/>
      <c r="AR2711" s="17"/>
      <c r="AS2711" s="17"/>
      <c r="AT2711" s="17"/>
      <c r="AU2711" s="17"/>
    </row>
    <row r="2712" hidden="1">
      <c r="A2712" s="17">
        <v>2710</v>
      </c>
      <c r="B2712" s="17" t="s">
        <v>52</v>
      </c>
      <c r="C2712" s="34" t="s">
        <v>7685</v>
      </c>
      <c r="D2712" s="35" t="s">
        <v>6576</v>
      </c>
      <c r="E2712" s="17" t="s">
        <v>7686</v>
      </c>
      <c r="F2712" s="17" t="s">
        <v>7687</v>
      </c>
      <c r="G2712" s="17">
        <v>21.782654000000001</v>
      </c>
      <c r="H2712" s="17">
        <v>87.805262999999997</v>
      </c>
      <c r="I2712" s="17"/>
      <c r="J2712" s="17"/>
      <c r="K2712" s="17"/>
      <c r="L2712" s="17"/>
      <c r="M2712" s="34" t="s">
        <v>7612</v>
      </c>
      <c r="N2712" s="17"/>
      <c r="O2712" s="17"/>
      <c r="P2712" s="17"/>
      <c r="Q2712" s="17"/>
      <c r="R2712" s="17"/>
      <c r="S2712" s="17"/>
      <c r="T2712" s="17"/>
      <c r="U2712" s="17"/>
      <c r="V2712" s="17"/>
      <c r="W2712" s="17"/>
      <c r="X2712" s="17"/>
      <c r="Y2712" s="17"/>
      <c r="Z2712" s="17"/>
      <c r="AA2712" s="17"/>
      <c r="AB2712" s="17"/>
      <c r="AC2712" s="17"/>
      <c r="AD2712" s="17"/>
      <c r="AE2712" s="17"/>
      <c r="AF2712" s="17"/>
      <c r="AG2712" s="17"/>
      <c r="AH2712" s="17"/>
      <c r="AI2712" s="17"/>
      <c r="AJ2712" s="17"/>
      <c r="AK2712" s="17"/>
      <c r="AL2712" s="17"/>
      <c r="AM2712" s="17"/>
      <c r="AN2712" s="17"/>
      <c r="AO2712" s="17"/>
      <c r="AP2712" s="17"/>
      <c r="AQ2712" s="17"/>
      <c r="AR2712" s="17"/>
      <c r="AS2712" s="17"/>
      <c r="AT2712" s="17"/>
      <c r="AU2712" s="17"/>
    </row>
    <row r="2713" hidden="1">
      <c r="A2713" s="17">
        <v>2711</v>
      </c>
      <c r="B2713" s="17" t="s">
        <v>52</v>
      </c>
      <c r="C2713" s="34" t="s">
        <v>7688</v>
      </c>
      <c r="D2713" s="35" t="s">
        <v>6576</v>
      </c>
      <c r="E2713" s="17" t="s">
        <v>7689</v>
      </c>
      <c r="F2713" s="17" t="s">
        <v>7690</v>
      </c>
      <c r="G2713" s="17">
        <v>21.869260000000001</v>
      </c>
      <c r="H2713" s="17">
        <v>87.804820000000007</v>
      </c>
      <c r="I2713" s="17"/>
      <c r="J2713" s="17"/>
      <c r="K2713" s="17"/>
      <c r="L2713" s="17"/>
      <c r="M2713" s="34" t="s">
        <v>7612</v>
      </c>
      <c r="N2713" s="17"/>
      <c r="O2713" s="17"/>
      <c r="P2713" s="17"/>
      <c r="Q2713" s="17"/>
      <c r="R2713" s="17"/>
      <c r="S2713" s="17"/>
      <c r="T2713" s="17"/>
      <c r="U2713" s="17"/>
      <c r="V2713" s="17"/>
      <c r="W2713" s="17"/>
      <c r="X2713" s="17"/>
      <c r="Y2713" s="17"/>
      <c r="Z2713" s="17"/>
      <c r="AA2713" s="17"/>
      <c r="AB2713" s="17"/>
      <c r="AC2713" s="17"/>
      <c r="AD2713" s="17"/>
      <c r="AE2713" s="17"/>
      <c r="AF2713" s="17"/>
      <c r="AG2713" s="17"/>
      <c r="AH2713" s="17"/>
      <c r="AI2713" s="17"/>
      <c r="AJ2713" s="17"/>
      <c r="AK2713" s="17"/>
      <c r="AL2713" s="17"/>
      <c r="AM2713" s="17"/>
      <c r="AN2713" s="17"/>
      <c r="AO2713" s="17"/>
      <c r="AP2713" s="17"/>
      <c r="AQ2713" s="17"/>
      <c r="AR2713" s="17"/>
      <c r="AS2713" s="17"/>
      <c r="AT2713" s="17"/>
      <c r="AU2713" s="17"/>
    </row>
    <row r="2714" hidden="1">
      <c r="A2714" s="17">
        <v>2712</v>
      </c>
      <c r="B2714" s="17" t="s">
        <v>52</v>
      </c>
      <c r="C2714" s="34" t="s">
        <v>7691</v>
      </c>
      <c r="D2714" s="35" t="s">
        <v>6576</v>
      </c>
      <c r="E2714" s="17" t="s">
        <v>7692</v>
      </c>
      <c r="F2714" s="17" t="s">
        <v>7693</v>
      </c>
      <c r="G2714" s="17">
        <v>21.761828000000001</v>
      </c>
      <c r="H2714" s="17">
        <v>87.836256000000006</v>
      </c>
      <c r="I2714" s="17"/>
      <c r="J2714" s="17"/>
      <c r="K2714" s="17"/>
      <c r="L2714" s="17"/>
      <c r="M2714" s="34" t="s">
        <v>7612</v>
      </c>
      <c r="N2714" s="17"/>
      <c r="O2714" s="17"/>
      <c r="P2714" s="17"/>
      <c r="Q2714" s="17"/>
      <c r="R2714" s="17"/>
      <c r="S2714" s="17"/>
      <c r="T2714" s="17"/>
      <c r="U2714" s="17"/>
      <c r="V2714" s="17"/>
      <c r="W2714" s="17"/>
      <c r="X2714" s="17"/>
      <c r="Y2714" s="17"/>
      <c r="Z2714" s="17"/>
      <c r="AA2714" s="17"/>
      <c r="AB2714" s="17"/>
      <c r="AC2714" s="17"/>
      <c r="AD2714" s="17"/>
      <c r="AE2714" s="17"/>
      <c r="AF2714" s="17"/>
      <c r="AG2714" s="17"/>
      <c r="AH2714" s="17"/>
      <c r="AI2714" s="17"/>
      <c r="AJ2714" s="17"/>
      <c r="AK2714" s="17"/>
      <c r="AL2714" s="17"/>
      <c r="AM2714" s="17"/>
      <c r="AN2714" s="17"/>
      <c r="AO2714" s="17"/>
      <c r="AP2714" s="17"/>
      <c r="AQ2714" s="17"/>
      <c r="AR2714" s="17"/>
      <c r="AS2714" s="17"/>
      <c r="AT2714" s="17"/>
      <c r="AU2714" s="17"/>
    </row>
    <row r="2715" hidden="1">
      <c r="A2715" s="17">
        <v>2713</v>
      </c>
      <c r="B2715" s="17" t="s">
        <v>52</v>
      </c>
      <c r="C2715" s="34" t="s">
        <v>7694</v>
      </c>
      <c r="D2715" s="35" t="s">
        <v>6576</v>
      </c>
      <c r="E2715" s="17" t="s">
        <v>7695</v>
      </c>
      <c r="F2715" s="17" t="s">
        <v>7696</v>
      </c>
      <c r="G2715" s="17">
        <v>21.826243999999999</v>
      </c>
      <c r="H2715" s="17">
        <v>87.835420999999997</v>
      </c>
      <c r="I2715" s="17"/>
      <c r="J2715" s="17"/>
      <c r="K2715" s="17"/>
      <c r="L2715" s="17"/>
      <c r="M2715" s="34" t="s">
        <v>7612</v>
      </c>
      <c r="N2715" s="17"/>
      <c r="O2715" s="17"/>
      <c r="P2715" s="17"/>
      <c r="Q2715" s="17"/>
      <c r="R2715" s="17"/>
      <c r="S2715" s="17"/>
      <c r="T2715" s="17"/>
      <c r="U2715" s="17"/>
      <c r="V2715" s="17"/>
      <c r="W2715" s="17"/>
      <c r="X2715" s="17"/>
      <c r="Y2715" s="17"/>
      <c r="Z2715" s="17"/>
      <c r="AA2715" s="17"/>
      <c r="AB2715" s="17"/>
      <c r="AC2715" s="17"/>
      <c r="AD2715" s="17"/>
      <c r="AE2715" s="17"/>
      <c r="AF2715" s="17"/>
      <c r="AG2715" s="17"/>
      <c r="AH2715" s="17"/>
      <c r="AI2715" s="17"/>
      <c r="AJ2715" s="17"/>
      <c r="AK2715" s="17"/>
      <c r="AL2715" s="17"/>
      <c r="AM2715" s="17"/>
      <c r="AN2715" s="17"/>
      <c r="AO2715" s="17"/>
      <c r="AP2715" s="17"/>
      <c r="AQ2715" s="17"/>
      <c r="AR2715" s="17"/>
      <c r="AS2715" s="17"/>
      <c r="AT2715" s="17"/>
      <c r="AU2715" s="17"/>
    </row>
    <row r="2716" hidden="1">
      <c r="A2716" s="17">
        <v>2714</v>
      </c>
      <c r="B2716" s="17" t="s">
        <v>52</v>
      </c>
      <c r="C2716" s="34" t="s">
        <v>7697</v>
      </c>
      <c r="D2716" s="35" t="s">
        <v>6576</v>
      </c>
      <c r="E2716" s="17" t="s">
        <v>7698</v>
      </c>
      <c r="F2716" s="17" t="s">
        <v>7699</v>
      </c>
      <c r="G2716" s="17">
        <v>21.796735000000002</v>
      </c>
      <c r="H2716" s="17">
        <v>87.774935999999997</v>
      </c>
      <c r="I2716" s="17"/>
      <c r="J2716" s="17"/>
      <c r="K2716" s="17"/>
      <c r="L2716" s="17"/>
      <c r="M2716" s="34" t="s">
        <v>7612</v>
      </c>
      <c r="N2716" s="17"/>
      <c r="O2716" s="17"/>
      <c r="P2716" s="17"/>
      <c r="Q2716" s="17"/>
      <c r="R2716" s="17"/>
      <c r="S2716" s="17"/>
      <c r="T2716" s="17"/>
      <c r="U2716" s="17"/>
      <c r="V2716" s="17"/>
      <c r="W2716" s="17"/>
      <c r="X2716" s="17"/>
      <c r="Y2716" s="17"/>
      <c r="Z2716" s="17"/>
      <c r="AA2716" s="17"/>
      <c r="AB2716" s="17"/>
      <c r="AC2716" s="17"/>
      <c r="AD2716" s="17"/>
      <c r="AE2716" s="17"/>
      <c r="AF2716" s="17"/>
      <c r="AG2716" s="17"/>
      <c r="AH2716" s="17"/>
      <c r="AI2716" s="17"/>
      <c r="AJ2716" s="17"/>
      <c r="AK2716" s="17"/>
      <c r="AL2716" s="17"/>
      <c r="AM2716" s="17"/>
      <c r="AN2716" s="17"/>
      <c r="AO2716" s="17"/>
      <c r="AP2716" s="17"/>
      <c r="AQ2716" s="17"/>
      <c r="AR2716" s="17"/>
      <c r="AS2716" s="17"/>
      <c r="AT2716" s="17"/>
      <c r="AU2716" s="17"/>
    </row>
    <row r="2717" hidden="1">
      <c r="A2717" s="17">
        <v>2715</v>
      </c>
      <c r="B2717" s="17" t="s">
        <v>52</v>
      </c>
      <c r="C2717" s="34" t="s">
        <v>7700</v>
      </c>
      <c r="D2717" s="35" t="s">
        <v>6576</v>
      </c>
      <c r="E2717" s="17" t="s">
        <v>7701</v>
      </c>
      <c r="F2717" s="17" t="s">
        <v>7702</v>
      </c>
      <c r="G2717" s="17">
        <v>21.776993999999998</v>
      </c>
      <c r="H2717" s="17">
        <v>87.830855999999997</v>
      </c>
      <c r="I2717" s="17"/>
      <c r="J2717" s="17"/>
      <c r="K2717" s="17"/>
      <c r="L2717" s="17"/>
      <c r="M2717" s="34" t="s">
        <v>7612</v>
      </c>
      <c r="N2717" s="17"/>
      <c r="O2717" s="17"/>
      <c r="P2717" s="17"/>
      <c r="Q2717" s="17"/>
      <c r="R2717" s="17"/>
      <c r="S2717" s="17"/>
      <c r="T2717" s="17"/>
      <c r="U2717" s="17"/>
      <c r="V2717" s="17"/>
      <c r="W2717" s="17"/>
      <c r="X2717" s="17"/>
      <c r="Y2717" s="17"/>
      <c r="Z2717" s="17"/>
      <c r="AA2717" s="17"/>
      <c r="AB2717" s="17"/>
      <c r="AC2717" s="17"/>
      <c r="AD2717" s="17"/>
      <c r="AE2717" s="17"/>
      <c r="AF2717" s="17"/>
      <c r="AG2717" s="17"/>
      <c r="AH2717" s="17"/>
      <c r="AI2717" s="17"/>
      <c r="AJ2717" s="17"/>
      <c r="AK2717" s="17"/>
      <c r="AL2717" s="17"/>
      <c r="AM2717" s="17"/>
      <c r="AN2717" s="17"/>
      <c r="AO2717" s="17"/>
      <c r="AP2717" s="17"/>
      <c r="AQ2717" s="17"/>
      <c r="AR2717" s="17"/>
      <c r="AS2717" s="17"/>
      <c r="AT2717" s="17"/>
      <c r="AU2717" s="17"/>
    </row>
    <row r="2718" hidden="1">
      <c r="A2718" s="17">
        <v>2716</v>
      </c>
      <c r="B2718" s="17" t="s">
        <v>52</v>
      </c>
      <c r="C2718" s="34" t="s">
        <v>7703</v>
      </c>
      <c r="D2718" s="35" t="s">
        <v>6576</v>
      </c>
      <c r="E2718" s="17" t="s">
        <v>7704</v>
      </c>
      <c r="F2718" s="17" t="s">
        <v>7705</v>
      </c>
      <c r="G2718" s="17">
        <v>21.761127999999999</v>
      </c>
      <c r="H2718" s="17">
        <v>87.854895999999997</v>
      </c>
      <c r="I2718" s="17"/>
      <c r="J2718" s="17"/>
      <c r="K2718" s="17"/>
      <c r="L2718" s="17"/>
      <c r="M2718" s="34" t="s">
        <v>7612</v>
      </c>
      <c r="N2718" s="17"/>
      <c r="O2718" s="17"/>
      <c r="P2718" s="17"/>
      <c r="Q2718" s="17"/>
      <c r="R2718" s="17"/>
      <c r="S2718" s="17"/>
      <c r="T2718" s="17"/>
      <c r="U2718" s="17"/>
      <c r="V2718" s="17"/>
      <c r="W2718" s="17"/>
      <c r="X2718" s="17"/>
      <c r="Y2718" s="17"/>
      <c r="Z2718" s="17"/>
      <c r="AA2718" s="17"/>
      <c r="AB2718" s="17"/>
      <c r="AC2718" s="17"/>
      <c r="AD2718" s="17"/>
      <c r="AE2718" s="17"/>
      <c r="AF2718" s="17"/>
      <c r="AG2718" s="17"/>
      <c r="AH2718" s="17"/>
      <c r="AI2718" s="17"/>
      <c r="AJ2718" s="17"/>
      <c r="AK2718" s="17"/>
      <c r="AL2718" s="17"/>
      <c r="AM2718" s="17"/>
      <c r="AN2718" s="17"/>
      <c r="AO2718" s="17"/>
      <c r="AP2718" s="17"/>
      <c r="AQ2718" s="17"/>
      <c r="AR2718" s="17"/>
      <c r="AS2718" s="17"/>
      <c r="AT2718" s="17"/>
      <c r="AU2718" s="17"/>
    </row>
    <row r="2719" hidden="1">
      <c r="A2719" s="17">
        <v>2717</v>
      </c>
      <c r="B2719" s="17" t="s">
        <v>52</v>
      </c>
      <c r="C2719" s="34" t="s">
        <v>7706</v>
      </c>
      <c r="D2719" s="35" t="s">
        <v>6576</v>
      </c>
      <c r="E2719" s="17" t="s">
        <v>7707</v>
      </c>
      <c r="F2719" s="17" t="s">
        <v>7708</v>
      </c>
      <c r="G2719" s="17">
        <v>21.848082000000002</v>
      </c>
      <c r="H2719" s="17">
        <v>87.830331999999999</v>
      </c>
      <c r="I2719" s="17"/>
      <c r="J2719" s="17"/>
      <c r="K2719" s="17"/>
      <c r="L2719" s="17"/>
      <c r="M2719" s="34" t="s">
        <v>7612</v>
      </c>
      <c r="N2719" s="17"/>
      <c r="O2719" s="17"/>
      <c r="P2719" s="17"/>
      <c r="Q2719" s="17"/>
      <c r="R2719" s="17"/>
      <c r="S2719" s="17"/>
      <c r="T2719" s="17"/>
      <c r="U2719" s="17"/>
      <c r="V2719" s="17"/>
      <c r="W2719" s="17"/>
      <c r="X2719" s="17"/>
      <c r="Y2719" s="17"/>
      <c r="Z2719" s="17"/>
      <c r="AA2719" s="17"/>
      <c r="AB2719" s="17"/>
      <c r="AC2719" s="17"/>
      <c r="AD2719" s="17"/>
      <c r="AE2719" s="17"/>
      <c r="AF2719" s="17"/>
      <c r="AG2719" s="17"/>
      <c r="AH2719" s="17"/>
      <c r="AI2719" s="17"/>
      <c r="AJ2719" s="17"/>
      <c r="AK2719" s="17"/>
      <c r="AL2719" s="17"/>
      <c r="AM2719" s="17"/>
      <c r="AN2719" s="17"/>
      <c r="AO2719" s="17"/>
      <c r="AP2719" s="17"/>
      <c r="AQ2719" s="17"/>
      <c r="AR2719" s="17"/>
      <c r="AS2719" s="17"/>
      <c r="AT2719" s="17"/>
      <c r="AU2719" s="17"/>
    </row>
    <row r="2720" hidden="1">
      <c r="A2720" s="17">
        <v>2718</v>
      </c>
      <c r="B2720" s="17" t="s">
        <v>52</v>
      </c>
      <c r="C2720" s="34" t="s">
        <v>7709</v>
      </c>
      <c r="D2720" s="35" t="s">
        <v>6576</v>
      </c>
      <c r="E2720" s="17" t="s">
        <v>7710</v>
      </c>
      <c r="F2720" s="17" t="s">
        <v>7711</v>
      </c>
      <c r="G2720" s="17">
        <v>21.897749000000001</v>
      </c>
      <c r="H2720" s="17">
        <v>87.826036999999999</v>
      </c>
      <c r="I2720" s="17"/>
      <c r="J2720" s="17"/>
      <c r="K2720" s="17"/>
      <c r="L2720" s="17"/>
      <c r="M2720" s="34" t="s">
        <v>7612</v>
      </c>
      <c r="N2720" s="17"/>
      <c r="O2720" s="17"/>
      <c r="P2720" s="17"/>
      <c r="Q2720" s="17"/>
      <c r="R2720" s="17"/>
      <c r="S2720" s="17"/>
      <c r="T2720" s="17"/>
      <c r="U2720" s="17"/>
      <c r="V2720" s="17"/>
      <c r="W2720" s="17"/>
      <c r="X2720" s="17"/>
      <c r="Y2720" s="17"/>
      <c r="Z2720" s="17"/>
      <c r="AA2720" s="17"/>
      <c r="AB2720" s="17"/>
      <c r="AC2720" s="17"/>
      <c r="AD2720" s="17"/>
      <c r="AE2720" s="17"/>
      <c r="AF2720" s="17"/>
      <c r="AG2720" s="17"/>
      <c r="AH2720" s="17"/>
      <c r="AI2720" s="17"/>
      <c r="AJ2720" s="17"/>
      <c r="AK2720" s="17"/>
      <c r="AL2720" s="17"/>
      <c r="AM2720" s="17"/>
      <c r="AN2720" s="17"/>
      <c r="AO2720" s="17"/>
      <c r="AP2720" s="17"/>
      <c r="AQ2720" s="17"/>
      <c r="AR2720" s="17"/>
      <c r="AS2720" s="17"/>
      <c r="AT2720" s="17"/>
      <c r="AU2720" s="17"/>
    </row>
    <row r="2721" hidden="1">
      <c r="A2721" s="17">
        <v>2719</v>
      </c>
      <c r="B2721" s="17" t="s">
        <v>52</v>
      </c>
      <c r="C2721" s="34" t="s">
        <v>7712</v>
      </c>
      <c r="D2721" s="35" t="s">
        <v>6576</v>
      </c>
      <c r="E2721" s="17" t="s">
        <v>7713</v>
      </c>
      <c r="F2721" s="17" t="s">
        <v>7714</v>
      </c>
      <c r="G2721" s="17">
        <v>21.853290000000001</v>
      </c>
      <c r="H2721" s="17">
        <v>87.814779999999999</v>
      </c>
      <c r="I2721" s="17"/>
      <c r="J2721" s="17"/>
      <c r="K2721" s="17"/>
      <c r="L2721" s="17"/>
      <c r="M2721" s="34" t="s">
        <v>7612</v>
      </c>
      <c r="N2721" s="17"/>
      <c r="O2721" s="17"/>
      <c r="P2721" s="17"/>
      <c r="Q2721" s="17"/>
      <c r="R2721" s="17"/>
      <c r="S2721" s="17"/>
      <c r="T2721" s="17"/>
      <c r="U2721" s="17"/>
      <c r="V2721" s="17"/>
      <c r="W2721" s="17"/>
      <c r="X2721" s="17"/>
      <c r="Y2721" s="17"/>
      <c r="Z2721" s="17"/>
      <c r="AA2721" s="17"/>
      <c r="AB2721" s="17"/>
      <c r="AC2721" s="17"/>
      <c r="AD2721" s="17"/>
      <c r="AE2721" s="17"/>
      <c r="AF2721" s="17"/>
      <c r="AG2721" s="17"/>
      <c r="AH2721" s="17"/>
      <c r="AI2721" s="17"/>
      <c r="AJ2721" s="17"/>
      <c r="AK2721" s="17"/>
      <c r="AL2721" s="17"/>
      <c r="AM2721" s="17"/>
      <c r="AN2721" s="17"/>
      <c r="AO2721" s="17"/>
      <c r="AP2721" s="17"/>
      <c r="AQ2721" s="17"/>
      <c r="AR2721" s="17"/>
      <c r="AS2721" s="17"/>
      <c r="AT2721" s="17"/>
      <c r="AU2721" s="17"/>
    </row>
    <row r="2722" hidden="1">
      <c r="A2722" s="17">
        <v>2720</v>
      </c>
      <c r="B2722" s="17" t="s">
        <v>52</v>
      </c>
      <c r="C2722" s="34" t="s">
        <v>7715</v>
      </c>
      <c r="D2722" s="35" t="s">
        <v>6576</v>
      </c>
      <c r="E2722" s="17" t="s">
        <v>7716</v>
      </c>
      <c r="F2722" s="17" t="s">
        <v>7717</v>
      </c>
      <c r="G2722" s="17">
        <v>21.793075999999999</v>
      </c>
      <c r="H2722" s="17">
        <v>87.801456999999999</v>
      </c>
      <c r="I2722" s="17"/>
      <c r="J2722" s="17"/>
      <c r="K2722" s="17"/>
      <c r="L2722" s="17"/>
      <c r="M2722" s="34" t="s">
        <v>7612</v>
      </c>
      <c r="N2722" s="17"/>
      <c r="O2722" s="17"/>
      <c r="P2722" s="17"/>
      <c r="Q2722" s="17"/>
      <c r="R2722" s="17"/>
      <c r="S2722" s="17"/>
      <c r="T2722" s="17"/>
      <c r="U2722" s="17"/>
      <c r="V2722" s="17"/>
      <c r="W2722" s="17"/>
      <c r="X2722" s="17"/>
      <c r="Y2722" s="17"/>
      <c r="Z2722" s="17"/>
      <c r="AA2722" s="17"/>
      <c r="AB2722" s="17"/>
      <c r="AC2722" s="17"/>
      <c r="AD2722" s="17"/>
      <c r="AE2722" s="17"/>
      <c r="AF2722" s="17"/>
      <c r="AG2722" s="17"/>
      <c r="AH2722" s="17"/>
      <c r="AI2722" s="17"/>
      <c r="AJ2722" s="17"/>
      <c r="AK2722" s="17"/>
      <c r="AL2722" s="17"/>
      <c r="AM2722" s="17"/>
      <c r="AN2722" s="17"/>
      <c r="AO2722" s="17"/>
      <c r="AP2722" s="17"/>
      <c r="AQ2722" s="17"/>
      <c r="AR2722" s="17"/>
      <c r="AS2722" s="17"/>
      <c r="AT2722" s="17"/>
      <c r="AU2722" s="17"/>
    </row>
    <row r="2723" hidden="1">
      <c r="A2723" s="17">
        <v>2721</v>
      </c>
      <c r="B2723" s="17" t="s">
        <v>52</v>
      </c>
      <c r="C2723" s="34" t="s">
        <v>7718</v>
      </c>
      <c r="D2723" s="35" t="s">
        <v>6576</v>
      </c>
      <c r="E2723" s="17" t="s">
        <v>7719</v>
      </c>
      <c r="F2723" s="17" t="s">
        <v>7720</v>
      </c>
      <c r="G2723" s="17">
        <v>21.876650000000001</v>
      </c>
      <c r="H2723" s="17">
        <v>87.84196</v>
      </c>
      <c r="I2723" s="17"/>
      <c r="J2723" s="17"/>
      <c r="K2723" s="17"/>
      <c r="L2723" s="17"/>
      <c r="M2723" s="34" t="s">
        <v>7612</v>
      </c>
      <c r="N2723" s="17"/>
      <c r="O2723" s="17"/>
      <c r="P2723" s="17"/>
      <c r="Q2723" s="17"/>
      <c r="R2723" s="17"/>
      <c r="S2723" s="17"/>
      <c r="T2723" s="17"/>
      <c r="U2723" s="17"/>
      <c r="V2723" s="17"/>
      <c r="W2723" s="17"/>
      <c r="X2723" s="17"/>
      <c r="Y2723" s="17"/>
      <c r="Z2723" s="17"/>
      <c r="AA2723" s="17"/>
      <c r="AB2723" s="17"/>
      <c r="AC2723" s="17"/>
      <c r="AD2723" s="17"/>
      <c r="AE2723" s="17"/>
      <c r="AF2723" s="17"/>
      <c r="AG2723" s="17"/>
      <c r="AH2723" s="17"/>
      <c r="AI2723" s="17"/>
      <c r="AJ2723" s="17"/>
      <c r="AK2723" s="17"/>
      <c r="AL2723" s="17"/>
      <c r="AM2723" s="17"/>
      <c r="AN2723" s="17"/>
      <c r="AO2723" s="17"/>
      <c r="AP2723" s="17"/>
      <c r="AQ2723" s="17"/>
      <c r="AR2723" s="17"/>
      <c r="AS2723" s="17"/>
      <c r="AT2723" s="17"/>
      <c r="AU2723" s="17"/>
    </row>
    <row r="2724" hidden="1">
      <c r="A2724" s="17">
        <v>2722</v>
      </c>
      <c r="B2724" s="17" t="s">
        <v>52</v>
      </c>
      <c r="C2724" s="34" t="s">
        <v>7721</v>
      </c>
      <c r="D2724" s="35" t="s">
        <v>6576</v>
      </c>
      <c r="E2724" s="17" t="s">
        <v>7722</v>
      </c>
      <c r="F2724" s="17" t="s">
        <v>7723</v>
      </c>
      <c r="G2724" s="17">
        <v>21.792490000000001</v>
      </c>
      <c r="H2724" s="17">
        <v>87.866410000000002</v>
      </c>
      <c r="I2724" s="17"/>
      <c r="J2724" s="17"/>
      <c r="K2724" s="17"/>
      <c r="L2724" s="17"/>
      <c r="M2724" s="34" t="s">
        <v>7612</v>
      </c>
      <c r="N2724" s="17"/>
      <c r="O2724" s="17"/>
      <c r="P2724" s="17"/>
      <c r="Q2724" s="17"/>
      <c r="R2724" s="17"/>
      <c r="S2724" s="17"/>
      <c r="T2724" s="17"/>
      <c r="U2724" s="17"/>
      <c r="V2724" s="17"/>
      <c r="W2724" s="17"/>
      <c r="X2724" s="17"/>
      <c r="Y2724" s="17"/>
      <c r="Z2724" s="17"/>
      <c r="AA2724" s="17"/>
      <c r="AB2724" s="17"/>
      <c r="AC2724" s="17"/>
      <c r="AD2724" s="17"/>
      <c r="AE2724" s="17"/>
      <c r="AF2724" s="17"/>
      <c r="AG2724" s="17"/>
      <c r="AH2724" s="17"/>
      <c r="AI2724" s="17"/>
      <c r="AJ2724" s="17"/>
      <c r="AK2724" s="17"/>
      <c r="AL2724" s="17"/>
      <c r="AM2724" s="17"/>
      <c r="AN2724" s="17"/>
      <c r="AO2724" s="17"/>
      <c r="AP2724" s="17"/>
      <c r="AQ2724" s="17"/>
      <c r="AR2724" s="17"/>
      <c r="AS2724" s="17"/>
      <c r="AT2724" s="17"/>
      <c r="AU2724" s="17"/>
    </row>
    <row r="2725" hidden="1">
      <c r="A2725" s="17">
        <v>2723</v>
      </c>
      <c r="B2725" s="17" t="s">
        <v>52</v>
      </c>
      <c r="C2725" s="34" t="s">
        <v>7724</v>
      </c>
      <c r="D2725" s="35" t="s">
        <v>6576</v>
      </c>
      <c r="E2725" s="17" t="s">
        <v>7725</v>
      </c>
      <c r="F2725" s="17" t="s">
        <v>7726</v>
      </c>
      <c r="G2725" s="17">
        <v>21.804234000000001</v>
      </c>
      <c r="H2725" s="17">
        <v>87.727907999999999</v>
      </c>
      <c r="I2725" s="17"/>
      <c r="J2725" s="17"/>
      <c r="K2725" s="17"/>
      <c r="L2725" s="17"/>
      <c r="M2725" s="34" t="s">
        <v>7612</v>
      </c>
      <c r="N2725" s="17"/>
      <c r="O2725" s="17"/>
      <c r="P2725" s="17"/>
      <c r="Q2725" s="17"/>
      <c r="R2725" s="17"/>
      <c r="S2725" s="17"/>
      <c r="T2725" s="17"/>
      <c r="U2725" s="17"/>
      <c r="V2725" s="17"/>
      <c r="W2725" s="17"/>
      <c r="X2725" s="17"/>
      <c r="Y2725" s="17"/>
      <c r="Z2725" s="17"/>
      <c r="AA2725" s="17"/>
      <c r="AB2725" s="17"/>
      <c r="AC2725" s="17"/>
      <c r="AD2725" s="17"/>
      <c r="AE2725" s="17"/>
      <c r="AF2725" s="17"/>
      <c r="AG2725" s="17"/>
      <c r="AH2725" s="17"/>
      <c r="AI2725" s="17"/>
      <c r="AJ2725" s="17"/>
      <c r="AK2725" s="17"/>
      <c r="AL2725" s="17"/>
      <c r="AM2725" s="17"/>
      <c r="AN2725" s="17"/>
      <c r="AO2725" s="17"/>
      <c r="AP2725" s="17"/>
      <c r="AQ2725" s="17"/>
      <c r="AR2725" s="17"/>
      <c r="AS2725" s="17"/>
      <c r="AT2725" s="17"/>
      <c r="AU2725" s="17"/>
    </row>
    <row r="2726" hidden="1">
      <c r="A2726" s="17">
        <v>2724</v>
      </c>
      <c r="B2726" s="17" t="s">
        <v>52</v>
      </c>
      <c r="C2726" s="34" t="s">
        <v>7727</v>
      </c>
      <c r="D2726" s="35" t="s">
        <v>6576</v>
      </c>
      <c r="E2726" s="17" t="s">
        <v>7728</v>
      </c>
      <c r="F2726" s="17" t="s">
        <v>7729</v>
      </c>
      <c r="G2726" s="17">
        <v>21.799878</v>
      </c>
      <c r="H2726" s="17">
        <v>87.751245999999995</v>
      </c>
      <c r="I2726" s="17"/>
      <c r="J2726" s="17"/>
      <c r="K2726" s="17"/>
      <c r="L2726" s="17"/>
      <c r="M2726" s="34" t="s">
        <v>7612</v>
      </c>
      <c r="N2726" s="17"/>
      <c r="O2726" s="17"/>
      <c r="P2726" s="17"/>
      <c r="Q2726" s="17"/>
      <c r="R2726" s="17"/>
      <c r="S2726" s="17"/>
      <c r="T2726" s="17"/>
      <c r="U2726" s="17"/>
      <c r="V2726" s="17"/>
      <c r="W2726" s="17"/>
      <c r="X2726" s="17"/>
      <c r="Y2726" s="17"/>
      <c r="Z2726" s="17"/>
      <c r="AA2726" s="17"/>
      <c r="AB2726" s="17"/>
      <c r="AC2726" s="17"/>
      <c r="AD2726" s="17"/>
      <c r="AE2726" s="17"/>
      <c r="AF2726" s="17"/>
      <c r="AG2726" s="17"/>
      <c r="AH2726" s="17"/>
      <c r="AI2726" s="17"/>
      <c r="AJ2726" s="17"/>
      <c r="AK2726" s="17"/>
      <c r="AL2726" s="17"/>
      <c r="AM2726" s="17"/>
      <c r="AN2726" s="17"/>
      <c r="AO2726" s="17"/>
      <c r="AP2726" s="17"/>
      <c r="AQ2726" s="17"/>
      <c r="AR2726" s="17"/>
      <c r="AS2726" s="17"/>
      <c r="AT2726" s="17"/>
      <c r="AU2726" s="17"/>
    </row>
    <row r="2727" hidden="1">
      <c r="A2727" s="17">
        <v>2725</v>
      </c>
      <c r="B2727" s="17" t="s">
        <v>52</v>
      </c>
      <c r="C2727" s="34" t="s">
        <v>7730</v>
      </c>
      <c r="D2727" s="35" t="s">
        <v>6576</v>
      </c>
      <c r="E2727" s="17" t="s">
        <v>7731</v>
      </c>
      <c r="F2727" s="17" t="s">
        <v>7732</v>
      </c>
      <c r="G2727" s="17">
        <v>21.816416</v>
      </c>
      <c r="H2727" s="17">
        <v>87.747612000000004</v>
      </c>
      <c r="I2727" s="17"/>
      <c r="J2727" s="17"/>
      <c r="K2727" s="17"/>
      <c r="L2727" s="17"/>
      <c r="M2727" s="34" t="s">
        <v>7612</v>
      </c>
      <c r="N2727" s="17"/>
      <c r="O2727" s="17"/>
      <c r="P2727" s="17"/>
      <c r="Q2727" s="17"/>
      <c r="R2727" s="17"/>
      <c r="S2727" s="17"/>
      <c r="T2727" s="17"/>
      <c r="U2727" s="17"/>
      <c r="V2727" s="17"/>
      <c r="W2727" s="17"/>
      <c r="X2727" s="17"/>
      <c r="Y2727" s="17"/>
      <c r="Z2727" s="17"/>
      <c r="AA2727" s="17"/>
      <c r="AB2727" s="17"/>
      <c r="AC2727" s="17"/>
      <c r="AD2727" s="17"/>
      <c r="AE2727" s="17"/>
      <c r="AF2727" s="17"/>
      <c r="AG2727" s="17"/>
      <c r="AH2727" s="17"/>
      <c r="AI2727" s="17"/>
      <c r="AJ2727" s="17"/>
      <c r="AK2727" s="17"/>
      <c r="AL2727" s="17"/>
      <c r="AM2727" s="17"/>
      <c r="AN2727" s="17"/>
      <c r="AO2727" s="17"/>
      <c r="AP2727" s="17"/>
      <c r="AQ2727" s="17"/>
      <c r="AR2727" s="17"/>
      <c r="AS2727" s="17"/>
      <c r="AT2727" s="17"/>
      <c r="AU2727" s="17"/>
    </row>
    <row r="2728" hidden="1">
      <c r="A2728" s="17">
        <v>2726</v>
      </c>
      <c r="B2728" s="17" t="s">
        <v>52</v>
      </c>
      <c r="C2728" s="34" t="s">
        <v>7733</v>
      </c>
      <c r="D2728" s="35" t="s">
        <v>6576</v>
      </c>
      <c r="E2728" s="17" t="s">
        <v>7734</v>
      </c>
      <c r="F2728" s="17" t="s">
        <v>7735</v>
      </c>
      <c r="G2728" s="17">
        <v>21.835086</v>
      </c>
      <c r="H2728" s="17">
        <v>87.749821999999995</v>
      </c>
      <c r="I2728" s="17"/>
      <c r="J2728" s="17"/>
      <c r="K2728" s="17"/>
      <c r="L2728" s="17"/>
      <c r="M2728" s="34" t="s">
        <v>7612</v>
      </c>
      <c r="N2728" s="17"/>
      <c r="O2728" s="17"/>
      <c r="P2728" s="17"/>
      <c r="Q2728" s="17"/>
      <c r="R2728" s="17"/>
      <c r="S2728" s="17"/>
      <c r="T2728" s="17"/>
      <c r="U2728" s="17"/>
      <c r="V2728" s="17"/>
      <c r="W2728" s="17"/>
      <c r="X2728" s="17"/>
      <c r="Y2728" s="17"/>
      <c r="Z2728" s="17"/>
      <c r="AA2728" s="17"/>
      <c r="AB2728" s="17"/>
      <c r="AC2728" s="17"/>
      <c r="AD2728" s="17"/>
      <c r="AE2728" s="17"/>
      <c r="AF2728" s="17"/>
      <c r="AG2728" s="17"/>
      <c r="AH2728" s="17"/>
      <c r="AI2728" s="17"/>
      <c r="AJ2728" s="17"/>
      <c r="AK2728" s="17"/>
      <c r="AL2728" s="17"/>
      <c r="AM2728" s="17"/>
      <c r="AN2728" s="17"/>
      <c r="AO2728" s="17"/>
      <c r="AP2728" s="17"/>
      <c r="AQ2728" s="17"/>
      <c r="AR2728" s="17"/>
      <c r="AS2728" s="17"/>
      <c r="AT2728" s="17"/>
      <c r="AU2728" s="17"/>
    </row>
    <row r="2729" hidden="1">
      <c r="A2729" s="17">
        <v>2727</v>
      </c>
      <c r="B2729" s="17" t="s">
        <v>52</v>
      </c>
      <c r="C2729" s="34" t="s">
        <v>7736</v>
      </c>
      <c r="D2729" s="35" t="s">
        <v>6576</v>
      </c>
      <c r="E2729" s="17"/>
      <c r="F2729" s="17" t="s">
        <v>7737</v>
      </c>
      <c r="G2729" s="17">
        <v>21.822009999999999</v>
      </c>
      <c r="H2729" s="17">
        <v>87.719210000000004</v>
      </c>
      <c r="I2729" s="17"/>
      <c r="J2729" s="17"/>
      <c r="K2729" s="17"/>
      <c r="L2729" s="17"/>
      <c r="M2729" s="34" t="s">
        <v>7612</v>
      </c>
      <c r="N2729" s="17"/>
      <c r="O2729" s="17"/>
      <c r="P2729" s="17"/>
      <c r="Q2729" s="17"/>
      <c r="R2729" s="17"/>
      <c r="S2729" s="17"/>
      <c r="T2729" s="17"/>
      <c r="U2729" s="17"/>
      <c r="V2729" s="17"/>
      <c r="W2729" s="17"/>
      <c r="X2729" s="17"/>
      <c r="Y2729" s="17"/>
      <c r="Z2729" s="17"/>
      <c r="AA2729" s="17"/>
      <c r="AB2729" s="17"/>
      <c r="AC2729" s="17"/>
      <c r="AD2729" s="17"/>
      <c r="AE2729" s="17"/>
      <c r="AF2729" s="17"/>
      <c r="AG2729" s="17"/>
      <c r="AH2729" s="17"/>
      <c r="AI2729" s="17"/>
      <c r="AJ2729" s="17"/>
      <c r="AK2729" s="17"/>
      <c r="AL2729" s="17"/>
      <c r="AM2729" s="17"/>
      <c r="AN2729" s="17"/>
      <c r="AO2729" s="17"/>
      <c r="AP2729" s="17"/>
      <c r="AQ2729" s="17"/>
      <c r="AR2729" s="17"/>
      <c r="AS2729" s="17"/>
      <c r="AT2729" s="17"/>
      <c r="AU2729" s="17"/>
    </row>
    <row r="2730" hidden="1">
      <c r="A2730" s="17">
        <v>2728</v>
      </c>
      <c r="B2730" s="17" t="s">
        <v>52</v>
      </c>
      <c r="C2730" s="34" t="s">
        <v>7738</v>
      </c>
      <c r="D2730" s="35" t="s">
        <v>6576</v>
      </c>
      <c r="E2730" s="17"/>
      <c r="F2730" s="17">
        <v>0</v>
      </c>
      <c r="G2730" s="17">
        <v>21.813970000000001</v>
      </c>
      <c r="H2730" s="17">
        <v>87.856229999999996</v>
      </c>
      <c r="I2730" s="17"/>
      <c r="J2730" s="17"/>
      <c r="K2730" s="17"/>
      <c r="L2730" s="17"/>
      <c r="M2730" s="34" t="s">
        <v>7612</v>
      </c>
      <c r="N2730" s="17"/>
      <c r="O2730" s="17"/>
      <c r="P2730" s="17"/>
      <c r="Q2730" s="17"/>
      <c r="R2730" s="17"/>
      <c r="S2730" s="17"/>
      <c r="T2730" s="17"/>
      <c r="U2730" s="17"/>
      <c r="V2730" s="17"/>
      <c r="W2730" s="17"/>
      <c r="X2730" s="17"/>
      <c r="Y2730" s="17"/>
      <c r="Z2730" s="17"/>
      <c r="AA2730" s="17"/>
      <c r="AB2730" s="17"/>
      <c r="AC2730" s="17"/>
      <c r="AD2730" s="17"/>
      <c r="AE2730" s="17"/>
      <c r="AF2730" s="17"/>
      <c r="AG2730" s="17"/>
      <c r="AH2730" s="17"/>
      <c r="AI2730" s="17"/>
      <c r="AJ2730" s="17"/>
      <c r="AK2730" s="17"/>
      <c r="AL2730" s="17"/>
      <c r="AM2730" s="17"/>
      <c r="AN2730" s="17"/>
      <c r="AO2730" s="17"/>
      <c r="AP2730" s="17"/>
      <c r="AQ2730" s="17"/>
      <c r="AR2730" s="17"/>
      <c r="AS2730" s="17"/>
      <c r="AT2730" s="17"/>
      <c r="AU2730" s="17"/>
    </row>
    <row r="2731" hidden="1">
      <c r="A2731" s="17">
        <v>2729</v>
      </c>
      <c r="B2731" s="17" t="s">
        <v>52</v>
      </c>
      <c r="C2731" s="34" t="s">
        <v>7739</v>
      </c>
      <c r="D2731" s="35" t="s">
        <v>6576</v>
      </c>
      <c r="E2731" s="17" t="s">
        <v>7740</v>
      </c>
      <c r="F2731" s="17" t="s">
        <v>7741</v>
      </c>
      <c r="G2731" s="17">
        <v>21.851153</v>
      </c>
      <c r="H2731" s="17">
        <v>87.754480000000001</v>
      </c>
      <c r="I2731" s="17"/>
      <c r="J2731" s="17"/>
      <c r="K2731" s="17"/>
      <c r="L2731" s="17"/>
      <c r="M2731" s="34" t="s">
        <v>7612</v>
      </c>
      <c r="N2731" s="17"/>
      <c r="O2731" s="17"/>
      <c r="P2731" s="17"/>
      <c r="Q2731" s="17"/>
      <c r="R2731" s="17"/>
      <c r="S2731" s="17"/>
      <c r="T2731" s="17"/>
      <c r="U2731" s="17"/>
      <c r="V2731" s="17"/>
      <c r="W2731" s="17"/>
      <c r="X2731" s="17"/>
      <c r="Y2731" s="17"/>
      <c r="Z2731" s="17"/>
      <c r="AA2731" s="17"/>
      <c r="AB2731" s="17"/>
      <c r="AC2731" s="17"/>
      <c r="AD2731" s="17"/>
      <c r="AE2731" s="17"/>
      <c r="AF2731" s="17"/>
      <c r="AG2731" s="17"/>
      <c r="AH2731" s="17"/>
      <c r="AI2731" s="17"/>
      <c r="AJ2731" s="17"/>
      <c r="AK2731" s="17"/>
      <c r="AL2731" s="17"/>
      <c r="AM2731" s="17"/>
      <c r="AN2731" s="17"/>
      <c r="AO2731" s="17"/>
      <c r="AP2731" s="17"/>
      <c r="AQ2731" s="17"/>
      <c r="AR2731" s="17"/>
      <c r="AS2731" s="17"/>
      <c r="AT2731" s="17"/>
      <c r="AU2731" s="17"/>
    </row>
    <row r="2732" hidden="1">
      <c r="A2732" s="17">
        <v>2730</v>
      </c>
      <c r="B2732" s="17" t="s">
        <v>52</v>
      </c>
      <c r="C2732" s="34" t="s">
        <v>7742</v>
      </c>
      <c r="D2732" s="35" t="s">
        <v>6576</v>
      </c>
      <c r="E2732" s="17" t="s">
        <v>7743</v>
      </c>
      <c r="F2732" s="17" t="s">
        <v>7744</v>
      </c>
      <c r="G2732" s="17">
        <v>21.856784000000001</v>
      </c>
      <c r="H2732" s="17">
        <v>87.515581999999995</v>
      </c>
      <c r="I2732" s="17"/>
      <c r="J2732" s="17"/>
      <c r="K2732" s="17"/>
      <c r="L2732" s="17"/>
      <c r="M2732" s="34" t="s">
        <v>7745</v>
      </c>
      <c r="N2732" s="17"/>
      <c r="O2732" s="17"/>
      <c r="P2732" s="17"/>
      <c r="Q2732" s="17"/>
      <c r="R2732" s="17"/>
      <c r="S2732" s="17"/>
      <c r="T2732" s="17"/>
      <c r="U2732" s="17"/>
      <c r="V2732" s="17"/>
      <c r="W2732" s="17"/>
      <c r="X2732" s="17"/>
      <c r="Y2732" s="17"/>
      <c r="Z2732" s="17"/>
      <c r="AA2732" s="17"/>
      <c r="AB2732" s="17"/>
      <c r="AC2732" s="17"/>
      <c r="AD2732" s="17"/>
      <c r="AE2732" s="17"/>
      <c r="AF2732" s="17"/>
      <c r="AG2732" s="17"/>
      <c r="AH2732" s="17"/>
      <c r="AI2732" s="17"/>
      <c r="AJ2732" s="17"/>
      <c r="AK2732" s="17"/>
      <c r="AL2732" s="17"/>
      <c r="AM2732" s="17"/>
      <c r="AN2732" s="17"/>
      <c r="AO2732" s="17"/>
      <c r="AP2732" s="17"/>
      <c r="AQ2732" s="17"/>
      <c r="AR2732" s="17"/>
      <c r="AS2732" s="17"/>
      <c r="AT2732" s="17"/>
      <c r="AU2732" s="17"/>
    </row>
    <row r="2733" hidden="1">
      <c r="A2733" s="17">
        <v>2731</v>
      </c>
      <c r="B2733" s="17" t="s">
        <v>52</v>
      </c>
      <c r="C2733" s="34" t="s">
        <v>7746</v>
      </c>
      <c r="D2733" s="35" t="s">
        <v>6576</v>
      </c>
      <c r="E2733" s="17" t="s">
        <v>7747</v>
      </c>
      <c r="F2733" s="17" t="s">
        <v>7748</v>
      </c>
      <c r="G2733" s="17">
        <v>21.865521000000001</v>
      </c>
      <c r="H2733" s="17">
        <v>87.643221999999994</v>
      </c>
      <c r="I2733" s="17"/>
      <c r="J2733" s="17"/>
      <c r="K2733" s="17"/>
      <c r="L2733" s="17"/>
      <c r="M2733" s="34" t="s">
        <v>7745</v>
      </c>
      <c r="N2733" s="17"/>
      <c r="O2733" s="17"/>
      <c r="P2733" s="17"/>
      <c r="Q2733" s="17"/>
      <c r="R2733" s="17"/>
      <c r="S2733" s="17"/>
      <c r="T2733" s="17"/>
      <c r="U2733" s="17"/>
      <c r="V2733" s="17"/>
      <c r="W2733" s="17"/>
      <c r="X2733" s="17"/>
      <c r="Y2733" s="17"/>
      <c r="Z2733" s="17"/>
      <c r="AA2733" s="17"/>
      <c r="AB2733" s="17"/>
      <c r="AC2733" s="17"/>
      <c r="AD2733" s="17"/>
      <c r="AE2733" s="17"/>
      <c r="AF2733" s="17"/>
      <c r="AG2733" s="17"/>
      <c r="AH2733" s="17"/>
      <c r="AI2733" s="17"/>
      <c r="AJ2733" s="17"/>
      <c r="AK2733" s="17"/>
      <c r="AL2733" s="17"/>
      <c r="AM2733" s="17"/>
      <c r="AN2733" s="17"/>
      <c r="AO2733" s="17"/>
      <c r="AP2733" s="17"/>
      <c r="AQ2733" s="17"/>
      <c r="AR2733" s="17"/>
      <c r="AS2733" s="17"/>
      <c r="AT2733" s="17"/>
      <c r="AU2733" s="17"/>
    </row>
    <row r="2734" hidden="1">
      <c r="A2734" s="17">
        <v>2732</v>
      </c>
      <c r="B2734" s="17" t="s">
        <v>52</v>
      </c>
      <c r="C2734" s="34" t="s">
        <v>7749</v>
      </c>
      <c r="D2734" s="35" t="s">
        <v>6576</v>
      </c>
      <c r="E2734" s="17" t="s">
        <v>7750</v>
      </c>
      <c r="F2734" s="17" t="s">
        <v>7751</v>
      </c>
      <c r="G2734" s="17">
        <v>21.808826</v>
      </c>
      <c r="H2734" s="17">
        <v>87.586912999999996</v>
      </c>
      <c r="I2734" s="17"/>
      <c r="J2734" s="17"/>
      <c r="K2734" s="17"/>
      <c r="L2734" s="17"/>
      <c r="M2734" s="34" t="s">
        <v>7745</v>
      </c>
      <c r="N2734" s="17"/>
      <c r="O2734" s="17"/>
      <c r="P2734" s="17"/>
      <c r="Q2734" s="17"/>
      <c r="R2734" s="17"/>
      <c r="S2734" s="17"/>
      <c r="T2734" s="17"/>
      <c r="U2734" s="17"/>
      <c r="V2734" s="17"/>
      <c r="W2734" s="17"/>
      <c r="X2734" s="17"/>
      <c r="Y2734" s="17"/>
      <c r="Z2734" s="17"/>
      <c r="AA2734" s="17"/>
      <c r="AB2734" s="17"/>
      <c r="AC2734" s="17"/>
      <c r="AD2734" s="17"/>
      <c r="AE2734" s="17"/>
      <c r="AF2734" s="17"/>
      <c r="AG2734" s="17"/>
      <c r="AH2734" s="17"/>
      <c r="AI2734" s="17"/>
      <c r="AJ2734" s="17"/>
      <c r="AK2734" s="17"/>
      <c r="AL2734" s="17"/>
      <c r="AM2734" s="17"/>
      <c r="AN2734" s="17"/>
      <c r="AO2734" s="17"/>
      <c r="AP2734" s="17"/>
      <c r="AQ2734" s="17"/>
      <c r="AR2734" s="17"/>
      <c r="AS2734" s="17"/>
      <c r="AT2734" s="17"/>
      <c r="AU2734" s="17"/>
    </row>
    <row r="2735" hidden="1">
      <c r="A2735" s="17">
        <v>2733</v>
      </c>
      <c r="B2735" s="17" t="s">
        <v>52</v>
      </c>
      <c r="C2735" s="34" t="s">
        <v>7752</v>
      </c>
      <c r="D2735" s="35" t="s">
        <v>6576</v>
      </c>
      <c r="E2735" s="17"/>
      <c r="F2735" s="17"/>
      <c r="G2735" s="17"/>
      <c r="H2735" s="17"/>
      <c r="I2735" s="17"/>
      <c r="J2735" s="17"/>
      <c r="K2735" s="17"/>
      <c r="L2735" s="17"/>
      <c r="M2735" s="34" t="s">
        <v>7745</v>
      </c>
      <c r="N2735" s="17"/>
      <c r="O2735" s="17"/>
      <c r="P2735" s="17"/>
      <c r="Q2735" s="17"/>
      <c r="R2735" s="17"/>
      <c r="S2735" s="17"/>
      <c r="T2735" s="17"/>
      <c r="U2735" s="17"/>
      <c r="V2735" s="17"/>
      <c r="W2735" s="17"/>
      <c r="X2735" s="17"/>
      <c r="Y2735" s="17"/>
      <c r="Z2735" s="17"/>
      <c r="AA2735" s="17"/>
      <c r="AB2735" s="17"/>
      <c r="AC2735" s="17"/>
      <c r="AD2735" s="17"/>
      <c r="AE2735" s="17"/>
      <c r="AF2735" s="17"/>
      <c r="AG2735" s="17"/>
      <c r="AH2735" s="17"/>
      <c r="AI2735" s="17"/>
      <c r="AJ2735" s="17"/>
      <c r="AK2735" s="17"/>
      <c r="AL2735" s="17"/>
      <c r="AM2735" s="17"/>
      <c r="AN2735" s="17"/>
      <c r="AO2735" s="17"/>
      <c r="AP2735" s="17"/>
      <c r="AQ2735" s="17"/>
      <c r="AR2735" s="17"/>
      <c r="AS2735" s="17"/>
      <c r="AT2735" s="17"/>
      <c r="AU2735" s="17"/>
    </row>
    <row r="2736" hidden="1">
      <c r="A2736" s="17">
        <v>2734</v>
      </c>
      <c r="B2736" s="17" t="s">
        <v>52</v>
      </c>
      <c r="C2736" s="34" t="s">
        <v>7753</v>
      </c>
      <c r="D2736" s="35" t="s">
        <v>6576</v>
      </c>
      <c r="E2736" s="17"/>
      <c r="F2736" s="17"/>
      <c r="G2736" s="17"/>
      <c r="H2736" s="17"/>
      <c r="I2736" s="17"/>
      <c r="J2736" s="17"/>
      <c r="K2736" s="17"/>
      <c r="L2736" s="17"/>
      <c r="M2736" s="34" t="s">
        <v>7745</v>
      </c>
      <c r="N2736" s="17"/>
      <c r="O2736" s="17"/>
      <c r="P2736" s="17"/>
      <c r="Q2736" s="17"/>
      <c r="R2736" s="17"/>
      <c r="S2736" s="17"/>
      <c r="T2736" s="17"/>
      <c r="U2736" s="17"/>
      <c r="V2736" s="17"/>
      <c r="W2736" s="17"/>
      <c r="X2736" s="17"/>
      <c r="Y2736" s="17"/>
      <c r="Z2736" s="17"/>
      <c r="AA2736" s="17"/>
      <c r="AB2736" s="17"/>
      <c r="AC2736" s="17"/>
      <c r="AD2736" s="17"/>
      <c r="AE2736" s="17"/>
      <c r="AF2736" s="17"/>
      <c r="AG2736" s="17"/>
      <c r="AH2736" s="17"/>
      <c r="AI2736" s="17"/>
      <c r="AJ2736" s="17"/>
      <c r="AK2736" s="17"/>
      <c r="AL2736" s="17"/>
      <c r="AM2736" s="17"/>
      <c r="AN2736" s="17"/>
      <c r="AO2736" s="17"/>
      <c r="AP2736" s="17"/>
      <c r="AQ2736" s="17"/>
      <c r="AR2736" s="17"/>
      <c r="AS2736" s="17"/>
      <c r="AT2736" s="17"/>
      <c r="AU2736" s="17"/>
    </row>
    <row r="2737" hidden="1">
      <c r="A2737" s="17">
        <v>2735</v>
      </c>
      <c r="B2737" s="17" t="s">
        <v>52</v>
      </c>
      <c r="C2737" s="34" t="s">
        <v>7754</v>
      </c>
      <c r="D2737" s="35" t="s">
        <v>6576</v>
      </c>
      <c r="E2737" s="17"/>
      <c r="F2737" s="17"/>
      <c r="G2737" s="17"/>
      <c r="H2737" s="17"/>
      <c r="I2737" s="17"/>
      <c r="J2737" s="17"/>
      <c r="K2737" s="17"/>
      <c r="L2737" s="17"/>
      <c r="M2737" s="34" t="s">
        <v>7745</v>
      </c>
      <c r="N2737" s="17"/>
      <c r="O2737" s="17"/>
      <c r="P2737" s="17"/>
      <c r="Q2737" s="17"/>
      <c r="R2737" s="17"/>
      <c r="S2737" s="17"/>
      <c r="T2737" s="17"/>
      <c r="U2737" s="17"/>
      <c r="V2737" s="17"/>
      <c r="W2737" s="17"/>
      <c r="X2737" s="17"/>
      <c r="Y2737" s="17"/>
      <c r="Z2737" s="17"/>
      <c r="AA2737" s="17"/>
      <c r="AB2737" s="17"/>
      <c r="AC2737" s="17"/>
      <c r="AD2737" s="17"/>
      <c r="AE2737" s="17"/>
      <c r="AF2737" s="17"/>
      <c r="AG2737" s="17"/>
      <c r="AH2737" s="17"/>
      <c r="AI2737" s="17"/>
      <c r="AJ2737" s="17"/>
      <c r="AK2737" s="17"/>
      <c r="AL2737" s="17"/>
      <c r="AM2737" s="17"/>
      <c r="AN2737" s="17"/>
      <c r="AO2737" s="17"/>
      <c r="AP2737" s="17"/>
      <c r="AQ2737" s="17"/>
      <c r="AR2737" s="17"/>
      <c r="AS2737" s="17"/>
      <c r="AT2737" s="17"/>
      <c r="AU2737" s="17"/>
    </row>
    <row r="2738" hidden="1">
      <c r="A2738" s="17">
        <v>2736</v>
      </c>
      <c r="B2738" s="17" t="s">
        <v>52</v>
      </c>
      <c r="C2738" s="34" t="s">
        <v>7755</v>
      </c>
      <c r="D2738" s="35" t="s">
        <v>6576</v>
      </c>
      <c r="E2738" s="17"/>
      <c r="F2738" s="17"/>
      <c r="G2738" s="17"/>
      <c r="H2738" s="17"/>
      <c r="I2738" s="17"/>
      <c r="J2738" s="17"/>
      <c r="K2738" s="17"/>
      <c r="L2738" s="17"/>
      <c r="M2738" s="34" t="s">
        <v>7745</v>
      </c>
      <c r="N2738" s="17"/>
      <c r="O2738" s="17"/>
      <c r="P2738" s="17"/>
      <c r="Q2738" s="17"/>
      <c r="R2738" s="17"/>
      <c r="S2738" s="17"/>
      <c r="T2738" s="17"/>
      <c r="U2738" s="17"/>
      <c r="V2738" s="17"/>
      <c r="W2738" s="17"/>
      <c r="X2738" s="17"/>
      <c r="Y2738" s="17"/>
      <c r="Z2738" s="17"/>
      <c r="AA2738" s="17"/>
      <c r="AB2738" s="17"/>
      <c r="AC2738" s="17"/>
      <c r="AD2738" s="17"/>
      <c r="AE2738" s="17"/>
      <c r="AF2738" s="17"/>
      <c r="AG2738" s="17"/>
      <c r="AH2738" s="17"/>
      <c r="AI2738" s="17"/>
      <c r="AJ2738" s="17"/>
      <c r="AK2738" s="17"/>
      <c r="AL2738" s="17"/>
      <c r="AM2738" s="17"/>
      <c r="AN2738" s="17"/>
      <c r="AO2738" s="17"/>
      <c r="AP2738" s="17"/>
      <c r="AQ2738" s="17"/>
      <c r="AR2738" s="17"/>
      <c r="AS2738" s="17"/>
      <c r="AT2738" s="17"/>
      <c r="AU2738" s="17"/>
    </row>
    <row r="2739" hidden="1">
      <c r="A2739" s="17">
        <v>2737</v>
      </c>
      <c r="B2739" s="17" t="s">
        <v>52</v>
      </c>
      <c r="C2739" s="34" t="s">
        <v>7756</v>
      </c>
      <c r="D2739" s="35" t="s">
        <v>6576</v>
      </c>
      <c r="E2739" s="17"/>
      <c r="F2739" s="17"/>
      <c r="G2739" s="17"/>
      <c r="H2739" s="17"/>
      <c r="I2739" s="17"/>
      <c r="J2739" s="17"/>
      <c r="K2739" s="17"/>
      <c r="L2739" s="17"/>
      <c r="M2739" s="34" t="s">
        <v>7745</v>
      </c>
      <c r="N2739" s="17"/>
      <c r="O2739" s="17"/>
      <c r="P2739" s="17"/>
      <c r="Q2739" s="17"/>
      <c r="R2739" s="17"/>
      <c r="S2739" s="17"/>
      <c r="T2739" s="17"/>
      <c r="U2739" s="17"/>
      <c r="V2739" s="17"/>
      <c r="W2739" s="17"/>
      <c r="X2739" s="17"/>
      <c r="Y2739" s="17"/>
      <c r="Z2739" s="17"/>
      <c r="AA2739" s="17"/>
      <c r="AB2739" s="17"/>
      <c r="AC2739" s="17"/>
      <c r="AD2739" s="17"/>
      <c r="AE2739" s="17"/>
      <c r="AF2739" s="17"/>
      <c r="AG2739" s="17"/>
      <c r="AH2739" s="17"/>
      <c r="AI2739" s="17"/>
      <c r="AJ2739" s="17"/>
      <c r="AK2739" s="17"/>
      <c r="AL2739" s="17"/>
      <c r="AM2739" s="17"/>
      <c r="AN2739" s="17"/>
      <c r="AO2739" s="17"/>
      <c r="AP2739" s="17"/>
      <c r="AQ2739" s="17"/>
      <c r="AR2739" s="17"/>
      <c r="AS2739" s="17"/>
      <c r="AT2739" s="17"/>
      <c r="AU2739" s="17"/>
    </row>
    <row r="2740" hidden="1">
      <c r="A2740" s="17">
        <v>2738</v>
      </c>
      <c r="B2740" s="17" t="s">
        <v>52</v>
      </c>
      <c r="C2740" s="34" t="s">
        <v>7757</v>
      </c>
      <c r="D2740" s="35" t="s">
        <v>6576</v>
      </c>
      <c r="E2740" s="17"/>
      <c r="F2740" s="17"/>
      <c r="G2740" s="17"/>
      <c r="H2740" s="17"/>
      <c r="I2740" s="17"/>
      <c r="J2740" s="17"/>
      <c r="K2740" s="17"/>
      <c r="L2740" s="17"/>
      <c r="M2740" s="34" t="s">
        <v>7745</v>
      </c>
      <c r="N2740" s="17"/>
      <c r="O2740" s="17"/>
      <c r="P2740" s="17"/>
      <c r="Q2740" s="17"/>
      <c r="R2740" s="17"/>
      <c r="S2740" s="17"/>
      <c r="T2740" s="17"/>
      <c r="U2740" s="17"/>
      <c r="V2740" s="17"/>
      <c r="W2740" s="17"/>
      <c r="X2740" s="17"/>
      <c r="Y2740" s="17"/>
      <c r="Z2740" s="17"/>
      <c r="AA2740" s="17"/>
      <c r="AB2740" s="17"/>
      <c r="AC2740" s="17"/>
      <c r="AD2740" s="17"/>
      <c r="AE2740" s="17"/>
      <c r="AF2740" s="17"/>
      <c r="AG2740" s="17"/>
      <c r="AH2740" s="17"/>
      <c r="AI2740" s="17"/>
      <c r="AJ2740" s="17"/>
      <c r="AK2740" s="17"/>
      <c r="AL2740" s="17"/>
      <c r="AM2740" s="17"/>
      <c r="AN2740" s="17"/>
      <c r="AO2740" s="17"/>
      <c r="AP2740" s="17"/>
      <c r="AQ2740" s="17"/>
      <c r="AR2740" s="17"/>
      <c r="AS2740" s="17"/>
      <c r="AT2740" s="17"/>
      <c r="AU2740" s="17"/>
    </row>
    <row r="2741" hidden="1">
      <c r="A2741" s="17">
        <v>2739</v>
      </c>
      <c r="B2741" s="17" t="s">
        <v>52</v>
      </c>
      <c r="C2741" s="34" t="s">
        <v>7758</v>
      </c>
      <c r="D2741" s="35" t="s">
        <v>6576</v>
      </c>
      <c r="E2741" s="17"/>
      <c r="F2741" s="17"/>
      <c r="G2741" s="17"/>
      <c r="H2741" s="17"/>
      <c r="I2741" s="17"/>
      <c r="J2741" s="17"/>
      <c r="K2741" s="17"/>
      <c r="L2741" s="17"/>
      <c r="M2741" s="34" t="s">
        <v>7745</v>
      </c>
      <c r="N2741" s="17"/>
      <c r="O2741" s="17"/>
      <c r="P2741" s="17"/>
      <c r="Q2741" s="17"/>
      <c r="R2741" s="17"/>
      <c r="S2741" s="17"/>
      <c r="T2741" s="17"/>
      <c r="U2741" s="17"/>
      <c r="V2741" s="17"/>
      <c r="W2741" s="17"/>
      <c r="X2741" s="17"/>
      <c r="Y2741" s="17"/>
      <c r="Z2741" s="17"/>
      <c r="AA2741" s="17"/>
      <c r="AB2741" s="17"/>
      <c r="AC2741" s="17"/>
      <c r="AD2741" s="17"/>
      <c r="AE2741" s="17"/>
      <c r="AF2741" s="17"/>
      <c r="AG2741" s="17"/>
      <c r="AH2741" s="17"/>
      <c r="AI2741" s="17"/>
      <c r="AJ2741" s="17"/>
      <c r="AK2741" s="17"/>
      <c r="AL2741" s="17"/>
      <c r="AM2741" s="17"/>
      <c r="AN2741" s="17"/>
      <c r="AO2741" s="17"/>
      <c r="AP2741" s="17"/>
      <c r="AQ2741" s="17"/>
      <c r="AR2741" s="17"/>
      <c r="AS2741" s="17"/>
      <c r="AT2741" s="17"/>
      <c r="AU2741" s="17"/>
    </row>
    <row r="2742" hidden="1">
      <c r="A2742" s="17">
        <v>2740</v>
      </c>
      <c r="B2742" s="17" t="s">
        <v>52</v>
      </c>
      <c r="C2742" s="34" t="s">
        <v>7759</v>
      </c>
      <c r="D2742" s="35" t="s">
        <v>6576</v>
      </c>
      <c r="E2742" s="17"/>
      <c r="F2742" s="17"/>
      <c r="G2742" s="17"/>
      <c r="H2742" s="17"/>
      <c r="I2742" s="17"/>
      <c r="J2742" s="17"/>
      <c r="K2742" s="17"/>
      <c r="L2742" s="17"/>
      <c r="M2742" s="34" t="s">
        <v>7745</v>
      </c>
      <c r="N2742" s="17"/>
      <c r="O2742" s="17"/>
      <c r="P2742" s="17"/>
      <c r="Q2742" s="17"/>
      <c r="R2742" s="17"/>
      <c r="S2742" s="17"/>
      <c r="T2742" s="17"/>
      <c r="U2742" s="17"/>
      <c r="V2742" s="17"/>
      <c r="W2742" s="17"/>
      <c r="X2742" s="17"/>
      <c r="Y2742" s="17"/>
      <c r="Z2742" s="17"/>
      <c r="AA2742" s="17"/>
      <c r="AB2742" s="17"/>
      <c r="AC2742" s="17"/>
      <c r="AD2742" s="17"/>
      <c r="AE2742" s="17"/>
      <c r="AF2742" s="17"/>
      <c r="AG2742" s="17"/>
      <c r="AH2742" s="17"/>
      <c r="AI2742" s="17"/>
      <c r="AJ2742" s="17"/>
      <c r="AK2742" s="17"/>
      <c r="AL2742" s="17"/>
      <c r="AM2742" s="17"/>
      <c r="AN2742" s="17"/>
      <c r="AO2742" s="17"/>
      <c r="AP2742" s="17"/>
      <c r="AQ2742" s="17"/>
      <c r="AR2742" s="17"/>
      <c r="AS2742" s="17"/>
      <c r="AT2742" s="17"/>
      <c r="AU2742" s="17"/>
    </row>
    <row r="2743" hidden="1">
      <c r="A2743" s="17">
        <v>2741</v>
      </c>
      <c r="B2743" s="17" t="s">
        <v>52</v>
      </c>
      <c r="C2743" s="34" t="s">
        <v>7760</v>
      </c>
      <c r="D2743" s="35" t="s">
        <v>6576</v>
      </c>
      <c r="E2743" s="17"/>
      <c r="F2743" s="17"/>
      <c r="G2743" s="17"/>
      <c r="H2743" s="17"/>
      <c r="I2743" s="17"/>
      <c r="J2743" s="17"/>
      <c r="K2743" s="17"/>
      <c r="L2743" s="17"/>
      <c r="M2743" s="34" t="s">
        <v>7745</v>
      </c>
      <c r="N2743" s="17"/>
      <c r="O2743" s="17"/>
      <c r="P2743" s="17"/>
      <c r="Q2743" s="17"/>
      <c r="R2743" s="17"/>
      <c r="S2743" s="17"/>
      <c r="T2743" s="17"/>
      <c r="U2743" s="17"/>
      <c r="V2743" s="17"/>
      <c r="W2743" s="17"/>
      <c r="X2743" s="17"/>
      <c r="Y2743" s="17"/>
      <c r="Z2743" s="17"/>
      <c r="AA2743" s="17"/>
      <c r="AB2743" s="17"/>
      <c r="AC2743" s="17"/>
      <c r="AD2743" s="17"/>
      <c r="AE2743" s="17"/>
      <c r="AF2743" s="17"/>
      <c r="AG2743" s="17"/>
      <c r="AH2743" s="17"/>
      <c r="AI2743" s="17"/>
      <c r="AJ2743" s="17"/>
      <c r="AK2743" s="17"/>
      <c r="AL2743" s="17"/>
      <c r="AM2743" s="17"/>
      <c r="AN2743" s="17"/>
      <c r="AO2743" s="17"/>
      <c r="AP2743" s="17"/>
      <c r="AQ2743" s="17"/>
      <c r="AR2743" s="17"/>
      <c r="AS2743" s="17"/>
      <c r="AT2743" s="17"/>
      <c r="AU2743" s="17"/>
    </row>
    <row r="2744" hidden="1">
      <c r="A2744" s="17">
        <v>2742</v>
      </c>
      <c r="B2744" s="17" t="s">
        <v>52</v>
      </c>
      <c r="C2744" s="34" t="s">
        <v>7761</v>
      </c>
      <c r="D2744" s="35" t="s">
        <v>6576</v>
      </c>
      <c r="E2744" s="17"/>
      <c r="F2744" s="17"/>
      <c r="G2744" s="17"/>
      <c r="H2744" s="17"/>
      <c r="I2744" s="17"/>
      <c r="J2744" s="17"/>
      <c r="K2744" s="17"/>
      <c r="L2744" s="17"/>
      <c r="M2744" s="34" t="s">
        <v>7745</v>
      </c>
      <c r="N2744" s="17"/>
      <c r="O2744" s="17"/>
      <c r="P2744" s="17"/>
      <c r="Q2744" s="17"/>
      <c r="R2744" s="17"/>
      <c r="S2744" s="17"/>
      <c r="T2744" s="17"/>
      <c r="U2744" s="17"/>
      <c r="V2744" s="17"/>
      <c r="W2744" s="17"/>
      <c r="X2744" s="17"/>
      <c r="Y2744" s="17"/>
      <c r="Z2744" s="17"/>
      <c r="AA2744" s="17"/>
      <c r="AB2744" s="17"/>
      <c r="AC2744" s="17"/>
      <c r="AD2744" s="17"/>
      <c r="AE2744" s="17"/>
      <c r="AF2744" s="17"/>
      <c r="AG2744" s="17"/>
      <c r="AH2744" s="17"/>
      <c r="AI2744" s="17"/>
      <c r="AJ2744" s="17"/>
      <c r="AK2744" s="17"/>
      <c r="AL2744" s="17"/>
      <c r="AM2744" s="17"/>
      <c r="AN2744" s="17"/>
      <c r="AO2744" s="17"/>
      <c r="AP2744" s="17"/>
      <c r="AQ2744" s="17"/>
      <c r="AR2744" s="17"/>
      <c r="AS2744" s="17"/>
      <c r="AT2744" s="17"/>
      <c r="AU2744" s="17"/>
    </row>
    <row r="2745" hidden="1">
      <c r="A2745" s="17">
        <v>2743</v>
      </c>
      <c r="B2745" s="17" t="s">
        <v>52</v>
      </c>
      <c r="C2745" s="34" t="s">
        <v>7762</v>
      </c>
      <c r="D2745" s="35" t="s">
        <v>6576</v>
      </c>
      <c r="E2745" s="17"/>
      <c r="F2745" s="17"/>
      <c r="G2745" s="17"/>
      <c r="H2745" s="17"/>
      <c r="I2745" s="17"/>
      <c r="J2745" s="17"/>
      <c r="K2745" s="17"/>
      <c r="L2745" s="17"/>
      <c r="M2745" s="34" t="s">
        <v>7745</v>
      </c>
      <c r="N2745" s="17"/>
      <c r="O2745" s="17"/>
      <c r="P2745" s="17"/>
      <c r="Q2745" s="17"/>
      <c r="R2745" s="17"/>
      <c r="S2745" s="17"/>
      <c r="T2745" s="17"/>
      <c r="U2745" s="17"/>
      <c r="V2745" s="17"/>
      <c r="W2745" s="17"/>
      <c r="X2745" s="17"/>
      <c r="Y2745" s="17"/>
      <c r="Z2745" s="17"/>
      <c r="AA2745" s="17"/>
      <c r="AB2745" s="17"/>
      <c r="AC2745" s="17"/>
      <c r="AD2745" s="17"/>
      <c r="AE2745" s="17"/>
      <c r="AF2745" s="17"/>
      <c r="AG2745" s="17"/>
      <c r="AH2745" s="17"/>
      <c r="AI2745" s="17"/>
      <c r="AJ2745" s="17"/>
      <c r="AK2745" s="17"/>
      <c r="AL2745" s="17"/>
      <c r="AM2745" s="17"/>
      <c r="AN2745" s="17"/>
      <c r="AO2745" s="17"/>
      <c r="AP2745" s="17"/>
      <c r="AQ2745" s="17"/>
      <c r="AR2745" s="17"/>
      <c r="AS2745" s="17"/>
      <c r="AT2745" s="17"/>
      <c r="AU2745" s="17"/>
    </row>
    <row r="2746" hidden="1">
      <c r="A2746" s="17">
        <v>2744</v>
      </c>
      <c r="B2746" s="17" t="s">
        <v>52</v>
      </c>
      <c r="C2746" s="34" t="s">
        <v>7763</v>
      </c>
      <c r="D2746" s="35" t="s">
        <v>6576</v>
      </c>
      <c r="E2746" s="17"/>
      <c r="F2746" s="17"/>
      <c r="G2746" s="17"/>
      <c r="H2746" s="17"/>
      <c r="I2746" s="17"/>
      <c r="J2746" s="17"/>
      <c r="K2746" s="17"/>
      <c r="L2746" s="17"/>
      <c r="M2746" s="34" t="s">
        <v>7745</v>
      </c>
      <c r="N2746" s="17"/>
      <c r="O2746" s="17"/>
      <c r="P2746" s="17"/>
      <c r="Q2746" s="17"/>
      <c r="R2746" s="17"/>
      <c r="S2746" s="17"/>
      <c r="T2746" s="17"/>
      <c r="U2746" s="17"/>
      <c r="V2746" s="17"/>
      <c r="W2746" s="17"/>
      <c r="X2746" s="17"/>
      <c r="Y2746" s="17"/>
      <c r="Z2746" s="17"/>
      <c r="AA2746" s="17"/>
      <c r="AB2746" s="17"/>
      <c r="AC2746" s="17"/>
      <c r="AD2746" s="17"/>
      <c r="AE2746" s="17"/>
      <c r="AF2746" s="17"/>
      <c r="AG2746" s="17"/>
      <c r="AH2746" s="17"/>
      <c r="AI2746" s="17"/>
      <c r="AJ2746" s="17"/>
      <c r="AK2746" s="17"/>
      <c r="AL2746" s="17"/>
      <c r="AM2746" s="17"/>
      <c r="AN2746" s="17"/>
      <c r="AO2746" s="17"/>
      <c r="AP2746" s="17"/>
      <c r="AQ2746" s="17"/>
      <c r="AR2746" s="17"/>
      <c r="AS2746" s="17"/>
      <c r="AT2746" s="17"/>
      <c r="AU2746" s="17"/>
    </row>
    <row r="2747" hidden="1">
      <c r="A2747" s="17">
        <v>2745</v>
      </c>
      <c r="B2747" s="17" t="s">
        <v>52</v>
      </c>
      <c r="C2747" s="34" t="s">
        <v>7764</v>
      </c>
      <c r="D2747" s="35" t="s">
        <v>6576</v>
      </c>
      <c r="E2747" s="17"/>
      <c r="F2747" s="17"/>
      <c r="G2747" s="17"/>
      <c r="H2747" s="17"/>
      <c r="I2747" s="17"/>
      <c r="J2747" s="17"/>
      <c r="K2747" s="17"/>
      <c r="L2747" s="17"/>
      <c r="M2747" s="34" t="s">
        <v>7745</v>
      </c>
      <c r="N2747" s="17"/>
      <c r="O2747" s="17"/>
      <c r="P2747" s="17"/>
      <c r="Q2747" s="17"/>
      <c r="R2747" s="17"/>
      <c r="S2747" s="17"/>
      <c r="T2747" s="17"/>
      <c r="U2747" s="17"/>
      <c r="V2747" s="17"/>
      <c r="W2747" s="17"/>
      <c r="X2747" s="17"/>
      <c r="Y2747" s="17"/>
      <c r="Z2747" s="17"/>
      <c r="AA2747" s="17"/>
      <c r="AB2747" s="17"/>
      <c r="AC2747" s="17"/>
      <c r="AD2747" s="17"/>
      <c r="AE2747" s="17"/>
      <c r="AF2747" s="17"/>
      <c r="AG2747" s="17"/>
      <c r="AH2747" s="17"/>
      <c r="AI2747" s="17"/>
      <c r="AJ2747" s="17"/>
      <c r="AK2747" s="17"/>
      <c r="AL2747" s="17"/>
      <c r="AM2747" s="17"/>
      <c r="AN2747" s="17"/>
      <c r="AO2747" s="17"/>
      <c r="AP2747" s="17"/>
      <c r="AQ2747" s="17"/>
      <c r="AR2747" s="17"/>
      <c r="AS2747" s="17"/>
      <c r="AT2747" s="17"/>
      <c r="AU2747" s="17"/>
    </row>
    <row r="2748" hidden="1">
      <c r="A2748" s="17">
        <v>2746</v>
      </c>
      <c r="B2748" s="17" t="s">
        <v>52</v>
      </c>
      <c r="C2748" s="34" t="s">
        <v>7765</v>
      </c>
      <c r="D2748" s="35" t="s">
        <v>6576</v>
      </c>
      <c r="E2748" s="17"/>
      <c r="F2748" s="17"/>
      <c r="G2748" s="17"/>
      <c r="H2748" s="17"/>
      <c r="I2748" s="17"/>
      <c r="J2748" s="17"/>
      <c r="K2748" s="17"/>
      <c r="L2748" s="17"/>
      <c r="M2748" s="34" t="s">
        <v>7745</v>
      </c>
      <c r="N2748" s="17"/>
      <c r="O2748" s="17"/>
      <c r="P2748" s="17"/>
      <c r="Q2748" s="17"/>
      <c r="R2748" s="17"/>
      <c r="S2748" s="17"/>
      <c r="T2748" s="17"/>
      <c r="U2748" s="17"/>
      <c r="V2748" s="17"/>
      <c r="W2748" s="17"/>
      <c r="X2748" s="17"/>
      <c r="Y2748" s="17"/>
      <c r="Z2748" s="17"/>
      <c r="AA2748" s="17"/>
      <c r="AB2748" s="17"/>
      <c r="AC2748" s="17"/>
      <c r="AD2748" s="17"/>
      <c r="AE2748" s="17"/>
      <c r="AF2748" s="17"/>
      <c r="AG2748" s="17"/>
      <c r="AH2748" s="17"/>
      <c r="AI2748" s="17"/>
      <c r="AJ2748" s="17"/>
      <c r="AK2748" s="17"/>
      <c r="AL2748" s="17"/>
      <c r="AM2748" s="17"/>
      <c r="AN2748" s="17"/>
      <c r="AO2748" s="17"/>
      <c r="AP2748" s="17"/>
      <c r="AQ2748" s="17"/>
      <c r="AR2748" s="17"/>
      <c r="AS2748" s="17"/>
      <c r="AT2748" s="17"/>
      <c r="AU2748" s="17"/>
    </row>
    <row r="2749" hidden="1">
      <c r="A2749" s="17">
        <v>2747</v>
      </c>
      <c r="B2749" s="17" t="s">
        <v>52</v>
      </c>
      <c r="C2749" s="34" t="s">
        <v>7766</v>
      </c>
      <c r="D2749" s="35" t="s">
        <v>6576</v>
      </c>
      <c r="E2749" s="17"/>
      <c r="F2749" s="17"/>
      <c r="G2749" s="17"/>
      <c r="H2749" s="17"/>
      <c r="I2749" s="17"/>
      <c r="J2749" s="17"/>
      <c r="K2749" s="17"/>
      <c r="L2749" s="17"/>
      <c r="M2749" s="34" t="s">
        <v>7745</v>
      </c>
      <c r="N2749" s="17"/>
      <c r="O2749" s="17"/>
      <c r="P2749" s="17"/>
      <c r="Q2749" s="17"/>
      <c r="R2749" s="17"/>
      <c r="S2749" s="17"/>
      <c r="T2749" s="17"/>
      <c r="U2749" s="17"/>
      <c r="V2749" s="17"/>
      <c r="W2749" s="17"/>
      <c r="X2749" s="17"/>
      <c r="Y2749" s="17"/>
      <c r="Z2749" s="17"/>
      <c r="AA2749" s="17"/>
      <c r="AB2749" s="17"/>
      <c r="AC2749" s="17"/>
      <c r="AD2749" s="17"/>
      <c r="AE2749" s="17"/>
      <c r="AF2749" s="17"/>
      <c r="AG2749" s="17"/>
      <c r="AH2749" s="17"/>
      <c r="AI2749" s="17"/>
      <c r="AJ2749" s="17"/>
      <c r="AK2749" s="17"/>
      <c r="AL2749" s="17"/>
      <c r="AM2749" s="17"/>
      <c r="AN2749" s="17"/>
      <c r="AO2749" s="17"/>
      <c r="AP2749" s="17"/>
      <c r="AQ2749" s="17"/>
      <c r="AR2749" s="17"/>
      <c r="AS2749" s="17"/>
      <c r="AT2749" s="17"/>
      <c r="AU2749" s="17"/>
    </row>
    <row r="2750" hidden="1">
      <c r="A2750" s="17">
        <v>2748</v>
      </c>
      <c r="B2750" s="17" t="s">
        <v>52</v>
      </c>
      <c r="C2750" s="34" t="s">
        <v>7767</v>
      </c>
      <c r="D2750" s="35" t="s">
        <v>6576</v>
      </c>
      <c r="E2750" s="17"/>
      <c r="F2750" s="17"/>
      <c r="G2750" s="17"/>
      <c r="H2750" s="17"/>
      <c r="I2750" s="17"/>
      <c r="J2750" s="17"/>
      <c r="K2750" s="17"/>
      <c r="L2750" s="17"/>
      <c r="M2750" s="34" t="s">
        <v>7745</v>
      </c>
      <c r="N2750" s="17"/>
      <c r="O2750" s="17"/>
      <c r="P2750" s="17"/>
      <c r="Q2750" s="17"/>
      <c r="R2750" s="17"/>
      <c r="S2750" s="17"/>
      <c r="T2750" s="17"/>
      <c r="U2750" s="17"/>
      <c r="V2750" s="17"/>
      <c r="W2750" s="17"/>
      <c r="X2750" s="17"/>
      <c r="Y2750" s="17"/>
      <c r="Z2750" s="17"/>
      <c r="AA2750" s="17"/>
      <c r="AB2750" s="17"/>
      <c r="AC2750" s="17"/>
      <c r="AD2750" s="17"/>
      <c r="AE2750" s="17"/>
      <c r="AF2750" s="17"/>
      <c r="AG2750" s="17"/>
      <c r="AH2750" s="17"/>
      <c r="AI2750" s="17"/>
      <c r="AJ2750" s="17"/>
      <c r="AK2750" s="17"/>
      <c r="AL2750" s="17"/>
      <c r="AM2750" s="17"/>
      <c r="AN2750" s="17"/>
      <c r="AO2750" s="17"/>
      <c r="AP2750" s="17"/>
      <c r="AQ2750" s="17"/>
      <c r="AR2750" s="17"/>
      <c r="AS2750" s="17"/>
      <c r="AT2750" s="17"/>
      <c r="AU2750" s="17"/>
    </row>
    <row r="2751" hidden="1">
      <c r="A2751" s="17">
        <v>2749</v>
      </c>
      <c r="B2751" s="17" t="s">
        <v>52</v>
      </c>
      <c r="C2751" s="34" t="s">
        <v>7768</v>
      </c>
      <c r="D2751" s="35" t="s">
        <v>6576</v>
      </c>
      <c r="E2751" s="17" t="s">
        <v>7769</v>
      </c>
      <c r="F2751" s="17" t="s">
        <v>7770</v>
      </c>
      <c r="G2751" s="17">
        <v>21.773775000000001</v>
      </c>
      <c r="H2751" s="17">
        <v>87.661231999999998</v>
      </c>
      <c r="I2751" s="17"/>
      <c r="J2751" s="17"/>
      <c r="K2751" s="17"/>
      <c r="L2751" s="17"/>
      <c r="M2751" s="34" t="s">
        <v>7745</v>
      </c>
      <c r="N2751" s="17"/>
      <c r="O2751" s="17"/>
      <c r="P2751" s="17"/>
      <c r="Q2751" s="17"/>
      <c r="R2751" s="17"/>
      <c r="S2751" s="17"/>
      <c r="T2751" s="17"/>
      <c r="U2751" s="17"/>
      <c r="V2751" s="17"/>
      <c r="W2751" s="17"/>
      <c r="X2751" s="17"/>
      <c r="Y2751" s="17"/>
      <c r="Z2751" s="17"/>
      <c r="AA2751" s="17"/>
      <c r="AB2751" s="17"/>
      <c r="AC2751" s="17"/>
      <c r="AD2751" s="17"/>
      <c r="AE2751" s="17"/>
      <c r="AF2751" s="17"/>
      <c r="AG2751" s="17"/>
      <c r="AH2751" s="17"/>
      <c r="AI2751" s="17"/>
      <c r="AJ2751" s="17"/>
      <c r="AK2751" s="17"/>
      <c r="AL2751" s="17"/>
      <c r="AM2751" s="17"/>
      <c r="AN2751" s="17"/>
      <c r="AO2751" s="17"/>
      <c r="AP2751" s="17"/>
      <c r="AQ2751" s="17"/>
      <c r="AR2751" s="17"/>
      <c r="AS2751" s="17"/>
      <c r="AT2751" s="17"/>
      <c r="AU2751" s="17"/>
    </row>
    <row r="2752" hidden="1">
      <c r="A2752" s="17">
        <v>2750</v>
      </c>
      <c r="B2752" s="17" t="s">
        <v>52</v>
      </c>
      <c r="C2752" s="34" t="s">
        <v>7771</v>
      </c>
      <c r="D2752" s="35" t="s">
        <v>6576</v>
      </c>
      <c r="E2752" s="17" t="s">
        <v>7772</v>
      </c>
      <c r="F2752" s="17" t="s">
        <v>7773</v>
      </c>
      <c r="G2752" s="17">
        <v>21.785578000000001</v>
      </c>
      <c r="H2752" s="17">
        <v>87.625871000000004</v>
      </c>
      <c r="I2752" s="17"/>
      <c r="J2752" s="17"/>
      <c r="K2752" s="17"/>
      <c r="L2752" s="17"/>
      <c r="M2752" s="34" t="s">
        <v>7745</v>
      </c>
      <c r="N2752" s="17"/>
      <c r="O2752" s="17"/>
      <c r="P2752" s="17"/>
      <c r="Q2752" s="17"/>
      <c r="R2752" s="17"/>
      <c r="S2752" s="17"/>
      <c r="T2752" s="17"/>
      <c r="U2752" s="17"/>
      <c r="V2752" s="17"/>
      <c r="W2752" s="17"/>
      <c r="X2752" s="17"/>
      <c r="Y2752" s="17"/>
      <c r="Z2752" s="17"/>
      <c r="AA2752" s="17"/>
      <c r="AB2752" s="17"/>
      <c r="AC2752" s="17"/>
      <c r="AD2752" s="17"/>
      <c r="AE2752" s="17"/>
      <c r="AF2752" s="17"/>
      <c r="AG2752" s="17"/>
      <c r="AH2752" s="17"/>
      <c r="AI2752" s="17"/>
      <c r="AJ2752" s="17"/>
      <c r="AK2752" s="17"/>
      <c r="AL2752" s="17"/>
      <c r="AM2752" s="17"/>
      <c r="AN2752" s="17"/>
      <c r="AO2752" s="17"/>
      <c r="AP2752" s="17"/>
      <c r="AQ2752" s="17"/>
      <c r="AR2752" s="17"/>
      <c r="AS2752" s="17"/>
      <c r="AT2752" s="17"/>
      <c r="AU2752" s="17"/>
    </row>
    <row r="2753" hidden="1">
      <c r="A2753" s="17">
        <v>2751</v>
      </c>
      <c r="B2753" s="17" t="s">
        <v>52</v>
      </c>
      <c r="C2753" s="34" t="s">
        <v>7774</v>
      </c>
      <c r="D2753" s="35" t="s">
        <v>6576</v>
      </c>
      <c r="E2753" s="17" t="s">
        <v>7775</v>
      </c>
      <c r="F2753" s="17" t="s">
        <v>7776</v>
      </c>
      <c r="G2753" s="17">
        <v>21.827233</v>
      </c>
      <c r="H2753" s="17">
        <v>87.370047</v>
      </c>
      <c r="I2753" s="17"/>
      <c r="J2753" s="17"/>
      <c r="K2753" s="17"/>
      <c r="L2753" s="17"/>
      <c r="M2753" s="34" t="s">
        <v>7745</v>
      </c>
      <c r="N2753" s="17"/>
      <c r="O2753" s="17"/>
      <c r="P2753" s="17"/>
      <c r="Q2753" s="17"/>
      <c r="R2753" s="17"/>
      <c r="S2753" s="17"/>
      <c r="T2753" s="17"/>
      <c r="U2753" s="17"/>
      <c r="V2753" s="17"/>
      <c r="W2753" s="17"/>
      <c r="X2753" s="17"/>
      <c r="Y2753" s="17"/>
      <c r="Z2753" s="17"/>
      <c r="AA2753" s="17"/>
      <c r="AB2753" s="17"/>
      <c r="AC2753" s="17"/>
      <c r="AD2753" s="17"/>
      <c r="AE2753" s="17"/>
      <c r="AF2753" s="17"/>
      <c r="AG2753" s="17"/>
      <c r="AH2753" s="17"/>
      <c r="AI2753" s="17"/>
      <c r="AJ2753" s="17"/>
      <c r="AK2753" s="17"/>
      <c r="AL2753" s="17"/>
      <c r="AM2753" s="17"/>
      <c r="AN2753" s="17"/>
      <c r="AO2753" s="17"/>
      <c r="AP2753" s="17"/>
      <c r="AQ2753" s="17"/>
      <c r="AR2753" s="17"/>
      <c r="AS2753" s="17"/>
      <c r="AT2753" s="17"/>
      <c r="AU2753" s="17"/>
    </row>
    <row r="2754" hidden="1">
      <c r="A2754" s="17">
        <v>2752</v>
      </c>
      <c r="B2754" s="17" t="s">
        <v>52</v>
      </c>
      <c r="C2754" s="34" t="s">
        <v>7777</v>
      </c>
      <c r="D2754" s="35" t="s">
        <v>6576</v>
      </c>
      <c r="E2754" s="17" t="s">
        <v>7778</v>
      </c>
      <c r="F2754" s="17" t="s">
        <v>7779</v>
      </c>
      <c r="G2754" s="17">
        <v>21.865479000000001</v>
      </c>
      <c r="H2754" s="17">
        <v>87.586831000000004</v>
      </c>
      <c r="I2754" s="17"/>
      <c r="J2754" s="17"/>
      <c r="K2754" s="17"/>
      <c r="L2754" s="17"/>
      <c r="M2754" s="34" t="s">
        <v>7745</v>
      </c>
      <c r="N2754" s="17"/>
      <c r="O2754" s="17"/>
      <c r="P2754" s="17"/>
      <c r="Q2754" s="17"/>
      <c r="R2754" s="17"/>
      <c r="S2754" s="17"/>
      <c r="T2754" s="17"/>
      <c r="U2754" s="17"/>
      <c r="V2754" s="17"/>
      <c r="W2754" s="17"/>
      <c r="X2754" s="17"/>
      <c r="Y2754" s="17"/>
      <c r="Z2754" s="17"/>
      <c r="AA2754" s="17"/>
      <c r="AB2754" s="17"/>
      <c r="AC2754" s="17"/>
      <c r="AD2754" s="17"/>
      <c r="AE2754" s="17"/>
      <c r="AF2754" s="17"/>
      <c r="AG2754" s="17"/>
      <c r="AH2754" s="17"/>
      <c r="AI2754" s="17"/>
      <c r="AJ2754" s="17"/>
      <c r="AK2754" s="17"/>
      <c r="AL2754" s="17"/>
      <c r="AM2754" s="17"/>
      <c r="AN2754" s="17"/>
      <c r="AO2754" s="17"/>
      <c r="AP2754" s="17"/>
      <c r="AQ2754" s="17"/>
      <c r="AR2754" s="17"/>
      <c r="AS2754" s="17"/>
      <c r="AT2754" s="17"/>
      <c r="AU2754" s="17"/>
    </row>
    <row r="2755" hidden="1">
      <c r="A2755" s="17">
        <v>2753</v>
      </c>
      <c r="B2755" s="17" t="s">
        <v>52</v>
      </c>
      <c r="C2755" s="34" t="s">
        <v>7780</v>
      </c>
      <c r="D2755" s="35" t="s">
        <v>6576</v>
      </c>
      <c r="E2755" s="17" t="s">
        <v>6752</v>
      </c>
      <c r="F2755" s="17" t="s">
        <v>7781</v>
      </c>
      <c r="G2755" s="17">
        <v>21.898026999999999</v>
      </c>
      <c r="H2755" s="17">
        <v>87.541194000000004</v>
      </c>
      <c r="I2755" s="17"/>
      <c r="J2755" s="17"/>
      <c r="K2755" s="17"/>
      <c r="L2755" s="17"/>
      <c r="M2755" s="34" t="s">
        <v>7745</v>
      </c>
      <c r="N2755" s="17"/>
      <c r="O2755" s="17"/>
      <c r="P2755" s="17"/>
      <c r="Q2755" s="17"/>
      <c r="R2755" s="17"/>
      <c r="S2755" s="17"/>
      <c r="T2755" s="17"/>
      <c r="U2755" s="17"/>
      <c r="V2755" s="17"/>
      <c r="W2755" s="17"/>
      <c r="X2755" s="17"/>
      <c r="Y2755" s="17"/>
      <c r="Z2755" s="17"/>
      <c r="AA2755" s="17"/>
      <c r="AB2755" s="17"/>
      <c r="AC2755" s="17"/>
      <c r="AD2755" s="17"/>
      <c r="AE2755" s="17"/>
      <c r="AF2755" s="17"/>
      <c r="AG2755" s="17"/>
      <c r="AH2755" s="17"/>
      <c r="AI2755" s="17"/>
      <c r="AJ2755" s="17"/>
      <c r="AK2755" s="17"/>
      <c r="AL2755" s="17"/>
      <c r="AM2755" s="17"/>
      <c r="AN2755" s="17"/>
      <c r="AO2755" s="17"/>
      <c r="AP2755" s="17"/>
      <c r="AQ2755" s="17"/>
      <c r="AR2755" s="17"/>
      <c r="AS2755" s="17"/>
      <c r="AT2755" s="17"/>
      <c r="AU2755" s="17"/>
    </row>
    <row r="2756" hidden="1">
      <c r="A2756" s="17">
        <v>2754</v>
      </c>
      <c r="B2756" s="17" t="s">
        <v>52</v>
      </c>
      <c r="C2756" s="34" t="s">
        <v>7782</v>
      </c>
      <c r="D2756" s="35" t="s">
        <v>6576</v>
      </c>
      <c r="E2756" s="17" t="s">
        <v>7783</v>
      </c>
      <c r="F2756" s="17" t="s">
        <v>7784</v>
      </c>
      <c r="G2756" s="17">
        <v>21.905249999999999</v>
      </c>
      <c r="H2756" s="17">
        <v>87.593873000000002</v>
      </c>
      <c r="I2756" s="17"/>
      <c r="J2756" s="17"/>
      <c r="K2756" s="17"/>
      <c r="L2756" s="17"/>
      <c r="M2756" s="34" t="s">
        <v>7745</v>
      </c>
      <c r="N2756" s="17"/>
      <c r="O2756" s="17"/>
      <c r="P2756" s="17"/>
      <c r="Q2756" s="17"/>
      <c r="R2756" s="17"/>
      <c r="S2756" s="17"/>
      <c r="T2756" s="17"/>
      <c r="U2756" s="17"/>
      <c r="V2756" s="17"/>
      <c r="W2756" s="17"/>
      <c r="X2756" s="17"/>
      <c r="Y2756" s="17"/>
      <c r="Z2756" s="17"/>
      <c r="AA2756" s="17"/>
      <c r="AB2756" s="17"/>
      <c r="AC2756" s="17"/>
      <c r="AD2756" s="17"/>
      <c r="AE2756" s="17"/>
      <c r="AF2756" s="17"/>
      <c r="AG2756" s="17"/>
      <c r="AH2756" s="17"/>
      <c r="AI2756" s="17"/>
      <c r="AJ2756" s="17"/>
      <c r="AK2756" s="17"/>
      <c r="AL2756" s="17"/>
      <c r="AM2756" s="17"/>
      <c r="AN2756" s="17"/>
      <c r="AO2756" s="17"/>
      <c r="AP2756" s="17"/>
      <c r="AQ2756" s="17"/>
      <c r="AR2756" s="17"/>
      <c r="AS2756" s="17"/>
      <c r="AT2756" s="17"/>
      <c r="AU2756" s="17"/>
    </row>
    <row r="2757" hidden="1">
      <c r="A2757" s="17">
        <v>2755</v>
      </c>
      <c r="B2757" s="17" t="s">
        <v>52</v>
      </c>
      <c r="C2757" s="34" t="s">
        <v>7785</v>
      </c>
      <c r="D2757" s="35" t="s">
        <v>6576</v>
      </c>
      <c r="E2757" s="17" t="s">
        <v>7786</v>
      </c>
      <c r="F2757" s="17" t="s">
        <v>7787</v>
      </c>
      <c r="G2757" s="17">
        <v>21.831790999999999</v>
      </c>
      <c r="H2757" s="17">
        <v>87.629845000000003</v>
      </c>
      <c r="I2757" s="17"/>
      <c r="J2757" s="17"/>
      <c r="K2757" s="17"/>
      <c r="L2757" s="17"/>
      <c r="M2757" s="34" t="s">
        <v>7745</v>
      </c>
      <c r="N2757" s="17"/>
      <c r="O2757" s="17"/>
      <c r="P2757" s="17"/>
      <c r="Q2757" s="17"/>
      <c r="R2757" s="17"/>
      <c r="S2757" s="17"/>
      <c r="T2757" s="17"/>
      <c r="U2757" s="17"/>
      <c r="V2757" s="17"/>
      <c r="W2757" s="17"/>
      <c r="X2757" s="17"/>
      <c r="Y2757" s="17"/>
      <c r="Z2757" s="17"/>
      <c r="AA2757" s="17"/>
      <c r="AB2757" s="17"/>
      <c r="AC2757" s="17"/>
      <c r="AD2757" s="17"/>
      <c r="AE2757" s="17"/>
      <c r="AF2757" s="17"/>
      <c r="AG2757" s="17"/>
      <c r="AH2757" s="17"/>
      <c r="AI2757" s="17"/>
      <c r="AJ2757" s="17"/>
      <c r="AK2757" s="17"/>
      <c r="AL2757" s="17"/>
      <c r="AM2757" s="17"/>
      <c r="AN2757" s="17"/>
      <c r="AO2757" s="17"/>
      <c r="AP2757" s="17"/>
      <c r="AQ2757" s="17"/>
      <c r="AR2757" s="17"/>
      <c r="AS2757" s="17"/>
      <c r="AT2757" s="17"/>
      <c r="AU2757" s="17"/>
    </row>
    <row r="2758" hidden="1">
      <c r="A2758" s="17">
        <v>2756</v>
      </c>
      <c r="B2758" s="17" t="s">
        <v>52</v>
      </c>
      <c r="C2758" s="34" t="s">
        <v>7788</v>
      </c>
      <c r="D2758" s="35" t="s">
        <v>6576</v>
      </c>
      <c r="E2758" s="17" t="s">
        <v>7789</v>
      </c>
      <c r="F2758" s="17" t="s">
        <v>7790</v>
      </c>
      <c r="G2758" s="17">
        <v>21.881012999999999</v>
      </c>
      <c r="H2758" s="17">
        <v>87.664410000000004</v>
      </c>
      <c r="I2758" s="17"/>
      <c r="J2758" s="17"/>
      <c r="K2758" s="17"/>
      <c r="L2758" s="17"/>
      <c r="M2758" s="34" t="s">
        <v>7745</v>
      </c>
      <c r="N2758" s="17"/>
      <c r="O2758" s="17"/>
      <c r="P2758" s="17"/>
      <c r="Q2758" s="17"/>
      <c r="R2758" s="17"/>
      <c r="S2758" s="17"/>
      <c r="T2758" s="17"/>
      <c r="U2758" s="17"/>
      <c r="V2758" s="17"/>
      <c r="W2758" s="17"/>
      <c r="X2758" s="17"/>
      <c r="Y2758" s="17"/>
      <c r="Z2758" s="17"/>
      <c r="AA2758" s="17"/>
      <c r="AB2758" s="17"/>
      <c r="AC2758" s="17"/>
      <c r="AD2758" s="17"/>
      <c r="AE2758" s="17"/>
      <c r="AF2758" s="17"/>
      <c r="AG2758" s="17"/>
      <c r="AH2758" s="17"/>
      <c r="AI2758" s="17"/>
      <c r="AJ2758" s="17"/>
      <c r="AK2758" s="17"/>
      <c r="AL2758" s="17"/>
      <c r="AM2758" s="17"/>
      <c r="AN2758" s="17"/>
      <c r="AO2758" s="17"/>
      <c r="AP2758" s="17"/>
      <c r="AQ2758" s="17"/>
      <c r="AR2758" s="17"/>
      <c r="AS2758" s="17"/>
      <c r="AT2758" s="17"/>
      <c r="AU2758" s="17"/>
    </row>
    <row r="2759" hidden="1">
      <c r="A2759" s="17">
        <v>2757</v>
      </c>
      <c r="B2759" s="17" t="s">
        <v>52</v>
      </c>
      <c r="C2759" s="34" t="s">
        <v>7791</v>
      </c>
      <c r="D2759" s="35" t="s">
        <v>6576</v>
      </c>
      <c r="E2759" s="17" t="s">
        <v>7792</v>
      </c>
      <c r="F2759" s="17" t="s">
        <v>7793</v>
      </c>
      <c r="G2759" s="17">
        <v>21.787787000000002</v>
      </c>
      <c r="H2759" s="17">
        <v>87.593943999999993</v>
      </c>
      <c r="I2759" s="17"/>
      <c r="J2759" s="17"/>
      <c r="K2759" s="17"/>
      <c r="L2759" s="17"/>
      <c r="M2759" s="34" t="s">
        <v>7745</v>
      </c>
      <c r="N2759" s="17"/>
      <c r="O2759" s="17"/>
      <c r="P2759" s="17"/>
      <c r="Q2759" s="17"/>
      <c r="R2759" s="17"/>
      <c r="S2759" s="17"/>
      <c r="T2759" s="17"/>
      <c r="U2759" s="17"/>
      <c r="V2759" s="17"/>
      <c r="W2759" s="17"/>
      <c r="X2759" s="17"/>
      <c r="Y2759" s="17"/>
      <c r="Z2759" s="17"/>
      <c r="AA2759" s="17"/>
      <c r="AB2759" s="17"/>
      <c r="AC2759" s="17"/>
      <c r="AD2759" s="17"/>
      <c r="AE2759" s="17"/>
      <c r="AF2759" s="17"/>
      <c r="AG2759" s="17"/>
      <c r="AH2759" s="17"/>
      <c r="AI2759" s="17"/>
      <c r="AJ2759" s="17"/>
      <c r="AK2759" s="17"/>
      <c r="AL2759" s="17"/>
      <c r="AM2759" s="17"/>
      <c r="AN2759" s="17"/>
      <c r="AO2759" s="17"/>
      <c r="AP2759" s="17"/>
      <c r="AQ2759" s="17"/>
      <c r="AR2759" s="17"/>
      <c r="AS2759" s="17"/>
      <c r="AT2759" s="17"/>
      <c r="AU2759" s="17"/>
    </row>
    <row r="2760" hidden="1">
      <c r="A2760" s="17">
        <v>2758</v>
      </c>
      <c r="B2760" s="17" t="s">
        <v>52</v>
      </c>
      <c r="C2760" s="34" t="s">
        <v>7794</v>
      </c>
      <c r="D2760" s="35" t="s">
        <v>6576</v>
      </c>
      <c r="E2760" s="17" t="s">
        <v>7795</v>
      </c>
      <c r="F2760" s="17" t="s">
        <v>7796</v>
      </c>
      <c r="G2760" s="17">
        <v>21.883997999999998</v>
      </c>
      <c r="H2760" s="17">
        <v>87.614451000000003</v>
      </c>
      <c r="I2760" s="17"/>
      <c r="J2760" s="17"/>
      <c r="K2760" s="17"/>
      <c r="L2760" s="17"/>
      <c r="M2760" s="34" t="s">
        <v>7745</v>
      </c>
      <c r="N2760" s="17"/>
      <c r="O2760" s="17"/>
      <c r="P2760" s="17"/>
      <c r="Q2760" s="17"/>
      <c r="R2760" s="17"/>
      <c r="S2760" s="17"/>
      <c r="T2760" s="17"/>
      <c r="U2760" s="17"/>
      <c r="V2760" s="17"/>
      <c r="W2760" s="17"/>
      <c r="X2760" s="17"/>
      <c r="Y2760" s="17"/>
      <c r="Z2760" s="17"/>
      <c r="AA2760" s="17"/>
      <c r="AB2760" s="17"/>
      <c r="AC2760" s="17"/>
      <c r="AD2760" s="17"/>
      <c r="AE2760" s="17"/>
      <c r="AF2760" s="17"/>
      <c r="AG2760" s="17"/>
      <c r="AH2760" s="17"/>
      <c r="AI2760" s="17"/>
      <c r="AJ2760" s="17"/>
      <c r="AK2760" s="17"/>
      <c r="AL2760" s="17"/>
      <c r="AM2760" s="17"/>
      <c r="AN2760" s="17"/>
      <c r="AO2760" s="17"/>
      <c r="AP2760" s="17"/>
      <c r="AQ2760" s="17"/>
      <c r="AR2760" s="17"/>
      <c r="AS2760" s="17"/>
      <c r="AT2760" s="17"/>
      <c r="AU2760" s="17"/>
    </row>
    <row r="2761" hidden="1">
      <c r="A2761" s="17">
        <v>2759</v>
      </c>
      <c r="B2761" s="17" t="s">
        <v>52</v>
      </c>
      <c r="C2761" s="34" t="s">
        <v>7797</v>
      </c>
      <c r="D2761" s="35" t="s">
        <v>6576</v>
      </c>
      <c r="E2761" s="17" t="s">
        <v>7798</v>
      </c>
      <c r="F2761" s="17" t="s">
        <v>7799</v>
      </c>
      <c r="G2761" s="17">
        <v>21.835117</v>
      </c>
      <c r="H2761" s="17">
        <v>87.604359000000002</v>
      </c>
      <c r="I2761" s="17"/>
      <c r="J2761" s="17"/>
      <c r="K2761" s="17"/>
      <c r="L2761" s="17"/>
      <c r="M2761" s="34" t="s">
        <v>7745</v>
      </c>
      <c r="N2761" s="17"/>
      <c r="O2761" s="17"/>
      <c r="P2761" s="17"/>
      <c r="Q2761" s="17"/>
      <c r="R2761" s="17"/>
      <c r="S2761" s="17"/>
      <c r="T2761" s="17"/>
      <c r="U2761" s="17"/>
      <c r="V2761" s="17"/>
      <c r="W2761" s="17"/>
      <c r="X2761" s="17"/>
      <c r="Y2761" s="17"/>
      <c r="Z2761" s="17"/>
      <c r="AA2761" s="17"/>
      <c r="AB2761" s="17"/>
      <c r="AC2761" s="17"/>
      <c r="AD2761" s="17"/>
      <c r="AE2761" s="17"/>
      <c r="AF2761" s="17"/>
      <c r="AG2761" s="17"/>
      <c r="AH2761" s="17"/>
      <c r="AI2761" s="17"/>
      <c r="AJ2761" s="17"/>
      <c r="AK2761" s="17"/>
      <c r="AL2761" s="17"/>
      <c r="AM2761" s="17"/>
      <c r="AN2761" s="17"/>
      <c r="AO2761" s="17"/>
      <c r="AP2761" s="17"/>
      <c r="AQ2761" s="17"/>
      <c r="AR2761" s="17"/>
      <c r="AS2761" s="17"/>
      <c r="AT2761" s="17"/>
      <c r="AU2761" s="17"/>
    </row>
    <row r="2762" hidden="1">
      <c r="A2762" s="17">
        <v>2760</v>
      </c>
      <c r="B2762" s="17" t="s">
        <v>52</v>
      </c>
      <c r="C2762" s="34" t="s">
        <v>7800</v>
      </c>
      <c r="D2762" s="35" t="s">
        <v>6576</v>
      </c>
      <c r="E2762" s="17" t="s">
        <v>7801</v>
      </c>
      <c r="F2762" s="17" t="s">
        <v>7802</v>
      </c>
      <c r="G2762" s="17">
        <v>21.874842999999998</v>
      </c>
      <c r="H2762" s="17">
        <v>87.567718999999997</v>
      </c>
      <c r="I2762" s="17"/>
      <c r="J2762" s="17"/>
      <c r="K2762" s="17"/>
      <c r="L2762" s="17"/>
      <c r="M2762" s="34" t="s">
        <v>7745</v>
      </c>
      <c r="N2762" s="17"/>
      <c r="O2762" s="17"/>
      <c r="P2762" s="17"/>
      <c r="Q2762" s="17"/>
      <c r="R2762" s="17"/>
      <c r="S2762" s="17"/>
      <c r="T2762" s="17"/>
      <c r="U2762" s="17"/>
      <c r="V2762" s="17"/>
      <c r="W2762" s="17"/>
      <c r="X2762" s="17"/>
      <c r="Y2762" s="17"/>
      <c r="Z2762" s="17"/>
      <c r="AA2762" s="17"/>
      <c r="AB2762" s="17"/>
      <c r="AC2762" s="17"/>
      <c r="AD2762" s="17"/>
      <c r="AE2762" s="17"/>
      <c r="AF2762" s="17"/>
      <c r="AG2762" s="17"/>
      <c r="AH2762" s="17"/>
      <c r="AI2762" s="17"/>
      <c r="AJ2762" s="17"/>
      <c r="AK2762" s="17"/>
      <c r="AL2762" s="17"/>
      <c r="AM2762" s="17"/>
      <c r="AN2762" s="17"/>
      <c r="AO2762" s="17"/>
      <c r="AP2762" s="17"/>
      <c r="AQ2762" s="17"/>
      <c r="AR2762" s="17"/>
      <c r="AS2762" s="17"/>
      <c r="AT2762" s="17"/>
      <c r="AU2762" s="17"/>
    </row>
    <row r="2763" hidden="1">
      <c r="A2763" s="17">
        <v>2761</v>
      </c>
      <c r="B2763" s="17" t="s">
        <v>52</v>
      </c>
      <c r="C2763" s="34" t="s">
        <v>7803</v>
      </c>
      <c r="D2763" s="35" t="s">
        <v>6576</v>
      </c>
      <c r="E2763" s="17"/>
      <c r="F2763" s="17"/>
      <c r="G2763" s="17"/>
      <c r="H2763" s="17"/>
      <c r="I2763" s="17"/>
      <c r="J2763" s="17"/>
      <c r="K2763" s="17"/>
      <c r="L2763" s="17"/>
      <c r="M2763" s="34" t="s">
        <v>7745</v>
      </c>
      <c r="N2763" s="17"/>
      <c r="O2763" s="17"/>
      <c r="P2763" s="17"/>
      <c r="Q2763" s="17"/>
      <c r="R2763" s="17"/>
      <c r="S2763" s="17"/>
      <c r="T2763" s="17"/>
      <c r="U2763" s="17"/>
      <c r="V2763" s="17"/>
      <c r="W2763" s="17"/>
      <c r="X2763" s="17"/>
      <c r="Y2763" s="17"/>
      <c r="Z2763" s="17"/>
      <c r="AA2763" s="17"/>
      <c r="AB2763" s="17"/>
      <c r="AC2763" s="17"/>
      <c r="AD2763" s="17"/>
      <c r="AE2763" s="17"/>
      <c r="AF2763" s="17"/>
      <c r="AG2763" s="17"/>
      <c r="AH2763" s="17"/>
      <c r="AI2763" s="17"/>
      <c r="AJ2763" s="17"/>
      <c r="AK2763" s="17"/>
      <c r="AL2763" s="17"/>
      <c r="AM2763" s="17"/>
      <c r="AN2763" s="17"/>
      <c r="AO2763" s="17"/>
      <c r="AP2763" s="17"/>
      <c r="AQ2763" s="17"/>
      <c r="AR2763" s="17"/>
      <c r="AS2763" s="17"/>
      <c r="AT2763" s="17"/>
      <c r="AU2763" s="17"/>
    </row>
    <row r="2764" hidden="1">
      <c r="A2764" s="17">
        <v>2762</v>
      </c>
      <c r="B2764" s="17" t="s">
        <v>52</v>
      </c>
      <c r="C2764" s="34" t="s">
        <v>7804</v>
      </c>
      <c r="D2764" s="35" t="s">
        <v>6576</v>
      </c>
      <c r="E2764" s="17"/>
      <c r="F2764" s="17"/>
      <c r="G2764" s="17"/>
      <c r="H2764" s="17"/>
      <c r="I2764" s="17"/>
      <c r="J2764" s="17"/>
      <c r="K2764" s="17"/>
      <c r="L2764" s="17"/>
      <c r="M2764" s="34" t="s">
        <v>7745</v>
      </c>
      <c r="N2764" s="17"/>
      <c r="O2764" s="17"/>
      <c r="P2764" s="17"/>
      <c r="Q2764" s="17"/>
      <c r="R2764" s="17"/>
      <c r="S2764" s="17"/>
      <c r="T2764" s="17"/>
      <c r="U2764" s="17"/>
      <c r="V2764" s="17"/>
      <c r="W2764" s="17"/>
      <c r="X2764" s="17"/>
      <c r="Y2764" s="17"/>
      <c r="Z2764" s="17"/>
      <c r="AA2764" s="17"/>
      <c r="AB2764" s="17"/>
      <c r="AC2764" s="17"/>
      <c r="AD2764" s="17"/>
      <c r="AE2764" s="17"/>
      <c r="AF2764" s="17"/>
      <c r="AG2764" s="17"/>
      <c r="AH2764" s="17"/>
      <c r="AI2764" s="17"/>
      <c r="AJ2764" s="17"/>
      <c r="AK2764" s="17"/>
      <c r="AL2764" s="17"/>
      <c r="AM2764" s="17"/>
      <c r="AN2764" s="17"/>
      <c r="AO2764" s="17"/>
      <c r="AP2764" s="17"/>
      <c r="AQ2764" s="17"/>
      <c r="AR2764" s="17"/>
      <c r="AS2764" s="17"/>
      <c r="AT2764" s="17"/>
      <c r="AU2764" s="17"/>
    </row>
    <row r="2765" hidden="1">
      <c r="A2765" s="17">
        <v>2763</v>
      </c>
      <c r="B2765" s="17" t="s">
        <v>52</v>
      </c>
      <c r="C2765" s="34" t="s">
        <v>7805</v>
      </c>
      <c r="D2765" s="35" t="s">
        <v>6576</v>
      </c>
      <c r="E2765" s="17" t="s">
        <v>7806</v>
      </c>
      <c r="F2765" s="17" t="s">
        <v>7807</v>
      </c>
      <c r="G2765" s="17">
        <v>21.81128</v>
      </c>
      <c r="H2765" s="17">
        <v>87.648910000000001</v>
      </c>
      <c r="I2765" s="17"/>
      <c r="J2765" s="17"/>
      <c r="K2765" s="17"/>
      <c r="L2765" s="17"/>
      <c r="M2765" s="34" t="s">
        <v>7745</v>
      </c>
      <c r="N2765" s="17"/>
      <c r="O2765" s="17"/>
      <c r="P2765" s="17"/>
      <c r="Q2765" s="17"/>
      <c r="R2765" s="17"/>
      <c r="S2765" s="17"/>
      <c r="T2765" s="17"/>
      <c r="U2765" s="17"/>
      <c r="V2765" s="17"/>
      <c r="W2765" s="17"/>
      <c r="X2765" s="17"/>
      <c r="Y2765" s="17"/>
      <c r="Z2765" s="17"/>
      <c r="AA2765" s="17"/>
      <c r="AB2765" s="17"/>
      <c r="AC2765" s="17"/>
      <c r="AD2765" s="17"/>
      <c r="AE2765" s="17"/>
      <c r="AF2765" s="17"/>
      <c r="AG2765" s="17"/>
      <c r="AH2765" s="17"/>
      <c r="AI2765" s="17"/>
      <c r="AJ2765" s="17"/>
      <c r="AK2765" s="17"/>
      <c r="AL2765" s="17"/>
      <c r="AM2765" s="17"/>
      <c r="AN2765" s="17"/>
      <c r="AO2765" s="17"/>
      <c r="AP2765" s="17"/>
      <c r="AQ2765" s="17"/>
      <c r="AR2765" s="17"/>
      <c r="AS2765" s="17"/>
      <c r="AT2765" s="17"/>
      <c r="AU2765" s="17"/>
    </row>
    <row r="2766" hidden="1">
      <c r="A2766" s="17">
        <v>2764</v>
      </c>
      <c r="B2766" s="17" t="s">
        <v>52</v>
      </c>
      <c r="C2766" s="34" t="s">
        <v>7808</v>
      </c>
      <c r="D2766" s="35" t="s">
        <v>6576</v>
      </c>
      <c r="E2766" s="17" t="s">
        <v>6752</v>
      </c>
      <c r="F2766" s="17" t="s">
        <v>7809</v>
      </c>
      <c r="G2766" s="17">
        <v>21.867003</v>
      </c>
      <c r="H2766" s="17">
        <v>87.698981000000003</v>
      </c>
      <c r="I2766" s="17"/>
      <c r="J2766" s="17"/>
      <c r="K2766" s="17"/>
      <c r="L2766" s="17"/>
      <c r="M2766" s="34" t="s">
        <v>7745</v>
      </c>
      <c r="N2766" s="17"/>
      <c r="O2766" s="17"/>
      <c r="P2766" s="17"/>
      <c r="Q2766" s="17"/>
      <c r="R2766" s="17"/>
      <c r="S2766" s="17"/>
      <c r="T2766" s="17"/>
      <c r="U2766" s="17"/>
      <c r="V2766" s="17"/>
      <c r="W2766" s="17"/>
      <c r="X2766" s="17"/>
      <c r="Y2766" s="17"/>
      <c r="Z2766" s="17"/>
      <c r="AA2766" s="17"/>
      <c r="AB2766" s="17"/>
      <c r="AC2766" s="17"/>
      <c r="AD2766" s="17"/>
      <c r="AE2766" s="17"/>
      <c r="AF2766" s="17"/>
      <c r="AG2766" s="17"/>
      <c r="AH2766" s="17"/>
      <c r="AI2766" s="17"/>
      <c r="AJ2766" s="17"/>
      <c r="AK2766" s="17"/>
      <c r="AL2766" s="17"/>
      <c r="AM2766" s="17"/>
      <c r="AN2766" s="17"/>
      <c r="AO2766" s="17"/>
      <c r="AP2766" s="17"/>
      <c r="AQ2766" s="17"/>
      <c r="AR2766" s="17"/>
      <c r="AS2766" s="17"/>
      <c r="AT2766" s="17"/>
      <c r="AU2766" s="17"/>
    </row>
    <row r="2767" hidden="1">
      <c r="A2767" s="17">
        <v>2765</v>
      </c>
      <c r="B2767" s="17" t="s">
        <v>52</v>
      </c>
      <c r="C2767" s="34" t="s">
        <v>7810</v>
      </c>
      <c r="D2767" s="35" t="s">
        <v>6576</v>
      </c>
      <c r="E2767" s="17" t="s">
        <v>7811</v>
      </c>
      <c r="F2767" s="17" t="s">
        <v>7812</v>
      </c>
      <c r="G2767" s="17">
        <v>21.774892999999999</v>
      </c>
      <c r="H2767" s="17">
        <v>87.724537999999995</v>
      </c>
      <c r="I2767" s="17"/>
      <c r="J2767" s="17"/>
      <c r="K2767" s="17"/>
      <c r="L2767" s="17"/>
      <c r="M2767" s="34" t="s">
        <v>7745</v>
      </c>
      <c r="N2767" s="17"/>
      <c r="O2767" s="17"/>
      <c r="P2767" s="17"/>
      <c r="Q2767" s="17"/>
      <c r="R2767" s="17"/>
      <c r="S2767" s="17"/>
      <c r="T2767" s="17"/>
      <c r="U2767" s="17"/>
      <c r="V2767" s="17"/>
      <c r="W2767" s="17"/>
      <c r="X2767" s="17"/>
      <c r="Y2767" s="17"/>
      <c r="Z2767" s="17"/>
      <c r="AA2767" s="17"/>
      <c r="AB2767" s="17"/>
      <c r="AC2767" s="17"/>
      <c r="AD2767" s="17"/>
      <c r="AE2767" s="17"/>
      <c r="AF2767" s="17"/>
      <c r="AG2767" s="17"/>
      <c r="AH2767" s="17"/>
      <c r="AI2767" s="17"/>
      <c r="AJ2767" s="17"/>
      <c r="AK2767" s="17"/>
      <c r="AL2767" s="17"/>
      <c r="AM2767" s="17"/>
      <c r="AN2767" s="17"/>
      <c r="AO2767" s="17"/>
      <c r="AP2767" s="17"/>
      <c r="AQ2767" s="17"/>
      <c r="AR2767" s="17"/>
      <c r="AS2767" s="17"/>
      <c r="AT2767" s="17"/>
      <c r="AU2767" s="17"/>
    </row>
    <row r="2768" hidden="1">
      <c r="A2768" s="17">
        <v>2766</v>
      </c>
      <c r="B2768" s="17" t="s">
        <v>52</v>
      </c>
      <c r="C2768" s="34" t="s">
        <v>7813</v>
      </c>
      <c r="D2768" s="35" t="s">
        <v>6576</v>
      </c>
      <c r="E2768" s="17" t="s">
        <v>7814</v>
      </c>
      <c r="F2768" s="17" t="s">
        <v>7815</v>
      </c>
      <c r="G2768" s="17">
        <v>21.783766</v>
      </c>
      <c r="H2768" s="17">
        <v>87.730384000000001</v>
      </c>
      <c r="I2768" s="17"/>
      <c r="J2768" s="17"/>
      <c r="K2768" s="17"/>
      <c r="L2768" s="17"/>
      <c r="M2768" s="34" t="s">
        <v>7745</v>
      </c>
      <c r="N2768" s="17"/>
      <c r="O2768" s="17"/>
      <c r="P2768" s="17"/>
      <c r="Q2768" s="17"/>
      <c r="R2768" s="17"/>
      <c r="S2768" s="17"/>
      <c r="T2768" s="17"/>
      <c r="U2768" s="17"/>
      <c r="V2768" s="17"/>
      <c r="W2768" s="17"/>
      <c r="X2768" s="17"/>
      <c r="Y2768" s="17"/>
      <c r="Z2768" s="17"/>
      <c r="AA2768" s="17"/>
      <c r="AB2768" s="17"/>
      <c r="AC2768" s="17"/>
      <c r="AD2768" s="17"/>
      <c r="AE2768" s="17"/>
      <c r="AF2768" s="17"/>
      <c r="AG2768" s="17"/>
      <c r="AH2768" s="17"/>
      <c r="AI2768" s="17"/>
      <c r="AJ2768" s="17"/>
      <c r="AK2768" s="17"/>
      <c r="AL2768" s="17"/>
      <c r="AM2768" s="17"/>
      <c r="AN2768" s="17"/>
      <c r="AO2768" s="17"/>
      <c r="AP2768" s="17"/>
      <c r="AQ2768" s="17"/>
      <c r="AR2768" s="17"/>
      <c r="AS2768" s="17"/>
      <c r="AT2768" s="17"/>
      <c r="AU2768" s="17"/>
    </row>
    <row r="2769" hidden="1">
      <c r="A2769" s="17">
        <v>2767</v>
      </c>
      <c r="B2769" s="17" t="s">
        <v>52</v>
      </c>
      <c r="C2769" s="34" t="s">
        <v>7816</v>
      </c>
      <c r="D2769" s="35" t="s">
        <v>6576</v>
      </c>
      <c r="E2769" s="17" t="s">
        <v>7817</v>
      </c>
      <c r="F2769" s="17" t="s">
        <v>7818</v>
      </c>
      <c r="G2769" s="17">
        <v>21.779989</v>
      </c>
      <c r="H2769" s="17">
        <v>87.734854999999996</v>
      </c>
      <c r="I2769" s="17"/>
      <c r="J2769" s="17"/>
      <c r="K2769" s="17"/>
      <c r="L2769" s="17"/>
      <c r="M2769" s="34" t="s">
        <v>7745</v>
      </c>
      <c r="N2769" s="17"/>
      <c r="O2769" s="17"/>
      <c r="P2769" s="17"/>
      <c r="Q2769" s="17"/>
      <c r="R2769" s="17"/>
      <c r="S2769" s="17"/>
      <c r="T2769" s="17"/>
      <c r="U2769" s="17"/>
      <c r="V2769" s="17"/>
      <c r="W2769" s="17"/>
      <c r="X2769" s="17"/>
      <c r="Y2769" s="17"/>
      <c r="Z2769" s="17"/>
      <c r="AA2769" s="17"/>
      <c r="AB2769" s="17"/>
      <c r="AC2769" s="17"/>
      <c r="AD2769" s="17"/>
      <c r="AE2769" s="17"/>
      <c r="AF2769" s="17"/>
      <c r="AG2769" s="17"/>
      <c r="AH2769" s="17"/>
      <c r="AI2769" s="17"/>
      <c r="AJ2769" s="17"/>
      <c r="AK2769" s="17"/>
      <c r="AL2769" s="17"/>
      <c r="AM2769" s="17"/>
      <c r="AN2769" s="17"/>
      <c r="AO2769" s="17"/>
      <c r="AP2769" s="17"/>
      <c r="AQ2769" s="17"/>
      <c r="AR2769" s="17"/>
      <c r="AS2769" s="17"/>
      <c r="AT2769" s="17"/>
      <c r="AU2769" s="17"/>
    </row>
    <row r="2770" hidden="1">
      <c r="A2770" s="17">
        <v>2768</v>
      </c>
      <c r="B2770" s="17" t="s">
        <v>52</v>
      </c>
      <c r="C2770" s="34" t="s">
        <v>7819</v>
      </c>
      <c r="D2770" s="35" t="s">
        <v>6576</v>
      </c>
      <c r="E2770" s="17" t="s">
        <v>7820</v>
      </c>
      <c r="F2770" s="17" t="s">
        <v>7821</v>
      </c>
      <c r="G2770" s="17">
        <v>21.773177</v>
      </c>
      <c r="H2770" s="17">
        <v>87.733261999999996</v>
      </c>
      <c r="I2770" s="17"/>
      <c r="J2770" s="17"/>
      <c r="K2770" s="17"/>
      <c r="L2770" s="17"/>
      <c r="M2770" s="34" t="s">
        <v>7745</v>
      </c>
      <c r="N2770" s="17"/>
      <c r="O2770" s="17"/>
      <c r="P2770" s="17"/>
      <c r="Q2770" s="17"/>
      <c r="R2770" s="17"/>
      <c r="S2770" s="17"/>
      <c r="T2770" s="17"/>
      <c r="U2770" s="17"/>
      <c r="V2770" s="17"/>
      <c r="W2770" s="17"/>
      <c r="X2770" s="17"/>
      <c r="Y2770" s="17"/>
      <c r="Z2770" s="17"/>
      <c r="AA2770" s="17"/>
      <c r="AB2770" s="17"/>
      <c r="AC2770" s="17"/>
      <c r="AD2770" s="17"/>
      <c r="AE2770" s="17"/>
      <c r="AF2770" s="17"/>
      <c r="AG2770" s="17"/>
      <c r="AH2770" s="17"/>
      <c r="AI2770" s="17"/>
      <c r="AJ2770" s="17"/>
      <c r="AK2770" s="17"/>
      <c r="AL2770" s="17"/>
      <c r="AM2770" s="17"/>
      <c r="AN2770" s="17"/>
      <c r="AO2770" s="17"/>
      <c r="AP2770" s="17"/>
      <c r="AQ2770" s="17"/>
      <c r="AR2770" s="17"/>
      <c r="AS2770" s="17"/>
      <c r="AT2770" s="17"/>
      <c r="AU2770" s="17"/>
    </row>
    <row r="2771" hidden="1">
      <c r="A2771" s="17">
        <v>2769</v>
      </c>
      <c r="B2771" s="17" t="s">
        <v>52</v>
      </c>
      <c r="C2771" s="34" t="s">
        <v>7822</v>
      </c>
      <c r="D2771" s="35" t="s">
        <v>6576</v>
      </c>
      <c r="E2771" s="17" t="s">
        <v>7823</v>
      </c>
      <c r="F2771" s="17" t="s">
        <v>7824</v>
      </c>
      <c r="G2771" s="17">
        <v>21.776966000000002</v>
      </c>
      <c r="H2771" s="17">
        <v>87.709935000000002</v>
      </c>
      <c r="I2771" s="17"/>
      <c r="J2771" s="17"/>
      <c r="K2771" s="17"/>
      <c r="L2771" s="17"/>
      <c r="M2771" s="34" t="s">
        <v>7745</v>
      </c>
      <c r="N2771" s="17"/>
      <c r="O2771" s="17"/>
      <c r="P2771" s="17"/>
      <c r="Q2771" s="17"/>
      <c r="R2771" s="17"/>
      <c r="S2771" s="17"/>
      <c r="T2771" s="17"/>
      <c r="U2771" s="17"/>
      <c r="V2771" s="17"/>
      <c r="W2771" s="17"/>
      <c r="X2771" s="17"/>
      <c r="Y2771" s="17"/>
      <c r="Z2771" s="17"/>
      <c r="AA2771" s="17"/>
      <c r="AB2771" s="17"/>
      <c r="AC2771" s="17"/>
      <c r="AD2771" s="17"/>
      <c r="AE2771" s="17"/>
      <c r="AF2771" s="17"/>
      <c r="AG2771" s="17"/>
      <c r="AH2771" s="17"/>
      <c r="AI2771" s="17"/>
      <c r="AJ2771" s="17"/>
      <c r="AK2771" s="17"/>
      <c r="AL2771" s="17"/>
      <c r="AM2771" s="17"/>
      <c r="AN2771" s="17"/>
      <c r="AO2771" s="17"/>
      <c r="AP2771" s="17"/>
      <c r="AQ2771" s="17"/>
      <c r="AR2771" s="17"/>
      <c r="AS2771" s="17"/>
      <c r="AT2771" s="17"/>
      <c r="AU2771" s="17"/>
    </row>
    <row r="2772" hidden="1">
      <c r="A2772" s="17">
        <v>2770</v>
      </c>
      <c r="B2772" s="17" t="s">
        <v>52</v>
      </c>
      <c r="C2772" s="34" t="s">
        <v>7825</v>
      </c>
      <c r="D2772" s="35" t="s">
        <v>6576</v>
      </c>
      <c r="E2772" s="17" t="s">
        <v>7826</v>
      </c>
      <c r="F2772" s="17" t="s">
        <v>7827</v>
      </c>
      <c r="G2772" s="17">
        <v>21.793745999999999</v>
      </c>
      <c r="H2772" s="17">
        <v>87.716555</v>
      </c>
      <c r="I2772" s="17"/>
      <c r="J2772" s="17"/>
      <c r="K2772" s="17"/>
      <c r="L2772" s="17"/>
      <c r="M2772" s="34" t="s">
        <v>7745</v>
      </c>
      <c r="N2772" s="17"/>
      <c r="O2772" s="17"/>
      <c r="P2772" s="17"/>
      <c r="Q2772" s="17"/>
      <c r="R2772" s="17"/>
      <c r="S2772" s="17"/>
      <c r="T2772" s="17"/>
      <c r="U2772" s="17"/>
      <c r="V2772" s="17"/>
      <c r="W2772" s="17"/>
      <c r="X2772" s="17"/>
      <c r="Y2772" s="17"/>
      <c r="Z2772" s="17"/>
      <c r="AA2772" s="17"/>
      <c r="AB2772" s="17"/>
      <c r="AC2772" s="17"/>
      <c r="AD2772" s="17"/>
      <c r="AE2772" s="17"/>
      <c r="AF2772" s="17"/>
      <c r="AG2772" s="17"/>
      <c r="AH2772" s="17"/>
      <c r="AI2772" s="17"/>
      <c r="AJ2772" s="17"/>
      <c r="AK2772" s="17"/>
      <c r="AL2772" s="17"/>
      <c r="AM2772" s="17"/>
      <c r="AN2772" s="17"/>
      <c r="AO2772" s="17"/>
      <c r="AP2772" s="17"/>
      <c r="AQ2772" s="17"/>
      <c r="AR2772" s="17"/>
      <c r="AS2772" s="17"/>
      <c r="AT2772" s="17"/>
      <c r="AU2772" s="17"/>
    </row>
    <row r="2773" hidden="1">
      <c r="A2773" s="17">
        <v>2771</v>
      </c>
      <c r="B2773" s="17" t="s">
        <v>52</v>
      </c>
      <c r="C2773" s="34" t="s">
        <v>7828</v>
      </c>
      <c r="D2773" s="35" t="s">
        <v>6576</v>
      </c>
      <c r="E2773" s="17" t="s">
        <v>7829</v>
      </c>
      <c r="F2773" s="17" t="s">
        <v>7830</v>
      </c>
      <c r="G2773" s="17">
        <v>21.775841</v>
      </c>
      <c r="H2773" s="17">
        <v>87.730912000000004</v>
      </c>
      <c r="I2773" s="17"/>
      <c r="J2773" s="17"/>
      <c r="K2773" s="17"/>
      <c r="L2773" s="17"/>
      <c r="M2773" s="34" t="s">
        <v>7745</v>
      </c>
      <c r="N2773" s="17"/>
      <c r="O2773" s="17"/>
      <c r="P2773" s="17"/>
      <c r="Q2773" s="17"/>
      <c r="R2773" s="17"/>
      <c r="S2773" s="17"/>
      <c r="T2773" s="17"/>
      <c r="U2773" s="17"/>
      <c r="V2773" s="17"/>
      <c r="W2773" s="17"/>
      <c r="X2773" s="17"/>
      <c r="Y2773" s="17"/>
      <c r="Z2773" s="17"/>
      <c r="AA2773" s="17"/>
      <c r="AB2773" s="17"/>
      <c r="AC2773" s="17"/>
      <c r="AD2773" s="17"/>
      <c r="AE2773" s="17"/>
      <c r="AF2773" s="17"/>
      <c r="AG2773" s="17"/>
      <c r="AH2773" s="17"/>
      <c r="AI2773" s="17"/>
      <c r="AJ2773" s="17"/>
      <c r="AK2773" s="17"/>
      <c r="AL2773" s="17"/>
      <c r="AM2773" s="17"/>
      <c r="AN2773" s="17"/>
      <c r="AO2773" s="17"/>
      <c r="AP2773" s="17"/>
      <c r="AQ2773" s="17"/>
      <c r="AR2773" s="17"/>
      <c r="AS2773" s="17"/>
      <c r="AT2773" s="17"/>
      <c r="AU2773" s="17"/>
    </row>
    <row r="2774" hidden="1">
      <c r="A2774" s="17">
        <v>2772</v>
      </c>
      <c r="B2774" s="17" t="s">
        <v>52</v>
      </c>
      <c r="C2774" s="34" t="s">
        <v>7831</v>
      </c>
      <c r="D2774" s="35" t="s">
        <v>6576</v>
      </c>
      <c r="E2774" s="17" t="s">
        <v>7832</v>
      </c>
      <c r="F2774" s="17" t="s">
        <v>7833</v>
      </c>
      <c r="G2774" s="17">
        <v>21.770443</v>
      </c>
      <c r="H2774" s="17">
        <v>87.701834000000005</v>
      </c>
      <c r="I2774" s="17"/>
      <c r="J2774" s="17"/>
      <c r="K2774" s="17"/>
      <c r="L2774" s="17"/>
      <c r="M2774" s="34" t="s">
        <v>7745</v>
      </c>
      <c r="N2774" s="17"/>
      <c r="O2774" s="17"/>
      <c r="P2774" s="17"/>
      <c r="Q2774" s="17"/>
      <c r="R2774" s="17"/>
      <c r="S2774" s="17"/>
      <c r="T2774" s="17"/>
      <c r="U2774" s="17"/>
      <c r="V2774" s="17"/>
      <c r="W2774" s="17"/>
      <c r="X2774" s="17"/>
      <c r="Y2774" s="17"/>
      <c r="Z2774" s="17"/>
      <c r="AA2774" s="17"/>
      <c r="AB2774" s="17"/>
      <c r="AC2774" s="17"/>
      <c r="AD2774" s="17"/>
      <c r="AE2774" s="17"/>
      <c r="AF2774" s="17"/>
      <c r="AG2774" s="17"/>
      <c r="AH2774" s="17"/>
      <c r="AI2774" s="17"/>
      <c r="AJ2774" s="17"/>
      <c r="AK2774" s="17"/>
      <c r="AL2774" s="17"/>
      <c r="AM2774" s="17"/>
      <c r="AN2774" s="17"/>
      <c r="AO2774" s="17"/>
      <c r="AP2774" s="17"/>
      <c r="AQ2774" s="17"/>
      <c r="AR2774" s="17"/>
      <c r="AS2774" s="17"/>
      <c r="AT2774" s="17"/>
      <c r="AU2774" s="17"/>
    </row>
    <row r="2775" hidden="1">
      <c r="A2775" s="17">
        <v>2773</v>
      </c>
      <c r="B2775" s="17" t="s">
        <v>52</v>
      </c>
      <c r="C2775" s="34" t="s">
        <v>7834</v>
      </c>
      <c r="D2775" s="35" t="s">
        <v>6576</v>
      </c>
      <c r="E2775" s="17" t="s">
        <v>7835</v>
      </c>
      <c r="F2775" s="17" t="s">
        <v>7836</v>
      </c>
      <c r="G2775" s="17">
        <v>21.788648999999999</v>
      </c>
      <c r="H2775" s="17">
        <v>87.699616000000006</v>
      </c>
      <c r="I2775" s="17"/>
      <c r="J2775" s="17"/>
      <c r="K2775" s="17"/>
      <c r="L2775" s="17"/>
      <c r="M2775" s="34" t="s">
        <v>7745</v>
      </c>
      <c r="N2775" s="17"/>
      <c r="O2775" s="17"/>
      <c r="P2775" s="17"/>
      <c r="Q2775" s="17"/>
      <c r="R2775" s="17"/>
      <c r="S2775" s="17"/>
      <c r="T2775" s="17"/>
      <c r="U2775" s="17"/>
      <c r="V2775" s="17"/>
      <c r="W2775" s="17"/>
      <c r="X2775" s="17"/>
      <c r="Y2775" s="17"/>
      <c r="Z2775" s="17"/>
      <c r="AA2775" s="17"/>
      <c r="AB2775" s="17"/>
      <c r="AC2775" s="17"/>
      <c r="AD2775" s="17"/>
      <c r="AE2775" s="17"/>
      <c r="AF2775" s="17"/>
      <c r="AG2775" s="17"/>
      <c r="AH2775" s="17"/>
      <c r="AI2775" s="17"/>
      <c r="AJ2775" s="17"/>
      <c r="AK2775" s="17"/>
      <c r="AL2775" s="17"/>
      <c r="AM2775" s="17"/>
      <c r="AN2775" s="17"/>
      <c r="AO2775" s="17"/>
      <c r="AP2775" s="17"/>
      <c r="AQ2775" s="17"/>
      <c r="AR2775" s="17"/>
      <c r="AS2775" s="17"/>
      <c r="AT2775" s="17"/>
      <c r="AU2775" s="17"/>
    </row>
    <row r="2776" hidden="1">
      <c r="A2776" s="17">
        <v>2774</v>
      </c>
      <c r="B2776" s="17" t="s">
        <v>52</v>
      </c>
      <c r="C2776" s="34" t="s">
        <v>7837</v>
      </c>
      <c r="D2776" s="35" t="s">
        <v>6576</v>
      </c>
      <c r="E2776" s="17" t="s">
        <v>7838</v>
      </c>
      <c r="F2776" s="17" t="s">
        <v>7839</v>
      </c>
      <c r="G2776" s="17">
        <v>21.795918</v>
      </c>
      <c r="H2776" s="17">
        <v>87.676018999999997</v>
      </c>
      <c r="I2776" s="17"/>
      <c r="J2776" s="17"/>
      <c r="K2776" s="17"/>
      <c r="L2776" s="17"/>
      <c r="M2776" s="34" t="s">
        <v>7745</v>
      </c>
      <c r="N2776" s="17"/>
      <c r="O2776" s="17"/>
      <c r="P2776" s="17"/>
      <c r="Q2776" s="17"/>
      <c r="R2776" s="17"/>
      <c r="S2776" s="17"/>
      <c r="T2776" s="17"/>
      <c r="U2776" s="17"/>
      <c r="V2776" s="17"/>
      <c r="W2776" s="17"/>
      <c r="X2776" s="17"/>
      <c r="Y2776" s="17"/>
      <c r="Z2776" s="17"/>
      <c r="AA2776" s="17"/>
      <c r="AB2776" s="17"/>
      <c r="AC2776" s="17"/>
      <c r="AD2776" s="17"/>
      <c r="AE2776" s="17"/>
      <c r="AF2776" s="17"/>
      <c r="AG2776" s="17"/>
      <c r="AH2776" s="17"/>
      <c r="AI2776" s="17"/>
      <c r="AJ2776" s="17"/>
      <c r="AK2776" s="17"/>
      <c r="AL2776" s="17"/>
      <c r="AM2776" s="17"/>
      <c r="AN2776" s="17"/>
      <c r="AO2776" s="17"/>
      <c r="AP2776" s="17"/>
      <c r="AQ2776" s="17"/>
      <c r="AR2776" s="17"/>
      <c r="AS2776" s="17"/>
      <c r="AT2776" s="17"/>
      <c r="AU2776" s="17"/>
    </row>
    <row r="2777" hidden="1">
      <c r="A2777" s="17">
        <v>2775</v>
      </c>
      <c r="B2777" s="17" t="s">
        <v>52</v>
      </c>
      <c r="C2777" s="34" t="s">
        <v>7840</v>
      </c>
      <c r="D2777" s="35" t="s">
        <v>6576</v>
      </c>
      <c r="E2777" s="17" t="s">
        <v>7841</v>
      </c>
      <c r="F2777" s="17" t="s">
        <v>7842</v>
      </c>
      <c r="G2777" s="17">
        <v>21.760686</v>
      </c>
      <c r="H2777" s="17">
        <v>87.662019000000001</v>
      </c>
      <c r="I2777" s="17"/>
      <c r="J2777" s="17"/>
      <c r="K2777" s="17"/>
      <c r="L2777" s="17"/>
      <c r="M2777" s="34" t="s">
        <v>7745</v>
      </c>
      <c r="N2777" s="17"/>
      <c r="O2777" s="17"/>
      <c r="P2777" s="17"/>
      <c r="Q2777" s="17"/>
      <c r="R2777" s="17"/>
      <c r="S2777" s="17"/>
      <c r="T2777" s="17"/>
      <c r="U2777" s="17"/>
      <c r="V2777" s="17"/>
      <c r="W2777" s="17"/>
      <c r="X2777" s="17"/>
      <c r="Y2777" s="17"/>
      <c r="Z2777" s="17"/>
      <c r="AA2777" s="17"/>
      <c r="AB2777" s="17"/>
      <c r="AC2777" s="17"/>
      <c r="AD2777" s="17"/>
      <c r="AE2777" s="17"/>
      <c r="AF2777" s="17"/>
      <c r="AG2777" s="17"/>
      <c r="AH2777" s="17"/>
      <c r="AI2777" s="17"/>
      <c r="AJ2777" s="17"/>
      <c r="AK2777" s="17"/>
      <c r="AL2777" s="17"/>
      <c r="AM2777" s="17"/>
      <c r="AN2777" s="17"/>
      <c r="AO2777" s="17"/>
      <c r="AP2777" s="17"/>
      <c r="AQ2777" s="17"/>
      <c r="AR2777" s="17"/>
      <c r="AS2777" s="17"/>
      <c r="AT2777" s="17"/>
      <c r="AU2777" s="17"/>
    </row>
    <row r="2778" hidden="1">
      <c r="A2778" s="17">
        <v>2776</v>
      </c>
      <c r="B2778" s="17" t="s">
        <v>52</v>
      </c>
      <c r="C2778" s="34" t="s">
        <v>7843</v>
      </c>
      <c r="D2778" s="35" t="s">
        <v>6576</v>
      </c>
      <c r="E2778" s="17" t="s">
        <v>7844</v>
      </c>
      <c r="F2778" s="17" t="s">
        <v>7845</v>
      </c>
      <c r="G2778" s="17">
        <v>21.791674</v>
      </c>
      <c r="H2778" s="17">
        <v>87.646797000000007</v>
      </c>
      <c r="I2778" s="17"/>
      <c r="J2778" s="17"/>
      <c r="K2778" s="17"/>
      <c r="L2778" s="17"/>
      <c r="M2778" s="34" t="s">
        <v>7745</v>
      </c>
      <c r="N2778" s="17"/>
      <c r="O2778" s="17"/>
      <c r="P2778" s="17"/>
      <c r="Q2778" s="17"/>
      <c r="R2778" s="17"/>
      <c r="S2778" s="17"/>
      <c r="T2778" s="17"/>
      <c r="U2778" s="17"/>
      <c r="V2778" s="17"/>
      <c r="W2778" s="17"/>
      <c r="X2778" s="17"/>
      <c r="Y2778" s="17"/>
      <c r="Z2778" s="17"/>
      <c r="AA2778" s="17"/>
      <c r="AB2778" s="17"/>
      <c r="AC2778" s="17"/>
      <c r="AD2778" s="17"/>
      <c r="AE2778" s="17"/>
      <c r="AF2778" s="17"/>
      <c r="AG2778" s="17"/>
      <c r="AH2778" s="17"/>
      <c r="AI2778" s="17"/>
      <c r="AJ2778" s="17"/>
      <c r="AK2778" s="17"/>
      <c r="AL2778" s="17"/>
      <c r="AM2778" s="17"/>
      <c r="AN2778" s="17"/>
      <c r="AO2778" s="17"/>
      <c r="AP2778" s="17"/>
      <c r="AQ2778" s="17"/>
      <c r="AR2778" s="17"/>
      <c r="AS2778" s="17"/>
      <c r="AT2778" s="17"/>
      <c r="AU2778" s="17"/>
    </row>
    <row r="2779" hidden="1">
      <c r="A2779" s="17">
        <v>2777</v>
      </c>
      <c r="B2779" s="17" t="s">
        <v>52</v>
      </c>
      <c r="C2779" s="34" t="s">
        <v>7846</v>
      </c>
      <c r="D2779" s="35" t="s">
        <v>6576</v>
      </c>
      <c r="E2779" s="17" t="s">
        <v>7847</v>
      </c>
      <c r="F2779" s="17" t="s">
        <v>7848</v>
      </c>
      <c r="G2779" s="17">
        <v>21.78181</v>
      </c>
      <c r="H2779" s="17">
        <v>87.676670000000001</v>
      </c>
      <c r="I2779" s="17"/>
      <c r="J2779" s="17"/>
      <c r="K2779" s="17"/>
      <c r="L2779" s="17"/>
      <c r="M2779" s="34" t="s">
        <v>7745</v>
      </c>
      <c r="N2779" s="17"/>
      <c r="O2779" s="17"/>
      <c r="P2779" s="17"/>
      <c r="Q2779" s="17"/>
      <c r="R2779" s="17"/>
      <c r="S2779" s="17"/>
      <c r="T2779" s="17"/>
      <c r="U2779" s="17"/>
      <c r="V2779" s="17"/>
      <c r="W2779" s="17"/>
      <c r="X2779" s="17"/>
      <c r="Y2779" s="17"/>
      <c r="Z2779" s="17"/>
      <c r="AA2779" s="17"/>
      <c r="AB2779" s="17"/>
      <c r="AC2779" s="17"/>
      <c r="AD2779" s="17"/>
      <c r="AE2779" s="17"/>
      <c r="AF2779" s="17"/>
      <c r="AG2779" s="17"/>
      <c r="AH2779" s="17"/>
      <c r="AI2779" s="17"/>
      <c r="AJ2779" s="17"/>
      <c r="AK2779" s="17"/>
      <c r="AL2779" s="17"/>
      <c r="AM2779" s="17"/>
      <c r="AN2779" s="17"/>
      <c r="AO2779" s="17"/>
      <c r="AP2779" s="17"/>
      <c r="AQ2779" s="17"/>
      <c r="AR2779" s="17"/>
      <c r="AS2779" s="17"/>
      <c r="AT2779" s="17"/>
      <c r="AU2779" s="17"/>
    </row>
    <row r="2780" hidden="1">
      <c r="A2780" s="17">
        <v>2778</v>
      </c>
      <c r="B2780" s="17" t="s">
        <v>52</v>
      </c>
      <c r="C2780" s="34" t="s">
        <v>7849</v>
      </c>
      <c r="D2780" s="35" t="s">
        <v>6576</v>
      </c>
      <c r="E2780" s="17" t="s">
        <v>7850</v>
      </c>
      <c r="F2780" s="17" t="s">
        <v>7851</v>
      </c>
      <c r="G2780" s="17">
        <v>21.761610000000001</v>
      </c>
      <c r="H2780" s="17">
        <v>87.680199999999999</v>
      </c>
      <c r="I2780" s="17"/>
      <c r="J2780" s="17"/>
      <c r="K2780" s="17"/>
      <c r="L2780" s="17"/>
      <c r="M2780" s="34" t="s">
        <v>7745</v>
      </c>
      <c r="N2780" s="17"/>
      <c r="O2780" s="17"/>
      <c r="P2780" s="17"/>
      <c r="Q2780" s="17"/>
      <c r="R2780" s="17"/>
      <c r="S2780" s="17"/>
      <c r="T2780" s="17"/>
      <c r="U2780" s="17"/>
      <c r="V2780" s="17"/>
      <c r="W2780" s="17"/>
      <c r="X2780" s="17"/>
      <c r="Y2780" s="17"/>
      <c r="Z2780" s="17"/>
      <c r="AA2780" s="17"/>
      <c r="AB2780" s="17"/>
      <c r="AC2780" s="17"/>
      <c r="AD2780" s="17"/>
      <c r="AE2780" s="17"/>
      <c r="AF2780" s="17"/>
      <c r="AG2780" s="17"/>
      <c r="AH2780" s="17"/>
      <c r="AI2780" s="17"/>
      <c r="AJ2780" s="17"/>
      <c r="AK2780" s="17"/>
      <c r="AL2780" s="17"/>
      <c r="AM2780" s="17"/>
      <c r="AN2780" s="17"/>
      <c r="AO2780" s="17"/>
      <c r="AP2780" s="17"/>
      <c r="AQ2780" s="17"/>
      <c r="AR2780" s="17"/>
      <c r="AS2780" s="17"/>
      <c r="AT2780" s="17"/>
      <c r="AU2780" s="17"/>
    </row>
    <row r="2781" hidden="1">
      <c r="A2781" s="17">
        <v>2779</v>
      </c>
      <c r="B2781" s="17" t="s">
        <v>52</v>
      </c>
      <c r="C2781" s="34" t="s">
        <v>7852</v>
      </c>
      <c r="D2781" s="35" t="s">
        <v>6576</v>
      </c>
      <c r="E2781" s="17"/>
      <c r="F2781" s="17"/>
      <c r="G2781" s="17"/>
      <c r="H2781" s="17"/>
      <c r="I2781" s="17"/>
      <c r="J2781" s="17"/>
      <c r="K2781" s="17"/>
      <c r="L2781" s="17"/>
      <c r="M2781" s="34" t="s">
        <v>7745</v>
      </c>
      <c r="N2781" s="17"/>
      <c r="O2781" s="17"/>
      <c r="P2781" s="17"/>
      <c r="Q2781" s="17"/>
      <c r="R2781" s="17"/>
      <c r="S2781" s="17"/>
      <c r="T2781" s="17"/>
      <c r="U2781" s="17"/>
      <c r="V2781" s="17"/>
      <c r="W2781" s="17"/>
      <c r="X2781" s="17"/>
      <c r="Y2781" s="17"/>
      <c r="Z2781" s="17"/>
      <c r="AA2781" s="17"/>
      <c r="AB2781" s="17"/>
      <c r="AC2781" s="17"/>
      <c r="AD2781" s="17"/>
      <c r="AE2781" s="17"/>
      <c r="AF2781" s="17"/>
      <c r="AG2781" s="17"/>
      <c r="AH2781" s="17"/>
      <c r="AI2781" s="17"/>
      <c r="AJ2781" s="17"/>
      <c r="AK2781" s="17"/>
      <c r="AL2781" s="17"/>
      <c r="AM2781" s="17"/>
      <c r="AN2781" s="17"/>
      <c r="AO2781" s="17"/>
      <c r="AP2781" s="17"/>
      <c r="AQ2781" s="17"/>
      <c r="AR2781" s="17"/>
      <c r="AS2781" s="17"/>
      <c r="AT2781" s="17"/>
      <c r="AU2781" s="17"/>
    </row>
    <row r="2782" hidden="1">
      <c r="A2782" s="17">
        <v>2780</v>
      </c>
      <c r="B2782" s="17" t="s">
        <v>52</v>
      </c>
      <c r="C2782" s="34" t="s">
        <v>7853</v>
      </c>
      <c r="D2782" s="35" t="s">
        <v>6576</v>
      </c>
      <c r="E2782" s="17" t="s">
        <v>7854</v>
      </c>
      <c r="F2782" s="17" t="s">
        <v>7855</v>
      </c>
      <c r="G2782" s="17">
        <v>21.865279000000001</v>
      </c>
      <c r="H2782" s="17">
        <v>87.539302000000006</v>
      </c>
      <c r="I2782" s="17"/>
      <c r="J2782" s="17"/>
      <c r="K2782" s="17"/>
      <c r="L2782" s="17"/>
      <c r="M2782" s="34" t="s">
        <v>7745</v>
      </c>
      <c r="N2782" s="17"/>
      <c r="O2782" s="17"/>
      <c r="P2782" s="17"/>
      <c r="Q2782" s="17"/>
      <c r="R2782" s="17"/>
      <c r="S2782" s="17"/>
      <c r="T2782" s="17"/>
      <c r="U2782" s="17"/>
      <c r="V2782" s="17"/>
      <c r="W2782" s="17"/>
      <c r="X2782" s="17"/>
      <c r="Y2782" s="17"/>
      <c r="Z2782" s="17"/>
      <c r="AA2782" s="17"/>
      <c r="AB2782" s="17"/>
      <c r="AC2782" s="17"/>
      <c r="AD2782" s="17"/>
      <c r="AE2782" s="17"/>
      <c r="AF2782" s="17"/>
      <c r="AG2782" s="17"/>
      <c r="AH2782" s="17"/>
      <c r="AI2782" s="17"/>
      <c r="AJ2782" s="17"/>
      <c r="AK2782" s="17"/>
      <c r="AL2782" s="17"/>
      <c r="AM2782" s="17"/>
      <c r="AN2782" s="17"/>
      <c r="AO2782" s="17"/>
      <c r="AP2782" s="17"/>
      <c r="AQ2782" s="17"/>
      <c r="AR2782" s="17"/>
      <c r="AS2782" s="17"/>
      <c r="AT2782" s="17"/>
      <c r="AU2782" s="17"/>
    </row>
    <row r="2783" hidden="1">
      <c r="A2783" s="17">
        <v>2781</v>
      </c>
      <c r="B2783" s="17" t="s">
        <v>52</v>
      </c>
      <c r="C2783" s="34" t="s">
        <v>7856</v>
      </c>
      <c r="D2783" s="35" t="s">
        <v>6576</v>
      </c>
      <c r="E2783" s="17"/>
      <c r="F2783" s="17"/>
      <c r="G2783" s="17"/>
      <c r="H2783" s="17"/>
      <c r="I2783" s="17"/>
      <c r="J2783" s="17"/>
      <c r="K2783" s="17"/>
      <c r="L2783" s="17"/>
      <c r="M2783" s="34" t="s">
        <v>7745</v>
      </c>
      <c r="N2783" s="17"/>
      <c r="O2783" s="17"/>
      <c r="P2783" s="17"/>
      <c r="Q2783" s="17"/>
      <c r="R2783" s="17"/>
      <c r="S2783" s="17"/>
      <c r="T2783" s="17"/>
      <c r="U2783" s="17"/>
      <c r="V2783" s="17"/>
      <c r="W2783" s="17"/>
      <c r="X2783" s="17"/>
      <c r="Y2783" s="17"/>
      <c r="Z2783" s="17"/>
      <c r="AA2783" s="17"/>
      <c r="AB2783" s="17"/>
      <c r="AC2783" s="17"/>
      <c r="AD2783" s="17"/>
      <c r="AE2783" s="17"/>
      <c r="AF2783" s="17"/>
      <c r="AG2783" s="17"/>
      <c r="AH2783" s="17"/>
      <c r="AI2783" s="17"/>
      <c r="AJ2783" s="17"/>
      <c r="AK2783" s="17"/>
      <c r="AL2783" s="17"/>
      <c r="AM2783" s="17"/>
      <c r="AN2783" s="17"/>
      <c r="AO2783" s="17"/>
      <c r="AP2783" s="17"/>
      <c r="AQ2783" s="17"/>
      <c r="AR2783" s="17"/>
      <c r="AS2783" s="17"/>
      <c r="AT2783" s="17"/>
      <c r="AU2783" s="17"/>
    </row>
    <row r="2784" hidden="1">
      <c r="A2784" s="17">
        <v>2782</v>
      </c>
      <c r="B2784" s="17" t="s">
        <v>52</v>
      </c>
      <c r="C2784" s="34" t="s">
        <v>7857</v>
      </c>
      <c r="D2784" s="35" t="s">
        <v>6576</v>
      </c>
      <c r="E2784" s="17" t="s">
        <v>7858</v>
      </c>
      <c r="F2784" s="17" t="s">
        <v>7859</v>
      </c>
      <c r="G2784" s="17">
        <v>21.88494</v>
      </c>
      <c r="H2784" s="17">
        <v>87.638501000000005</v>
      </c>
      <c r="I2784" s="17"/>
      <c r="J2784" s="17"/>
      <c r="K2784" s="17"/>
      <c r="L2784" s="17"/>
      <c r="M2784" s="34" t="s">
        <v>7745</v>
      </c>
      <c r="N2784" s="17"/>
      <c r="O2784" s="17"/>
      <c r="P2784" s="17"/>
      <c r="Q2784" s="17"/>
      <c r="R2784" s="17"/>
      <c r="S2784" s="17"/>
      <c r="T2784" s="17"/>
      <c r="U2784" s="17"/>
      <c r="V2784" s="17"/>
      <c r="W2784" s="17"/>
      <c r="X2784" s="17"/>
      <c r="Y2784" s="17"/>
      <c r="Z2784" s="17"/>
      <c r="AA2784" s="17"/>
      <c r="AB2784" s="17"/>
      <c r="AC2784" s="17"/>
      <c r="AD2784" s="17"/>
      <c r="AE2784" s="17"/>
      <c r="AF2784" s="17"/>
      <c r="AG2784" s="17"/>
      <c r="AH2784" s="17"/>
      <c r="AI2784" s="17"/>
      <c r="AJ2784" s="17"/>
      <c r="AK2784" s="17"/>
      <c r="AL2784" s="17"/>
      <c r="AM2784" s="17"/>
      <c r="AN2784" s="17"/>
      <c r="AO2784" s="17"/>
      <c r="AP2784" s="17"/>
      <c r="AQ2784" s="17"/>
      <c r="AR2784" s="17"/>
      <c r="AS2784" s="17"/>
      <c r="AT2784" s="17"/>
      <c r="AU2784" s="17"/>
    </row>
    <row r="2785" hidden="1">
      <c r="A2785" s="17">
        <v>2783</v>
      </c>
      <c r="B2785" s="17" t="s">
        <v>52</v>
      </c>
      <c r="C2785" s="34" t="s">
        <v>7860</v>
      </c>
      <c r="D2785" s="35" t="s">
        <v>6576</v>
      </c>
      <c r="E2785" s="17" t="s">
        <v>7861</v>
      </c>
      <c r="F2785" s="17" t="s">
        <v>7862</v>
      </c>
      <c r="G2785" s="17">
        <v>21.8644</v>
      </c>
      <c r="H2785" s="17">
        <v>87.615921999999998</v>
      </c>
      <c r="I2785" s="17"/>
      <c r="J2785" s="17"/>
      <c r="K2785" s="17"/>
      <c r="L2785" s="17"/>
      <c r="M2785" s="34" t="s">
        <v>7745</v>
      </c>
      <c r="N2785" s="17"/>
      <c r="O2785" s="17"/>
      <c r="P2785" s="17"/>
      <c r="Q2785" s="17"/>
      <c r="R2785" s="17"/>
      <c r="S2785" s="17"/>
      <c r="T2785" s="17"/>
      <c r="U2785" s="17"/>
      <c r="V2785" s="17"/>
      <c r="W2785" s="17"/>
      <c r="X2785" s="17"/>
      <c r="Y2785" s="17"/>
      <c r="Z2785" s="17"/>
      <c r="AA2785" s="17"/>
      <c r="AB2785" s="17"/>
      <c r="AC2785" s="17"/>
      <c r="AD2785" s="17"/>
      <c r="AE2785" s="17"/>
      <c r="AF2785" s="17"/>
      <c r="AG2785" s="17"/>
      <c r="AH2785" s="17"/>
      <c r="AI2785" s="17"/>
      <c r="AJ2785" s="17"/>
      <c r="AK2785" s="17"/>
      <c r="AL2785" s="17"/>
      <c r="AM2785" s="17"/>
      <c r="AN2785" s="17"/>
      <c r="AO2785" s="17"/>
      <c r="AP2785" s="17"/>
      <c r="AQ2785" s="17"/>
      <c r="AR2785" s="17"/>
      <c r="AS2785" s="17"/>
      <c r="AT2785" s="17"/>
      <c r="AU2785" s="17"/>
    </row>
    <row r="2786" hidden="1">
      <c r="A2786" s="17">
        <v>2784</v>
      </c>
      <c r="B2786" s="17" t="s">
        <v>52</v>
      </c>
      <c r="C2786" s="34" t="s">
        <v>7863</v>
      </c>
      <c r="D2786" s="35" t="s">
        <v>6576</v>
      </c>
      <c r="E2786" s="17" t="s">
        <v>7864</v>
      </c>
      <c r="F2786" s="17" t="s">
        <v>7865</v>
      </c>
      <c r="G2786" s="17">
        <v>21.882142999999999</v>
      </c>
      <c r="H2786" s="17">
        <v>87.584858999999994</v>
      </c>
      <c r="I2786" s="17"/>
      <c r="J2786" s="17"/>
      <c r="K2786" s="17"/>
      <c r="L2786" s="17"/>
      <c r="M2786" s="34" t="s">
        <v>7745</v>
      </c>
      <c r="N2786" s="17"/>
      <c r="O2786" s="17"/>
      <c r="P2786" s="17"/>
      <c r="Q2786" s="17"/>
      <c r="R2786" s="17"/>
      <c r="S2786" s="17"/>
      <c r="T2786" s="17"/>
      <c r="U2786" s="17"/>
      <c r="V2786" s="17"/>
      <c r="W2786" s="17"/>
      <c r="X2786" s="17"/>
      <c r="Y2786" s="17"/>
      <c r="Z2786" s="17"/>
      <c r="AA2786" s="17"/>
      <c r="AB2786" s="17"/>
      <c r="AC2786" s="17"/>
      <c r="AD2786" s="17"/>
      <c r="AE2786" s="17"/>
      <c r="AF2786" s="17"/>
      <c r="AG2786" s="17"/>
      <c r="AH2786" s="17"/>
      <c r="AI2786" s="17"/>
      <c r="AJ2786" s="17"/>
      <c r="AK2786" s="17"/>
      <c r="AL2786" s="17"/>
      <c r="AM2786" s="17"/>
      <c r="AN2786" s="17"/>
      <c r="AO2786" s="17"/>
      <c r="AP2786" s="17"/>
      <c r="AQ2786" s="17"/>
      <c r="AR2786" s="17"/>
      <c r="AS2786" s="17"/>
      <c r="AT2786" s="17"/>
      <c r="AU2786" s="17"/>
    </row>
    <row r="2787" hidden="1">
      <c r="A2787" s="17">
        <v>2785</v>
      </c>
      <c r="B2787" s="17" t="s">
        <v>52</v>
      </c>
      <c r="C2787" s="34" t="s">
        <v>7866</v>
      </c>
      <c r="D2787" s="35" t="s">
        <v>6576</v>
      </c>
      <c r="E2787" s="17" t="s">
        <v>7867</v>
      </c>
      <c r="F2787" s="17" t="s">
        <v>7868</v>
      </c>
      <c r="G2787" s="17">
        <v>21.846340000000001</v>
      </c>
      <c r="H2787" s="17">
        <v>87.719579999999993</v>
      </c>
      <c r="I2787" s="17"/>
      <c r="J2787" s="17"/>
      <c r="K2787" s="17"/>
      <c r="L2787" s="17"/>
      <c r="M2787" s="34" t="s">
        <v>7745</v>
      </c>
      <c r="N2787" s="17"/>
      <c r="O2787" s="17"/>
      <c r="P2787" s="17"/>
      <c r="Q2787" s="17"/>
      <c r="R2787" s="17"/>
      <c r="S2787" s="17"/>
      <c r="T2787" s="17"/>
      <c r="U2787" s="17"/>
      <c r="V2787" s="17"/>
      <c r="W2787" s="17"/>
      <c r="X2787" s="17"/>
      <c r="Y2787" s="17"/>
      <c r="Z2787" s="17"/>
      <c r="AA2787" s="17"/>
      <c r="AB2787" s="17"/>
      <c r="AC2787" s="17"/>
      <c r="AD2787" s="17"/>
      <c r="AE2787" s="17"/>
      <c r="AF2787" s="17"/>
      <c r="AG2787" s="17"/>
      <c r="AH2787" s="17"/>
      <c r="AI2787" s="17"/>
      <c r="AJ2787" s="17"/>
      <c r="AK2787" s="17"/>
      <c r="AL2787" s="17"/>
      <c r="AM2787" s="17"/>
      <c r="AN2787" s="17"/>
      <c r="AO2787" s="17"/>
      <c r="AP2787" s="17"/>
      <c r="AQ2787" s="17"/>
      <c r="AR2787" s="17"/>
      <c r="AS2787" s="17"/>
      <c r="AT2787" s="17"/>
      <c r="AU2787" s="17"/>
    </row>
    <row r="2788" hidden="1">
      <c r="A2788" s="17">
        <v>2786</v>
      </c>
      <c r="B2788" s="17" t="s">
        <v>52</v>
      </c>
      <c r="C2788" s="34" t="s">
        <v>7869</v>
      </c>
      <c r="D2788" s="35" t="s">
        <v>6576</v>
      </c>
      <c r="E2788" s="17" t="s">
        <v>7870</v>
      </c>
      <c r="F2788" s="17" t="s">
        <v>7871</v>
      </c>
      <c r="G2788" s="17">
        <v>21.858149999999998</v>
      </c>
      <c r="H2788" s="17">
        <v>87.667630000000003</v>
      </c>
      <c r="I2788" s="17"/>
      <c r="J2788" s="17"/>
      <c r="K2788" s="17"/>
      <c r="L2788" s="17"/>
      <c r="M2788" s="34" t="s">
        <v>7745</v>
      </c>
      <c r="N2788" s="17"/>
      <c r="O2788" s="17"/>
      <c r="P2788" s="17"/>
      <c r="Q2788" s="17"/>
      <c r="R2788" s="17"/>
      <c r="S2788" s="17"/>
      <c r="T2788" s="17"/>
      <c r="U2788" s="17"/>
      <c r="V2788" s="17"/>
      <c r="W2788" s="17"/>
      <c r="X2788" s="17"/>
      <c r="Y2788" s="17"/>
      <c r="Z2788" s="17"/>
      <c r="AA2788" s="17"/>
      <c r="AB2788" s="17"/>
      <c r="AC2788" s="17"/>
      <c r="AD2788" s="17"/>
      <c r="AE2788" s="17"/>
      <c r="AF2788" s="17"/>
      <c r="AG2788" s="17"/>
      <c r="AH2788" s="17"/>
      <c r="AI2788" s="17"/>
      <c r="AJ2788" s="17"/>
      <c r="AK2788" s="17"/>
      <c r="AL2788" s="17"/>
      <c r="AM2788" s="17"/>
      <c r="AN2788" s="17"/>
      <c r="AO2788" s="17"/>
      <c r="AP2788" s="17"/>
      <c r="AQ2788" s="17"/>
      <c r="AR2788" s="17"/>
      <c r="AS2788" s="17"/>
      <c r="AT2788" s="17"/>
      <c r="AU2788" s="17"/>
    </row>
    <row r="2789" hidden="1">
      <c r="A2789" s="17">
        <v>2787</v>
      </c>
      <c r="B2789" s="17" t="s">
        <v>52</v>
      </c>
      <c r="C2789" s="34" t="s">
        <v>7872</v>
      </c>
      <c r="D2789" s="35" t="s">
        <v>6576</v>
      </c>
      <c r="E2789" s="17" t="s">
        <v>7873</v>
      </c>
      <c r="F2789" s="17" t="s">
        <v>7874</v>
      </c>
      <c r="G2789" s="17">
        <v>21.83492</v>
      </c>
      <c r="H2789" s="17">
        <v>87.674409999999995</v>
      </c>
      <c r="I2789" s="17"/>
      <c r="J2789" s="17"/>
      <c r="K2789" s="17"/>
      <c r="L2789" s="17"/>
      <c r="M2789" s="34" t="s">
        <v>7745</v>
      </c>
      <c r="N2789" s="17"/>
      <c r="O2789" s="17"/>
      <c r="P2789" s="17"/>
      <c r="Q2789" s="17"/>
      <c r="R2789" s="17"/>
      <c r="S2789" s="17"/>
      <c r="T2789" s="17"/>
      <c r="U2789" s="17"/>
      <c r="V2789" s="17"/>
      <c r="W2789" s="17"/>
      <c r="X2789" s="17"/>
      <c r="Y2789" s="17"/>
      <c r="Z2789" s="17"/>
      <c r="AA2789" s="17"/>
      <c r="AB2789" s="17"/>
      <c r="AC2789" s="17"/>
      <c r="AD2789" s="17"/>
      <c r="AE2789" s="17"/>
      <c r="AF2789" s="17"/>
      <c r="AG2789" s="17"/>
      <c r="AH2789" s="17"/>
      <c r="AI2789" s="17"/>
      <c r="AJ2789" s="17"/>
      <c r="AK2789" s="17"/>
      <c r="AL2789" s="17"/>
      <c r="AM2789" s="17"/>
      <c r="AN2789" s="17"/>
      <c r="AO2789" s="17"/>
      <c r="AP2789" s="17"/>
      <c r="AQ2789" s="17"/>
      <c r="AR2789" s="17"/>
      <c r="AS2789" s="17"/>
      <c r="AT2789" s="17"/>
      <c r="AU2789" s="17"/>
    </row>
    <row r="2790" hidden="1">
      <c r="A2790" s="17">
        <v>2788</v>
      </c>
      <c r="B2790" s="17" t="s">
        <v>52</v>
      </c>
      <c r="C2790" s="34" t="s">
        <v>7875</v>
      </c>
      <c r="D2790" s="35" t="s">
        <v>6576</v>
      </c>
      <c r="E2790" s="17"/>
      <c r="F2790" s="17">
        <v>0</v>
      </c>
      <c r="G2790" s="17">
        <v>21.867349999999998</v>
      </c>
      <c r="H2790" s="17">
        <v>87.70044</v>
      </c>
      <c r="I2790" s="17"/>
      <c r="J2790" s="17"/>
      <c r="K2790" s="17"/>
      <c r="L2790" s="17"/>
      <c r="M2790" s="34" t="s">
        <v>7745</v>
      </c>
      <c r="N2790" s="17"/>
      <c r="O2790" s="17"/>
      <c r="P2790" s="17"/>
      <c r="Q2790" s="17"/>
      <c r="R2790" s="17"/>
      <c r="S2790" s="17"/>
      <c r="T2790" s="17"/>
      <c r="U2790" s="17"/>
      <c r="V2790" s="17"/>
      <c r="W2790" s="17"/>
      <c r="X2790" s="17"/>
      <c r="Y2790" s="17"/>
      <c r="Z2790" s="17"/>
      <c r="AA2790" s="17"/>
      <c r="AB2790" s="17"/>
      <c r="AC2790" s="17"/>
      <c r="AD2790" s="17"/>
      <c r="AE2790" s="17"/>
      <c r="AF2790" s="17"/>
      <c r="AG2790" s="17"/>
      <c r="AH2790" s="17"/>
      <c r="AI2790" s="17"/>
      <c r="AJ2790" s="17"/>
      <c r="AK2790" s="17"/>
      <c r="AL2790" s="17"/>
      <c r="AM2790" s="17"/>
      <c r="AN2790" s="17"/>
      <c r="AO2790" s="17"/>
      <c r="AP2790" s="17"/>
      <c r="AQ2790" s="17"/>
      <c r="AR2790" s="17"/>
      <c r="AS2790" s="17"/>
      <c r="AT2790" s="17"/>
      <c r="AU2790" s="17"/>
    </row>
    <row r="2791" hidden="1">
      <c r="A2791" s="17">
        <v>2789</v>
      </c>
      <c r="B2791" s="17" t="s">
        <v>52</v>
      </c>
      <c r="C2791" s="34" t="s">
        <v>7876</v>
      </c>
      <c r="D2791" s="35" t="s">
        <v>6576</v>
      </c>
      <c r="E2791" s="17" t="s">
        <v>7877</v>
      </c>
      <c r="F2791" s="17" t="s">
        <v>7878</v>
      </c>
      <c r="G2791" s="17">
        <v>21.853072999999998</v>
      </c>
      <c r="H2791" s="17">
        <v>87.552092000000002</v>
      </c>
      <c r="I2791" s="17"/>
      <c r="J2791" s="17"/>
      <c r="K2791" s="17"/>
      <c r="L2791" s="17"/>
      <c r="M2791" s="34" t="s">
        <v>7745</v>
      </c>
      <c r="N2791" s="17"/>
      <c r="O2791" s="17"/>
      <c r="P2791" s="17"/>
      <c r="Q2791" s="17"/>
      <c r="R2791" s="17"/>
      <c r="S2791" s="17"/>
      <c r="T2791" s="17"/>
      <c r="U2791" s="17"/>
      <c r="V2791" s="17"/>
      <c r="W2791" s="17"/>
      <c r="X2791" s="17"/>
      <c r="Y2791" s="17"/>
      <c r="Z2791" s="17"/>
      <c r="AA2791" s="17"/>
      <c r="AB2791" s="17"/>
      <c r="AC2791" s="17"/>
      <c r="AD2791" s="17"/>
      <c r="AE2791" s="17"/>
      <c r="AF2791" s="17"/>
      <c r="AG2791" s="17"/>
      <c r="AH2791" s="17"/>
      <c r="AI2791" s="17"/>
      <c r="AJ2791" s="17"/>
      <c r="AK2791" s="17"/>
      <c r="AL2791" s="17"/>
      <c r="AM2791" s="17"/>
      <c r="AN2791" s="17"/>
      <c r="AO2791" s="17"/>
      <c r="AP2791" s="17"/>
      <c r="AQ2791" s="17"/>
      <c r="AR2791" s="17"/>
      <c r="AS2791" s="17"/>
      <c r="AT2791" s="17"/>
      <c r="AU2791" s="17"/>
    </row>
    <row r="2792" hidden="1">
      <c r="A2792" s="17">
        <v>2790</v>
      </c>
      <c r="B2792" s="17" t="s">
        <v>52</v>
      </c>
      <c r="C2792" s="34" t="s">
        <v>7879</v>
      </c>
      <c r="D2792" s="35" t="s">
        <v>6576</v>
      </c>
      <c r="E2792" s="17" t="s">
        <v>7880</v>
      </c>
      <c r="F2792" s="17" t="s">
        <v>7881</v>
      </c>
      <c r="G2792" s="17">
        <v>21.803847000000001</v>
      </c>
      <c r="H2792" s="17">
        <v>87.562518999999995</v>
      </c>
      <c r="I2792" s="17"/>
      <c r="J2792" s="17"/>
      <c r="K2792" s="17"/>
      <c r="L2792" s="17"/>
      <c r="M2792" s="34" t="s">
        <v>7745</v>
      </c>
      <c r="N2792" s="17"/>
      <c r="O2792" s="17"/>
      <c r="P2792" s="17"/>
      <c r="Q2792" s="17"/>
      <c r="R2792" s="17"/>
      <c r="S2792" s="17"/>
      <c r="T2792" s="17"/>
      <c r="U2792" s="17"/>
      <c r="V2792" s="17"/>
      <c r="W2792" s="17"/>
      <c r="X2792" s="17"/>
      <c r="Y2792" s="17"/>
      <c r="Z2792" s="17"/>
      <c r="AA2792" s="17"/>
      <c r="AB2792" s="17"/>
      <c r="AC2792" s="17"/>
      <c r="AD2792" s="17"/>
      <c r="AE2792" s="17"/>
      <c r="AF2792" s="17"/>
      <c r="AG2792" s="17"/>
      <c r="AH2792" s="17"/>
      <c r="AI2792" s="17"/>
      <c r="AJ2792" s="17"/>
      <c r="AK2792" s="17"/>
      <c r="AL2792" s="17"/>
      <c r="AM2792" s="17"/>
      <c r="AN2792" s="17"/>
      <c r="AO2792" s="17"/>
      <c r="AP2792" s="17"/>
      <c r="AQ2792" s="17"/>
      <c r="AR2792" s="17"/>
      <c r="AS2792" s="17"/>
      <c r="AT2792" s="17"/>
      <c r="AU2792" s="17"/>
    </row>
    <row r="2793" hidden="1">
      <c r="A2793" s="17">
        <v>2791</v>
      </c>
      <c r="B2793" s="17" t="s">
        <v>52</v>
      </c>
      <c r="C2793" s="34" t="s">
        <v>7882</v>
      </c>
      <c r="D2793" s="35" t="s">
        <v>6576</v>
      </c>
      <c r="E2793" s="17" t="s">
        <v>7883</v>
      </c>
      <c r="F2793" s="17" t="s">
        <v>7884</v>
      </c>
      <c r="G2793" s="17">
        <v>21.860536</v>
      </c>
      <c r="H2793" s="17">
        <v>87.597408999999999</v>
      </c>
      <c r="I2793" s="17"/>
      <c r="J2793" s="17"/>
      <c r="K2793" s="17"/>
      <c r="L2793" s="17"/>
      <c r="M2793" s="34" t="s">
        <v>7745</v>
      </c>
      <c r="N2793" s="17"/>
      <c r="O2793" s="17"/>
      <c r="P2793" s="17"/>
      <c r="Q2793" s="17"/>
      <c r="R2793" s="17"/>
      <c r="S2793" s="17"/>
      <c r="T2793" s="17"/>
      <c r="U2793" s="17"/>
      <c r="V2793" s="17"/>
      <c r="W2793" s="17"/>
      <c r="X2793" s="17"/>
      <c r="Y2793" s="17"/>
      <c r="Z2793" s="17"/>
      <c r="AA2793" s="17"/>
      <c r="AB2793" s="17"/>
      <c r="AC2793" s="17"/>
      <c r="AD2793" s="17"/>
      <c r="AE2793" s="17"/>
      <c r="AF2793" s="17"/>
      <c r="AG2793" s="17"/>
      <c r="AH2793" s="17"/>
      <c r="AI2793" s="17"/>
      <c r="AJ2793" s="17"/>
      <c r="AK2793" s="17"/>
      <c r="AL2793" s="17"/>
      <c r="AM2793" s="17"/>
      <c r="AN2793" s="17"/>
      <c r="AO2793" s="17"/>
      <c r="AP2793" s="17"/>
      <c r="AQ2793" s="17"/>
      <c r="AR2793" s="17"/>
      <c r="AS2793" s="17"/>
      <c r="AT2793" s="17"/>
      <c r="AU2793" s="17"/>
    </row>
    <row r="2794" hidden="1">
      <c r="A2794" s="17">
        <v>2792</v>
      </c>
      <c r="B2794" s="17" t="s">
        <v>52</v>
      </c>
      <c r="C2794" s="34" t="s">
        <v>7885</v>
      </c>
      <c r="D2794" s="35" t="s">
        <v>6576</v>
      </c>
      <c r="E2794" s="17" t="s">
        <v>7886</v>
      </c>
      <c r="F2794" s="17" t="s">
        <v>7887</v>
      </c>
      <c r="G2794" s="17">
        <v>21.809349999999998</v>
      </c>
      <c r="H2794" s="17">
        <v>87.623604999999998</v>
      </c>
      <c r="I2794" s="17"/>
      <c r="J2794" s="17"/>
      <c r="K2794" s="17"/>
      <c r="L2794" s="17"/>
      <c r="M2794" s="34" t="s">
        <v>7745</v>
      </c>
      <c r="N2794" s="17"/>
      <c r="O2794" s="17"/>
      <c r="P2794" s="17"/>
      <c r="Q2794" s="17"/>
      <c r="R2794" s="17"/>
      <c r="S2794" s="17"/>
      <c r="T2794" s="17"/>
      <c r="U2794" s="17"/>
      <c r="V2794" s="17"/>
      <c r="W2794" s="17"/>
      <c r="X2794" s="17"/>
      <c r="Y2794" s="17"/>
      <c r="Z2794" s="17"/>
      <c r="AA2794" s="17"/>
      <c r="AB2794" s="17"/>
      <c r="AC2794" s="17"/>
      <c r="AD2794" s="17"/>
      <c r="AE2794" s="17"/>
      <c r="AF2794" s="17"/>
      <c r="AG2794" s="17"/>
      <c r="AH2794" s="17"/>
      <c r="AI2794" s="17"/>
      <c r="AJ2794" s="17"/>
      <c r="AK2794" s="17"/>
      <c r="AL2794" s="17"/>
      <c r="AM2794" s="17"/>
      <c r="AN2794" s="17"/>
      <c r="AO2794" s="17"/>
      <c r="AP2794" s="17"/>
      <c r="AQ2794" s="17"/>
      <c r="AR2794" s="17"/>
      <c r="AS2794" s="17"/>
      <c r="AT2794" s="17"/>
      <c r="AU2794" s="17"/>
    </row>
    <row r="2795" hidden="1">
      <c r="A2795" s="17">
        <v>2793</v>
      </c>
      <c r="B2795" s="17" t="s">
        <v>52</v>
      </c>
      <c r="C2795" s="34" t="s">
        <v>7888</v>
      </c>
      <c r="D2795" s="35" t="s">
        <v>6576</v>
      </c>
      <c r="E2795" s="17" t="s">
        <v>7889</v>
      </c>
      <c r="F2795" s="17" t="s">
        <v>7890</v>
      </c>
      <c r="G2795" s="17">
        <v>21.813763000000002</v>
      </c>
      <c r="H2795" s="17">
        <v>87.644594999999995</v>
      </c>
      <c r="I2795" s="17"/>
      <c r="J2795" s="17"/>
      <c r="K2795" s="17"/>
      <c r="L2795" s="17"/>
      <c r="M2795" s="34" t="s">
        <v>7745</v>
      </c>
      <c r="N2795" s="17"/>
      <c r="O2795" s="17"/>
      <c r="P2795" s="17"/>
      <c r="Q2795" s="17"/>
      <c r="R2795" s="17"/>
      <c r="S2795" s="17"/>
      <c r="T2795" s="17"/>
      <c r="U2795" s="17"/>
      <c r="V2795" s="17"/>
      <c r="W2795" s="17"/>
      <c r="X2795" s="17"/>
      <c r="Y2795" s="17"/>
      <c r="Z2795" s="17"/>
      <c r="AA2795" s="17"/>
      <c r="AB2795" s="17"/>
      <c r="AC2795" s="17"/>
      <c r="AD2795" s="17"/>
      <c r="AE2795" s="17"/>
      <c r="AF2795" s="17"/>
      <c r="AG2795" s="17"/>
      <c r="AH2795" s="17"/>
      <c r="AI2795" s="17"/>
      <c r="AJ2795" s="17"/>
      <c r="AK2795" s="17"/>
      <c r="AL2795" s="17"/>
      <c r="AM2795" s="17"/>
      <c r="AN2795" s="17"/>
      <c r="AO2795" s="17"/>
      <c r="AP2795" s="17"/>
      <c r="AQ2795" s="17"/>
      <c r="AR2795" s="17"/>
      <c r="AS2795" s="17"/>
      <c r="AT2795" s="17"/>
      <c r="AU2795" s="17"/>
    </row>
    <row r="2796" hidden="1">
      <c r="A2796" s="17">
        <v>2794</v>
      </c>
      <c r="B2796" s="17" t="s">
        <v>52</v>
      </c>
      <c r="C2796" s="34" t="s">
        <v>7891</v>
      </c>
      <c r="D2796" s="35" t="s">
        <v>6576</v>
      </c>
      <c r="E2796" s="17"/>
      <c r="F2796" s="17"/>
      <c r="G2796" s="17"/>
      <c r="H2796" s="17"/>
      <c r="I2796" s="17"/>
      <c r="J2796" s="17"/>
      <c r="K2796" s="17"/>
      <c r="L2796" s="17"/>
      <c r="M2796" s="34" t="s">
        <v>6577</v>
      </c>
      <c r="N2796" s="17"/>
      <c r="O2796" s="17"/>
      <c r="P2796" s="17"/>
      <c r="Q2796" s="17"/>
      <c r="R2796" s="17"/>
      <c r="S2796" s="17"/>
      <c r="T2796" s="17"/>
      <c r="U2796" s="17"/>
      <c r="V2796" s="17"/>
      <c r="W2796" s="17"/>
      <c r="X2796" s="17"/>
      <c r="Y2796" s="17"/>
      <c r="Z2796" s="17"/>
      <c r="AA2796" s="17"/>
      <c r="AB2796" s="17"/>
      <c r="AC2796" s="17"/>
      <c r="AD2796" s="17"/>
      <c r="AE2796" s="17"/>
      <c r="AF2796" s="17"/>
      <c r="AG2796" s="17"/>
      <c r="AH2796" s="17"/>
      <c r="AI2796" s="17"/>
      <c r="AJ2796" s="17"/>
      <c r="AK2796" s="17"/>
      <c r="AL2796" s="17"/>
      <c r="AM2796" s="17"/>
      <c r="AN2796" s="17"/>
      <c r="AO2796" s="17"/>
      <c r="AP2796" s="17"/>
      <c r="AQ2796" s="17"/>
      <c r="AR2796" s="17"/>
      <c r="AS2796" s="17"/>
      <c r="AT2796" s="17"/>
      <c r="AU2796" s="17"/>
    </row>
    <row r="2797" hidden="1">
      <c r="A2797" s="17">
        <v>2795</v>
      </c>
      <c r="B2797" s="17" t="s">
        <v>52</v>
      </c>
      <c r="C2797" s="34" t="s">
        <v>7892</v>
      </c>
      <c r="D2797" s="35" t="s">
        <v>6576</v>
      </c>
      <c r="E2797" s="17"/>
      <c r="F2797" s="17"/>
      <c r="G2797" s="17"/>
      <c r="H2797" s="17"/>
      <c r="I2797" s="17"/>
      <c r="J2797" s="17"/>
      <c r="K2797" s="17"/>
      <c r="L2797" s="17"/>
      <c r="M2797" s="34" t="s">
        <v>6577</v>
      </c>
      <c r="N2797" s="17"/>
      <c r="O2797" s="17"/>
      <c r="P2797" s="17"/>
      <c r="Q2797" s="17"/>
      <c r="R2797" s="17"/>
      <c r="S2797" s="17"/>
      <c r="T2797" s="17"/>
      <c r="U2797" s="17"/>
      <c r="V2797" s="17"/>
      <c r="W2797" s="17"/>
      <c r="X2797" s="17"/>
      <c r="Y2797" s="17"/>
      <c r="Z2797" s="17"/>
      <c r="AA2797" s="17"/>
      <c r="AB2797" s="17"/>
      <c r="AC2797" s="17"/>
      <c r="AD2797" s="17"/>
      <c r="AE2797" s="17"/>
      <c r="AF2797" s="17"/>
      <c r="AG2797" s="17"/>
      <c r="AH2797" s="17"/>
      <c r="AI2797" s="17"/>
      <c r="AJ2797" s="17"/>
      <c r="AK2797" s="17"/>
      <c r="AL2797" s="17"/>
      <c r="AM2797" s="17"/>
      <c r="AN2797" s="17"/>
      <c r="AO2797" s="17"/>
      <c r="AP2797" s="17"/>
      <c r="AQ2797" s="17"/>
      <c r="AR2797" s="17"/>
      <c r="AS2797" s="17"/>
      <c r="AT2797" s="17"/>
      <c r="AU2797" s="17"/>
    </row>
    <row r="2798" hidden="1">
      <c r="A2798" s="17">
        <v>2796</v>
      </c>
      <c r="B2798" s="17" t="s">
        <v>52</v>
      </c>
      <c r="C2798" s="34" t="s">
        <v>7893</v>
      </c>
      <c r="D2798" s="35" t="s">
        <v>6576</v>
      </c>
      <c r="E2798" s="17"/>
      <c r="F2798" s="17"/>
      <c r="G2798" s="17"/>
      <c r="H2798" s="17"/>
      <c r="I2798" s="17"/>
      <c r="J2798" s="17"/>
      <c r="K2798" s="17"/>
      <c r="L2798" s="17"/>
      <c r="M2798" s="34" t="s">
        <v>6577</v>
      </c>
      <c r="N2798" s="17"/>
      <c r="O2798" s="17"/>
      <c r="P2798" s="17"/>
      <c r="Q2798" s="17"/>
      <c r="R2798" s="17"/>
      <c r="S2798" s="17"/>
      <c r="T2798" s="17"/>
      <c r="U2798" s="17"/>
      <c r="V2798" s="17"/>
      <c r="W2798" s="17"/>
      <c r="X2798" s="17"/>
      <c r="Y2798" s="17"/>
      <c r="Z2798" s="17"/>
      <c r="AA2798" s="17"/>
      <c r="AB2798" s="17"/>
      <c r="AC2798" s="17"/>
      <c r="AD2798" s="17"/>
      <c r="AE2798" s="17"/>
      <c r="AF2798" s="17"/>
      <c r="AG2798" s="17"/>
      <c r="AH2798" s="17"/>
      <c r="AI2798" s="17"/>
      <c r="AJ2798" s="17"/>
      <c r="AK2798" s="17"/>
      <c r="AL2798" s="17"/>
      <c r="AM2798" s="17"/>
      <c r="AN2798" s="17"/>
      <c r="AO2798" s="17"/>
      <c r="AP2798" s="17"/>
      <c r="AQ2798" s="17"/>
      <c r="AR2798" s="17"/>
      <c r="AS2798" s="17"/>
      <c r="AT2798" s="17"/>
      <c r="AU2798" s="17"/>
    </row>
    <row r="2799" hidden="1">
      <c r="A2799" s="17">
        <v>2797</v>
      </c>
      <c r="B2799" s="17" t="s">
        <v>52</v>
      </c>
      <c r="C2799" s="34" t="s">
        <v>7894</v>
      </c>
      <c r="D2799" s="35" t="s">
        <v>6576</v>
      </c>
      <c r="E2799" s="17"/>
      <c r="F2799" s="17"/>
      <c r="G2799" s="17"/>
      <c r="H2799" s="17"/>
      <c r="I2799" s="17"/>
      <c r="J2799" s="17"/>
      <c r="K2799" s="17"/>
      <c r="L2799" s="17"/>
      <c r="M2799" s="34" t="s">
        <v>6577</v>
      </c>
      <c r="N2799" s="17"/>
      <c r="O2799" s="17"/>
      <c r="P2799" s="17"/>
      <c r="Q2799" s="17"/>
      <c r="R2799" s="17"/>
      <c r="S2799" s="17"/>
      <c r="T2799" s="17"/>
      <c r="U2799" s="17"/>
      <c r="V2799" s="17"/>
      <c r="W2799" s="17"/>
      <c r="X2799" s="17"/>
      <c r="Y2799" s="17"/>
      <c r="Z2799" s="17"/>
      <c r="AA2799" s="17"/>
      <c r="AB2799" s="17"/>
      <c r="AC2799" s="17"/>
      <c r="AD2799" s="17"/>
      <c r="AE2799" s="17"/>
      <c r="AF2799" s="17"/>
      <c r="AG2799" s="17"/>
      <c r="AH2799" s="17"/>
      <c r="AI2799" s="17"/>
      <c r="AJ2799" s="17"/>
      <c r="AK2799" s="17"/>
      <c r="AL2799" s="17"/>
      <c r="AM2799" s="17"/>
      <c r="AN2799" s="17"/>
      <c r="AO2799" s="17"/>
      <c r="AP2799" s="17"/>
      <c r="AQ2799" s="17"/>
      <c r="AR2799" s="17"/>
      <c r="AS2799" s="17"/>
      <c r="AT2799" s="17"/>
      <c r="AU2799" s="17"/>
    </row>
    <row r="2800" hidden="1">
      <c r="A2800" s="17">
        <v>2798</v>
      </c>
      <c r="B2800" s="17" t="s">
        <v>52</v>
      </c>
      <c r="C2800" s="34" t="s">
        <v>7895</v>
      </c>
      <c r="D2800" s="35" t="s">
        <v>6576</v>
      </c>
      <c r="E2800" s="17"/>
      <c r="F2800" s="17"/>
      <c r="G2800" s="17"/>
      <c r="H2800" s="17"/>
      <c r="I2800" s="17"/>
      <c r="J2800" s="17"/>
      <c r="K2800" s="17"/>
      <c r="L2800" s="17"/>
      <c r="M2800" s="34" t="s">
        <v>6577</v>
      </c>
      <c r="N2800" s="17"/>
      <c r="O2800" s="17"/>
      <c r="P2800" s="17"/>
      <c r="Q2800" s="17"/>
      <c r="R2800" s="17"/>
      <c r="S2800" s="17"/>
      <c r="T2800" s="17"/>
      <c r="U2800" s="17"/>
      <c r="V2800" s="17"/>
      <c r="W2800" s="17"/>
      <c r="X2800" s="17"/>
      <c r="Y2800" s="17"/>
      <c r="Z2800" s="17"/>
      <c r="AA2800" s="17"/>
      <c r="AB2800" s="17"/>
      <c r="AC2800" s="17"/>
      <c r="AD2800" s="17"/>
      <c r="AE2800" s="17"/>
      <c r="AF2800" s="17"/>
      <c r="AG2800" s="17"/>
      <c r="AH2800" s="17"/>
      <c r="AI2800" s="17"/>
      <c r="AJ2800" s="17"/>
      <c r="AK2800" s="17"/>
      <c r="AL2800" s="17"/>
      <c r="AM2800" s="17"/>
      <c r="AN2800" s="17"/>
      <c r="AO2800" s="17"/>
      <c r="AP2800" s="17"/>
      <c r="AQ2800" s="17"/>
      <c r="AR2800" s="17"/>
      <c r="AS2800" s="17"/>
      <c r="AT2800" s="17"/>
      <c r="AU2800" s="17"/>
    </row>
    <row r="2801" hidden="1">
      <c r="A2801" s="17">
        <v>2799</v>
      </c>
      <c r="B2801" s="17" t="s">
        <v>52</v>
      </c>
      <c r="C2801" s="34" t="s">
        <v>7896</v>
      </c>
      <c r="D2801" s="35" t="s">
        <v>6576</v>
      </c>
      <c r="E2801" s="17"/>
      <c r="F2801" s="17"/>
      <c r="G2801" s="17"/>
      <c r="H2801" s="17"/>
      <c r="I2801" s="17"/>
      <c r="J2801" s="17"/>
      <c r="K2801" s="17"/>
      <c r="L2801" s="17"/>
      <c r="M2801" s="34" t="s">
        <v>6577</v>
      </c>
      <c r="N2801" s="17"/>
      <c r="O2801" s="17"/>
      <c r="P2801" s="17"/>
      <c r="Q2801" s="17"/>
      <c r="R2801" s="17"/>
      <c r="S2801" s="17"/>
      <c r="T2801" s="17"/>
      <c r="U2801" s="17"/>
      <c r="V2801" s="17"/>
      <c r="W2801" s="17"/>
      <c r="X2801" s="17"/>
      <c r="Y2801" s="17"/>
      <c r="Z2801" s="17"/>
      <c r="AA2801" s="17"/>
      <c r="AB2801" s="17"/>
      <c r="AC2801" s="17"/>
      <c r="AD2801" s="17"/>
      <c r="AE2801" s="17"/>
      <c r="AF2801" s="17"/>
      <c r="AG2801" s="17"/>
      <c r="AH2801" s="17"/>
      <c r="AI2801" s="17"/>
      <c r="AJ2801" s="17"/>
      <c r="AK2801" s="17"/>
      <c r="AL2801" s="17"/>
      <c r="AM2801" s="17"/>
      <c r="AN2801" s="17"/>
      <c r="AO2801" s="17"/>
      <c r="AP2801" s="17"/>
      <c r="AQ2801" s="17"/>
      <c r="AR2801" s="17"/>
      <c r="AS2801" s="17"/>
      <c r="AT2801" s="17"/>
      <c r="AU2801" s="17"/>
    </row>
    <row r="2802" hidden="1">
      <c r="A2802" s="17">
        <v>2800</v>
      </c>
      <c r="B2802" s="17" t="s">
        <v>52</v>
      </c>
      <c r="C2802" s="34" t="s">
        <v>7897</v>
      </c>
      <c r="D2802" s="35" t="s">
        <v>6576</v>
      </c>
      <c r="E2802" s="17" t="s">
        <v>7898</v>
      </c>
      <c r="F2802" s="17" t="s">
        <v>7899</v>
      </c>
      <c r="G2802" s="17">
        <v>22.025835000000001</v>
      </c>
      <c r="H2802" s="17">
        <v>87.767796000000004</v>
      </c>
      <c r="I2802" s="17"/>
      <c r="J2802" s="17"/>
      <c r="K2802" s="17"/>
      <c r="L2802" s="17"/>
      <c r="M2802" s="34" t="s">
        <v>6577</v>
      </c>
      <c r="N2802" s="17">
        <v>6289037005</v>
      </c>
      <c r="O2802" s="17"/>
      <c r="P2802" s="17"/>
      <c r="Q2802" s="17"/>
      <c r="R2802" s="17"/>
      <c r="S2802" s="17"/>
      <c r="T2802" s="17"/>
      <c r="U2802" s="17"/>
      <c r="V2802" s="17"/>
      <c r="W2802" s="17"/>
      <c r="X2802" s="17"/>
      <c r="Y2802" s="17"/>
      <c r="Z2802" s="17"/>
      <c r="AA2802" s="17"/>
      <c r="AB2802" s="17"/>
      <c r="AC2802" s="17"/>
      <c r="AD2802" s="17"/>
      <c r="AE2802" s="17"/>
      <c r="AF2802" s="17"/>
      <c r="AG2802" s="17"/>
      <c r="AH2802" s="17"/>
      <c r="AI2802" s="17"/>
      <c r="AJ2802" s="17"/>
      <c r="AK2802" s="17"/>
      <c r="AL2802" s="17"/>
      <c r="AM2802" s="17"/>
      <c r="AN2802" s="17"/>
      <c r="AO2802" s="17"/>
      <c r="AP2802" s="17"/>
      <c r="AQ2802" s="17"/>
      <c r="AR2802" s="17"/>
      <c r="AS2802" s="17"/>
      <c r="AT2802" s="17"/>
      <c r="AU2802" s="17"/>
    </row>
    <row r="2803" ht="14.25">
      <c r="S2803" s="47"/>
      <c r="T2803" s="48"/>
    </row>
    <row r="2804" ht="14.25">
      <c r="S2804" s="47"/>
      <c r="T2804" s="48"/>
    </row>
    <row r="2805" ht="14.25">
      <c r="S2805" s="47"/>
      <c r="T2805" s="48"/>
    </row>
    <row r="2806" ht="14.25">
      <c r="S2806" s="47"/>
      <c r="T2806" s="48"/>
    </row>
    <row r="2807" ht="14.25">
      <c r="S2807" s="47"/>
      <c r="T2807" s="48"/>
    </row>
    <row r="2808" ht="14.25">
      <c r="S2808" s="47"/>
      <c r="T2808" s="48"/>
    </row>
    <row r="2809" ht="14.25">
      <c r="S2809" s="47"/>
      <c r="T2809" s="48"/>
    </row>
    <row r="2810" ht="14.25">
      <c r="S2810" s="47"/>
      <c r="T2810" s="48"/>
    </row>
    <row r="2811" ht="14.25">
      <c r="S2811" s="47"/>
      <c r="T2811" s="48"/>
    </row>
    <row r="2812" ht="14.25">
      <c r="S2812" s="47"/>
      <c r="T2812" s="48"/>
    </row>
    <row r="2813" ht="14.25">
      <c r="S2813" s="47"/>
      <c r="T2813" s="48"/>
    </row>
    <row r="2814" ht="14.25">
      <c r="S2814" s="47"/>
      <c r="T2814" s="48"/>
    </row>
    <row r="2815" ht="14.25">
      <c r="S2815" s="47"/>
      <c r="T2815" s="48"/>
    </row>
    <row r="2816" ht="14.25">
      <c r="S2816" s="47"/>
      <c r="T2816" s="48"/>
    </row>
    <row r="2817" ht="14.25">
      <c r="S2817" s="47"/>
      <c r="T2817" s="48"/>
    </row>
  </sheetData>
  <autoFilter ref="A1:AU2802">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1" showButton="0"/>
    <filterColumn colId="42" showButton="0"/>
    <filterColumn colId="43" showButton="0"/>
    <filterColumn colId="3">
      <filters>
        <filter val="Medinipur"/>
      </filters>
    </filterColumn>
    <sortState ref="A2:AU2802">
      <sortCondition descending="1" ref="M1:M2802"/>
    </sortState>
  </autoFilter>
  <mergeCells count="23">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T1"/>
    <mergeCell ref="U1:Z1"/>
    <mergeCell ref="AA1:AF1"/>
    <mergeCell ref="AG1:AO1"/>
    <mergeCell ref="AP1:AS1"/>
    <mergeCell ref="AT1:AT2"/>
    <mergeCell ref="AU1:AU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52" id="{1B3EA82F-2FA9-4F7F-8C47-8CBDDBDB4485}">
            <x14:dxf>
              <font>
                <color rgb="FF9C0006"/>
              </font>
              <fill>
                <patternFill patternType="solid">
                  <fgColor rgb="FFFFC7CE"/>
                  <bgColor rgb="FFFFC7CE"/>
                </patternFill>
              </fill>
            </x14:dxf>
          </x14:cfRule>
          <xm:sqref>C767:C769</xm:sqref>
        </x14:conditionalFormatting>
        <x14:conditionalFormatting xmlns:xm="http://schemas.microsoft.com/office/excel/2006/main">
          <x14:cfRule type="duplicateValues" priority="151" id="{57D78684-C4A5-468F-9389-40EB43AB0C53}">
            <x14:dxf>
              <font>
                <color rgb="FF9C0006"/>
              </font>
              <fill>
                <patternFill patternType="solid">
                  <fgColor rgb="FFFFC7CE"/>
                  <bgColor rgb="FFFFC7CE"/>
                </patternFill>
              </fill>
            </x14:dxf>
          </x14:cfRule>
          <xm:sqref>C773:C1236</xm:sqref>
        </x14:conditionalFormatting>
        <x14:conditionalFormatting xmlns:xm="http://schemas.microsoft.com/office/excel/2006/main">
          <x14:cfRule type="duplicateValues" priority="150" id="{C5BA811C-12E1-48B1-836C-4347E8F81BF5}">
            <x14:dxf>
              <font>
                <color rgb="FF9C0006"/>
              </font>
              <fill>
                <patternFill patternType="solid">
                  <fgColor rgb="FFFFC7CE"/>
                  <bgColor rgb="FFFFC7CE"/>
                </patternFill>
              </fill>
            </x14:dxf>
          </x14:cfRule>
          <xm:sqref>C773:C1236</xm:sqref>
        </x14:conditionalFormatting>
        <x14:conditionalFormatting xmlns:xm="http://schemas.microsoft.com/office/excel/2006/main">
          <x14:cfRule type="duplicateValues" priority="149" id="{05F76C8A-4ED7-413C-9F05-46266F672881}">
            <x14:dxf>
              <font>
                <color rgb="FF9C0006"/>
              </font>
              <fill>
                <patternFill patternType="solid">
                  <fgColor rgb="FFFFC7CE"/>
                  <bgColor rgb="FFFFC7CE"/>
                </patternFill>
              </fill>
            </x14:dxf>
          </x14:cfRule>
          <xm:sqref>C1789</xm:sqref>
        </x14:conditionalFormatting>
        <x14:conditionalFormatting xmlns:xm="http://schemas.microsoft.com/office/excel/2006/main">
          <x14:cfRule type="duplicateValues" priority="148" id="{D006CDA9-E823-473E-BD7A-9008DD6A9320}">
            <x14:dxf>
              <font>
                <color rgb="FF9C0006"/>
              </font>
              <fill>
                <patternFill patternType="solid">
                  <fgColor rgb="FFFFC7CE"/>
                  <bgColor rgb="FFFFC7CE"/>
                </patternFill>
              </fill>
            </x14:dxf>
          </x14:cfRule>
          <xm:sqref>C1790</xm:sqref>
        </x14:conditionalFormatting>
        <x14:conditionalFormatting xmlns:xm="http://schemas.microsoft.com/office/excel/2006/main">
          <x14:cfRule type="duplicateValues" priority="146" id="{9DE85A23-80CD-4EE5-9812-D3892FBC9677}">
            <x14:dxf>
              <font>
                <color rgb="FF9C0006"/>
              </font>
              <fill>
                <patternFill patternType="solid">
                  <fgColor rgb="FFFFC7CE"/>
                  <bgColor rgb="FFFFC7CE"/>
                </patternFill>
              </fill>
            </x14:dxf>
          </x14:cfRule>
          <xm:sqref>C1791</xm:sqref>
        </x14:conditionalFormatting>
        <x14:conditionalFormatting xmlns:xm="http://schemas.microsoft.com/office/excel/2006/main">
          <x14:cfRule type="duplicateValues" priority="147" id="{BEA08BA0-B953-4D63-B3BD-1FFE99FA44FE}">
            <x14:dxf>
              <font>
                <color rgb="FF9C0006"/>
              </font>
              <fill>
                <patternFill patternType="solid">
                  <fgColor rgb="FFFFC7CE"/>
                  <bgColor rgb="FFFFC7CE"/>
                </patternFill>
              </fill>
            </x14:dxf>
          </x14:cfRule>
          <xm:sqref>C1791</xm:sqref>
        </x14:conditionalFormatting>
        <x14:conditionalFormatting xmlns:xm="http://schemas.microsoft.com/office/excel/2006/main">
          <x14:cfRule type="duplicateValues" priority="145" id="{4E897F80-4C27-44BE-96BA-30743CD53CE3}">
            <x14:dxf>
              <font>
                <color rgb="FF9C0006"/>
              </font>
              <fill>
                <patternFill patternType="solid">
                  <fgColor rgb="FFFFC7CE"/>
                  <bgColor rgb="FFFFC7CE"/>
                </patternFill>
              </fill>
            </x14:dxf>
          </x14:cfRule>
          <xm:sqref>C1792</xm:sqref>
        </x14:conditionalFormatting>
        <x14:conditionalFormatting xmlns:xm="http://schemas.microsoft.com/office/excel/2006/main">
          <x14:cfRule type="duplicateValues" priority="144" id="{29BF88EC-6750-493F-9985-9347CE9A3445}">
            <x14:dxf>
              <font>
                <color rgb="FF9C0006"/>
              </font>
              <fill>
                <patternFill patternType="solid">
                  <fgColor rgb="FFFFC7CE"/>
                  <bgColor rgb="FFFFC7CE"/>
                </patternFill>
              </fill>
            </x14:dxf>
          </x14:cfRule>
          <xm:sqref>C1792</xm:sqref>
        </x14:conditionalFormatting>
        <x14:conditionalFormatting xmlns:xm="http://schemas.microsoft.com/office/excel/2006/main">
          <x14:cfRule type="duplicateValues" priority="143" id="{C4105713-620E-403D-9B1A-C8C284840B47}">
            <x14:dxf>
              <font>
                <color rgb="FF9C0006"/>
              </font>
              <fill>
                <patternFill patternType="solid">
                  <fgColor rgb="FFFFC7CE"/>
                  <bgColor rgb="FFFFC7CE"/>
                </patternFill>
              </fill>
            </x14:dxf>
          </x14:cfRule>
          <xm:sqref>C1793</xm:sqref>
        </x14:conditionalFormatting>
        <x14:conditionalFormatting xmlns:xm="http://schemas.microsoft.com/office/excel/2006/main">
          <x14:cfRule type="duplicateValues" priority="142" id="{EC014328-714C-4CEF-94F4-A5F369C418D3}">
            <x14:dxf>
              <font>
                <color rgb="FF9C0006"/>
              </font>
              <fill>
                <patternFill patternType="solid">
                  <fgColor rgb="FFFFC7CE"/>
                  <bgColor rgb="FFFFC7CE"/>
                </patternFill>
              </fill>
            </x14:dxf>
          </x14:cfRule>
          <xm:sqref>C1793</xm:sqref>
        </x14:conditionalFormatting>
        <x14:conditionalFormatting xmlns:xm="http://schemas.microsoft.com/office/excel/2006/main">
          <x14:cfRule type="duplicateValues" priority="141" id="{813C216E-0E10-4630-86F3-A47673AD27F2}">
            <x14:dxf>
              <font>
                <color rgb="FF9C0006"/>
              </font>
              <fill>
                <patternFill patternType="solid">
                  <fgColor rgb="FFFFC7CE"/>
                  <bgColor rgb="FFFFC7CE"/>
                </patternFill>
              </fill>
            </x14:dxf>
          </x14:cfRule>
          <xm:sqref>C1794</xm:sqref>
        </x14:conditionalFormatting>
        <x14:conditionalFormatting xmlns:xm="http://schemas.microsoft.com/office/excel/2006/main">
          <x14:cfRule type="duplicateValues" priority="140" id="{D7EEA221-A840-44D9-9A96-EBF4CD9B573C}">
            <x14:dxf>
              <font>
                <color rgb="FF9C0006"/>
              </font>
              <fill>
                <patternFill patternType="solid">
                  <fgColor rgb="FFFFC7CE"/>
                  <bgColor rgb="FFFFC7CE"/>
                </patternFill>
              </fill>
            </x14:dxf>
          </x14:cfRule>
          <xm:sqref>C1794</xm:sqref>
        </x14:conditionalFormatting>
        <x14:conditionalFormatting xmlns:xm="http://schemas.microsoft.com/office/excel/2006/main">
          <x14:cfRule type="duplicateValues" priority="139" id="{F4D2BB8C-889A-4574-A28D-29057BE6D357}">
            <x14:dxf>
              <font>
                <color rgb="FF9C0006"/>
              </font>
              <fill>
                <patternFill patternType="solid">
                  <fgColor rgb="FFFFC7CE"/>
                  <bgColor rgb="FFFFC7CE"/>
                </patternFill>
              </fill>
            </x14:dxf>
          </x14:cfRule>
          <xm:sqref>C1795</xm:sqref>
        </x14:conditionalFormatting>
        <x14:conditionalFormatting xmlns:xm="http://schemas.microsoft.com/office/excel/2006/main">
          <x14:cfRule type="duplicateValues" priority="138" id="{26FFDE62-AA1D-4155-973A-F98E0C5D6578}">
            <x14:dxf>
              <font>
                <color rgb="FF9C0006"/>
              </font>
              <fill>
                <patternFill patternType="solid">
                  <fgColor rgb="FFFFC7CE"/>
                  <bgColor rgb="FFFFC7CE"/>
                </patternFill>
              </fill>
            </x14:dxf>
          </x14:cfRule>
          <xm:sqref>C1795</xm:sqref>
        </x14:conditionalFormatting>
        <x14:conditionalFormatting xmlns:xm="http://schemas.microsoft.com/office/excel/2006/main">
          <x14:cfRule type="duplicateValues" priority="135" id="{E44DF85C-570C-483B-96BE-C834B73CD1A2}">
            <x14:dxf>
              <font>
                <color rgb="FF9C0006"/>
              </font>
              <fill>
                <patternFill patternType="solid">
                  <fgColor rgb="FFFFC7CE"/>
                  <bgColor rgb="FFFFC7CE"/>
                </patternFill>
              </fill>
            </x14:dxf>
          </x14:cfRule>
          <xm:sqref>C1796</xm:sqref>
        </x14:conditionalFormatting>
        <x14:conditionalFormatting xmlns:xm="http://schemas.microsoft.com/office/excel/2006/main">
          <x14:cfRule type="duplicateValues" priority="134" id="{9E63F034-C060-43E8-BDBE-5FF49A01FA84}">
            <x14:dxf>
              <font>
                <color rgb="FF9C0006"/>
              </font>
              <fill>
                <patternFill patternType="solid">
                  <fgColor rgb="FFFFC7CE"/>
                  <bgColor rgb="FFFFC7CE"/>
                </patternFill>
              </fill>
            </x14:dxf>
          </x14:cfRule>
          <xm:sqref>C1796</xm:sqref>
        </x14:conditionalFormatting>
        <x14:conditionalFormatting xmlns:xm="http://schemas.microsoft.com/office/excel/2006/main">
          <x14:cfRule type="duplicateValues" priority="137" id="{DC8F2006-7F47-4ECB-AEDB-73286D2FAA87}">
            <x14:dxf>
              <font>
                <color rgb="FF9C0006"/>
              </font>
              <fill>
                <patternFill patternType="solid">
                  <fgColor rgb="FFFFC7CE"/>
                  <bgColor rgb="FFFFC7CE"/>
                </patternFill>
              </fill>
            </x14:dxf>
          </x14:cfRule>
          <xm:sqref>C1797</xm:sqref>
        </x14:conditionalFormatting>
        <x14:conditionalFormatting xmlns:xm="http://schemas.microsoft.com/office/excel/2006/main">
          <x14:cfRule type="duplicateValues" priority="136" id="{317FFECF-E64B-428D-A2A5-6AD296D3D556}">
            <x14:dxf>
              <font>
                <color rgb="FF9C0006"/>
              </font>
              <fill>
                <patternFill patternType="solid">
                  <fgColor rgb="FFFFC7CE"/>
                  <bgColor rgb="FFFFC7CE"/>
                </patternFill>
              </fill>
            </x14:dxf>
          </x14:cfRule>
          <xm:sqref>C1797</xm:sqref>
        </x14:conditionalFormatting>
        <x14:conditionalFormatting xmlns:xm="http://schemas.microsoft.com/office/excel/2006/main">
          <x14:cfRule type="duplicateValues" priority="131" id="{FEF592B5-7BC3-4CDF-9505-894012D2517E}">
            <x14:dxf>
              <font>
                <color rgb="FF9C0006"/>
              </font>
              <fill>
                <patternFill patternType="solid">
                  <fgColor rgb="FFFFC7CE"/>
                  <bgColor rgb="FFFFC7CE"/>
                </patternFill>
              </fill>
            </x14:dxf>
          </x14:cfRule>
          <xm:sqref>C1798</xm:sqref>
        </x14:conditionalFormatting>
        <x14:conditionalFormatting xmlns:xm="http://schemas.microsoft.com/office/excel/2006/main">
          <x14:cfRule type="duplicateValues" priority="132" id="{E7BAFACD-F855-4076-B745-273F2905304D}">
            <x14:dxf>
              <font>
                <color rgb="FF9C0006"/>
              </font>
              <fill>
                <patternFill patternType="solid">
                  <fgColor rgb="FFFFC7CE"/>
                  <bgColor rgb="FFFFC7CE"/>
                </patternFill>
              </fill>
            </x14:dxf>
          </x14:cfRule>
          <xm:sqref>C1798:C1817</xm:sqref>
        </x14:conditionalFormatting>
        <x14:conditionalFormatting xmlns:xm="http://schemas.microsoft.com/office/excel/2006/main">
          <x14:cfRule type="duplicateValues" priority="133" id="{210A7F9D-3E9E-4704-9C98-E5771B8882F5}">
            <x14:dxf>
              <font>
                <color rgb="FF9C0006"/>
              </font>
              <fill>
                <patternFill patternType="solid">
                  <fgColor rgb="FFFFC7CE"/>
                  <bgColor rgb="FFFFC7CE"/>
                </patternFill>
              </fill>
            </x14:dxf>
          </x14:cfRule>
          <xm:sqref>C1798:C1817</xm:sqref>
        </x14:conditionalFormatting>
        <x14:conditionalFormatting xmlns:xm="http://schemas.microsoft.com/office/excel/2006/main">
          <x14:cfRule type="duplicateValues" priority="130" id="{729617A9-67CC-41E6-BC3E-224A4C1FAF3F}">
            <x14:dxf>
              <font>
                <color rgb="FF9C0006"/>
              </font>
              <fill>
                <patternFill patternType="solid">
                  <fgColor rgb="FFFFC7CE"/>
                  <bgColor rgb="FFFFC7CE"/>
                </patternFill>
              </fill>
            </x14:dxf>
          </x14:cfRule>
          <xm:sqref>C1799</xm:sqref>
        </x14:conditionalFormatting>
        <x14:conditionalFormatting xmlns:xm="http://schemas.microsoft.com/office/excel/2006/main">
          <x14:cfRule type="duplicateValues" priority="129" id="{24B4F935-F626-4584-9950-E3C08C287C7A}">
            <x14:dxf>
              <font>
                <color rgb="FF9C0006"/>
              </font>
              <fill>
                <patternFill patternType="solid">
                  <fgColor rgb="FFFFC7CE"/>
                  <bgColor rgb="FFFFC7CE"/>
                </patternFill>
              </fill>
            </x14:dxf>
          </x14:cfRule>
          <xm:sqref>C1800</xm:sqref>
        </x14:conditionalFormatting>
        <x14:conditionalFormatting xmlns:xm="http://schemas.microsoft.com/office/excel/2006/main">
          <x14:cfRule type="duplicateValues" priority="128" id="{3BBD7F40-5063-4817-B49F-9CDDF7F56C67}">
            <x14:dxf>
              <font>
                <color rgb="FF9C0006"/>
              </font>
              <fill>
                <patternFill patternType="solid">
                  <fgColor rgb="FFFFC7CE"/>
                  <bgColor rgb="FFFFC7CE"/>
                </patternFill>
              </fill>
            </x14:dxf>
          </x14:cfRule>
          <xm:sqref>C1801</xm:sqref>
        </x14:conditionalFormatting>
        <x14:conditionalFormatting xmlns:xm="http://schemas.microsoft.com/office/excel/2006/main">
          <x14:cfRule type="duplicateValues" priority="127" id="{20B1B264-CD77-40C7-B0DA-D78139E9EF75}">
            <x14:dxf>
              <font>
                <color rgb="FF9C0006"/>
              </font>
              <fill>
                <patternFill patternType="solid">
                  <fgColor rgb="FFFFC7CE"/>
                  <bgColor rgb="FFFFC7CE"/>
                </patternFill>
              </fill>
            </x14:dxf>
          </x14:cfRule>
          <xm:sqref>C1802</xm:sqref>
        </x14:conditionalFormatting>
        <x14:conditionalFormatting xmlns:xm="http://schemas.microsoft.com/office/excel/2006/main">
          <x14:cfRule type="duplicateValues" priority="126" id="{F9EA9B0F-29AF-445E-8BB4-1D7BC7E65CBD}">
            <x14:dxf>
              <font>
                <color rgb="FF9C0006"/>
              </font>
              <fill>
                <patternFill patternType="solid">
                  <fgColor rgb="FFFFC7CE"/>
                  <bgColor rgb="FFFFC7CE"/>
                </patternFill>
              </fill>
            </x14:dxf>
          </x14:cfRule>
          <xm:sqref>C1803:C1804</xm:sqref>
        </x14:conditionalFormatting>
        <x14:conditionalFormatting xmlns:xm="http://schemas.microsoft.com/office/excel/2006/main">
          <x14:cfRule type="duplicateValues" priority="125" id="{FBE30AAD-5460-4666-8069-88720F8BDD03}">
            <x14:dxf>
              <font>
                <color rgb="FF9C0006"/>
              </font>
              <fill>
                <patternFill patternType="solid">
                  <fgColor rgb="FFFFC7CE"/>
                  <bgColor rgb="FFFFC7CE"/>
                </patternFill>
              </fill>
            </x14:dxf>
          </x14:cfRule>
          <xm:sqref>C1805</xm:sqref>
        </x14:conditionalFormatting>
        <x14:conditionalFormatting xmlns:xm="http://schemas.microsoft.com/office/excel/2006/main">
          <x14:cfRule type="duplicateValues" priority="121" id="{7CF50EA3-53BF-4A99-B79B-373F9FE1FF7F}">
            <x14:dxf>
              <font>
                <color rgb="FF9C0006"/>
              </font>
              <fill>
                <patternFill patternType="solid">
                  <fgColor rgb="FFFFC7CE"/>
                  <bgColor rgb="FFFFC7CE"/>
                </patternFill>
              </fill>
            </x14:dxf>
          </x14:cfRule>
          <xm:sqref>C1806</xm:sqref>
        </x14:conditionalFormatting>
        <x14:conditionalFormatting xmlns:xm="http://schemas.microsoft.com/office/excel/2006/main">
          <x14:cfRule type="duplicateValues" priority="123" id="{C238D801-3EFA-4A70-A851-1DDC22F7B2C5}">
            <x14:dxf>
              <font>
                <color rgb="FF9C0006"/>
              </font>
              <fill>
                <patternFill patternType="solid">
                  <fgColor rgb="FFFFC7CE"/>
                  <bgColor rgb="FFFFC7CE"/>
                </patternFill>
              </fill>
            </x14:dxf>
          </x14:cfRule>
          <xm:sqref>C1806:C1817</xm:sqref>
        </x14:conditionalFormatting>
        <x14:conditionalFormatting xmlns:xm="http://schemas.microsoft.com/office/excel/2006/main">
          <x14:cfRule type="duplicateValues" priority="124" id="{61227107-8C29-4EDE-8BDA-ED7E40D50213}">
            <x14:dxf>
              <font>
                <color rgb="FF9C0006"/>
              </font>
              <fill>
                <patternFill patternType="solid">
                  <fgColor rgb="FFFFC7CE"/>
                  <bgColor rgb="FFFFC7CE"/>
                </patternFill>
              </fill>
            </x14:dxf>
          </x14:cfRule>
          <xm:sqref>C1806:C1817</xm:sqref>
        </x14:conditionalFormatting>
        <x14:conditionalFormatting xmlns:xm="http://schemas.microsoft.com/office/excel/2006/main">
          <x14:cfRule type="duplicateValues" priority="122" id="{3F1058A0-8F78-4E83-8C83-AB7FF7DDF3DF}">
            <x14:dxf>
              <font>
                <color rgb="FF9C0006"/>
              </font>
              <fill>
                <patternFill patternType="solid">
                  <fgColor rgb="FFFFC7CE"/>
                  <bgColor rgb="FFFFC7CE"/>
                </patternFill>
              </fill>
            </x14:dxf>
          </x14:cfRule>
          <xm:sqref>C1806:C1817</xm:sqref>
        </x14:conditionalFormatting>
        <x14:conditionalFormatting xmlns:xm="http://schemas.microsoft.com/office/excel/2006/main">
          <x14:cfRule type="duplicateValues" priority="120" id="{BFAA6983-0760-486A-8B98-AB09AE0E3A4E}">
            <x14:dxf>
              <font>
                <color rgb="FF9C0006"/>
              </font>
              <fill>
                <patternFill patternType="solid">
                  <fgColor rgb="FFFFC7CE"/>
                  <bgColor rgb="FFFFC7CE"/>
                </patternFill>
              </fill>
            </x14:dxf>
          </x14:cfRule>
          <xm:sqref>C1807</xm:sqref>
        </x14:conditionalFormatting>
        <x14:conditionalFormatting xmlns:xm="http://schemas.microsoft.com/office/excel/2006/main">
          <x14:cfRule type="duplicateValues" priority="119" id="{13DA03C3-EB30-4870-A5D9-5F5E732F905B}">
            <x14:dxf>
              <font>
                <color rgb="FF9C0006"/>
              </font>
              <fill>
                <patternFill patternType="solid">
                  <fgColor rgb="FFFFC7CE"/>
                  <bgColor rgb="FFFFC7CE"/>
                </patternFill>
              </fill>
            </x14:dxf>
          </x14:cfRule>
          <xm:sqref>C1808</xm:sqref>
        </x14:conditionalFormatting>
        <x14:conditionalFormatting xmlns:xm="http://schemas.microsoft.com/office/excel/2006/main">
          <x14:cfRule type="duplicateValues" priority="118" id="{3CCC46AB-7991-481E-82E0-9D7A5DDFA32F}">
            <x14:dxf>
              <font>
                <color rgb="FF9C0006"/>
              </font>
              <fill>
                <patternFill patternType="solid">
                  <fgColor rgb="FFFFC7CE"/>
                  <bgColor rgb="FFFFC7CE"/>
                </patternFill>
              </fill>
            </x14:dxf>
          </x14:cfRule>
          <xm:sqref>C1809</xm:sqref>
        </x14:conditionalFormatting>
        <x14:conditionalFormatting xmlns:xm="http://schemas.microsoft.com/office/excel/2006/main">
          <x14:cfRule type="duplicateValues" priority="117" id="{1FC5BEC2-6D57-4D72-AFF8-E99C2B5394E4}">
            <x14:dxf>
              <font>
                <color rgb="FF9C0006"/>
              </font>
              <fill>
                <patternFill patternType="solid">
                  <fgColor rgb="FFFFC7CE"/>
                  <bgColor rgb="FFFFC7CE"/>
                </patternFill>
              </fill>
            </x14:dxf>
          </x14:cfRule>
          <xm:sqref>C1810:C1811</xm:sqref>
        </x14:conditionalFormatting>
        <x14:conditionalFormatting xmlns:xm="http://schemas.microsoft.com/office/excel/2006/main">
          <x14:cfRule type="duplicateValues" priority="116" id="{151EB381-F7F5-41B5-B941-26302B90160F}">
            <x14:dxf>
              <font>
                <color rgb="FF9C0006"/>
              </font>
              <fill>
                <patternFill patternType="solid">
                  <fgColor rgb="FFFFC7CE"/>
                  <bgColor rgb="FFFFC7CE"/>
                </patternFill>
              </fill>
            </x14:dxf>
          </x14:cfRule>
          <xm:sqref>C1812:C1817</xm:sqref>
        </x14:conditionalFormatting>
        <x14:conditionalFormatting xmlns:xm="http://schemas.microsoft.com/office/excel/2006/main">
          <x14:cfRule type="duplicateValues" priority="115" id="{C475DFC5-C638-40A9-8A96-01E485C37022}">
            <x14:dxf>
              <font>
                <color rgb="FF9C0006"/>
              </font>
              <fill>
                <patternFill patternType="solid">
                  <fgColor rgb="FFFFC7CE"/>
                  <bgColor rgb="FFFFC7CE"/>
                </patternFill>
              </fill>
            </x14:dxf>
          </x14:cfRule>
          <xm:sqref>C1813</xm:sqref>
        </x14:conditionalFormatting>
        <x14:conditionalFormatting xmlns:xm="http://schemas.microsoft.com/office/excel/2006/main">
          <x14:cfRule type="duplicateValues" priority="114" id="{06666750-9381-4D92-BBEC-26460361E29D}">
            <x14:dxf>
              <font>
                <color rgb="FF9C0006"/>
              </font>
              <fill>
                <patternFill patternType="solid">
                  <fgColor rgb="FFFFC7CE"/>
                  <bgColor rgb="FFFFC7CE"/>
                </patternFill>
              </fill>
            </x14:dxf>
          </x14:cfRule>
          <xm:sqref>C1814</xm:sqref>
        </x14:conditionalFormatting>
        <x14:conditionalFormatting xmlns:xm="http://schemas.microsoft.com/office/excel/2006/main">
          <x14:cfRule type="duplicateValues" priority="113" id="{2537ADFB-DE1E-45BC-931C-146F82ED1137}">
            <x14:dxf>
              <font>
                <color rgb="FF9C0006"/>
              </font>
              <fill>
                <patternFill patternType="solid">
                  <fgColor rgb="FFFFC7CE"/>
                  <bgColor rgb="FFFFC7CE"/>
                </patternFill>
              </fill>
            </x14:dxf>
          </x14:cfRule>
          <xm:sqref>C1815:C1816</xm:sqref>
        </x14:conditionalFormatting>
        <x14:conditionalFormatting xmlns:xm="http://schemas.microsoft.com/office/excel/2006/main">
          <x14:cfRule type="duplicateValues" priority="112" id="{95D1F084-116A-476D-B63C-1238E73973BC}">
            <x14:dxf>
              <font>
                <color rgb="FF9C0006"/>
              </font>
              <fill>
                <patternFill patternType="solid">
                  <fgColor rgb="FFFFC7CE"/>
                  <bgColor rgb="FFFFC7CE"/>
                </patternFill>
              </fill>
            </x14:dxf>
          </x14:cfRule>
          <xm:sqref>C1817</xm:sqref>
        </x14:conditionalFormatting>
        <x14:conditionalFormatting xmlns:xm="http://schemas.microsoft.com/office/excel/2006/main">
          <x14:cfRule type="duplicateValues" priority="111" id="{2DFEE6EC-9095-4158-9491-BE07C09F64DD}">
            <x14:dxf>
              <font>
                <color rgb="FF9C0006"/>
              </font>
              <fill>
                <patternFill patternType="solid">
                  <fgColor rgb="FFFFC7CE"/>
                  <bgColor rgb="FFFFC7CE"/>
                </patternFill>
              </fill>
            </x14:dxf>
          </x14:cfRule>
          <xm:sqref>C1819:C1827</xm:sqref>
        </x14:conditionalFormatting>
        <x14:conditionalFormatting xmlns:xm="http://schemas.microsoft.com/office/excel/2006/main">
          <x14:cfRule type="duplicateValues" priority="110" id="{E31586D7-EF12-4338-91DA-D0F45CAAAF68}">
            <x14:dxf>
              <font>
                <color rgb="FF9C0006"/>
              </font>
              <fill>
                <patternFill patternType="solid">
                  <fgColor rgb="FFFFC7CE"/>
                  <bgColor rgb="FFFFC7CE"/>
                </patternFill>
              </fill>
            </x14:dxf>
          </x14:cfRule>
          <xm:sqref>C1822:C1827</xm:sqref>
        </x14:conditionalFormatting>
        <x14:conditionalFormatting xmlns:xm="http://schemas.microsoft.com/office/excel/2006/main">
          <x14:cfRule type="duplicateValues" priority="109" id="{46B58C51-B46E-49A1-B5A4-94089047D149}">
            <x14:dxf>
              <font>
                <color rgb="FF9C0006"/>
              </font>
              <fill>
                <patternFill patternType="solid">
                  <fgColor rgb="FFFFC7CE"/>
                  <bgColor rgb="FFFFC7CE"/>
                </patternFill>
              </fill>
            </x14:dxf>
          </x14:cfRule>
          <xm:sqref>C1828:C1845</xm:sqref>
        </x14:conditionalFormatting>
        <x14:conditionalFormatting xmlns:xm="http://schemas.microsoft.com/office/excel/2006/main">
          <x14:cfRule type="duplicateValues" priority="108" id="{D2B523F5-EC21-41D7-B36B-00729ABAA125}">
            <x14:dxf>
              <font>
                <color rgb="FF9C0006"/>
              </font>
              <fill>
                <patternFill patternType="solid">
                  <fgColor rgb="FFFFC7CE"/>
                  <bgColor rgb="FFFFC7CE"/>
                </patternFill>
              </fill>
            </x14:dxf>
          </x14:cfRule>
          <xm:sqref>C1830:C1845</xm:sqref>
        </x14:conditionalFormatting>
        <x14:conditionalFormatting xmlns:xm="http://schemas.microsoft.com/office/excel/2006/main">
          <x14:cfRule type="duplicateValues" priority="106" id="{576B6A63-C1F8-4924-8ADB-5312DDCC3C89}">
            <x14:dxf>
              <font>
                <color rgb="FF9C0006"/>
              </font>
              <fill>
                <patternFill patternType="solid">
                  <fgColor rgb="FFFFC7CE"/>
                  <bgColor rgb="FFFFC7CE"/>
                </patternFill>
              </fill>
            </x14:dxf>
          </x14:cfRule>
          <xm:sqref>C1845</xm:sqref>
        </x14:conditionalFormatting>
        <x14:conditionalFormatting xmlns:xm="http://schemas.microsoft.com/office/excel/2006/main">
          <x14:cfRule type="duplicateValues" priority="107" id="{9DBBF1B4-8261-48FA-8312-A4CB53B088F1}">
            <x14:dxf>
              <font>
                <color rgb="FF9C0006"/>
              </font>
              <fill>
                <patternFill patternType="solid">
                  <fgColor rgb="FFFFC7CE"/>
                  <bgColor rgb="FFFFC7CE"/>
                </patternFill>
              </fill>
            </x14:dxf>
          </x14:cfRule>
          <xm:sqref>C1845</xm:sqref>
        </x14:conditionalFormatting>
        <x14:conditionalFormatting xmlns:xm="http://schemas.microsoft.com/office/excel/2006/main">
          <x14:cfRule type="duplicateValues" priority="103" id="{E199EDC3-5095-450E-AE51-E89F35FF5ACA}">
            <x14:dxf>
              <font>
                <color rgb="FF9C0006"/>
              </font>
              <fill>
                <patternFill patternType="solid">
                  <fgColor rgb="FFFFC7CE"/>
                  <bgColor rgb="FFFFC7CE"/>
                </patternFill>
              </fill>
            </x14:dxf>
          </x14:cfRule>
          <xm:sqref>C1965</xm:sqref>
        </x14:conditionalFormatting>
        <x14:conditionalFormatting xmlns:xm="http://schemas.microsoft.com/office/excel/2006/main">
          <x14:cfRule type="duplicateValues" priority="102" id="{95F00435-8034-43F2-BBE5-C4AC17321122}">
            <x14:dxf>
              <font>
                <color rgb="FF9C0006"/>
              </font>
              <fill>
                <patternFill patternType="solid">
                  <fgColor rgb="FFFFC7CE"/>
                  <bgColor rgb="FFFFC7CE"/>
                </patternFill>
              </fill>
            </x14:dxf>
          </x14:cfRule>
          <xm:sqref>C1965</xm:sqref>
        </x14:conditionalFormatting>
        <x14:conditionalFormatting xmlns:xm="http://schemas.microsoft.com/office/excel/2006/main">
          <x14:cfRule type="duplicateValues" priority="59" id="{E94951F5-6291-406F-A143-331FFB26CEF4}">
            <x14:dxf>
              <font>
                <color rgb="FF9C0006"/>
              </font>
              <fill>
                <patternFill patternType="solid">
                  <fgColor rgb="FFFFC7CE"/>
                  <bgColor rgb="FFFFC7CE"/>
                </patternFill>
              </fill>
            </x14:dxf>
          </x14:cfRule>
          <xm:sqref>C1991</xm:sqref>
        </x14:conditionalFormatting>
        <x14:conditionalFormatting xmlns:xm="http://schemas.microsoft.com/office/excel/2006/main">
          <x14:cfRule type="duplicateValues" priority="50" id="{17A0A4F4-A4C8-41B6-8E8B-17611B45D500}">
            <x14:dxf>
              <font>
                <color rgb="FF9C0006"/>
              </font>
              <fill>
                <patternFill patternType="solid">
                  <fgColor rgb="FFFFC7CE"/>
                  <bgColor rgb="FFFFC7CE"/>
                </patternFill>
              </fill>
            </x14:dxf>
          </x14:cfRule>
          <xm:sqref>C1992</xm:sqref>
        </x14:conditionalFormatting>
        <x14:conditionalFormatting xmlns:xm="http://schemas.microsoft.com/office/excel/2006/main">
          <x14:cfRule type="duplicateValues" priority="45" id="{59CEA5F5-4564-4ABA-A3E6-0B265603A091}">
            <x14:dxf>
              <font>
                <color rgb="FF9C0006"/>
              </font>
              <fill>
                <patternFill patternType="solid">
                  <fgColor rgb="FFFFC7CE"/>
                  <bgColor rgb="FFFFC7CE"/>
                </patternFill>
              </fill>
            </x14:dxf>
          </x14:cfRule>
          <xm:sqref>C1993</xm:sqref>
        </x14:conditionalFormatting>
        <x14:conditionalFormatting xmlns:xm="http://schemas.microsoft.com/office/excel/2006/main">
          <x14:cfRule type="duplicateValues" priority="48" id="{C77A6F0A-9917-4C08-A560-F5966DD51FE6}">
            <x14:dxf>
              <font>
                <color rgb="FF9C0006"/>
              </font>
              <fill>
                <patternFill patternType="solid">
                  <fgColor rgb="FFFFC7CE"/>
                  <bgColor rgb="FFFFC7CE"/>
                </patternFill>
              </fill>
            </x14:dxf>
          </x14:cfRule>
          <xm:sqref>C1994</xm:sqref>
        </x14:conditionalFormatting>
        <x14:conditionalFormatting xmlns:xm="http://schemas.microsoft.com/office/excel/2006/main">
          <x14:cfRule type="duplicateValues" priority="49" id="{A91A7323-1230-4CD5-9FA8-DAD6C8AF25FB}">
            <x14:dxf>
              <font>
                <color rgb="FF9C0006"/>
              </font>
              <fill>
                <patternFill patternType="solid">
                  <fgColor rgb="FFFFC7CE"/>
                  <bgColor rgb="FFFFC7CE"/>
                </patternFill>
              </fill>
            </x14:dxf>
          </x14:cfRule>
          <xm:sqref>C1995</xm:sqref>
        </x14:conditionalFormatting>
        <x14:conditionalFormatting xmlns:xm="http://schemas.microsoft.com/office/excel/2006/main">
          <x14:cfRule type="duplicateValues" priority="57" id="{6EC6FBAD-0590-4F40-B316-443360DE316E}">
            <x14:dxf>
              <font>
                <color rgb="FF9C0006"/>
              </font>
              <fill>
                <patternFill patternType="solid">
                  <fgColor rgb="FFFFC7CE"/>
                  <bgColor rgb="FFFFC7CE"/>
                </patternFill>
              </fill>
            </x14:dxf>
          </x14:cfRule>
          <xm:sqref>C1996</xm:sqref>
        </x14:conditionalFormatting>
        <x14:conditionalFormatting xmlns:xm="http://schemas.microsoft.com/office/excel/2006/main">
          <x14:cfRule type="duplicateValues" priority="58" id="{1763C728-1216-4F6D-BE41-5CC7706DA0FA}">
            <x14:dxf>
              <font>
                <color rgb="FF9C0006"/>
              </font>
              <fill>
                <patternFill patternType="solid">
                  <fgColor rgb="FFFFC7CE"/>
                  <bgColor rgb="FFFFC7CE"/>
                </patternFill>
              </fill>
            </x14:dxf>
          </x14:cfRule>
          <xm:sqref>C1997</xm:sqref>
        </x14:conditionalFormatting>
        <x14:conditionalFormatting xmlns:xm="http://schemas.microsoft.com/office/excel/2006/main">
          <x14:cfRule type="duplicateValues" priority="56" id="{361BFE64-4418-48B6-B913-38381292C9C2}">
            <x14:dxf>
              <font>
                <color rgb="FF9C0006"/>
              </font>
              <fill>
                <patternFill patternType="solid">
                  <fgColor rgb="FFFFC7CE"/>
                  <bgColor rgb="FFFFC7CE"/>
                </patternFill>
              </fill>
            </x14:dxf>
          </x14:cfRule>
          <xm:sqref>C1998</xm:sqref>
        </x14:conditionalFormatting>
        <x14:conditionalFormatting xmlns:xm="http://schemas.microsoft.com/office/excel/2006/main">
          <x14:cfRule type="duplicateValues" priority="55" id="{1FD32DD1-D2D5-4F63-A91F-126481950EC1}">
            <x14:dxf>
              <font>
                <color rgb="FF9C0006"/>
              </font>
              <fill>
                <patternFill patternType="solid">
                  <fgColor rgb="FFFFC7CE"/>
                  <bgColor rgb="FFFFC7CE"/>
                </patternFill>
              </fill>
            </x14:dxf>
          </x14:cfRule>
          <xm:sqref>C1999</xm:sqref>
        </x14:conditionalFormatting>
        <x14:conditionalFormatting xmlns:xm="http://schemas.microsoft.com/office/excel/2006/main">
          <x14:cfRule type="duplicateValues" priority="54" id="{408D0829-10EB-4354-9965-DF1257363902}">
            <x14:dxf>
              <font>
                <color rgb="FF9C0006"/>
              </font>
              <fill>
                <patternFill patternType="solid">
                  <fgColor rgb="FFFFC7CE"/>
                  <bgColor rgb="FFFFC7CE"/>
                </patternFill>
              </fill>
            </x14:dxf>
          </x14:cfRule>
          <xm:sqref>C2000</xm:sqref>
        </x14:conditionalFormatting>
        <x14:conditionalFormatting xmlns:xm="http://schemas.microsoft.com/office/excel/2006/main">
          <x14:cfRule type="duplicateValues" priority="47" id="{2C9B33AD-A1D9-4A34-8FAF-104012F06C3E}">
            <x14:dxf>
              <font>
                <color rgb="FF9C0006"/>
              </font>
              <fill>
                <patternFill patternType="solid">
                  <fgColor rgb="FFFFC7CE"/>
                  <bgColor rgb="FFFFC7CE"/>
                </patternFill>
              </fill>
            </x14:dxf>
          </x14:cfRule>
          <xm:sqref>C2001</xm:sqref>
        </x14:conditionalFormatting>
        <x14:conditionalFormatting xmlns:xm="http://schemas.microsoft.com/office/excel/2006/main">
          <x14:cfRule type="duplicateValues" priority="46" id="{AA340A63-A47D-4C3B-85A6-D182E322310D}">
            <x14:dxf>
              <font>
                <color rgb="FF9C0006"/>
              </font>
              <fill>
                <patternFill patternType="solid">
                  <fgColor rgb="FFFFC7CE"/>
                  <bgColor rgb="FFFFC7CE"/>
                </patternFill>
              </fill>
            </x14:dxf>
          </x14:cfRule>
          <xm:sqref>C2002</xm:sqref>
        </x14:conditionalFormatting>
        <x14:conditionalFormatting xmlns:xm="http://schemas.microsoft.com/office/excel/2006/main">
          <x14:cfRule type="duplicateValues" priority="53" id="{E46A2963-08A2-4973-BF48-E173424CC8F5}">
            <x14:dxf>
              <font>
                <color rgb="FF9C0006"/>
              </font>
              <fill>
                <patternFill patternType="solid">
                  <fgColor rgb="FFFFC7CE"/>
                  <bgColor rgb="FFFFC7CE"/>
                </patternFill>
              </fill>
            </x14:dxf>
          </x14:cfRule>
          <xm:sqref>C2003</xm:sqref>
        </x14:conditionalFormatting>
        <x14:conditionalFormatting xmlns:xm="http://schemas.microsoft.com/office/excel/2006/main">
          <x14:cfRule type="duplicateValues" priority="52" id="{70EE3E79-BE3F-4678-A26F-845F686A189E}">
            <x14:dxf>
              <font>
                <color rgb="FF9C0006"/>
              </font>
              <fill>
                <patternFill patternType="solid">
                  <fgColor rgb="FFFFC7CE"/>
                  <bgColor rgb="FFFFC7CE"/>
                </patternFill>
              </fill>
            </x14:dxf>
          </x14:cfRule>
          <xm:sqref>C2004</xm:sqref>
        </x14:conditionalFormatting>
        <x14:conditionalFormatting xmlns:xm="http://schemas.microsoft.com/office/excel/2006/main">
          <x14:cfRule type="duplicateValues" priority="51" id="{6AAED6B4-38CF-4EEE-ACB4-588EFF4F14A4}">
            <x14:dxf>
              <font>
                <color rgb="FF9C0006"/>
              </font>
              <fill>
                <patternFill patternType="solid">
                  <fgColor rgb="FFFFC7CE"/>
                  <bgColor rgb="FFFFC7CE"/>
                </patternFill>
              </fill>
            </x14:dxf>
          </x14:cfRule>
          <xm:sqref>C2005</xm:sqref>
        </x14:conditionalFormatting>
        <x14:conditionalFormatting xmlns:xm="http://schemas.microsoft.com/office/excel/2006/main">
          <x14:cfRule type="duplicateValues" priority="60" id="{3F38E0C0-DFBC-441A-B4D3-FB74036C84F4}">
            <x14:dxf>
              <font>
                <color rgb="FF9C0006"/>
              </font>
              <fill>
                <patternFill patternType="solid">
                  <fgColor rgb="FFFFC7CE"/>
                  <bgColor rgb="FFFFC7CE"/>
                </patternFill>
              </fill>
            </x14:dxf>
          </x14:cfRule>
          <xm:sqref>C2008</xm:sqref>
        </x14:conditionalFormatting>
        <x14:conditionalFormatting xmlns:xm="http://schemas.microsoft.com/office/excel/2006/main">
          <x14:cfRule type="duplicateValues" priority="61" id="{CB69C1B4-451F-411E-9876-863AFCDC50E3}">
            <x14:dxf>
              <font>
                <color rgb="FF9C0006"/>
              </font>
              <fill>
                <patternFill patternType="solid">
                  <fgColor rgb="FFFFC7CE"/>
                  <bgColor rgb="FFFFC7CE"/>
                </patternFill>
              </fill>
            </x14:dxf>
          </x14:cfRule>
          <xm:sqref>C2009:C2010</xm:sqref>
        </x14:conditionalFormatting>
        <x14:conditionalFormatting xmlns:xm="http://schemas.microsoft.com/office/excel/2006/main">
          <x14:cfRule type="duplicateValues" priority="62" id="{21A79101-0ACE-47F9-97AD-0855135CBB18}">
            <x14:dxf>
              <font>
                <color rgb="FF9C0006"/>
              </font>
              <fill>
                <patternFill patternType="solid">
                  <fgColor rgb="FFFFC7CE"/>
                  <bgColor rgb="FFFFC7CE"/>
                </patternFill>
              </fill>
            </x14:dxf>
          </x14:cfRule>
          <xm:sqref>C2011:C2014</xm:sqref>
        </x14:conditionalFormatting>
        <x14:conditionalFormatting xmlns:xm="http://schemas.microsoft.com/office/excel/2006/main">
          <x14:cfRule type="duplicateValues" priority="63" id="{2EBE4827-C1EC-4D56-A4A9-D40AF20F4032}">
            <x14:dxf>
              <font>
                <color rgb="FF9C0006"/>
              </font>
              <fill>
                <patternFill patternType="solid">
                  <fgColor rgb="FFFFC7CE"/>
                  <bgColor rgb="FFFFC7CE"/>
                </patternFill>
              </fill>
            </x14:dxf>
          </x14:cfRule>
          <xm:sqref>C2015</xm:sqref>
        </x14:conditionalFormatting>
        <x14:conditionalFormatting xmlns:xm="http://schemas.microsoft.com/office/excel/2006/main">
          <x14:cfRule type="duplicateValues" priority="64" id="{4EE2EC68-2FA0-427D-9D29-2554B4C8BC49}">
            <x14:dxf>
              <font>
                <color rgb="FF9C0006"/>
              </font>
              <fill>
                <patternFill patternType="solid">
                  <fgColor rgb="FFFFC7CE"/>
                  <bgColor rgb="FFFFC7CE"/>
                </patternFill>
              </fill>
            </x14:dxf>
          </x14:cfRule>
          <xm:sqref>C2016</xm:sqref>
        </x14:conditionalFormatting>
        <x14:conditionalFormatting xmlns:xm="http://schemas.microsoft.com/office/excel/2006/main">
          <x14:cfRule type="duplicateValues" priority="65" id="{6B4D4FB9-7FC3-4E99-A87A-DE6B75F8F26D}">
            <x14:dxf>
              <font>
                <color rgb="FF9C0006"/>
              </font>
              <fill>
                <patternFill patternType="solid">
                  <fgColor rgb="FFFFC7CE"/>
                  <bgColor rgb="FFFFC7CE"/>
                </patternFill>
              </fill>
            </x14:dxf>
          </x14:cfRule>
          <xm:sqref>C2017:C2019</xm:sqref>
        </x14:conditionalFormatting>
        <x14:conditionalFormatting xmlns:xm="http://schemas.microsoft.com/office/excel/2006/main">
          <x14:cfRule type="duplicateValues" priority="66" id="{B8767E5F-BA96-48F3-A801-421E64356294}">
            <x14:dxf>
              <font>
                <color rgb="FF9C0006"/>
              </font>
              <fill>
                <patternFill patternType="solid">
                  <fgColor rgb="FFFFC7CE"/>
                  <bgColor rgb="FFFFC7CE"/>
                </patternFill>
              </fill>
            </x14:dxf>
          </x14:cfRule>
          <xm:sqref>C2025</xm:sqref>
        </x14:conditionalFormatting>
        <x14:conditionalFormatting xmlns:xm="http://schemas.microsoft.com/office/excel/2006/main">
          <x14:cfRule type="duplicateValues" priority="29" id="{E7DC3FB4-C4E1-40A3-9074-A1DECAF010B8}">
            <x14:dxf>
              <font>
                <color rgb="FF9C0006"/>
              </font>
              <fill>
                <patternFill patternType="solid">
                  <fgColor rgb="FFFFC7CE"/>
                  <bgColor rgb="FFFFC7CE"/>
                </patternFill>
              </fill>
            </x14:dxf>
          </x14:cfRule>
          <xm:sqref>C2044</xm:sqref>
        </x14:conditionalFormatting>
        <x14:conditionalFormatting xmlns:xm="http://schemas.microsoft.com/office/excel/2006/main">
          <x14:cfRule type="duplicateValues" priority="28" id="{DCB67F7A-2A45-403D-96AB-FB0398E34335}">
            <x14:dxf>
              <font>
                <color rgb="FF9C0006"/>
              </font>
              <fill>
                <patternFill patternType="solid">
                  <fgColor rgb="FFFFC7CE"/>
                  <bgColor rgb="FFFFC7CE"/>
                </patternFill>
              </fill>
            </x14:dxf>
          </x14:cfRule>
          <xm:sqref>C2044</xm:sqref>
        </x14:conditionalFormatting>
        <x14:conditionalFormatting xmlns:xm="http://schemas.microsoft.com/office/excel/2006/main">
          <x14:cfRule type="duplicateValues" priority="67" id="{4DB708C7-8A13-4406-A908-50456F0E8018}">
            <x14:dxf>
              <font>
                <color rgb="FF9C0006"/>
              </font>
              <fill>
                <patternFill patternType="solid">
                  <fgColor rgb="FFFFC7CE"/>
                  <bgColor rgb="FFFFC7CE"/>
                </patternFill>
              </fill>
            </x14:dxf>
          </x14:cfRule>
          <xm:sqref>C2048</xm:sqref>
        </x14:conditionalFormatting>
        <x14:conditionalFormatting xmlns:xm="http://schemas.microsoft.com/office/excel/2006/main">
          <x14:cfRule type="duplicateValues" priority="68" id="{184483C8-3CC7-4C0D-BF0E-6F90FD594721}">
            <x14:dxf>
              <font>
                <color rgb="FF9C0006"/>
              </font>
              <fill>
                <patternFill patternType="solid">
                  <fgColor rgb="FFFFC7CE"/>
                  <bgColor rgb="FFFFC7CE"/>
                </patternFill>
              </fill>
            </x14:dxf>
          </x14:cfRule>
          <xm:sqref>C2049:C2050</xm:sqref>
        </x14:conditionalFormatting>
        <x14:conditionalFormatting xmlns:xm="http://schemas.microsoft.com/office/excel/2006/main">
          <x14:cfRule type="duplicateValues" priority="69" id="{E3F5066F-AD16-42F1-92D6-B90E2A3A12E1}">
            <x14:dxf>
              <font>
                <color rgb="FF9C0006"/>
              </font>
              <fill>
                <patternFill patternType="solid">
                  <fgColor rgb="FFFFC7CE"/>
                  <bgColor rgb="FFFFC7CE"/>
                </patternFill>
              </fill>
            </x14:dxf>
          </x14:cfRule>
          <xm:sqref>C2051:C2052</xm:sqref>
        </x14:conditionalFormatting>
        <x14:conditionalFormatting xmlns:xm="http://schemas.microsoft.com/office/excel/2006/main">
          <x14:cfRule type="duplicateValues" priority="70" id="{769CDF50-6D90-4516-B5CA-C0F18BF24FBB}">
            <x14:dxf>
              <font>
                <color rgb="FF9C0006"/>
              </font>
              <fill>
                <patternFill patternType="solid">
                  <fgColor rgb="FFFFC7CE"/>
                  <bgColor rgb="FFFFC7CE"/>
                </patternFill>
              </fill>
            </x14:dxf>
          </x14:cfRule>
          <xm:sqref>C2053</xm:sqref>
        </x14:conditionalFormatting>
        <x14:conditionalFormatting xmlns:xm="http://schemas.microsoft.com/office/excel/2006/main">
          <x14:cfRule type="duplicateValues" priority="71" id="{03FE6758-3079-428D-A321-1C1B9677AB19}">
            <x14:dxf>
              <font>
                <color rgb="FF9C0006"/>
              </font>
              <fill>
                <patternFill patternType="solid">
                  <fgColor rgb="FFFFC7CE"/>
                  <bgColor rgb="FFFFC7CE"/>
                </patternFill>
              </fill>
            </x14:dxf>
          </x14:cfRule>
          <xm:sqref>C2054</xm:sqref>
        </x14:conditionalFormatting>
        <x14:conditionalFormatting xmlns:xm="http://schemas.microsoft.com/office/excel/2006/main">
          <x14:cfRule type="duplicateValues" priority="72" id="{8FC3E4F2-F637-4107-84CE-67350FA2B7BA}">
            <x14:dxf>
              <font>
                <color rgb="FF9C0006"/>
              </font>
              <fill>
                <patternFill patternType="solid">
                  <fgColor rgb="FFFFC7CE"/>
                  <bgColor rgb="FFFFC7CE"/>
                </patternFill>
              </fill>
            </x14:dxf>
          </x14:cfRule>
          <xm:sqref>C2055</xm:sqref>
        </x14:conditionalFormatting>
        <x14:conditionalFormatting xmlns:xm="http://schemas.microsoft.com/office/excel/2006/main">
          <x14:cfRule type="duplicateValues" priority="73" id="{6E244D5A-C9D1-4957-8961-EC931FBB2BD8}">
            <x14:dxf>
              <font>
                <color rgb="FF9C0006"/>
              </font>
              <fill>
                <patternFill patternType="solid">
                  <fgColor rgb="FFFFC7CE"/>
                  <bgColor rgb="FFFFC7CE"/>
                </patternFill>
              </fill>
            </x14:dxf>
          </x14:cfRule>
          <xm:sqref>C2056</xm:sqref>
        </x14:conditionalFormatting>
        <x14:conditionalFormatting xmlns:xm="http://schemas.microsoft.com/office/excel/2006/main">
          <x14:cfRule type="duplicateValues" priority="74" id="{7D04D464-FA4B-44C4-92F9-34E0AFB524A3}">
            <x14:dxf>
              <font>
                <color rgb="FF9C0006"/>
              </font>
              <fill>
                <patternFill patternType="solid">
                  <fgColor rgb="FFFFC7CE"/>
                  <bgColor rgb="FFFFC7CE"/>
                </patternFill>
              </fill>
            </x14:dxf>
          </x14:cfRule>
          <xm:sqref>C2057</xm:sqref>
        </x14:conditionalFormatting>
        <x14:conditionalFormatting xmlns:xm="http://schemas.microsoft.com/office/excel/2006/main">
          <x14:cfRule type="duplicateValues" priority="75" id="{6967A03A-D904-4E92-A2D2-35AD474470DC}">
            <x14:dxf>
              <font>
                <color rgb="FF9C0006"/>
              </font>
              <fill>
                <patternFill patternType="solid">
                  <fgColor rgb="FFFFC7CE"/>
                  <bgColor rgb="FFFFC7CE"/>
                </patternFill>
              </fill>
            </x14:dxf>
          </x14:cfRule>
          <xm:sqref>C2058</xm:sqref>
        </x14:conditionalFormatting>
        <x14:conditionalFormatting xmlns:xm="http://schemas.microsoft.com/office/excel/2006/main">
          <x14:cfRule type="duplicateValues" priority="76" id="{13D6A15C-E040-4FD7-BABC-E54A7D768795}">
            <x14:dxf>
              <font>
                <color rgb="FF9C0006"/>
              </font>
              <fill>
                <patternFill patternType="solid">
                  <fgColor rgb="FFFFC7CE"/>
                  <bgColor rgb="FFFFC7CE"/>
                </patternFill>
              </fill>
            </x14:dxf>
          </x14:cfRule>
          <xm:sqref>C2059</xm:sqref>
        </x14:conditionalFormatting>
        <x14:conditionalFormatting xmlns:xm="http://schemas.microsoft.com/office/excel/2006/main">
          <x14:cfRule type="duplicateValues" priority="77" id="{C45A8E5D-73F9-46B8-AB6C-897D5439E2B8}">
            <x14:dxf>
              <font>
                <color rgb="FF9C0006"/>
              </font>
              <fill>
                <patternFill patternType="solid">
                  <fgColor rgb="FFFFC7CE"/>
                  <bgColor rgb="FFFFC7CE"/>
                </patternFill>
              </fill>
            </x14:dxf>
          </x14:cfRule>
          <xm:sqref>C2060</xm:sqref>
        </x14:conditionalFormatting>
        <x14:conditionalFormatting xmlns:xm="http://schemas.microsoft.com/office/excel/2006/main">
          <x14:cfRule type="duplicateValues" priority="78" id="{0C50C037-66DE-45DE-B520-EAC6445D2359}">
            <x14:dxf>
              <font>
                <color rgb="FF9C0006"/>
              </font>
              <fill>
                <patternFill patternType="solid">
                  <fgColor rgb="FFFFC7CE"/>
                  <bgColor rgb="FFFFC7CE"/>
                </patternFill>
              </fill>
            </x14:dxf>
          </x14:cfRule>
          <xm:sqref>C2061</xm:sqref>
        </x14:conditionalFormatting>
        <x14:conditionalFormatting xmlns:xm="http://schemas.microsoft.com/office/excel/2006/main">
          <x14:cfRule type="duplicateValues" priority="79" id="{4BB227C0-6D41-42AC-9403-20E0D46034D9}">
            <x14:dxf>
              <font>
                <color rgb="FF9C0006"/>
              </font>
              <fill>
                <patternFill patternType="solid">
                  <fgColor rgb="FFFFC7CE"/>
                  <bgColor rgb="FFFFC7CE"/>
                </patternFill>
              </fill>
            </x14:dxf>
          </x14:cfRule>
          <xm:sqref>C2062</xm:sqref>
        </x14:conditionalFormatting>
        <x14:conditionalFormatting xmlns:xm="http://schemas.microsoft.com/office/excel/2006/main">
          <x14:cfRule type="duplicateValues" priority="80" id="{C48F340A-7A13-4492-90A2-4523486D1D71}">
            <x14:dxf>
              <font>
                <color rgb="FF9C0006"/>
              </font>
              <fill>
                <patternFill patternType="solid">
                  <fgColor rgb="FFFFC7CE"/>
                  <bgColor rgb="FFFFC7CE"/>
                </patternFill>
              </fill>
            </x14:dxf>
          </x14:cfRule>
          <xm:sqref>C2063:C2064</xm:sqref>
        </x14:conditionalFormatting>
        <x14:conditionalFormatting xmlns:xm="http://schemas.microsoft.com/office/excel/2006/main">
          <x14:cfRule type="duplicateValues" priority="81" id="{3EA17D6C-D96D-4523-BDD0-F794E6C9068A}">
            <x14:dxf>
              <font>
                <color rgb="FF9C0006"/>
              </font>
              <fill>
                <patternFill patternType="solid">
                  <fgColor rgb="FFFFC7CE"/>
                  <bgColor rgb="FFFFC7CE"/>
                </patternFill>
              </fill>
            </x14:dxf>
          </x14:cfRule>
          <xm:sqref>C2065</xm:sqref>
        </x14:conditionalFormatting>
        <x14:conditionalFormatting xmlns:xm="http://schemas.microsoft.com/office/excel/2006/main">
          <x14:cfRule type="duplicateValues" priority="82" id="{500F2477-0E13-46DA-BFD5-491280F714C0}">
            <x14:dxf>
              <font>
                <color rgb="FF9C0006"/>
              </font>
              <fill>
                <patternFill patternType="solid">
                  <fgColor rgb="FFFFC7CE"/>
                  <bgColor rgb="FFFFC7CE"/>
                </patternFill>
              </fill>
            </x14:dxf>
          </x14:cfRule>
          <xm:sqref>C2066</xm:sqref>
        </x14:conditionalFormatting>
        <x14:conditionalFormatting xmlns:xm="http://schemas.microsoft.com/office/excel/2006/main">
          <x14:cfRule type="duplicateValues" priority="83" id="{3487A86B-843A-4057-AE8C-C2862DEDBDB2}">
            <x14:dxf>
              <font>
                <color rgb="FF9C0006"/>
              </font>
              <fill>
                <patternFill patternType="solid">
                  <fgColor rgb="FFFFC7CE"/>
                  <bgColor rgb="FFFFC7CE"/>
                </patternFill>
              </fill>
            </x14:dxf>
          </x14:cfRule>
          <xm:sqref>C2067</xm:sqref>
        </x14:conditionalFormatting>
        <x14:conditionalFormatting xmlns:xm="http://schemas.microsoft.com/office/excel/2006/main">
          <x14:cfRule type="duplicateValues" priority="84" id="{C2528D96-9D82-4CDA-9940-D12F8403ABB2}">
            <x14:dxf>
              <font>
                <color rgb="FF9C0006"/>
              </font>
              <fill>
                <patternFill patternType="solid">
                  <fgColor rgb="FFFFC7CE"/>
                  <bgColor rgb="FFFFC7CE"/>
                </patternFill>
              </fill>
            </x14:dxf>
          </x14:cfRule>
          <xm:sqref>C2068</xm:sqref>
        </x14:conditionalFormatting>
        <x14:conditionalFormatting xmlns:xm="http://schemas.microsoft.com/office/excel/2006/main">
          <x14:cfRule type="duplicateValues" priority="85" id="{23E5E196-5F32-4404-9007-7D3336B47FD1}">
            <x14:dxf>
              <font>
                <color rgb="FF9C0006"/>
              </font>
              <fill>
                <patternFill patternType="solid">
                  <fgColor rgb="FFFFC7CE"/>
                  <bgColor rgb="FFFFC7CE"/>
                </patternFill>
              </fill>
            </x14:dxf>
          </x14:cfRule>
          <xm:sqref>C2069</xm:sqref>
        </x14:conditionalFormatting>
        <x14:conditionalFormatting xmlns:xm="http://schemas.microsoft.com/office/excel/2006/main">
          <x14:cfRule type="duplicateValues" priority="86" id="{B36C20D5-8BA5-442A-9562-6FF6CB6E387D}">
            <x14:dxf>
              <font>
                <color rgb="FF9C0006"/>
              </font>
              <fill>
                <patternFill patternType="solid">
                  <fgColor rgb="FFFFC7CE"/>
                  <bgColor rgb="FFFFC7CE"/>
                </patternFill>
              </fill>
            </x14:dxf>
          </x14:cfRule>
          <xm:sqref>C2070</xm:sqref>
        </x14:conditionalFormatting>
        <x14:conditionalFormatting xmlns:xm="http://schemas.microsoft.com/office/excel/2006/main">
          <x14:cfRule type="duplicateValues" priority="91" id="{C40D9D00-B277-4818-8EE2-97839FF0A80F}">
            <x14:dxf>
              <font>
                <color rgb="FF9C0006"/>
              </font>
              <fill>
                <patternFill patternType="solid">
                  <fgColor rgb="FFFFC7CE"/>
                  <bgColor rgb="FFFFC7CE"/>
                </patternFill>
              </fill>
            </x14:dxf>
          </x14:cfRule>
          <xm:sqref>C2082</xm:sqref>
        </x14:conditionalFormatting>
        <x14:conditionalFormatting xmlns:xm="http://schemas.microsoft.com/office/excel/2006/main">
          <x14:cfRule type="duplicateValues" priority="87" id="{741B5769-133F-4C98-B945-044485602EB9}">
            <x14:dxf>
              <font>
                <color rgb="FF9C0006"/>
              </font>
              <fill>
                <patternFill patternType="solid">
                  <fgColor rgb="FFFFC7CE"/>
                  <bgColor rgb="FFFFC7CE"/>
                </patternFill>
              </fill>
            </x14:dxf>
          </x14:cfRule>
          <xm:sqref>C2088</xm:sqref>
        </x14:conditionalFormatting>
        <x14:conditionalFormatting xmlns:xm="http://schemas.microsoft.com/office/excel/2006/main">
          <x14:cfRule type="duplicateValues" priority="88" id="{33B97A3F-9998-41B9-8ADB-9866D3957F5A}">
            <x14:dxf>
              <font>
                <color rgb="FF9C0006"/>
              </font>
              <fill>
                <patternFill patternType="solid">
                  <fgColor rgb="FFFFC7CE"/>
                  <bgColor rgb="FFFFC7CE"/>
                </patternFill>
              </fill>
            </x14:dxf>
          </x14:cfRule>
          <xm:sqref>C2089</xm:sqref>
        </x14:conditionalFormatting>
        <x14:conditionalFormatting xmlns:xm="http://schemas.microsoft.com/office/excel/2006/main">
          <x14:cfRule type="duplicateValues" priority="89" id="{91E572F1-90F5-4DFF-B47C-DEFC8C9CACD2}">
            <x14:dxf>
              <font>
                <color rgb="FF9C0006"/>
              </font>
              <fill>
                <patternFill patternType="solid">
                  <fgColor rgb="FFFFC7CE"/>
                  <bgColor rgb="FFFFC7CE"/>
                </patternFill>
              </fill>
            </x14:dxf>
          </x14:cfRule>
          <xm:sqref>C2090:C2094</xm:sqref>
        </x14:conditionalFormatting>
        <x14:conditionalFormatting xmlns:xm="http://schemas.microsoft.com/office/excel/2006/main">
          <x14:cfRule type="duplicateValues" priority="90" id="{7B066E0C-E8D9-4E6B-83CC-F347053F354D}">
            <x14:dxf>
              <font>
                <color rgb="FF9C0006"/>
              </font>
              <fill>
                <patternFill patternType="solid">
                  <fgColor rgb="FFFFC7CE"/>
                  <bgColor rgb="FFFFC7CE"/>
                </patternFill>
              </fill>
            </x14:dxf>
          </x14:cfRule>
          <xm:sqref>C2092:C2094</xm:sqref>
        </x14:conditionalFormatting>
        <x14:conditionalFormatting xmlns:xm="http://schemas.microsoft.com/office/excel/2006/main">
          <x14:cfRule type="duplicateValues" priority="104" id="{3630E2BD-F889-4D71-928A-8E0306031FF9}">
            <x14:dxf>
              <font>
                <color rgb="FF9C0006"/>
              </font>
              <fill>
                <patternFill patternType="solid">
                  <fgColor rgb="FFFFC7CE"/>
                  <bgColor rgb="FFFFC7CE"/>
                </patternFill>
              </fill>
            </x14:dxf>
          </x14:cfRule>
          <xm:sqref>C2095:C2096 C2006:C2007 C2020:C2024 C2027:C2043 C2047 C2083:C2086 C2071:C2081 C2045 C1966:C1990 C1921:C1964</xm:sqref>
        </x14:conditionalFormatting>
        <x14:conditionalFormatting xmlns:xm="http://schemas.microsoft.com/office/excel/2006/main">
          <x14:cfRule type="duplicateValues" priority="92" id="{9D7CC1FE-2E03-47CE-9688-20F0A9EEE498}">
            <x14:dxf>
              <font>
                <color rgb="FF9C0006"/>
              </font>
              <fill>
                <patternFill patternType="solid">
                  <fgColor rgb="FFFFC7CE"/>
                  <bgColor rgb="FFFFC7CE"/>
                </patternFill>
              </fill>
            </x14:dxf>
          </x14:cfRule>
          <xm:sqref>C2097:C2100</xm:sqref>
        </x14:conditionalFormatting>
        <x14:conditionalFormatting xmlns:xm="http://schemas.microsoft.com/office/excel/2006/main">
          <x14:cfRule type="duplicateValues" priority="93" id="{7D7B4D36-B2E5-4129-BE81-254111796D07}">
            <x14:dxf>
              <font>
                <color rgb="FF9C0006"/>
              </font>
              <fill>
                <patternFill patternType="solid">
                  <fgColor rgb="FFFFC7CE"/>
                  <bgColor rgb="FFFFC7CE"/>
                </patternFill>
              </fill>
            </x14:dxf>
          </x14:cfRule>
          <xm:sqref>C2100</xm:sqref>
        </x14:conditionalFormatting>
        <x14:conditionalFormatting xmlns:xm="http://schemas.microsoft.com/office/excel/2006/main">
          <x14:cfRule type="duplicateValues" priority="94" id="{114C3002-B703-493E-A46C-65C3F1481FCD}">
            <x14:dxf>
              <font>
                <color rgb="FF9C0006"/>
              </font>
              <fill>
                <patternFill patternType="solid">
                  <fgColor rgb="FFFFC7CE"/>
                  <bgColor rgb="FFFFC7CE"/>
                </patternFill>
              </fill>
            </x14:dxf>
          </x14:cfRule>
          <xm:sqref>C2101:C2102</xm:sqref>
        </x14:conditionalFormatting>
        <x14:conditionalFormatting xmlns:xm="http://schemas.microsoft.com/office/excel/2006/main">
          <x14:cfRule type="duplicateValues" priority="95" id="{65EE4F38-F65D-40FB-AC35-EC5B4DCDF7AF}">
            <x14:dxf>
              <font>
                <color rgb="FF9C0006"/>
              </font>
              <fill>
                <patternFill patternType="solid">
                  <fgColor rgb="FFFFC7CE"/>
                  <bgColor rgb="FFFFC7CE"/>
                </patternFill>
              </fill>
            </x14:dxf>
          </x14:cfRule>
          <xm:sqref>C2105 C2103</xm:sqref>
        </x14:conditionalFormatting>
        <x14:conditionalFormatting xmlns:xm="http://schemas.microsoft.com/office/excel/2006/main">
          <x14:cfRule type="duplicateValues" priority="96" id="{90C75DC9-13A4-4655-9A7B-071BB4163AF2}">
            <x14:dxf>
              <font>
                <color rgb="FF9C0006"/>
              </font>
              <fill>
                <patternFill patternType="solid">
                  <fgColor rgb="FFFFC7CE"/>
                  <bgColor rgb="FFFFC7CE"/>
                </patternFill>
              </fill>
            </x14:dxf>
          </x14:cfRule>
          <xm:sqref>C2107</xm:sqref>
        </x14:conditionalFormatting>
        <x14:conditionalFormatting xmlns:xm="http://schemas.microsoft.com/office/excel/2006/main">
          <x14:cfRule type="duplicateValues" priority="97" id="{C5A1709E-64AC-45F5-AF0F-747479E20CD3}">
            <x14:dxf>
              <font>
                <color rgb="FF9C0006"/>
              </font>
              <fill>
                <patternFill patternType="solid">
                  <fgColor rgb="FFFFC7CE"/>
                  <bgColor rgb="FFFFC7CE"/>
                </patternFill>
              </fill>
            </x14:dxf>
          </x14:cfRule>
          <xm:sqref>C2108:C2109</xm:sqref>
        </x14:conditionalFormatting>
        <x14:conditionalFormatting xmlns:xm="http://schemas.microsoft.com/office/excel/2006/main">
          <x14:cfRule type="duplicateValues" priority="98" id="{793C94E9-6F10-4518-A7D7-150DB67CB3D3}">
            <x14:dxf>
              <font>
                <color rgb="FF9C0006"/>
              </font>
              <fill>
                <patternFill patternType="solid">
                  <fgColor rgb="FFFFC7CE"/>
                  <bgColor rgb="FFFFC7CE"/>
                </patternFill>
              </fill>
            </x14:dxf>
          </x14:cfRule>
          <xm:sqref>C2110:C2112</xm:sqref>
        </x14:conditionalFormatting>
        <x14:conditionalFormatting xmlns:xm="http://schemas.microsoft.com/office/excel/2006/main">
          <x14:cfRule type="duplicateValues" priority="99" id="{5F7E080E-8521-4C4E-A27B-D34F5969A44C}">
            <x14:dxf>
              <font>
                <color rgb="FF9C0006"/>
              </font>
              <fill>
                <patternFill patternType="solid">
                  <fgColor rgb="FFFFC7CE"/>
                  <bgColor rgb="FFFFC7CE"/>
                </patternFill>
              </fill>
            </x14:dxf>
          </x14:cfRule>
          <xm:sqref>C2113:C2114</xm:sqref>
        </x14:conditionalFormatting>
        <x14:conditionalFormatting xmlns:xm="http://schemas.microsoft.com/office/excel/2006/main">
          <x14:cfRule type="duplicateValues" priority="100" id="{10292E12-75DD-4525-AE44-98924225206D}">
            <x14:dxf>
              <font>
                <color rgb="FF9C0006"/>
              </font>
              <fill>
                <patternFill patternType="solid">
                  <fgColor rgb="FFFFC7CE"/>
                  <bgColor rgb="FFFFC7CE"/>
                </patternFill>
              </fill>
            </x14:dxf>
          </x14:cfRule>
          <xm:sqref>C2116:C2117</xm:sqref>
        </x14:conditionalFormatting>
        <x14:conditionalFormatting xmlns:xm="http://schemas.microsoft.com/office/excel/2006/main">
          <x14:cfRule type="duplicateValues" priority="101" id="{3F55F9D0-4C1D-4432-A462-1755AF8873BC}">
            <x14:dxf>
              <font>
                <color rgb="FF9C0006"/>
              </font>
              <fill>
                <patternFill patternType="solid">
                  <fgColor rgb="FFFFC7CE"/>
                  <bgColor rgb="FFFFC7CE"/>
                </patternFill>
              </fill>
            </x14:dxf>
          </x14:cfRule>
          <xm:sqref>C2118:C2120</xm:sqref>
        </x14:conditionalFormatting>
        <x14:conditionalFormatting xmlns:xm="http://schemas.microsoft.com/office/excel/2006/main">
          <x14:cfRule type="duplicateValues" priority="44" id="{29FBF6CB-45BA-42EF-BC80-D632B57BF804}">
            <x14:dxf>
              <font>
                <color rgb="FF9C0006"/>
              </font>
              <fill>
                <patternFill patternType="solid">
                  <fgColor rgb="FFFFC7CE"/>
                  <bgColor rgb="FFFFC7CE"/>
                </patternFill>
              </fill>
            </x14:dxf>
          </x14:cfRule>
          <xm:sqref>C2121</xm:sqref>
        </x14:conditionalFormatting>
        <x14:conditionalFormatting xmlns:xm="http://schemas.microsoft.com/office/excel/2006/main">
          <x14:cfRule type="duplicateValues" priority="43" id="{E2343088-6D67-4D80-BC7E-A392A6DEE533}">
            <x14:dxf>
              <font>
                <color rgb="FF9C0006"/>
              </font>
              <fill>
                <patternFill patternType="solid">
                  <fgColor rgb="FFFFC7CE"/>
                  <bgColor rgb="FFFFC7CE"/>
                </patternFill>
              </fill>
            </x14:dxf>
          </x14:cfRule>
          <xm:sqref>C2124</xm:sqref>
        </x14:conditionalFormatting>
        <x14:conditionalFormatting xmlns:xm="http://schemas.microsoft.com/office/excel/2006/main">
          <x14:cfRule type="duplicateValues" priority="41" id="{2EEC8DE6-93E0-4237-AA35-21A8CD941DAC}">
            <x14:dxf>
              <font>
                <color rgb="FF9C0006"/>
              </font>
              <fill>
                <patternFill patternType="solid">
                  <fgColor rgb="FFFFC7CE"/>
                  <bgColor rgb="FFFFC7CE"/>
                </patternFill>
              </fill>
            </x14:dxf>
          </x14:cfRule>
          <xm:sqref>C2135</xm:sqref>
        </x14:conditionalFormatting>
        <x14:conditionalFormatting xmlns:xm="http://schemas.microsoft.com/office/excel/2006/main">
          <x14:cfRule type="duplicateValues" priority="42" id="{DB662D3C-147B-4423-BEA2-BA9B9572A753}">
            <x14:dxf>
              <font>
                <color rgb="FF9C0006"/>
              </font>
              <fill>
                <patternFill patternType="solid">
                  <fgColor rgb="FFFFC7CE"/>
                  <bgColor rgb="FFFFC7CE"/>
                </patternFill>
              </fill>
            </x14:dxf>
          </x14:cfRule>
          <xm:sqref>C2135</xm:sqref>
        </x14:conditionalFormatting>
        <x14:conditionalFormatting xmlns:xm="http://schemas.microsoft.com/office/excel/2006/main">
          <x14:cfRule type="duplicateValues" priority="105" id="{00D9BDC4-1A9A-4675-BBC6-1A703BC3214D}">
            <x14:dxf>
              <font>
                <color rgb="FF9C0006"/>
              </font>
              <fill>
                <patternFill patternType="solid">
                  <fgColor rgb="FFFFC7CE"/>
                  <bgColor rgb="FFFFC7CE"/>
                </patternFill>
              </fill>
            </x14:dxf>
          </x14:cfRule>
          <xm:sqref>C2144:C2145 C2006:C2007 C2020:C2024 C2027:C2043 C2047 C2095:C2096 C2083:C2086 C2071:C2081 C2045 C1966:C1990 C1921:C1964</xm:sqref>
        </x14:conditionalFormatting>
        <x14:conditionalFormatting xmlns:xm="http://schemas.microsoft.com/office/excel/2006/main">
          <x14:cfRule type="duplicateValues" priority="40" id="{F9EF8EC8-6113-4ED7-BFDE-5E957A91A066}">
            <x14:dxf>
              <font>
                <color rgb="FF9C0006"/>
              </font>
              <fill>
                <patternFill patternType="solid">
                  <fgColor rgb="FFFFC7CE"/>
                  <bgColor rgb="FFFFC7CE"/>
                </patternFill>
              </fill>
            </x14:dxf>
          </x14:cfRule>
          <xm:sqref>C2146</xm:sqref>
        </x14:conditionalFormatting>
        <x14:conditionalFormatting xmlns:xm="http://schemas.microsoft.com/office/excel/2006/main">
          <x14:cfRule type="duplicateValues" priority="38" id="{4ABBA893-C2A8-4F66-B481-7B99917A736D}">
            <x14:dxf>
              <font>
                <color rgb="FF9C0006"/>
              </font>
              <fill>
                <patternFill patternType="solid">
                  <fgColor rgb="FFFFC7CE"/>
                  <bgColor rgb="FFFFC7CE"/>
                </patternFill>
              </fill>
            </x14:dxf>
          </x14:cfRule>
          <xm:sqref>C2166</xm:sqref>
        </x14:conditionalFormatting>
        <x14:conditionalFormatting xmlns:xm="http://schemas.microsoft.com/office/excel/2006/main">
          <x14:cfRule type="duplicateValues" priority="39" id="{08264968-D98D-4E28-8B0B-28175DA4F41D}">
            <x14:dxf>
              <font>
                <color rgb="FF9C0006"/>
              </font>
              <fill>
                <patternFill patternType="solid">
                  <fgColor rgb="FFFFC7CE"/>
                  <bgColor rgb="FFFFC7CE"/>
                </patternFill>
              </fill>
            </x14:dxf>
          </x14:cfRule>
          <xm:sqref>C2166</xm:sqref>
        </x14:conditionalFormatting>
        <x14:conditionalFormatting xmlns:xm="http://schemas.microsoft.com/office/excel/2006/main">
          <x14:cfRule type="duplicateValues" priority="37" id="{BE743F8F-9D9F-4B44-8D42-3E52DD4E0A7D}">
            <x14:dxf>
              <font>
                <color rgb="FF9C0006"/>
              </font>
              <fill>
                <patternFill patternType="solid">
                  <fgColor rgb="FFFFC7CE"/>
                  <bgColor rgb="FFFFC7CE"/>
                </patternFill>
              </fill>
            </x14:dxf>
          </x14:cfRule>
          <xm:sqref>C2167</xm:sqref>
        </x14:conditionalFormatting>
        <x14:conditionalFormatting xmlns:xm="http://schemas.microsoft.com/office/excel/2006/main">
          <x14:cfRule type="duplicateValues" priority="36" id="{4AE0046B-8807-436E-872F-169F2FDD5B47}">
            <x14:dxf>
              <font>
                <color rgb="FF9C0006"/>
              </font>
              <fill>
                <patternFill patternType="solid">
                  <fgColor rgb="FFFFC7CE"/>
                  <bgColor rgb="FFFFC7CE"/>
                </patternFill>
              </fill>
            </x14:dxf>
          </x14:cfRule>
          <xm:sqref>C2167</xm:sqref>
        </x14:conditionalFormatting>
        <x14:conditionalFormatting xmlns:xm="http://schemas.microsoft.com/office/excel/2006/main">
          <x14:cfRule type="duplicateValues" priority="30" id="{C9F6D963-A73F-4FE4-ADB1-09CBB8E1CE86}">
            <x14:dxf>
              <font>
                <color rgb="FF9C0006"/>
              </font>
              <fill>
                <patternFill patternType="solid">
                  <fgColor rgb="FFFFC7CE"/>
                  <bgColor rgb="FFFFC7CE"/>
                </patternFill>
              </fill>
            </x14:dxf>
          </x14:cfRule>
          <xm:sqref>C2168</xm:sqref>
        </x14:conditionalFormatting>
        <x14:conditionalFormatting xmlns:xm="http://schemas.microsoft.com/office/excel/2006/main">
          <x14:cfRule type="duplicateValues" priority="31" id="{B837990F-22CD-477B-B2C1-79EE565A9591}">
            <x14:dxf>
              <font>
                <color rgb="FF9C0006"/>
              </font>
              <fill>
                <patternFill patternType="solid">
                  <fgColor rgb="FFFFC7CE"/>
                  <bgColor rgb="FFFFC7CE"/>
                </patternFill>
              </fill>
            </x14:dxf>
          </x14:cfRule>
          <xm:sqref>C2168</xm:sqref>
        </x14:conditionalFormatting>
        <x14:conditionalFormatting xmlns:xm="http://schemas.microsoft.com/office/excel/2006/main">
          <x14:cfRule type="duplicateValues" priority="35" id="{19E038CF-E3A5-40E4-B9BD-EBEBAF7CA2D5}">
            <x14:dxf>
              <font>
                <color rgb="FF9C0006"/>
              </font>
              <fill>
                <patternFill patternType="solid">
                  <fgColor rgb="FFFFC7CE"/>
                  <bgColor rgb="FFFFC7CE"/>
                </patternFill>
              </fill>
            </x14:dxf>
          </x14:cfRule>
          <xm:sqref>C2169</xm:sqref>
        </x14:conditionalFormatting>
        <x14:conditionalFormatting xmlns:xm="http://schemas.microsoft.com/office/excel/2006/main">
          <x14:cfRule type="duplicateValues" priority="34" id="{294B4B26-4439-470C-BB5B-A2AD0FE64DBE}">
            <x14:dxf>
              <font>
                <color rgb="FF9C0006"/>
              </font>
              <fill>
                <patternFill patternType="solid">
                  <fgColor rgb="FFFFC7CE"/>
                  <bgColor rgb="FFFFC7CE"/>
                </patternFill>
              </fill>
            </x14:dxf>
          </x14:cfRule>
          <xm:sqref>C2169</xm:sqref>
        </x14:conditionalFormatting>
        <x14:conditionalFormatting xmlns:xm="http://schemas.microsoft.com/office/excel/2006/main">
          <x14:cfRule type="duplicateValues" priority="22" id="{95597E55-D22F-4E7F-90CD-2DC095617728}">
            <x14:dxf>
              <font>
                <color rgb="FF9C0006"/>
              </font>
              <fill>
                <patternFill patternType="solid">
                  <fgColor rgb="FFFFC7CE"/>
                  <bgColor rgb="FFFFC7CE"/>
                </patternFill>
              </fill>
            </x14:dxf>
          </x14:cfRule>
          <xm:sqref>C2170</xm:sqref>
        </x14:conditionalFormatting>
        <x14:conditionalFormatting xmlns:xm="http://schemas.microsoft.com/office/excel/2006/main">
          <x14:cfRule type="duplicateValues" priority="21" id="{46A66C69-6B97-4869-A53E-740E93123AEB}">
            <x14:dxf>
              <font>
                <color rgb="FF9C0006"/>
              </font>
              <fill>
                <patternFill patternType="solid">
                  <fgColor rgb="FFFFC7CE"/>
                  <bgColor rgb="FFFFC7CE"/>
                </patternFill>
              </fill>
            </x14:dxf>
          </x14:cfRule>
          <xm:sqref>C2170</xm:sqref>
        </x14:conditionalFormatting>
        <x14:conditionalFormatting xmlns:xm="http://schemas.microsoft.com/office/excel/2006/main">
          <x14:cfRule type="duplicateValues" priority="33" id="{1C3155CB-BD9B-43E5-84AA-891210A656C5}">
            <x14:dxf>
              <font>
                <color rgb="FF9C0006"/>
              </font>
              <fill>
                <patternFill patternType="solid">
                  <fgColor rgb="FFFFC7CE"/>
                  <bgColor rgb="FFFFC7CE"/>
                </patternFill>
              </fill>
            </x14:dxf>
          </x14:cfRule>
          <xm:sqref>C2174</xm:sqref>
        </x14:conditionalFormatting>
        <x14:conditionalFormatting xmlns:xm="http://schemas.microsoft.com/office/excel/2006/main">
          <x14:cfRule type="duplicateValues" priority="32" id="{B5266425-B434-4BEC-94AF-1BF597CDD166}">
            <x14:dxf>
              <font>
                <color rgb="FF9C0006"/>
              </font>
              <fill>
                <patternFill patternType="solid">
                  <fgColor rgb="FFFFC7CE"/>
                  <bgColor rgb="FFFFC7CE"/>
                </patternFill>
              </fill>
            </x14:dxf>
          </x14:cfRule>
          <xm:sqref>C2174</xm:sqref>
        </x14:conditionalFormatting>
        <x14:conditionalFormatting xmlns:xm="http://schemas.microsoft.com/office/excel/2006/main">
          <x14:cfRule type="duplicateValues" priority="26" id="{A6C4C00A-489E-4666-8D5A-3FB517218753}">
            <x14:dxf>
              <font>
                <color rgb="FF9C0006"/>
              </font>
              <fill>
                <patternFill patternType="solid">
                  <fgColor rgb="FFFFC7CE"/>
                  <bgColor rgb="FFFFC7CE"/>
                </patternFill>
              </fill>
            </x14:dxf>
          </x14:cfRule>
          <xm:sqref>C2202</xm:sqref>
        </x14:conditionalFormatting>
        <x14:conditionalFormatting xmlns:xm="http://schemas.microsoft.com/office/excel/2006/main">
          <x14:cfRule type="duplicateValues" priority="27" id="{1A75CEB9-97D9-49C2-AE10-2F3626E97605}">
            <x14:dxf>
              <font>
                <color rgb="FF9C0006"/>
              </font>
              <fill>
                <patternFill patternType="solid">
                  <fgColor rgb="FFFFC7CE"/>
                  <bgColor rgb="FFFFC7CE"/>
                </patternFill>
              </fill>
            </x14:dxf>
          </x14:cfRule>
          <xm:sqref>C2202</xm:sqref>
        </x14:conditionalFormatting>
        <x14:conditionalFormatting xmlns:xm="http://schemas.microsoft.com/office/excel/2006/main">
          <x14:cfRule type="duplicateValues" priority="24" id="{287713FD-3B49-4E09-97D3-7E6FBF8AF06B}">
            <x14:dxf>
              <font>
                <color rgb="FF9C0006"/>
              </font>
              <fill>
                <patternFill patternType="solid">
                  <fgColor rgb="FFFFC7CE"/>
                  <bgColor rgb="FFFFC7CE"/>
                </patternFill>
              </fill>
            </x14:dxf>
          </x14:cfRule>
          <xm:sqref>C2203</xm:sqref>
        </x14:conditionalFormatting>
        <x14:conditionalFormatting xmlns:xm="http://schemas.microsoft.com/office/excel/2006/main">
          <x14:cfRule type="duplicateValues" priority="25" id="{1045BFB8-10A1-4E4C-AEBA-CF1DFE7ECB32}">
            <x14:dxf>
              <font>
                <color rgb="FF9C0006"/>
              </font>
              <fill>
                <patternFill patternType="solid">
                  <fgColor rgb="FFFFC7CE"/>
                  <bgColor rgb="FFFFC7CE"/>
                </patternFill>
              </fill>
            </x14:dxf>
          </x14:cfRule>
          <xm:sqref>C2203</xm:sqref>
        </x14:conditionalFormatting>
        <x14:conditionalFormatting xmlns:xm="http://schemas.microsoft.com/office/excel/2006/main">
          <x14:cfRule type="duplicateValues" priority="23" id="{A044B5E9-5133-4255-86B6-23739DE700E3}">
            <x14:dxf>
              <font>
                <color rgb="FF9C0006"/>
              </font>
              <fill>
                <patternFill patternType="solid">
                  <fgColor rgb="FFFFC7CE"/>
                  <bgColor rgb="FFFFC7CE"/>
                </patternFill>
              </fill>
            </x14:dxf>
          </x14:cfRule>
          <xm:sqref>C2215</xm:sqref>
        </x14:conditionalFormatting>
        <x14:conditionalFormatting xmlns:xm="http://schemas.microsoft.com/office/excel/2006/main">
          <x14:cfRule type="duplicateValues" priority="1" id="{5558F2C1-29FD-4AB8-BF0A-831248BD4F9C}">
            <x14:dxf>
              <font>
                <color rgb="FF9C0006"/>
              </font>
              <fill>
                <patternFill patternType="solid">
                  <fgColor rgb="FFFFC7CE"/>
                  <bgColor rgb="FFFFC7CE"/>
                </patternFill>
              </fill>
            </x14:dxf>
          </x14:cfRule>
          <xm:sqref>C2732</xm:sqref>
        </x14:conditionalFormatting>
        <x14:conditionalFormatting xmlns:xm="http://schemas.microsoft.com/office/excel/2006/main">
          <x14:cfRule type="duplicateValues" priority="6" id="{EF53E253-8478-4D79-B397-950CE122DA61}">
            <x14:dxf>
              <font>
                <color rgb="FF9C0006"/>
              </font>
              <fill>
                <patternFill patternType="solid">
                  <fgColor rgb="FFFFC7CE"/>
                  <bgColor rgb="FFFFC7CE"/>
                </patternFill>
              </fill>
            </x14:dxf>
          </x14:cfRule>
          <xm:sqref>C2732</xm:sqref>
        </x14:conditionalFormatting>
        <x14:conditionalFormatting xmlns:xm="http://schemas.microsoft.com/office/excel/2006/main">
          <x14:cfRule type="duplicateValues" priority="5" id="{37AACB37-4585-4EAD-B643-BAB866CB7B1E}">
            <x14:dxf>
              <font>
                <color rgb="FF9C0006"/>
              </font>
              <fill>
                <patternFill patternType="solid">
                  <fgColor rgb="FFFFC7CE"/>
                  <bgColor rgb="FFFFC7CE"/>
                </patternFill>
              </fill>
            </x14:dxf>
          </x14:cfRule>
          <xm:sqref>C2732</xm:sqref>
        </x14:conditionalFormatting>
        <x14:conditionalFormatting xmlns:xm="http://schemas.microsoft.com/office/excel/2006/main">
          <x14:cfRule type="duplicateValues" priority="4" id="{5BF77BFF-0A29-46EC-82B6-BF21F3827E7A}">
            <x14:dxf>
              <font>
                <color rgb="FF9C0006"/>
              </font>
              <fill>
                <patternFill patternType="solid">
                  <fgColor rgb="FFFFC7CE"/>
                  <bgColor rgb="FFFFC7CE"/>
                </patternFill>
              </fill>
            </x14:dxf>
          </x14:cfRule>
          <xm:sqref>C2732</xm:sqref>
        </x14:conditionalFormatting>
        <x14:conditionalFormatting xmlns:xm="http://schemas.microsoft.com/office/excel/2006/main">
          <x14:cfRule type="duplicateValues" priority="3" id="{057335CE-FC5E-4FF3-84AD-E42E75CF8A25}">
            <x14:dxf>
              <font>
                <color rgb="FF9C0006"/>
              </font>
              <fill>
                <patternFill patternType="solid">
                  <fgColor rgb="FFFFC7CE"/>
                  <bgColor rgb="FFFFC7CE"/>
                </patternFill>
              </fill>
            </x14:dxf>
          </x14:cfRule>
          <xm:sqref>C2732</xm:sqref>
        </x14:conditionalFormatting>
        <x14:conditionalFormatting xmlns:xm="http://schemas.microsoft.com/office/excel/2006/main">
          <x14:cfRule type="duplicateValues" priority="2" id="{53A814F4-95DF-4327-867A-4025F233CBE0}">
            <x14:dxf>
              <font>
                <color rgb="FF9C0006"/>
              </font>
              <fill>
                <patternFill patternType="solid">
                  <fgColor rgb="FFFFC7CE"/>
                  <bgColor rgb="FFFFC7CE"/>
                </patternFill>
              </fill>
            </x14:dxf>
          </x14:cfRule>
          <xm:sqref>C2732</xm:sqref>
        </x14:conditionalFormatting>
        <x14:conditionalFormatting xmlns:xm="http://schemas.microsoft.com/office/excel/2006/main">
          <x14:cfRule type="duplicateValues" priority="15" id="{706C1B0F-DCD5-4CED-AB08-FFA3914FC10F}">
            <x14:dxf>
              <font>
                <color rgb="FF9C0006"/>
              </font>
              <fill>
                <patternFill patternType="solid">
                  <fgColor rgb="FFFFC7CE"/>
                  <bgColor rgb="FFFFC7CE"/>
                </patternFill>
              </fill>
            </x14:dxf>
          </x14:cfRule>
          <xm:sqref>C2780:C2788</xm:sqref>
        </x14:conditionalFormatting>
        <x14:conditionalFormatting xmlns:xm="http://schemas.microsoft.com/office/excel/2006/main">
          <x14:cfRule type="duplicateValues" priority="19" id="{7D7B4984-FE73-476D-992C-F450BBAF2728}">
            <x14:dxf>
              <font>
                <color rgb="FF9C0006"/>
              </font>
              <fill>
                <patternFill patternType="solid">
                  <fgColor rgb="FFFFC7CE"/>
                  <bgColor rgb="FFFFC7CE"/>
                </patternFill>
              </fill>
            </x14:dxf>
          </x14:cfRule>
          <xm:sqref>C2780:C2788</xm:sqref>
        </x14:conditionalFormatting>
        <x14:conditionalFormatting xmlns:xm="http://schemas.microsoft.com/office/excel/2006/main">
          <x14:cfRule type="duplicateValues" priority="18" id="{42147774-EF2E-4ECD-A772-A1DD2119D637}">
            <x14:dxf>
              <font>
                <color rgb="FF9C0006"/>
              </font>
              <fill>
                <patternFill patternType="solid">
                  <fgColor rgb="FFFFC7CE"/>
                  <bgColor rgb="FFFFC7CE"/>
                </patternFill>
              </fill>
            </x14:dxf>
          </x14:cfRule>
          <xm:sqref>C2780:C2788</xm:sqref>
        </x14:conditionalFormatting>
        <x14:conditionalFormatting xmlns:xm="http://schemas.microsoft.com/office/excel/2006/main">
          <x14:cfRule type="duplicateValues" priority="17" id="{E4D3617C-20B4-49DA-BF92-F63E8BB8CB2D}">
            <x14:dxf>
              <font>
                <color rgb="FF9C0006"/>
              </font>
              <fill>
                <patternFill patternType="solid">
                  <fgColor rgb="FFFFC7CE"/>
                  <bgColor rgb="FFFFC7CE"/>
                </patternFill>
              </fill>
            </x14:dxf>
          </x14:cfRule>
          <xm:sqref>C2780:C2788</xm:sqref>
        </x14:conditionalFormatting>
        <x14:conditionalFormatting xmlns:xm="http://schemas.microsoft.com/office/excel/2006/main">
          <x14:cfRule type="duplicateValues" priority="16" id="{D2DA2A0B-DC96-42F8-80A8-7B2DB9008C9C}">
            <x14:dxf>
              <font>
                <color rgb="FF9C0006"/>
              </font>
              <fill>
                <patternFill patternType="solid">
                  <fgColor rgb="FFFFC7CE"/>
                  <bgColor rgb="FFFFC7CE"/>
                </patternFill>
              </fill>
            </x14:dxf>
          </x14:cfRule>
          <xm:sqref>C2780:C2788</xm:sqref>
        </x14:conditionalFormatting>
        <x14:conditionalFormatting xmlns:xm="http://schemas.microsoft.com/office/excel/2006/main">
          <x14:cfRule type="duplicateValues" priority="14" id="{B6281647-6C8A-4214-A514-1CEDA90EE8C1}">
            <x14:dxf>
              <font>
                <color rgb="FF9C0006"/>
              </font>
              <fill>
                <patternFill patternType="solid">
                  <fgColor rgb="FFFFC7CE"/>
                  <bgColor rgb="FFFFC7CE"/>
                </patternFill>
              </fill>
            </x14:dxf>
          </x14:cfRule>
          <xm:sqref>C2781:C2788</xm:sqref>
        </x14:conditionalFormatting>
        <x14:conditionalFormatting xmlns:xm="http://schemas.microsoft.com/office/excel/2006/main">
          <x14:cfRule type="duplicateValues" priority="13" id="{19354F0B-C5DC-4A8B-B8DF-93BBDFCD100F}">
            <x14:dxf>
              <font>
                <color rgb="FF9C0006"/>
              </font>
              <fill>
                <patternFill patternType="solid">
                  <fgColor rgb="FFFFC7CE"/>
                  <bgColor rgb="FFFFC7CE"/>
                </patternFill>
              </fill>
            </x14:dxf>
          </x14:cfRule>
          <xm:sqref>C2786:C2788</xm:sqref>
        </x14:conditionalFormatting>
        <x14:conditionalFormatting xmlns:xm="http://schemas.microsoft.com/office/excel/2006/main">
          <x14:cfRule type="duplicateValues" priority="12" id="{78767B6C-A471-4285-8541-D857EC6737AE}">
            <x14:dxf>
              <font>
                <color rgb="FF9C0006"/>
              </font>
              <fill>
                <patternFill patternType="solid">
                  <fgColor rgb="FFFFC7CE"/>
                  <bgColor rgb="FFFFC7CE"/>
                </patternFill>
              </fill>
            </x14:dxf>
          </x14:cfRule>
          <xm:sqref>C2789:C2791</xm:sqref>
        </x14:conditionalFormatting>
        <x14:conditionalFormatting xmlns:xm="http://schemas.microsoft.com/office/excel/2006/main">
          <x14:cfRule type="duplicateValues" priority="11" id="{12FAFDC6-45BB-40F9-8661-C66BADAA2EBB}">
            <x14:dxf>
              <font>
                <color rgb="FF9C0006"/>
              </font>
              <fill>
                <patternFill patternType="solid">
                  <fgColor rgb="FFFFC7CE"/>
                  <bgColor rgb="FFFFC7CE"/>
                </patternFill>
              </fill>
            </x14:dxf>
          </x14:cfRule>
          <xm:sqref>C2792:C2793</xm:sqref>
        </x14:conditionalFormatting>
        <x14:conditionalFormatting xmlns:xm="http://schemas.microsoft.com/office/excel/2006/main">
          <x14:cfRule type="duplicateValues" priority="10" id="{2F587AE6-D696-4CF2-B30B-85FB35E9CA9B}">
            <x14:dxf>
              <font>
                <color rgb="FF9C0006"/>
              </font>
              <fill>
                <patternFill patternType="solid">
                  <fgColor rgb="FFFFC7CE"/>
                  <bgColor rgb="FFFFC7CE"/>
                </patternFill>
              </fill>
            </x14:dxf>
          </x14:cfRule>
          <xm:sqref>C2794:C2795</xm:sqref>
        </x14:conditionalFormatting>
        <x14:conditionalFormatting xmlns:xm="http://schemas.microsoft.com/office/excel/2006/main">
          <x14:cfRule type="duplicateValues" priority="8" id="{9D26B6FC-B937-43F4-B4F5-7376E7E189F5}">
            <x14:dxf>
              <font>
                <color rgb="FF9C0006"/>
              </font>
              <fill>
                <patternFill patternType="solid">
                  <fgColor rgb="FFFFC7CE"/>
                  <bgColor rgb="FFFFC7CE"/>
                </patternFill>
              </fill>
            </x14:dxf>
          </x14:cfRule>
          <xm:sqref>C2796</xm:sqref>
        </x14:conditionalFormatting>
        <x14:conditionalFormatting xmlns:xm="http://schemas.microsoft.com/office/excel/2006/main">
          <x14:cfRule type="duplicateValues" priority="9" id="{145D55F9-3511-441E-B0F0-C73E084F0245}">
            <x14:dxf>
              <font>
                <color rgb="FF9C0006"/>
              </font>
              <fill>
                <patternFill patternType="solid">
                  <fgColor rgb="FFFFC7CE"/>
                  <bgColor rgb="FFFFC7CE"/>
                </patternFill>
              </fill>
            </x14:dxf>
          </x14:cfRule>
          <xm:sqref>C2797</xm:sqref>
        </x14:conditionalFormatting>
        <x14:conditionalFormatting xmlns:xm="http://schemas.microsoft.com/office/excel/2006/main">
          <x14:cfRule type="duplicateValues" priority="7" id="{D8CBF20F-DEFB-4EC5-B2AE-6BC799F6400B}">
            <x14:dxf>
              <font>
                <color rgb="FF9C0006"/>
              </font>
              <fill>
                <patternFill patternType="solid">
                  <fgColor rgb="FFFFC7CE"/>
                  <bgColor rgb="FFFFC7CE"/>
                </patternFill>
              </fill>
            </x14:dxf>
          </x14:cfRule>
          <xm:sqref>C2798:C2799</xm:sqref>
        </x14:conditionalFormatting>
        <x14:conditionalFormatting xmlns:xm="http://schemas.microsoft.com/office/excel/2006/main">
          <x14:cfRule type="duplicateValues" priority="20" id="{4DB8334A-FAD0-420D-BF47-899F0C839DDA}">
            <x14:dxf>
              <font>
                <color rgb="FF9C0006"/>
              </font>
              <fill>
                <patternFill patternType="solid">
                  <fgColor rgb="FFFFC7CE"/>
                  <bgColor rgb="FFFFC7CE"/>
                </patternFill>
              </fill>
            </x14:dxf>
          </x14:cfRule>
          <xm:sqref>C2800:C2802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bestFit="1" min="1" max="1" width="14.33203125"/>
    <col bestFit="1" min="2" max="2" width="14.7109375"/>
  </cols>
  <sheetData>
    <row r="1">
      <c r="A1" s="34" t="s">
        <v>2692</v>
      </c>
      <c r="B1">
        <f>VLOOKUP(A1,Sheet1!C:G,5,0)</f>
        <v>22.382580999999998</v>
      </c>
      <c r="C1">
        <f>VLOOKUP(A1,Sheet1!C:H,6,0)</f>
        <v>87.439922999999993</v>
      </c>
    </row>
    <row r="2">
      <c r="A2" s="34" t="s">
        <v>2701</v>
      </c>
    </row>
    <row r="3">
      <c r="A3" s="34" t="s">
        <v>2704</v>
      </c>
    </row>
    <row r="4">
      <c r="A4" s="34" t="s">
        <v>2715</v>
      </c>
    </row>
    <row r="5">
      <c r="A5" s="34" t="s">
        <v>2718</v>
      </c>
    </row>
    <row r="6">
      <c r="A6" s="34" t="s">
        <v>2721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51" id="{AFC83C7B-F1A4-4E2F-9266-ED8329C6DCAC}">
            <x14:dxf>
              <font>
                <color rgb="FF9C0006"/>
              </font>
              <fill>
                <patternFill patternType="solid">
                  <fgColor rgb="FFFFC7CE"/>
                  <bgColor rgb="FFFFC7CE"/>
                </patternFill>
              </fill>
            </x14:dxf>
          </x14:cfRule>
          <xm:sqref>A1:A6</xm:sqref>
        </x14:conditionalFormatting>
        <x14:conditionalFormatting xmlns:xm="http://schemas.microsoft.com/office/excel/2006/main">
          <x14:cfRule type="duplicateValues" priority="150" id="{2B5AE3D1-6B1F-4576-9712-51A61A31D348}">
            <x14:dxf>
              <font>
                <color rgb="FF9C0006"/>
              </font>
              <fill>
                <patternFill patternType="solid">
                  <fgColor rgb="FFFFC7CE"/>
                  <bgColor rgb="FFFFC7CE"/>
                </patternFill>
              </fill>
            </x14:dxf>
          </x14:cfRule>
          <xm:sqref>A1:A6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3" max="3" width="33.03125"/>
    <col customWidth="1" min="4" max="4" width="12.140625"/>
    <col customWidth="1" min="7" max="7" width="19.8515625"/>
    <col customWidth="1" min="8" max="8" width="12.7109375"/>
  </cols>
  <sheetData>
    <row r="1" ht="14.25">
      <c r="A1" s="49" t="s">
        <v>2</v>
      </c>
      <c r="B1" s="50" t="s">
        <v>3</v>
      </c>
      <c r="C1" s="50" t="s">
        <v>4</v>
      </c>
      <c r="D1" s="50" t="s">
        <v>5</v>
      </c>
      <c r="E1" s="50" t="s">
        <v>6</v>
      </c>
      <c r="F1" s="50" t="s">
        <v>7</v>
      </c>
      <c r="G1" s="50" t="s">
        <v>12</v>
      </c>
      <c r="H1" s="51" t="s">
        <v>7900</v>
      </c>
    </row>
    <row r="2" ht="14.25">
      <c r="A2" t="s">
        <v>3885</v>
      </c>
      <c r="B2" t="s">
        <v>3886</v>
      </c>
      <c r="C2" t="s">
        <v>3887</v>
      </c>
      <c r="D2" t="s">
        <v>3888</v>
      </c>
      <c r="E2">
        <v>22.430420999999999</v>
      </c>
      <c r="F2">
        <v>87.310649999999995</v>
      </c>
      <c r="G2" t="s">
        <v>3889</v>
      </c>
    </row>
    <row r="3" ht="14.25">
      <c r="A3" t="s">
        <v>3890</v>
      </c>
      <c r="B3" t="s">
        <v>3886</v>
      </c>
      <c r="C3" t="s">
        <v>3891</v>
      </c>
      <c r="D3" t="s">
        <v>3892</v>
      </c>
      <c r="E3">
        <v>22.411246999999999</v>
      </c>
      <c r="F3">
        <v>87.326471999999995</v>
      </c>
      <c r="G3" t="s">
        <v>3893</v>
      </c>
    </row>
    <row r="4" ht="14.25">
      <c r="A4" t="s">
        <v>3895</v>
      </c>
      <c r="B4" t="s">
        <v>3886</v>
      </c>
      <c r="C4" t="s">
        <v>3896</v>
      </c>
      <c r="D4" t="s">
        <v>3897</v>
      </c>
      <c r="E4">
        <v>22.407152</v>
      </c>
      <c r="F4">
        <v>87.339983000000004</v>
      </c>
      <c r="G4" t="s">
        <v>3889</v>
      </c>
    </row>
    <row r="5" ht="14.25">
      <c r="A5" t="s">
        <v>3898</v>
      </c>
      <c r="B5" t="s">
        <v>3886</v>
      </c>
      <c r="C5" t="s">
        <v>3899</v>
      </c>
      <c r="D5" t="s">
        <v>3900</v>
      </c>
      <c r="E5">
        <v>22.413170999999998</v>
      </c>
      <c r="F5">
        <v>87.321712000000005</v>
      </c>
      <c r="G5" t="s">
        <v>3889</v>
      </c>
    </row>
    <row r="6" ht="14.25">
      <c r="A6" t="s">
        <v>3901</v>
      </c>
      <c r="B6" t="s">
        <v>3886</v>
      </c>
      <c r="C6" t="s">
        <v>3902</v>
      </c>
      <c r="D6" t="s">
        <v>3903</v>
      </c>
      <c r="E6">
        <v>22.412555999999999</v>
      </c>
      <c r="F6">
        <v>87.315622000000005</v>
      </c>
      <c r="G6" t="s">
        <v>3893</v>
      </c>
    </row>
    <row r="7" ht="14.25">
      <c r="A7" t="s">
        <v>3904</v>
      </c>
      <c r="B7" t="s">
        <v>3886</v>
      </c>
      <c r="C7" t="s">
        <v>3905</v>
      </c>
      <c r="D7" t="s">
        <v>3906</v>
      </c>
      <c r="E7">
        <v>22.410107</v>
      </c>
      <c r="F7">
        <v>87.320469000000003</v>
      </c>
      <c r="G7" t="s">
        <v>3893</v>
      </c>
    </row>
    <row r="8" ht="14.25">
      <c r="A8" t="s">
        <v>3907</v>
      </c>
      <c r="B8" t="s">
        <v>3886</v>
      </c>
      <c r="C8" t="s">
        <v>3908</v>
      </c>
      <c r="D8" t="s">
        <v>3909</v>
      </c>
      <c r="E8">
        <v>22.423338999999999</v>
      </c>
      <c r="F8">
        <v>87.321083999999999</v>
      </c>
      <c r="G8" t="s">
        <v>3893</v>
      </c>
    </row>
    <row r="9" ht="14.25">
      <c r="A9" t="s">
        <v>3910</v>
      </c>
      <c r="B9" t="s">
        <v>3886</v>
      </c>
      <c r="C9" t="s">
        <v>3911</v>
      </c>
      <c r="D9" t="s">
        <v>3912</v>
      </c>
      <c r="E9">
        <v>22.414726000000002</v>
      </c>
      <c r="F9">
        <v>87.308618999999993</v>
      </c>
      <c r="G9" t="s">
        <v>3889</v>
      </c>
    </row>
    <row r="10" ht="14.25">
      <c r="A10" t="s">
        <v>3913</v>
      </c>
      <c r="B10" t="s">
        <v>3886</v>
      </c>
      <c r="C10" t="s">
        <v>3914</v>
      </c>
      <c r="D10" t="s">
        <v>3915</v>
      </c>
      <c r="E10">
        <v>22.422602000000001</v>
      </c>
      <c r="F10">
        <v>87.307844000000003</v>
      </c>
      <c r="G10" t="s">
        <v>3889</v>
      </c>
    </row>
    <row r="11" ht="14.25">
      <c r="A11" t="s">
        <v>3916</v>
      </c>
      <c r="B11" t="s">
        <v>3886</v>
      </c>
      <c r="C11" t="s">
        <v>3917</v>
      </c>
      <c r="D11" t="s">
        <v>3918</v>
      </c>
      <c r="E11">
        <v>22.420310000000001</v>
      </c>
      <c r="F11">
        <v>87.332258999999993</v>
      </c>
      <c r="G11" t="s">
        <v>3889</v>
      </c>
    </row>
    <row r="12" ht="14.25">
      <c r="A12" t="s">
        <v>3919</v>
      </c>
      <c r="B12" t="s">
        <v>3886</v>
      </c>
      <c r="C12" t="s">
        <v>3920</v>
      </c>
      <c r="D12" t="s">
        <v>3921</v>
      </c>
      <c r="E12">
        <v>22.434926000000001</v>
      </c>
      <c r="F12">
        <v>87.323363999999998</v>
      </c>
      <c r="G12" t="s">
        <v>3893</v>
      </c>
    </row>
    <row r="13" ht="14.25">
      <c r="A13" t="s">
        <v>3922</v>
      </c>
      <c r="B13" t="s">
        <v>3886</v>
      </c>
      <c r="C13" t="s">
        <v>3923</v>
      </c>
      <c r="D13" t="s">
        <v>3924</v>
      </c>
      <c r="E13">
        <v>22.441706</v>
      </c>
      <c r="F13">
        <v>87.322957000000002</v>
      </c>
      <c r="G13" t="s">
        <v>3893</v>
      </c>
    </row>
    <row r="14" ht="14.25">
      <c r="A14" t="s">
        <v>3925</v>
      </c>
      <c r="B14" t="s">
        <v>3886</v>
      </c>
      <c r="C14" t="s">
        <v>3926</v>
      </c>
      <c r="D14" t="s">
        <v>3927</v>
      </c>
      <c r="E14">
        <v>22.438817</v>
      </c>
      <c r="F14">
        <v>87.330556999999999</v>
      </c>
      <c r="G14" t="s">
        <v>3893</v>
      </c>
    </row>
    <row r="15" ht="14.25">
      <c r="A15" t="s">
        <v>3928</v>
      </c>
      <c r="B15" t="s">
        <v>3886</v>
      </c>
      <c r="C15" t="s">
        <v>3929</v>
      </c>
      <c r="D15" t="s">
        <v>3930</v>
      </c>
      <c r="E15">
        <v>22.404803999999999</v>
      </c>
      <c r="F15">
        <v>87.313755</v>
      </c>
      <c r="G15" t="s">
        <v>3889</v>
      </c>
    </row>
    <row r="16" ht="14.25">
      <c r="A16" t="s">
        <v>3931</v>
      </c>
      <c r="B16" t="s">
        <v>3886</v>
      </c>
      <c r="C16" t="s">
        <v>3932</v>
      </c>
      <c r="D16" t="s">
        <v>3933</v>
      </c>
      <c r="E16">
        <v>22.422971</v>
      </c>
      <c r="F16">
        <v>87.303462999999994</v>
      </c>
      <c r="G16" t="s">
        <v>3889</v>
      </c>
    </row>
    <row r="17" ht="14.25">
      <c r="A17" t="s">
        <v>3934</v>
      </c>
      <c r="B17" t="s">
        <v>3886</v>
      </c>
      <c r="C17" t="s">
        <v>3935</v>
      </c>
      <c r="D17" t="s">
        <v>3936</v>
      </c>
      <c r="E17">
        <v>22.416367999999999</v>
      </c>
      <c r="F17">
        <v>87.314133999999996</v>
      </c>
      <c r="G17" t="s">
        <v>3889</v>
      </c>
    </row>
    <row r="18" ht="14.25">
      <c r="A18" t="s">
        <v>3937</v>
      </c>
      <c r="B18" t="s">
        <v>3886</v>
      </c>
      <c r="C18" t="s">
        <v>3938</v>
      </c>
      <c r="D18" t="s">
        <v>3939</v>
      </c>
      <c r="E18">
        <v>22.416924999999999</v>
      </c>
      <c r="F18">
        <v>87.326677000000004</v>
      </c>
      <c r="G18" t="s">
        <v>3889</v>
      </c>
    </row>
    <row r="19" ht="14.25">
      <c r="A19" t="s">
        <v>3940</v>
      </c>
      <c r="B19" t="s">
        <v>3886</v>
      </c>
      <c r="C19" t="s">
        <v>3941</v>
      </c>
      <c r="D19" t="s">
        <v>3942</v>
      </c>
      <c r="E19">
        <v>22.420059999999999</v>
      </c>
      <c r="F19">
        <v>87.315736000000001</v>
      </c>
      <c r="G19" t="s">
        <v>3889</v>
      </c>
    </row>
    <row r="20" ht="14.25">
      <c r="A20" t="s">
        <v>3943</v>
      </c>
      <c r="B20" t="s">
        <v>3886</v>
      </c>
      <c r="C20" t="s">
        <v>3944</v>
      </c>
      <c r="D20" t="s">
        <v>3945</v>
      </c>
      <c r="E20">
        <v>22.429289000000001</v>
      </c>
      <c r="F20">
        <v>87.322383000000002</v>
      </c>
      <c r="G20" t="s">
        <v>3889</v>
      </c>
    </row>
    <row r="21" ht="14.25">
      <c r="A21" t="s">
        <v>3946</v>
      </c>
      <c r="B21" t="s">
        <v>3886</v>
      </c>
      <c r="C21" t="s">
        <v>3947</v>
      </c>
      <c r="D21" t="s">
        <v>3948</v>
      </c>
      <c r="E21">
        <v>22.423351</v>
      </c>
      <c r="F21">
        <v>87.326577999999998</v>
      </c>
      <c r="G21" t="s">
        <v>3889</v>
      </c>
    </row>
    <row r="22" ht="14.25">
      <c r="A22" t="s">
        <v>3949</v>
      </c>
      <c r="B22" t="s">
        <v>3886</v>
      </c>
      <c r="C22" t="s">
        <v>3950</v>
      </c>
      <c r="D22" t="s">
        <v>3951</v>
      </c>
      <c r="E22">
        <v>22.426231999999999</v>
      </c>
      <c r="F22">
        <v>87.316475999999994</v>
      </c>
      <c r="G22" t="s">
        <v>3889</v>
      </c>
    </row>
    <row r="23" ht="14.25">
      <c r="A23" t="s">
        <v>3952</v>
      </c>
      <c r="B23" t="s">
        <v>3886</v>
      </c>
      <c r="C23" t="s">
        <v>3953</v>
      </c>
      <c r="D23" t="s">
        <v>3954</v>
      </c>
      <c r="E23">
        <v>22.433093</v>
      </c>
      <c r="F23">
        <v>87.330800999999994</v>
      </c>
      <c r="G23" t="s">
        <v>3893</v>
      </c>
    </row>
    <row r="24" ht="14.25">
      <c r="A24" t="s">
        <v>3955</v>
      </c>
      <c r="B24" t="s">
        <v>3886</v>
      </c>
      <c r="C24" t="s">
        <v>3956</v>
      </c>
      <c r="D24" t="s">
        <v>3957</v>
      </c>
      <c r="E24">
        <v>22.404779999999999</v>
      </c>
      <c r="F24">
        <v>87.329801000000003</v>
      </c>
      <c r="G24" t="s">
        <v>3893</v>
      </c>
    </row>
    <row r="25" ht="14.25">
      <c r="A25" t="s">
        <v>3958</v>
      </c>
      <c r="B25" t="s">
        <v>3886</v>
      </c>
      <c r="C25" t="s">
        <v>3959</v>
      </c>
      <c r="D25" t="s">
        <v>3960</v>
      </c>
      <c r="E25">
        <v>22.408545</v>
      </c>
      <c r="F25">
        <v>87.317400000000006</v>
      </c>
      <c r="G25" t="s">
        <v>3889</v>
      </c>
    </row>
    <row r="26" ht="14.25">
      <c r="A26" t="s">
        <v>3961</v>
      </c>
      <c r="B26" t="s">
        <v>3886</v>
      </c>
      <c r="C26" t="s">
        <v>3962</v>
      </c>
      <c r="D26" t="s">
        <v>3963</v>
      </c>
      <c r="E26">
        <v>22.425799000000001</v>
      </c>
      <c r="F26">
        <v>87.328117000000006</v>
      </c>
      <c r="G26" t="s">
        <v>3893</v>
      </c>
    </row>
    <row r="27" ht="14.25">
      <c r="A27" t="s">
        <v>3964</v>
      </c>
      <c r="B27" t="s">
        <v>3886</v>
      </c>
      <c r="C27" t="s">
        <v>3965</v>
      </c>
      <c r="D27" t="s">
        <v>3966</v>
      </c>
      <c r="E27">
        <v>22.863683000000002</v>
      </c>
      <c r="F27">
        <v>87.356814999999997</v>
      </c>
      <c r="G27" t="s">
        <v>3967</v>
      </c>
    </row>
    <row r="28" ht="14.25">
      <c r="A28" t="s">
        <v>3968</v>
      </c>
      <c r="B28" t="s">
        <v>3886</v>
      </c>
      <c r="C28" t="s">
        <v>3969</v>
      </c>
      <c r="D28" t="s">
        <v>3970</v>
      </c>
      <c r="E28">
        <v>22.920779</v>
      </c>
      <c r="F28">
        <v>87.327460000000002</v>
      </c>
      <c r="G28" t="s">
        <v>3967</v>
      </c>
    </row>
    <row r="29" ht="14.25">
      <c r="A29" t="s">
        <v>3973</v>
      </c>
      <c r="B29" t="s">
        <v>3886</v>
      </c>
      <c r="C29" t="s">
        <v>3974</v>
      </c>
      <c r="D29" t="s">
        <v>3975</v>
      </c>
      <c r="E29">
        <v>22.888874999999999</v>
      </c>
      <c r="F29">
        <v>87.322969000000001</v>
      </c>
      <c r="G29" t="s">
        <v>3967</v>
      </c>
    </row>
    <row r="30" ht="14.25">
      <c r="A30" t="s">
        <v>3977</v>
      </c>
      <c r="B30" t="s">
        <v>3886</v>
      </c>
      <c r="C30" t="s">
        <v>3978</v>
      </c>
      <c r="D30" t="s">
        <v>3979</v>
      </c>
      <c r="E30">
        <v>22.897445000000001</v>
      </c>
      <c r="F30">
        <v>87.359711000000004</v>
      </c>
      <c r="G30" t="s">
        <v>3967</v>
      </c>
    </row>
    <row r="31" ht="14.25">
      <c r="A31" t="s">
        <v>3984</v>
      </c>
      <c r="B31" t="s">
        <v>3886</v>
      </c>
      <c r="C31" t="s">
        <v>3985</v>
      </c>
      <c r="D31" t="s">
        <v>3986</v>
      </c>
      <c r="E31">
        <v>22.764471</v>
      </c>
      <c r="F31">
        <v>87.582031000000001</v>
      </c>
      <c r="G31" t="s">
        <v>3987</v>
      </c>
    </row>
    <row r="32" ht="14.25">
      <c r="A32" t="s">
        <v>3988</v>
      </c>
      <c r="B32" t="s">
        <v>3886</v>
      </c>
      <c r="C32" t="s">
        <v>3989</v>
      </c>
      <c r="D32" t="s">
        <v>3990</v>
      </c>
      <c r="E32">
        <v>22.688518999999999</v>
      </c>
      <c r="F32">
        <v>87.643921000000006</v>
      </c>
      <c r="G32" t="s">
        <v>3987</v>
      </c>
    </row>
    <row r="33" ht="14.25">
      <c r="A33" t="s">
        <v>3991</v>
      </c>
      <c r="B33" t="s">
        <v>3886</v>
      </c>
      <c r="C33" t="s">
        <v>3992</v>
      </c>
      <c r="D33" t="s">
        <v>3993</v>
      </c>
      <c r="E33">
        <v>22.710930999999999</v>
      </c>
      <c r="F33">
        <v>87.614405000000005</v>
      </c>
      <c r="G33" t="s">
        <v>3987</v>
      </c>
    </row>
    <row r="34" ht="14.25">
      <c r="A34" t="s">
        <v>3994</v>
      </c>
      <c r="B34" t="s">
        <v>3886</v>
      </c>
      <c r="C34" t="s">
        <v>3995</v>
      </c>
      <c r="D34" t="s">
        <v>3996</v>
      </c>
      <c r="E34">
        <v>22.700983999999998</v>
      </c>
      <c r="F34">
        <v>87.613748000000001</v>
      </c>
      <c r="G34" t="s">
        <v>3987</v>
      </c>
    </row>
    <row r="35" ht="14.25">
      <c r="A35" t="s">
        <v>3997</v>
      </c>
      <c r="B35" t="s">
        <v>3886</v>
      </c>
      <c r="C35" t="s">
        <v>3998</v>
      </c>
      <c r="D35" t="s">
        <v>3999</v>
      </c>
      <c r="E35">
        <v>22.563728000000001</v>
      </c>
      <c r="F35">
        <v>87.612657999999996</v>
      </c>
      <c r="G35" t="s">
        <v>4000</v>
      </c>
    </row>
    <row r="36" ht="14.25">
      <c r="A36" t="s">
        <v>4001</v>
      </c>
      <c r="B36" t="s">
        <v>3886</v>
      </c>
      <c r="C36" t="s">
        <v>4002</v>
      </c>
      <c r="D36" t="s">
        <v>4003</v>
      </c>
      <c r="E36">
        <v>22.549814000000001</v>
      </c>
      <c r="F36">
        <v>87.820651999999995</v>
      </c>
      <c r="G36" t="s">
        <v>4004</v>
      </c>
    </row>
    <row r="37" ht="14.25">
      <c r="A37" t="s">
        <v>4008</v>
      </c>
      <c r="B37" t="s">
        <v>3886</v>
      </c>
      <c r="C37" t="s">
        <v>4009</v>
      </c>
      <c r="D37" t="s">
        <v>4010</v>
      </c>
      <c r="E37">
        <v>22.867284000000001</v>
      </c>
      <c r="F37">
        <v>87.433458000000002</v>
      </c>
      <c r="G37" t="s">
        <v>4011</v>
      </c>
    </row>
    <row r="38" ht="14.25">
      <c r="A38" t="s">
        <v>4013</v>
      </c>
      <c r="B38" t="s">
        <v>3886</v>
      </c>
      <c r="C38" t="s">
        <v>4014</v>
      </c>
      <c r="D38" t="s">
        <v>4015</v>
      </c>
      <c r="E38">
        <v>22.555157999999999</v>
      </c>
      <c r="F38">
        <v>87.457398999999995</v>
      </c>
      <c r="G38" t="s">
        <v>4016</v>
      </c>
    </row>
    <row r="39" ht="14.25">
      <c r="A39" t="s">
        <v>4017</v>
      </c>
      <c r="B39" t="s">
        <v>3886</v>
      </c>
      <c r="C39" t="s">
        <v>4018</v>
      </c>
      <c r="D39" t="s">
        <v>4019</v>
      </c>
      <c r="E39">
        <v>22.411764999999999</v>
      </c>
      <c r="F39">
        <v>87.340615</v>
      </c>
      <c r="G39" t="s">
        <v>3893</v>
      </c>
    </row>
    <row r="40" ht="14.25">
      <c r="A40" t="s">
        <v>4020</v>
      </c>
      <c r="B40" t="s">
        <v>3886</v>
      </c>
      <c r="C40" t="s">
        <v>4021</v>
      </c>
      <c r="D40" t="s">
        <v>4022</v>
      </c>
      <c r="E40">
        <v>22.427813</v>
      </c>
      <c r="F40">
        <v>87.205146999999997</v>
      </c>
      <c r="G40" t="s">
        <v>3889</v>
      </c>
    </row>
    <row r="41" ht="14.25">
      <c r="A41" t="s">
        <v>4023</v>
      </c>
      <c r="B41" t="s">
        <v>3886</v>
      </c>
      <c r="C41" t="s">
        <v>4024</v>
      </c>
      <c r="D41" t="s">
        <v>4025</v>
      </c>
      <c r="E41">
        <v>22.827750000000002</v>
      </c>
      <c r="F41">
        <v>87.613636</v>
      </c>
      <c r="G41" t="s">
        <v>4011</v>
      </c>
    </row>
    <row r="42" ht="14.25">
      <c r="A42" t="s">
        <v>4027</v>
      </c>
      <c r="B42" t="s">
        <v>3886</v>
      </c>
      <c r="C42" t="s">
        <v>4028</v>
      </c>
      <c r="D42" t="s">
        <v>4029</v>
      </c>
      <c r="E42">
        <v>22.457045999999998</v>
      </c>
      <c r="F42">
        <v>87.323605000000001</v>
      </c>
      <c r="G42" t="s">
        <v>3893</v>
      </c>
    </row>
    <row r="43" ht="14.25">
      <c r="A43" t="s">
        <v>4030</v>
      </c>
      <c r="B43" t="s">
        <v>3886</v>
      </c>
      <c r="C43" t="s">
        <v>4031</v>
      </c>
      <c r="D43" t="s">
        <v>4032</v>
      </c>
      <c r="E43">
        <v>22.530289</v>
      </c>
      <c r="F43">
        <v>87.323937999999998</v>
      </c>
      <c r="G43" t="s">
        <v>4033</v>
      </c>
    </row>
    <row r="44" ht="14.25">
      <c r="A44" t="s">
        <v>4035</v>
      </c>
      <c r="B44" t="s">
        <v>3886</v>
      </c>
      <c r="C44" t="s">
        <v>4036</v>
      </c>
      <c r="D44" t="s">
        <v>4037</v>
      </c>
      <c r="E44">
        <v>22.483127</v>
      </c>
      <c r="F44">
        <v>87.326561999999996</v>
      </c>
      <c r="G44" t="s">
        <v>4038</v>
      </c>
    </row>
    <row r="45" ht="14.25">
      <c r="A45" t="s">
        <v>4039</v>
      </c>
      <c r="B45" t="s">
        <v>3886</v>
      </c>
      <c r="C45" t="s">
        <v>4040</v>
      </c>
      <c r="D45" t="s">
        <v>4041</v>
      </c>
      <c r="E45">
        <v>22.563676000000001</v>
      </c>
      <c r="F45">
        <v>87.328500000000005</v>
      </c>
      <c r="G45" t="s">
        <v>4038</v>
      </c>
    </row>
    <row r="46" ht="14.25">
      <c r="A46" t="s">
        <v>4042</v>
      </c>
      <c r="B46" t="s">
        <v>3886</v>
      </c>
      <c r="C46" t="s">
        <v>4043</v>
      </c>
      <c r="D46" t="s">
        <v>4044</v>
      </c>
      <c r="E46">
        <v>22.703251000000002</v>
      </c>
      <c r="F46">
        <v>87.338665000000006</v>
      </c>
      <c r="G46" t="s">
        <v>4045</v>
      </c>
    </row>
    <row r="47" ht="14.25">
      <c r="A47" t="s">
        <v>4047</v>
      </c>
      <c r="B47" t="s">
        <v>3886</v>
      </c>
      <c r="C47" t="s">
        <v>4048</v>
      </c>
      <c r="D47" t="s">
        <v>4049</v>
      </c>
      <c r="E47">
        <v>22.798278</v>
      </c>
      <c r="F47">
        <v>87.343737000000004</v>
      </c>
      <c r="G47" t="s">
        <v>3967</v>
      </c>
    </row>
    <row r="48" ht="14.25">
      <c r="A48" t="s">
        <v>4050</v>
      </c>
      <c r="B48" t="s">
        <v>3886</v>
      </c>
      <c r="C48" t="s">
        <v>4051</v>
      </c>
      <c r="D48" t="s">
        <v>4052</v>
      </c>
      <c r="E48">
        <v>22.665091</v>
      </c>
      <c r="F48">
        <v>87.326580000000007</v>
      </c>
      <c r="G48" t="s">
        <v>4045</v>
      </c>
    </row>
    <row r="49" ht="14.25">
      <c r="A49" t="s">
        <v>4054</v>
      </c>
      <c r="B49" t="s">
        <v>3886</v>
      </c>
      <c r="C49" t="s">
        <v>4055</v>
      </c>
      <c r="D49" t="s">
        <v>4056</v>
      </c>
      <c r="E49">
        <v>22.591380999999998</v>
      </c>
      <c r="F49">
        <v>87.322435999999996</v>
      </c>
      <c r="G49" t="s">
        <v>4033</v>
      </c>
    </row>
    <row r="50" ht="14.25">
      <c r="A50" t="s">
        <v>4057</v>
      </c>
      <c r="B50" t="s">
        <v>3886</v>
      </c>
      <c r="C50" t="s">
        <v>4058</v>
      </c>
      <c r="D50" t="s">
        <v>4059</v>
      </c>
      <c r="E50">
        <v>22.780411000000001</v>
      </c>
      <c r="F50">
        <v>87.341538</v>
      </c>
      <c r="G50" t="s">
        <v>3967</v>
      </c>
    </row>
    <row r="51" ht="14.25">
      <c r="A51" t="s">
        <v>4060</v>
      </c>
      <c r="B51" t="s">
        <v>3886</v>
      </c>
      <c r="C51" t="s">
        <v>3956</v>
      </c>
      <c r="D51" t="s">
        <v>4061</v>
      </c>
      <c r="E51">
        <v>22.811540999999998</v>
      </c>
      <c r="F51">
        <v>87.330433999999997</v>
      </c>
      <c r="G51" t="s">
        <v>3967</v>
      </c>
    </row>
    <row r="52" ht="14.25">
      <c r="A52" t="s">
        <v>4062</v>
      </c>
      <c r="B52" t="s">
        <v>3886</v>
      </c>
      <c r="C52" t="s">
        <v>4063</v>
      </c>
      <c r="D52" t="s">
        <v>4064</v>
      </c>
      <c r="E52">
        <v>22.850352999999998</v>
      </c>
      <c r="F52">
        <v>87.322953999999996</v>
      </c>
      <c r="G52" t="s">
        <v>3967</v>
      </c>
    </row>
    <row r="53" ht="14.25">
      <c r="A53" t="s">
        <v>4065</v>
      </c>
      <c r="B53" t="s">
        <v>3886</v>
      </c>
      <c r="C53" t="s">
        <v>4066</v>
      </c>
      <c r="D53" t="s">
        <v>4067</v>
      </c>
      <c r="E53">
        <v>22.734416</v>
      </c>
      <c r="F53">
        <v>87.336544000000004</v>
      </c>
      <c r="G53" t="s">
        <v>4045</v>
      </c>
    </row>
    <row r="54" ht="14.25">
      <c r="A54" t="s">
        <v>4069</v>
      </c>
      <c r="B54" t="s">
        <v>3886</v>
      </c>
      <c r="C54" t="s">
        <v>4070</v>
      </c>
      <c r="D54" t="s">
        <v>4071</v>
      </c>
      <c r="E54">
        <v>22.636050999999998</v>
      </c>
      <c r="F54">
        <v>87.326521999999997</v>
      </c>
      <c r="G54" t="s">
        <v>4033</v>
      </c>
    </row>
    <row r="55" ht="14.25">
      <c r="A55" t="s">
        <v>4072</v>
      </c>
      <c r="B55" t="s">
        <v>3886</v>
      </c>
      <c r="C55" t="s">
        <v>4073</v>
      </c>
      <c r="D55" t="s">
        <v>4074</v>
      </c>
      <c r="E55">
        <v>22.513862</v>
      </c>
      <c r="F55">
        <v>87.328408999999994</v>
      </c>
      <c r="G55" t="s">
        <v>4033</v>
      </c>
    </row>
    <row r="56" ht="14.25">
      <c r="A56" t="s">
        <v>4075</v>
      </c>
      <c r="B56" t="s">
        <v>3886</v>
      </c>
      <c r="C56" t="s">
        <v>4076</v>
      </c>
      <c r="D56" t="s">
        <v>4077</v>
      </c>
      <c r="E56">
        <v>22.438313000000001</v>
      </c>
      <c r="F56">
        <v>87.311385999999999</v>
      </c>
      <c r="G56" t="s">
        <v>3889</v>
      </c>
    </row>
    <row r="57" ht="14.25">
      <c r="A57" t="s">
        <v>4078</v>
      </c>
      <c r="B57" t="s">
        <v>3886</v>
      </c>
      <c r="C57" t="s">
        <v>4079</v>
      </c>
      <c r="D57" t="s">
        <v>4080</v>
      </c>
      <c r="E57">
        <v>22.427273</v>
      </c>
      <c r="F57">
        <v>87.291786999999999</v>
      </c>
      <c r="G57" t="s">
        <v>3889</v>
      </c>
    </row>
    <row r="58" ht="14.25">
      <c r="A58" t="s">
        <v>4081</v>
      </c>
      <c r="B58" t="s">
        <v>3886</v>
      </c>
      <c r="C58" t="s">
        <v>4082</v>
      </c>
      <c r="D58" t="s">
        <v>4083</v>
      </c>
      <c r="E58">
        <v>22.427033999999999</v>
      </c>
      <c r="F58">
        <v>87.338605000000001</v>
      </c>
      <c r="G58" t="s">
        <v>3893</v>
      </c>
    </row>
    <row r="59" ht="14.25">
      <c r="A59" t="s">
        <v>4084</v>
      </c>
      <c r="B59" t="s">
        <v>3886</v>
      </c>
      <c r="C59" t="s">
        <v>4085</v>
      </c>
      <c r="D59" t="s">
        <v>4086</v>
      </c>
      <c r="E59">
        <v>22.408996999999999</v>
      </c>
      <c r="F59">
        <v>87.301989000000006</v>
      </c>
      <c r="G59" t="s">
        <v>3889</v>
      </c>
    </row>
    <row r="60" ht="14.25">
      <c r="A60" t="s">
        <v>4087</v>
      </c>
      <c r="B60" t="s">
        <v>3886</v>
      </c>
      <c r="C60" t="s">
        <v>4088</v>
      </c>
      <c r="D60" t="s">
        <v>4089</v>
      </c>
      <c r="E60">
        <v>22.418402</v>
      </c>
      <c r="F60">
        <v>87.323244000000003</v>
      </c>
      <c r="G60" t="s">
        <v>3889</v>
      </c>
    </row>
    <row r="61" ht="14.25">
      <c r="A61" t="s">
        <v>4090</v>
      </c>
      <c r="B61" t="s">
        <v>3886</v>
      </c>
      <c r="C61" t="s">
        <v>4091</v>
      </c>
      <c r="D61" t="s">
        <v>4092</v>
      </c>
      <c r="E61">
        <v>22.403714000000001</v>
      </c>
      <c r="F61">
        <v>87.320452000000003</v>
      </c>
      <c r="G61" t="s">
        <v>3889</v>
      </c>
    </row>
    <row r="62" ht="14.25">
      <c r="A62" t="s">
        <v>4093</v>
      </c>
      <c r="B62" t="s">
        <v>3886</v>
      </c>
      <c r="C62" t="s">
        <v>4094</v>
      </c>
      <c r="D62" t="s">
        <v>4095</v>
      </c>
      <c r="E62">
        <v>22.933713999999998</v>
      </c>
      <c r="F62">
        <v>87.361131999999998</v>
      </c>
      <c r="G62" t="s">
        <v>3967</v>
      </c>
    </row>
    <row r="63" ht="14.25">
      <c r="A63" t="s">
        <v>4096</v>
      </c>
      <c r="B63" t="s">
        <v>3886</v>
      </c>
      <c r="C63" t="s">
        <v>4097</v>
      </c>
      <c r="D63" t="s">
        <v>4098</v>
      </c>
      <c r="E63">
        <v>22.669694</v>
      </c>
      <c r="F63">
        <v>87.782769000000002</v>
      </c>
      <c r="G63" t="s">
        <v>4099</v>
      </c>
    </row>
    <row r="64" ht="14.25">
      <c r="A64" t="s">
        <v>4102</v>
      </c>
      <c r="B64" t="s">
        <v>3886</v>
      </c>
      <c r="C64" t="s">
        <v>4103</v>
      </c>
      <c r="D64" t="s">
        <v>7901</v>
      </c>
    </row>
    <row r="65" ht="14.25">
      <c r="A65" t="s">
        <v>7902</v>
      </c>
      <c r="B65">
        <v>22.486235000000001</v>
      </c>
      <c r="C65">
        <v>87.742690999999994</v>
      </c>
      <c r="D65"/>
      <c r="E65"/>
      <c r="F65"/>
    </row>
    <row r="66" ht="14.25">
      <c r="A66" t="s">
        <v>4105</v>
      </c>
      <c r="B66" t="s">
        <v>3886</v>
      </c>
      <c r="C66" t="s">
        <v>4106</v>
      </c>
      <c r="D66" t="s">
        <v>4107</v>
      </c>
      <c r="E66">
        <v>22.439029999999999</v>
      </c>
      <c r="F66">
        <v>87.187121000000005</v>
      </c>
      <c r="G66" t="s">
        <v>3889</v>
      </c>
    </row>
    <row r="67" ht="14.25">
      <c r="A67" t="s">
        <v>4108</v>
      </c>
      <c r="B67" t="s">
        <v>3886</v>
      </c>
      <c r="C67" t="s">
        <v>223</v>
      </c>
      <c r="D67" t="s">
        <v>4109</v>
      </c>
      <c r="E67">
        <v>22.715001999999998</v>
      </c>
      <c r="F67">
        <v>87.512423999999996</v>
      </c>
      <c r="G67" t="s">
        <v>3987</v>
      </c>
    </row>
    <row r="68" ht="14.25">
      <c r="A68" t="s">
        <v>4110</v>
      </c>
      <c r="B68" t="s">
        <v>3886</v>
      </c>
      <c r="C68" t="s">
        <v>4111</v>
      </c>
      <c r="D68" t="s">
        <v>4112</v>
      </c>
      <c r="E68">
        <v>22.729893000000001</v>
      </c>
      <c r="F68">
        <v>87.542382000000003</v>
      </c>
      <c r="G68" t="s">
        <v>3987</v>
      </c>
    </row>
    <row r="69" ht="14.25">
      <c r="A69" t="s">
        <v>4113</v>
      </c>
      <c r="B69" t="s">
        <v>3886</v>
      </c>
      <c r="C69" t="s">
        <v>4114</v>
      </c>
      <c r="D69" t="s">
        <v>4115</v>
      </c>
      <c r="E69">
        <v>22.80275</v>
      </c>
      <c r="F69">
        <v>87.575925999999995</v>
      </c>
      <c r="G69" t="s">
        <v>4011</v>
      </c>
    </row>
    <row r="70" ht="14.25">
      <c r="A70" t="s">
        <v>4116</v>
      </c>
      <c r="B70" t="s">
        <v>3886</v>
      </c>
      <c r="C70" t="s">
        <v>4117</v>
      </c>
      <c r="D70" t="s">
        <v>4118</v>
      </c>
      <c r="E70">
        <v>22.757704</v>
      </c>
      <c r="F70">
        <v>87.679663000000005</v>
      </c>
      <c r="G70" t="s">
        <v>3987</v>
      </c>
    </row>
    <row r="71" ht="14.25">
      <c r="A71" t="s">
        <v>4119</v>
      </c>
      <c r="B71" t="s">
        <v>3886</v>
      </c>
      <c r="C71" t="s">
        <v>4120</v>
      </c>
      <c r="D71" t="s">
        <v>4121</v>
      </c>
      <c r="E71">
        <v>22.631988</v>
      </c>
      <c r="F71">
        <v>87.605045000000004</v>
      </c>
      <c r="G71" t="s">
        <v>4122</v>
      </c>
    </row>
    <row r="72" ht="14.25">
      <c r="A72" t="s">
        <v>4123</v>
      </c>
      <c r="B72" t="s">
        <v>3886</v>
      </c>
      <c r="C72" t="s">
        <v>4124</v>
      </c>
      <c r="D72" t="s">
        <v>4125</v>
      </c>
      <c r="E72">
        <v>22.618487999999999</v>
      </c>
      <c r="F72">
        <v>87.560799000000003</v>
      </c>
      <c r="G72" t="s">
        <v>3987</v>
      </c>
    </row>
    <row r="73" ht="14.25">
      <c r="A73" t="s">
        <v>4126</v>
      </c>
      <c r="B73" t="s">
        <v>3886</v>
      </c>
      <c r="C73" t="s">
        <v>4127</v>
      </c>
      <c r="D73" t="s">
        <v>4128</v>
      </c>
      <c r="E73">
        <v>22.774808</v>
      </c>
      <c r="F73">
        <v>87.632801000000001</v>
      </c>
      <c r="G73" t="s">
        <v>3987</v>
      </c>
    </row>
    <row r="74" ht="14.25">
      <c r="A74" t="s">
        <v>4129</v>
      </c>
      <c r="B74" t="s">
        <v>3886</v>
      </c>
      <c r="C74" t="s">
        <v>4130</v>
      </c>
      <c r="D74" t="s">
        <v>4131</v>
      </c>
      <c r="E74">
        <v>22.824708000000001</v>
      </c>
      <c r="F74">
        <v>87.534514999999999</v>
      </c>
      <c r="G74" t="s">
        <v>4011</v>
      </c>
    </row>
    <row r="75" ht="14.25">
      <c r="A75" t="s">
        <v>4132</v>
      </c>
      <c r="B75" t="s">
        <v>3886</v>
      </c>
      <c r="C75" t="s">
        <v>4133</v>
      </c>
      <c r="D75" t="s">
        <v>4134</v>
      </c>
      <c r="E75">
        <v>22.80189</v>
      </c>
      <c r="F75">
        <v>87.503722999999994</v>
      </c>
      <c r="G75" t="s">
        <v>4011</v>
      </c>
    </row>
    <row r="76" ht="14.25">
      <c r="A76" t="s">
        <v>4136</v>
      </c>
      <c r="B76" t="s">
        <v>3886</v>
      </c>
      <c r="C76" t="s">
        <v>4137</v>
      </c>
      <c r="D76" t="s">
        <v>4138</v>
      </c>
      <c r="E76">
        <v>22.779084999999998</v>
      </c>
      <c r="F76">
        <v>87.520966000000001</v>
      </c>
      <c r="G76" t="s">
        <v>4011</v>
      </c>
    </row>
    <row r="77" ht="14.25">
      <c r="A77" t="s">
        <v>4139</v>
      </c>
      <c r="B77" t="s">
        <v>3886</v>
      </c>
      <c r="C77" t="s">
        <v>4140</v>
      </c>
      <c r="D77" t="s">
        <v>4141</v>
      </c>
      <c r="E77">
        <v>22.685600999999998</v>
      </c>
      <c r="F77">
        <v>87.555093999999997</v>
      </c>
      <c r="G77" t="s">
        <v>3987</v>
      </c>
    </row>
    <row r="78" ht="14.25">
      <c r="A78" t="s">
        <v>4142</v>
      </c>
      <c r="B78" t="s">
        <v>3886</v>
      </c>
      <c r="C78" t="s">
        <v>4143</v>
      </c>
      <c r="D78" t="s">
        <v>4144</v>
      </c>
      <c r="E78">
        <v>22.613384</v>
      </c>
      <c r="F78">
        <v>87.810522000000006</v>
      </c>
      <c r="G78" t="s">
        <v>4004</v>
      </c>
    </row>
    <row r="79" ht="14.25">
      <c r="A79" t="s">
        <v>4145</v>
      </c>
      <c r="B79" t="s">
        <v>3886</v>
      </c>
      <c r="C79" t="s">
        <v>4146</v>
      </c>
      <c r="D79" t="s">
        <v>4147</v>
      </c>
      <c r="E79">
        <v>22.574542000000001</v>
      </c>
      <c r="F79">
        <v>87.784505999999993</v>
      </c>
      <c r="G79" t="s">
        <v>4004</v>
      </c>
    </row>
    <row r="80" ht="14.25">
      <c r="A80" t="s">
        <v>4148</v>
      </c>
      <c r="B80" t="s">
        <v>3886</v>
      </c>
      <c r="C80" t="s">
        <v>4149</v>
      </c>
      <c r="D80" t="s">
        <v>4150</v>
      </c>
      <c r="E80">
        <v>22.616066</v>
      </c>
      <c r="F80">
        <v>87.764392999999998</v>
      </c>
      <c r="G80" t="s">
        <v>4004</v>
      </c>
    </row>
    <row r="81" ht="14.25">
      <c r="A81" t="s">
        <v>4151</v>
      </c>
      <c r="B81" t="s">
        <v>3886</v>
      </c>
      <c r="C81" t="s">
        <v>4152</v>
      </c>
      <c r="D81" t="s">
        <v>4153</v>
      </c>
      <c r="E81">
        <v>22.535352</v>
      </c>
      <c r="F81">
        <v>87.776026999999999</v>
      </c>
      <c r="G81" t="s">
        <v>4004</v>
      </c>
    </row>
    <row r="82" ht="14.25">
      <c r="A82" t="s">
        <v>4154</v>
      </c>
      <c r="B82" t="s">
        <v>3886</v>
      </c>
      <c r="C82" t="s">
        <v>4155</v>
      </c>
      <c r="D82" t="s">
        <v>4156</v>
      </c>
      <c r="E82">
        <v>22.524569</v>
      </c>
      <c r="F82">
        <v>87.849084000000005</v>
      </c>
      <c r="G82" t="s">
        <v>4004</v>
      </c>
    </row>
    <row r="83" ht="14.25">
      <c r="A83" t="s">
        <v>4157</v>
      </c>
      <c r="B83" t="s">
        <v>3886</v>
      </c>
      <c r="C83" t="s">
        <v>4158</v>
      </c>
      <c r="D83" t="s">
        <v>4159</v>
      </c>
      <c r="E83">
        <v>22.501989999999999</v>
      </c>
      <c r="F83">
        <v>87.783967000000004</v>
      </c>
      <c r="G83" t="s">
        <v>4004</v>
      </c>
    </row>
    <row r="84" ht="14.25">
      <c r="A84" t="s">
        <v>4160</v>
      </c>
      <c r="B84" t="s">
        <v>3886</v>
      </c>
      <c r="C84" t="s">
        <v>4161</v>
      </c>
      <c r="D84" t="s">
        <v>4162</v>
      </c>
      <c r="E84">
        <v>22.592731000000001</v>
      </c>
      <c r="F84">
        <v>87.812348</v>
      </c>
      <c r="G84" t="s">
        <v>4004</v>
      </c>
    </row>
    <row r="85" ht="14.25">
      <c r="A85" t="s">
        <v>4163</v>
      </c>
      <c r="B85" t="s">
        <v>3886</v>
      </c>
      <c r="C85" t="s">
        <v>4164</v>
      </c>
      <c r="D85" t="s">
        <v>4165</v>
      </c>
      <c r="E85">
        <v>22.642005000000001</v>
      </c>
      <c r="F85">
        <v>87.770054999999999</v>
      </c>
      <c r="G85" t="s">
        <v>4004</v>
      </c>
    </row>
    <row r="86" ht="14.25">
      <c r="A86" t="s">
        <v>4166</v>
      </c>
      <c r="B86" t="s">
        <v>3886</v>
      </c>
      <c r="C86" t="s">
        <v>4167</v>
      </c>
      <c r="D86" t="s">
        <v>4168</v>
      </c>
      <c r="E86">
        <v>22.523416000000001</v>
      </c>
      <c r="F86">
        <v>87.746970000000005</v>
      </c>
      <c r="G86" t="s">
        <v>4004</v>
      </c>
    </row>
    <row r="87" ht="14.25">
      <c r="A87" t="s">
        <v>4169</v>
      </c>
      <c r="B87" t="s">
        <v>3886</v>
      </c>
      <c r="C87" t="s">
        <v>4170</v>
      </c>
      <c r="D87" t="s">
        <v>4171</v>
      </c>
      <c r="E87">
        <v>22.584502000000001</v>
      </c>
      <c r="F87">
        <v>87.725088</v>
      </c>
      <c r="G87" t="s">
        <v>4004</v>
      </c>
    </row>
    <row r="88" ht="14.25">
      <c r="A88" t="s">
        <v>4172</v>
      </c>
      <c r="B88" t="s">
        <v>3886</v>
      </c>
      <c r="C88" t="s">
        <v>4173</v>
      </c>
      <c r="D88" t="s">
        <v>4174</v>
      </c>
      <c r="E88">
        <v>22.540144999999999</v>
      </c>
      <c r="F88">
        <v>87.696475000000007</v>
      </c>
      <c r="G88" t="s">
        <v>4004</v>
      </c>
    </row>
    <row r="89" ht="14.25">
      <c r="A89" t="s">
        <v>4175</v>
      </c>
      <c r="B89" t="s">
        <v>3886</v>
      </c>
      <c r="C89" t="s">
        <v>4176</v>
      </c>
      <c r="D89" t="s">
        <v>4177</v>
      </c>
      <c r="E89">
        <v>22.597636000000001</v>
      </c>
      <c r="F89">
        <v>87.585869000000002</v>
      </c>
      <c r="G89" t="s">
        <v>4122</v>
      </c>
    </row>
    <row r="90" ht="14.25">
      <c r="A90" t="s">
        <v>4178</v>
      </c>
      <c r="B90" t="s">
        <v>3886</v>
      </c>
      <c r="C90" t="s">
        <v>4179</v>
      </c>
      <c r="D90" t="s">
        <v>4180</v>
      </c>
      <c r="E90">
        <v>22.559473000000001</v>
      </c>
      <c r="F90">
        <v>87.575691000000006</v>
      </c>
      <c r="G90" t="s">
        <v>4016</v>
      </c>
    </row>
    <row r="91" ht="14.25">
      <c r="A91" t="s">
        <v>4181</v>
      </c>
      <c r="B91" t="s">
        <v>3886</v>
      </c>
      <c r="C91" t="s">
        <v>4182</v>
      </c>
      <c r="D91" t="s">
        <v>4183</v>
      </c>
      <c r="E91">
        <v>22.652318999999999</v>
      </c>
      <c r="F91">
        <v>87.735652999999999</v>
      </c>
      <c r="G91" t="s">
        <v>4122</v>
      </c>
    </row>
    <row r="92" ht="14.25">
      <c r="A92" t="s">
        <v>4184</v>
      </c>
      <c r="B92" t="s">
        <v>3886</v>
      </c>
      <c r="C92" t="s">
        <v>4185</v>
      </c>
      <c r="D92" t="s">
        <v>4186</v>
      </c>
      <c r="E92">
        <v>22.663554999999999</v>
      </c>
      <c r="F92">
        <v>87.741116000000005</v>
      </c>
      <c r="G92" t="s">
        <v>4122</v>
      </c>
    </row>
    <row r="93" ht="14.25">
      <c r="A93" t="s">
        <v>4187</v>
      </c>
      <c r="B93" t="s">
        <v>3886</v>
      </c>
      <c r="C93" t="s">
        <v>4188</v>
      </c>
      <c r="D93" t="s">
        <v>4189</v>
      </c>
      <c r="E93">
        <v>22.632497000000001</v>
      </c>
      <c r="F93">
        <v>87.720060000000004</v>
      </c>
      <c r="G93" t="s">
        <v>4122</v>
      </c>
    </row>
    <row r="94" ht="14.25">
      <c r="A94" t="s">
        <v>4190</v>
      </c>
      <c r="B94" t="s">
        <v>3886</v>
      </c>
      <c r="C94" t="s">
        <v>4191</v>
      </c>
      <c r="D94" t="s">
        <v>4192</v>
      </c>
      <c r="E94">
        <v>22.643076000000001</v>
      </c>
      <c r="F94">
        <v>87.728612999999996</v>
      </c>
      <c r="G94" t="s">
        <v>4099</v>
      </c>
    </row>
    <row r="95" ht="14.25">
      <c r="A95" t="s">
        <v>4193</v>
      </c>
      <c r="B95" t="s">
        <v>3886</v>
      </c>
      <c r="C95" t="s">
        <v>4194</v>
      </c>
      <c r="D95" t="s">
        <v>4195</v>
      </c>
      <c r="E95">
        <v>22.670822999999999</v>
      </c>
      <c r="F95">
        <v>87.691339999999997</v>
      </c>
      <c r="G95" t="s">
        <v>4122</v>
      </c>
    </row>
    <row r="96" ht="14.25">
      <c r="A96" t="s">
        <v>4196</v>
      </c>
      <c r="B96" t="s">
        <v>3886</v>
      </c>
      <c r="C96" t="s">
        <v>4197</v>
      </c>
      <c r="D96" t="s">
        <v>4198</v>
      </c>
      <c r="E96">
        <v>22.683499000000001</v>
      </c>
      <c r="F96">
        <v>87.732382999999999</v>
      </c>
      <c r="G96" t="s">
        <v>4122</v>
      </c>
    </row>
    <row r="97" ht="14.25">
      <c r="A97" t="s">
        <v>4199</v>
      </c>
      <c r="B97" t="s">
        <v>3886</v>
      </c>
      <c r="C97" t="s">
        <v>4200</v>
      </c>
      <c r="D97" t="s">
        <v>4201</v>
      </c>
      <c r="E97">
        <v>22.715924000000001</v>
      </c>
      <c r="F97">
        <v>87.732371999999998</v>
      </c>
      <c r="G97" t="s">
        <v>4099</v>
      </c>
    </row>
    <row r="98" ht="14.25">
      <c r="A98" t="s">
        <v>4204</v>
      </c>
      <c r="B98" t="s">
        <v>3886</v>
      </c>
      <c r="C98" t="s">
        <v>4205</v>
      </c>
      <c r="D98" t="s">
        <v>4206</v>
      </c>
      <c r="E98">
        <v>22.628045</v>
      </c>
      <c r="F98">
        <v>87.656932999999995</v>
      </c>
      <c r="G98" t="s">
        <v>4122</v>
      </c>
    </row>
    <row r="99" ht="14.25">
      <c r="A99" t="s">
        <v>4207</v>
      </c>
      <c r="B99" t="s">
        <v>3886</v>
      </c>
      <c r="C99" t="s">
        <v>4208</v>
      </c>
      <c r="D99" t="s">
        <v>4209</v>
      </c>
      <c r="E99">
        <v>22.828386999999999</v>
      </c>
      <c r="F99">
        <v>87.248113000000004</v>
      </c>
      <c r="G99" t="s">
        <v>4210</v>
      </c>
    </row>
    <row r="100" ht="14.25">
      <c r="A100" t="s">
        <v>4214</v>
      </c>
      <c r="B100" t="s">
        <v>3886</v>
      </c>
      <c r="C100" t="s">
        <v>4215</v>
      </c>
      <c r="D100" t="s">
        <v>4216</v>
      </c>
      <c r="E100">
        <v>22.716439000000001</v>
      </c>
      <c r="F100">
        <v>87.239535000000004</v>
      </c>
      <c r="G100" t="s">
        <v>4045</v>
      </c>
    </row>
    <row r="101" ht="14.25">
      <c r="A101" t="s">
        <v>4217</v>
      </c>
      <c r="B101" t="s">
        <v>3886</v>
      </c>
      <c r="C101" t="s">
        <v>4218</v>
      </c>
      <c r="D101" t="s">
        <v>4219</v>
      </c>
      <c r="E101">
        <v>22.708027000000001</v>
      </c>
      <c r="F101">
        <v>87.172308000000001</v>
      </c>
      <c r="G101" t="s">
        <v>4210</v>
      </c>
    </row>
    <row r="102" ht="14.25">
      <c r="A102" t="s">
        <v>4225</v>
      </c>
      <c r="B102" t="s">
        <v>3886</v>
      </c>
      <c r="C102" t="s">
        <v>4226</v>
      </c>
      <c r="D102" t="s">
        <v>4227</v>
      </c>
      <c r="E102">
        <v>22.732119999999998</v>
      </c>
      <c r="F102">
        <v>87.108930999999998</v>
      </c>
      <c r="G102" t="s">
        <v>4210</v>
      </c>
    </row>
    <row r="103" ht="14.25">
      <c r="A103" t="s">
        <v>4228</v>
      </c>
      <c r="B103" t="s">
        <v>3886</v>
      </c>
      <c r="C103" t="s">
        <v>4229</v>
      </c>
      <c r="D103" t="s">
        <v>4230</v>
      </c>
      <c r="E103">
        <v>22.790997000000001</v>
      </c>
      <c r="F103">
        <v>87.151219999999995</v>
      </c>
      <c r="G103" t="s">
        <v>4210</v>
      </c>
    </row>
    <row r="104" ht="14.25">
      <c r="A104" t="s">
        <v>4231</v>
      </c>
      <c r="B104" t="s">
        <v>3886</v>
      </c>
      <c r="C104" t="s">
        <v>4232</v>
      </c>
      <c r="D104" t="s">
        <v>4233</v>
      </c>
      <c r="E104">
        <v>22.822075000000002</v>
      </c>
      <c r="F104">
        <v>87.151545999999996</v>
      </c>
      <c r="G104" t="s">
        <v>4210</v>
      </c>
    </row>
    <row r="105" ht="14.25">
      <c r="A105" t="s">
        <v>4234</v>
      </c>
      <c r="B105" t="s">
        <v>3886</v>
      </c>
      <c r="C105" t="s">
        <v>4235</v>
      </c>
      <c r="D105" t="s">
        <v>4236</v>
      </c>
      <c r="E105">
        <v>22.836379000000001</v>
      </c>
      <c r="F105">
        <v>87.220124999999996</v>
      </c>
      <c r="G105" t="s">
        <v>4210</v>
      </c>
    </row>
    <row r="106" ht="14.25">
      <c r="A106" t="s">
        <v>4237</v>
      </c>
      <c r="B106" t="s">
        <v>3886</v>
      </c>
      <c r="C106" t="s">
        <v>4238</v>
      </c>
      <c r="D106" t="s">
        <v>4239</v>
      </c>
      <c r="E106">
        <v>22.754784000000001</v>
      </c>
      <c r="F106">
        <v>87.234954000000002</v>
      </c>
      <c r="G106" t="s">
        <v>4045</v>
      </c>
    </row>
    <row r="107" ht="14.25">
      <c r="A107" t="s">
        <v>4240</v>
      </c>
      <c r="B107" t="s">
        <v>3886</v>
      </c>
      <c r="C107" t="s">
        <v>4241</v>
      </c>
      <c r="D107" t="s">
        <v>4242</v>
      </c>
      <c r="E107">
        <v>22.791975999999998</v>
      </c>
      <c r="F107">
        <v>87.211451999999994</v>
      </c>
      <c r="G107" t="s">
        <v>4210</v>
      </c>
    </row>
    <row r="108" ht="14.25">
      <c r="A108" t="s">
        <v>4243</v>
      </c>
      <c r="B108" t="s">
        <v>3886</v>
      </c>
      <c r="C108" t="s">
        <v>4244</v>
      </c>
      <c r="D108" t="s">
        <v>4245</v>
      </c>
      <c r="E108">
        <v>22.796251999999999</v>
      </c>
      <c r="F108">
        <v>87.105756999999997</v>
      </c>
      <c r="G108" t="s">
        <v>4210</v>
      </c>
    </row>
    <row r="109" ht="14.25">
      <c r="A109" t="s">
        <v>4246</v>
      </c>
      <c r="B109" t="s">
        <v>3886</v>
      </c>
      <c r="C109" t="s">
        <v>4247</v>
      </c>
      <c r="D109" t="s">
        <v>4248</v>
      </c>
      <c r="E109">
        <v>22.870517</v>
      </c>
      <c r="F109">
        <v>87.188755</v>
      </c>
      <c r="G109" t="s">
        <v>4210</v>
      </c>
    </row>
    <row r="110" ht="14.25">
      <c r="A110" t="s">
        <v>4249</v>
      </c>
      <c r="B110" t="s">
        <v>3886</v>
      </c>
      <c r="C110" t="s">
        <v>4250</v>
      </c>
      <c r="D110" t="s">
        <v>4251</v>
      </c>
      <c r="E110">
        <v>22.858906999999999</v>
      </c>
      <c r="F110">
        <v>87.252352000000002</v>
      </c>
      <c r="G110" t="s">
        <v>3967</v>
      </c>
    </row>
    <row r="111" ht="14.25">
      <c r="A111" t="s">
        <v>4252</v>
      </c>
      <c r="B111" t="s">
        <v>3886</v>
      </c>
      <c r="C111" t="s">
        <v>4253</v>
      </c>
      <c r="D111" t="s">
        <v>4254</v>
      </c>
      <c r="E111">
        <v>22.849381999999999</v>
      </c>
      <c r="F111">
        <v>87.179276999999999</v>
      </c>
      <c r="G111" t="s">
        <v>4210</v>
      </c>
    </row>
    <row r="112" ht="14.25">
      <c r="A112" t="s">
        <v>4256</v>
      </c>
      <c r="B112" t="s">
        <v>3886</v>
      </c>
      <c r="C112" t="s">
        <v>4257</v>
      </c>
      <c r="D112" t="s">
        <v>4257</v>
      </c>
      <c r="E112">
        <v>22.837893999999999</v>
      </c>
      <c r="F112">
        <v>87.480964999999998</v>
      </c>
      <c r="G112" t="s">
        <v>4011</v>
      </c>
    </row>
    <row r="113" ht="14.25">
      <c r="A113" t="s">
        <v>4258</v>
      </c>
      <c r="B113" t="s">
        <v>3886</v>
      </c>
      <c r="C113" t="s">
        <v>4259</v>
      </c>
      <c r="D113" t="s">
        <v>4260</v>
      </c>
      <c r="E113">
        <v>22.902601000000001</v>
      </c>
      <c r="F113">
        <v>87.462959999999995</v>
      </c>
      <c r="G113" t="s">
        <v>4011</v>
      </c>
    </row>
    <row r="114" ht="14.25">
      <c r="A114" t="s">
        <v>4261</v>
      </c>
      <c r="B114" t="s">
        <v>3886</v>
      </c>
      <c r="C114" t="s">
        <v>4262</v>
      </c>
      <c r="D114" t="s">
        <v>4263</v>
      </c>
      <c r="E114">
        <v>22.896919</v>
      </c>
      <c r="F114">
        <v>87.409006000000005</v>
      </c>
      <c r="G114" t="s">
        <v>3967</v>
      </c>
    </row>
    <row r="115" ht="14.25">
      <c r="A115" t="s">
        <v>4264</v>
      </c>
      <c r="B115" t="s">
        <v>3886</v>
      </c>
      <c r="C115" t="s">
        <v>4265</v>
      </c>
      <c r="D115" t="s">
        <v>4266</v>
      </c>
      <c r="E115">
        <v>22.835664999999999</v>
      </c>
      <c r="F115">
        <v>87.278194999999997</v>
      </c>
      <c r="G115" t="s">
        <v>3967</v>
      </c>
    </row>
    <row r="116" ht="14.25">
      <c r="A116" t="s">
        <v>4267</v>
      </c>
      <c r="B116" t="s">
        <v>3886</v>
      </c>
      <c r="C116" t="s">
        <v>4268</v>
      </c>
      <c r="D116" t="s">
        <v>4269</v>
      </c>
      <c r="E116">
        <v>22.714784999999999</v>
      </c>
      <c r="F116">
        <v>87.303324000000003</v>
      </c>
      <c r="G116" t="s">
        <v>4045</v>
      </c>
    </row>
    <row r="117" ht="14.25">
      <c r="A117" t="s">
        <v>4270</v>
      </c>
      <c r="B117" t="s">
        <v>3886</v>
      </c>
      <c r="C117" t="s">
        <v>4271</v>
      </c>
      <c r="D117" t="s">
        <v>4272</v>
      </c>
      <c r="E117">
        <v>22.733560000000001</v>
      </c>
      <c r="F117">
        <v>87.458457999999993</v>
      </c>
      <c r="G117" t="s">
        <v>4011</v>
      </c>
    </row>
    <row r="118" ht="14.25">
      <c r="A118" t="s">
        <v>4273</v>
      </c>
      <c r="B118" t="s">
        <v>3886</v>
      </c>
      <c r="C118" t="s">
        <v>4274</v>
      </c>
      <c r="D118" t="s">
        <v>4275</v>
      </c>
      <c r="E118">
        <v>22.742349000000001</v>
      </c>
      <c r="F118">
        <v>87.404135999999994</v>
      </c>
      <c r="G118" t="s">
        <v>4045</v>
      </c>
    </row>
    <row r="119" ht="14.25">
      <c r="A119" t="s">
        <v>4276</v>
      </c>
      <c r="B119" t="s">
        <v>3886</v>
      </c>
      <c r="C119" t="s">
        <v>4277</v>
      </c>
      <c r="D119" t="s">
        <v>4278</v>
      </c>
      <c r="E119">
        <v>22.783714</v>
      </c>
      <c r="F119">
        <v>87.393449000000004</v>
      </c>
      <c r="G119" t="s">
        <v>3967</v>
      </c>
    </row>
    <row r="120" ht="14.25">
      <c r="A120" t="s">
        <v>4279</v>
      </c>
      <c r="B120" t="s">
        <v>3886</v>
      </c>
      <c r="C120" t="s">
        <v>4280</v>
      </c>
      <c r="D120" t="s">
        <v>4281</v>
      </c>
      <c r="E120">
        <v>22.773641000000001</v>
      </c>
      <c r="F120">
        <v>87.479455000000002</v>
      </c>
      <c r="G120" t="s">
        <v>4011</v>
      </c>
    </row>
    <row r="121" ht="14.25">
      <c r="A121" t="s">
        <v>4282</v>
      </c>
      <c r="B121" t="s">
        <v>3886</v>
      </c>
      <c r="C121" t="s">
        <v>4283</v>
      </c>
      <c r="D121" t="s">
        <v>4284</v>
      </c>
      <c r="E121">
        <v>22.762329999999999</v>
      </c>
      <c r="F121">
        <v>87.279545999999996</v>
      </c>
      <c r="G121" t="s">
        <v>4045</v>
      </c>
    </row>
    <row r="122" ht="14.25">
      <c r="A122" t="s">
        <v>4286</v>
      </c>
      <c r="B122" t="s">
        <v>3886</v>
      </c>
      <c r="C122" t="s">
        <v>4287</v>
      </c>
      <c r="D122" t="s">
        <v>4288</v>
      </c>
      <c r="E122">
        <v>22.699147</v>
      </c>
      <c r="F122">
        <v>87.382981000000001</v>
      </c>
      <c r="G122" t="s">
        <v>4045</v>
      </c>
    </row>
    <row r="123" ht="14.25">
      <c r="A123" t="s">
        <v>4289</v>
      </c>
      <c r="B123" t="s">
        <v>3886</v>
      </c>
      <c r="C123" t="s">
        <v>4290</v>
      </c>
      <c r="D123" t="s">
        <v>4291</v>
      </c>
      <c r="E123">
        <v>22.801065999999999</v>
      </c>
      <c r="F123">
        <v>87.433887999999996</v>
      </c>
      <c r="G123" t="s">
        <v>4045</v>
      </c>
    </row>
    <row r="124" ht="14.25">
      <c r="A124" t="s">
        <v>4292</v>
      </c>
      <c r="B124" t="s">
        <v>3886</v>
      </c>
      <c r="C124" t="s">
        <v>4293</v>
      </c>
      <c r="D124" t="s">
        <v>4294</v>
      </c>
      <c r="E124">
        <v>22.674084000000001</v>
      </c>
      <c r="F124">
        <v>87.505134999999996</v>
      </c>
      <c r="G124" t="s">
        <v>3987</v>
      </c>
    </row>
    <row r="125" ht="14.25">
      <c r="A125" t="s">
        <v>4295</v>
      </c>
      <c r="B125" t="s">
        <v>3886</v>
      </c>
      <c r="C125" t="s">
        <v>4296</v>
      </c>
      <c r="D125" t="s">
        <v>4297</v>
      </c>
      <c r="E125">
        <v>22.563948</v>
      </c>
      <c r="F125">
        <v>87.409261999999998</v>
      </c>
      <c r="G125" t="s">
        <v>4298</v>
      </c>
    </row>
    <row r="126" ht="14.25">
      <c r="A126" t="s">
        <v>4299</v>
      </c>
      <c r="B126" t="s">
        <v>3886</v>
      </c>
      <c r="C126" t="s">
        <v>4300</v>
      </c>
      <c r="D126" t="s">
        <v>4301</v>
      </c>
      <c r="E126">
        <v>22.507418999999999</v>
      </c>
      <c r="F126">
        <v>87.458286999999999</v>
      </c>
      <c r="G126" t="s">
        <v>4016</v>
      </c>
    </row>
    <row r="127" ht="14.25">
      <c r="A127" t="s">
        <v>4302</v>
      </c>
      <c r="B127" t="s">
        <v>3886</v>
      </c>
      <c r="C127" t="s">
        <v>4303</v>
      </c>
      <c r="D127" t="s">
        <v>4304</v>
      </c>
      <c r="E127">
        <v>22.508009999999999</v>
      </c>
      <c r="F127">
        <v>87.409364999999994</v>
      </c>
      <c r="G127" t="s">
        <v>4016</v>
      </c>
    </row>
    <row r="128" ht="14.25">
      <c r="A128" t="s">
        <v>4305</v>
      </c>
      <c r="B128" t="s">
        <v>3886</v>
      </c>
      <c r="C128" t="s">
        <v>4306</v>
      </c>
      <c r="D128" t="s">
        <v>4307</v>
      </c>
      <c r="E128">
        <v>22.625419999999998</v>
      </c>
      <c r="F128">
        <v>87.469689000000002</v>
      </c>
      <c r="G128" t="s">
        <v>4298</v>
      </c>
    </row>
    <row r="129" ht="14.25">
      <c r="A129" t="s">
        <v>4308</v>
      </c>
      <c r="B129" t="s">
        <v>3886</v>
      </c>
      <c r="C129" t="s">
        <v>4309</v>
      </c>
      <c r="D129" t="s">
        <v>4310</v>
      </c>
      <c r="E129">
        <v>22.477475999999999</v>
      </c>
      <c r="F129">
        <v>87.526908000000006</v>
      </c>
      <c r="G129" t="s">
        <v>4298</v>
      </c>
    </row>
    <row r="130" ht="14.25">
      <c r="A130" t="s">
        <v>4311</v>
      </c>
      <c r="B130" t="s">
        <v>3886</v>
      </c>
      <c r="C130" t="s">
        <v>4312</v>
      </c>
      <c r="D130" t="s">
        <v>4313</v>
      </c>
      <c r="E130">
        <v>22.553804</v>
      </c>
      <c r="F130">
        <v>87.495947999999999</v>
      </c>
      <c r="G130" t="s">
        <v>4298</v>
      </c>
    </row>
    <row r="131" ht="14.25">
      <c r="A131" t="s">
        <v>4314</v>
      </c>
      <c r="B131" t="s">
        <v>3886</v>
      </c>
      <c r="C131" t="s">
        <v>4315</v>
      </c>
      <c r="D131" t="s">
        <v>4316</v>
      </c>
      <c r="E131">
        <v>22.574579</v>
      </c>
      <c r="F131">
        <v>87.525953000000001</v>
      </c>
      <c r="G131" t="s">
        <v>4298</v>
      </c>
    </row>
    <row r="132" ht="14.25">
      <c r="A132" t="s">
        <v>4317</v>
      </c>
      <c r="B132" t="s">
        <v>3886</v>
      </c>
      <c r="C132" t="s">
        <v>4318</v>
      </c>
      <c r="D132" t="s">
        <v>4319</v>
      </c>
      <c r="E132">
        <v>22.614346999999999</v>
      </c>
      <c r="F132">
        <v>87.534397999999996</v>
      </c>
      <c r="G132" t="s">
        <v>4298</v>
      </c>
    </row>
    <row r="133" ht="14.25">
      <c r="A133" t="s">
        <v>4320</v>
      </c>
      <c r="B133" t="s">
        <v>3886</v>
      </c>
      <c r="C133" t="s">
        <v>4321</v>
      </c>
      <c r="D133" t="s">
        <v>4322</v>
      </c>
      <c r="E133">
        <v>22.606268</v>
      </c>
      <c r="F133">
        <v>87.423610999999994</v>
      </c>
      <c r="G133" t="s">
        <v>4298</v>
      </c>
    </row>
    <row r="134" ht="14.25">
      <c r="A134" t="s">
        <v>4323</v>
      </c>
      <c r="B134" t="s">
        <v>3886</v>
      </c>
      <c r="C134" t="s">
        <v>4324</v>
      </c>
      <c r="D134" t="s">
        <v>4325</v>
      </c>
      <c r="E134">
        <v>22.597636000000001</v>
      </c>
      <c r="F134">
        <v>87.481781999999995</v>
      </c>
      <c r="G134" t="s">
        <v>4298</v>
      </c>
    </row>
    <row r="135" ht="14.25">
      <c r="A135" t="s">
        <v>4326</v>
      </c>
      <c r="B135" t="s">
        <v>3886</v>
      </c>
      <c r="C135" t="s">
        <v>4327</v>
      </c>
      <c r="D135" t="s">
        <v>4328</v>
      </c>
      <c r="E135">
        <v>22.630057000000001</v>
      </c>
      <c r="F135">
        <v>87.407037000000003</v>
      </c>
      <c r="G135" t="s">
        <v>4045</v>
      </c>
    </row>
    <row r="136" ht="14.25">
      <c r="A136" t="s">
        <v>4329</v>
      </c>
      <c r="B136" t="s">
        <v>3886</v>
      </c>
      <c r="C136" t="s">
        <v>4330</v>
      </c>
      <c r="D136" t="s">
        <v>4331</v>
      </c>
      <c r="E136">
        <v>22.524723999999999</v>
      </c>
      <c r="F136">
        <v>87.375461000000001</v>
      </c>
      <c r="G136" t="s">
        <v>4038</v>
      </c>
    </row>
    <row r="137" ht="14.25">
      <c r="A137" t="s">
        <v>4332</v>
      </c>
      <c r="B137" t="s">
        <v>3886</v>
      </c>
      <c r="C137" t="s">
        <v>4333</v>
      </c>
      <c r="D137" t="s">
        <v>4334</v>
      </c>
      <c r="E137">
        <v>22.719975999999999</v>
      </c>
      <c r="F137">
        <v>87.684173999999999</v>
      </c>
      <c r="G137" t="s">
        <v>3987</v>
      </c>
    </row>
    <row r="138" ht="14.25">
      <c r="A138" t="s">
        <v>4335</v>
      </c>
      <c r="B138" t="s">
        <v>3886</v>
      </c>
      <c r="C138" t="s">
        <v>4336</v>
      </c>
      <c r="D138" t="s">
        <v>4337</v>
      </c>
      <c r="E138">
        <v>22.444962</v>
      </c>
      <c r="F138">
        <v>87.387952999999996</v>
      </c>
      <c r="G138" t="s">
        <v>3893</v>
      </c>
    </row>
    <row r="139" ht="14.25">
      <c r="A139" t="s">
        <v>4338</v>
      </c>
      <c r="B139" t="s">
        <v>3886</v>
      </c>
      <c r="C139" t="s">
        <v>4339</v>
      </c>
      <c r="D139" t="s">
        <v>4340</v>
      </c>
      <c r="E139">
        <v>22.443776</v>
      </c>
      <c r="F139">
        <v>87.440202999999997</v>
      </c>
      <c r="G139" t="s">
        <v>3893</v>
      </c>
    </row>
    <row r="140" ht="14.25">
      <c r="A140" t="s">
        <v>4341</v>
      </c>
      <c r="B140" t="s">
        <v>3886</v>
      </c>
      <c r="C140" t="s">
        <v>4342</v>
      </c>
      <c r="D140" t="s">
        <v>4343</v>
      </c>
      <c r="E140">
        <v>22.470741</v>
      </c>
      <c r="F140">
        <v>87.237495999999993</v>
      </c>
      <c r="G140" t="s">
        <v>3889</v>
      </c>
    </row>
    <row r="141" ht="14.25">
      <c r="A141" t="s">
        <v>4344</v>
      </c>
      <c r="B141" t="s">
        <v>3886</v>
      </c>
      <c r="C141" t="s">
        <v>4345</v>
      </c>
      <c r="D141" t="s">
        <v>4346</v>
      </c>
      <c r="E141">
        <v>22.489927999999999</v>
      </c>
      <c r="F141">
        <v>87.097076000000001</v>
      </c>
      <c r="G141" t="s">
        <v>4347</v>
      </c>
    </row>
    <row r="142" ht="14.25">
      <c r="A142" t="s">
        <v>4348</v>
      </c>
      <c r="B142" t="s">
        <v>3886</v>
      </c>
      <c r="C142" t="s">
        <v>4349</v>
      </c>
      <c r="D142" t="s">
        <v>4350</v>
      </c>
      <c r="E142">
        <v>22.467672</v>
      </c>
      <c r="F142">
        <v>87.399439999999998</v>
      </c>
      <c r="G142" t="s">
        <v>3893</v>
      </c>
    </row>
    <row r="143" ht="14.25">
      <c r="A143" t="s">
        <v>4351</v>
      </c>
      <c r="B143" t="s">
        <v>3886</v>
      </c>
      <c r="C143" t="s">
        <v>4352</v>
      </c>
      <c r="D143" t="s">
        <v>4353</v>
      </c>
      <c r="E143">
        <v>22.476035</v>
      </c>
      <c r="F143">
        <v>87.360956999999999</v>
      </c>
      <c r="G143" t="s">
        <v>3893</v>
      </c>
    </row>
    <row r="144" ht="14.25">
      <c r="A144" t="s">
        <v>4354</v>
      </c>
      <c r="B144" t="s">
        <v>3886</v>
      </c>
      <c r="C144" t="s">
        <v>4355</v>
      </c>
      <c r="D144" t="s">
        <v>4356</v>
      </c>
      <c r="E144">
        <v>22.420788000000002</v>
      </c>
      <c r="F144">
        <v>87.290051000000005</v>
      </c>
      <c r="G144" t="s">
        <v>3889</v>
      </c>
    </row>
    <row r="145" ht="14.25">
      <c r="A145" t="s">
        <v>4357</v>
      </c>
      <c r="B145" t="s">
        <v>3886</v>
      </c>
      <c r="C145" t="s">
        <v>4358</v>
      </c>
      <c r="D145" t="s">
        <v>4359</v>
      </c>
      <c r="E145">
        <v>22.400779</v>
      </c>
      <c r="F145">
        <v>87.395995999999997</v>
      </c>
      <c r="G145" t="s">
        <v>3893</v>
      </c>
    </row>
    <row r="146" ht="14.25">
      <c r="A146" t="s">
        <v>4360</v>
      </c>
      <c r="B146" t="s">
        <v>3886</v>
      </c>
      <c r="C146" t="s">
        <v>4361</v>
      </c>
      <c r="D146" t="s">
        <v>4362</v>
      </c>
      <c r="E146">
        <v>22.565776</v>
      </c>
      <c r="F146">
        <v>87.181909000000005</v>
      </c>
      <c r="G146" t="s">
        <v>4347</v>
      </c>
    </row>
    <row r="147" ht="14.25">
      <c r="A147" t="s">
        <v>4363</v>
      </c>
      <c r="B147" t="s">
        <v>3886</v>
      </c>
      <c r="C147" t="s">
        <v>4364</v>
      </c>
      <c r="D147" t="s">
        <v>4365</v>
      </c>
      <c r="E147">
        <v>22.591818</v>
      </c>
      <c r="F147">
        <v>87.213431</v>
      </c>
      <c r="G147" t="s">
        <v>4366</v>
      </c>
    </row>
    <row r="148" ht="14.25">
      <c r="A148" t="s">
        <v>4367</v>
      </c>
      <c r="B148" t="s">
        <v>3886</v>
      </c>
      <c r="C148" t="s">
        <v>4368</v>
      </c>
      <c r="D148" t="s">
        <v>4369</v>
      </c>
      <c r="E148">
        <v>22.534464</v>
      </c>
      <c r="F148">
        <v>87.237554000000003</v>
      </c>
      <c r="G148" t="s">
        <v>4366</v>
      </c>
    </row>
    <row r="149" ht="14.25">
      <c r="A149" t="s">
        <v>4370</v>
      </c>
      <c r="B149" t="s">
        <v>3886</v>
      </c>
      <c r="C149" t="s">
        <v>4371</v>
      </c>
      <c r="D149" t="s">
        <v>4372</v>
      </c>
      <c r="E149">
        <v>22.603261</v>
      </c>
      <c r="F149">
        <v>87.109168999999994</v>
      </c>
      <c r="G149" t="s">
        <v>4366</v>
      </c>
    </row>
    <row r="150" ht="14.25">
      <c r="A150" t="s">
        <v>4373</v>
      </c>
      <c r="B150" t="s">
        <v>3886</v>
      </c>
      <c r="C150" t="s">
        <v>4374</v>
      </c>
      <c r="D150" t="s">
        <v>4375</v>
      </c>
      <c r="E150">
        <v>22.657496999999999</v>
      </c>
      <c r="F150">
        <v>87.265467999999998</v>
      </c>
      <c r="G150" t="s">
        <v>4038</v>
      </c>
    </row>
    <row r="151" ht="14.25">
      <c r="A151" t="s">
        <v>4376</v>
      </c>
      <c r="B151" t="s">
        <v>3886</v>
      </c>
      <c r="C151" t="s">
        <v>4377</v>
      </c>
      <c r="D151" t="s">
        <v>4378</v>
      </c>
      <c r="E151">
        <v>22.648163</v>
      </c>
      <c r="F151">
        <v>87.186610999999999</v>
      </c>
      <c r="G151" t="s">
        <v>4366</v>
      </c>
    </row>
    <row r="152" ht="14.25">
      <c r="A152" t="s">
        <v>4379</v>
      </c>
      <c r="B152" t="s">
        <v>3886</v>
      </c>
      <c r="C152" t="s">
        <v>4380</v>
      </c>
      <c r="D152" t="s">
        <v>4381</v>
      </c>
      <c r="E152">
        <v>22.511887000000002</v>
      </c>
      <c r="F152">
        <v>87.266531000000001</v>
      </c>
      <c r="G152" t="s">
        <v>4038</v>
      </c>
    </row>
    <row r="153" ht="14.25">
      <c r="A153" t="s">
        <v>4382</v>
      </c>
      <c r="B153" t="s">
        <v>3886</v>
      </c>
      <c r="C153" t="s">
        <v>4342</v>
      </c>
      <c r="D153" t="s">
        <v>4383</v>
      </c>
      <c r="E153">
        <v>22.470654</v>
      </c>
      <c r="F153">
        <v>87.279658999999995</v>
      </c>
      <c r="G153" t="s">
        <v>4038</v>
      </c>
    </row>
    <row r="154" ht="14.25">
      <c r="A154" t="s">
        <v>4384</v>
      </c>
      <c r="B154" t="s">
        <v>3886</v>
      </c>
      <c r="C154" t="s">
        <v>4385</v>
      </c>
      <c r="D154" t="s">
        <v>4386</v>
      </c>
      <c r="E154">
        <v>22.419204000000001</v>
      </c>
      <c r="F154">
        <v>87.303185999999997</v>
      </c>
      <c r="G154" t="s">
        <v>3889</v>
      </c>
    </row>
    <row r="155" ht="14.25">
      <c r="A155" t="s">
        <v>4387</v>
      </c>
      <c r="B155" t="s">
        <v>3886</v>
      </c>
      <c r="C155" t="s">
        <v>4024</v>
      </c>
      <c r="D155" t="s">
        <v>4388</v>
      </c>
      <c r="E155">
        <v>22.826924999999999</v>
      </c>
      <c r="F155">
        <v>87.607279000000005</v>
      </c>
      <c r="G155" t="s">
        <v>4011</v>
      </c>
    </row>
    <row r="156" ht="14.25">
      <c r="A156" t="s">
        <v>4389</v>
      </c>
      <c r="B156" t="s">
        <v>3886</v>
      </c>
      <c r="C156" t="s">
        <v>4390</v>
      </c>
      <c r="D156" t="s">
        <v>4391</v>
      </c>
      <c r="E156">
        <v>22.730119999999999</v>
      </c>
      <c r="F156">
        <v>87.521547999999996</v>
      </c>
      <c r="G156" t="s">
        <v>3987</v>
      </c>
    </row>
    <row r="157" ht="14.25">
      <c r="A157" t="s">
        <v>4392</v>
      </c>
      <c r="B157" t="s">
        <v>3886</v>
      </c>
      <c r="C157" t="s">
        <v>4393</v>
      </c>
      <c r="D157" t="s">
        <v>4394</v>
      </c>
      <c r="E157">
        <v>22.651298000000001</v>
      </c>
      <c r="F157">
        <v>87.776455999999996</v>
      </c>
      <c r="G157" t="s">
        <v>4099</v>
      </c>
    </row>
    <row r="158" ht="14.25">
      <c r="A158" t="s">
        <v>4396</v>
      </c>
      <c r="B158" t="s">
        <v>3886</v>
      </c>
      <c r="C158" t="s">
        <v>4397</v>
      </c>
      <c r="D158" t="s">
        <v>4398</v>
      </c>
      <c r="E158">
        <v>22.735171000000001</v>
      </c>
      <c r="F158">
        <v>87.349711999999997</v>
      </c>
      <c r="G158" t="s">
        <v>4045</v>
      </c>
    </row>
    <row r="159" ht="14.25">
      <c r="A159" t="s">
        <v>4399</v>
      </c>
      <c r="B159" t="s">
        <v>3886</v>
      </c>
      <c r="C159" t="s">
        <v>4400</v>
      </c>
      <c r="D159" t="s">
        <v>4401</v>
      </c>
      <c r="E159">
        <v>22.748632000000001</v>
      </c>
      <c r="F159">
        <v>87.332263999999995</v>
      </c>
      <c r="G159" t="s">
        <v>4045</v>
      </c>
    </row>
    <row r="160" ht="14.25">
      <c r="A160" t="s">
        <v>4402</v>
      </c>
      <c r="B160" t="s">
        <v>3886</v>
      </c>
      <c r="C160" t="s">
        <v>4403</v>
      </c>
      <c r="D160" t="s">
        <v>4404</v>
      </c>
      <c r="E160">
        <v>22.889706</v>
      </c>
      <c r="F160">
        <v>87.469336999999996</v>
      </c>
      <c r="G160" t="s">
        <v>4011</v>
      </c>
    </row>
    <row r="161" ht="14.25">
      <c r="A161" t="s">
        <v>4406</v>
      </c>
      <c r="B161" t="s">
        <v>3886</v>
      </c>
      <c r="C161" t="s">
        <v>4407</v>
      </c>
      <c r="D161" t="s">
        <v>4408</v>
      </c>
      <c r="E161">
        <v>22.848973000000001</v>
      </c>
      <c r="F161">
        <v>87.343402999999995</v>
      </c>
      <c r="G161" t="s">
        <v>3967</v>
      </c>
    </row>
    <row r="162" ht="14.25">
      <c r="A162" t="s">
        <v>4409</v>
      </c>
      <c r="B162" t="s">
        <v>3886</v>
      </c>
      <c r="C162" t="s">
        <v>4410</v>
      </c>
      <c r="D162" t="s">
        <v>4411</v>
      </c>
      <c r="E162">
        <v>22.629863</v>
      </c>
      <c r="F162">
        <v>87.770771999999994</v>
      </c>
      <c r="G162" t="s">
        <v>4099</v>
      </c>
    </row>
    <row r="163" ht="14.25">
      <c r="A163" t="s">
        <v>4412</v>
      </c>
      <c r="B163" t="s">
        <v>3886</v>
      </c>
      <c r="C163" t="s">
        <v>4413</v>
      </c>
      <c r="D163" t="s">
        <v>4414</v>
      </c>
      <c r="E163">
        <v>22.666813999999999</v>
      </c>
      <c r="F163">
        <v>87.702881000000005</v>
      </c>
      <c r="G163" t="s">
        <v>4122</v>
      </c>
    </row>
    <row r="164" ht="14.25">
      <c r="A164" t="s">
        <v>4415</v>
      </c>
      <c r="B164" t="s">
        <v>3886</v>
      </c>
      <c r="C164" t="s">
        <v>4416</v>
      </c>
      <c r="D164" t="s">
        <v>4417</v>
      </c>
      <c r="E164">
        <v>22.594398999999999</v>
      </c>
      <c r="F164">
        <v>87.718635000000006</v>
      </c>
      <c r="G164" t="s">
        <v>4099</v>
      </c>
    </row>
    <row r="165" ht="14.25">
      <c r="A165" t="s">
        <v>4419</v>
      </c>
      <c r="B165" t="s">
        <v>3886</v>
      </c>
      <c r="C165" t="s">
        <v>4420</v>
      </c>
      <c r="D165" t="s">
        <v>4421</v>
      </c>
      <c r="E165">
        <v>22.440973</v>
      </c>
      <c r="F165">
        <v>87.289912000000001</v>
      </c>
      <c r="G165" t="s">
        <v>3889</v>
      </c>
    </row>
    <row r="166" ht="14.25">
      <c r="A166" t="s">
        <v>4422</v>
      </c>
      <c r="B166" t="s">
        <v>3886</v>
      </c>
      <c r="C166" t="s">
        <v>4423</v>
      </c>
      <c r="D166" t="s">
        <v>4424</v>
      </c>
      <c r="E166">
        <v>22.622209999999999</v>
      </c>
      <c r="F166">
        <v>87.728033999999994</v>
      </c>
      <c r="G166" t="s">
        <v>4122</v>
      </c>
    </row>
    <row r="167" ht="14.25">
      <c r="A167" t="s">
        <v>4425</v>
      </c>
      <c r="B167" t="s">
        <v>3886</v>
      </c>
      <c r="C167" t="s">
        <v>4426</v>
      </c>
      <c r="D167" t="s">
        <v>4427</v>
      </c>
      <c r="E167">
        <v>22.510047</v>
      </c>
      <c r="F167">
        <v>87.748200999999995</v>
      </c>
      <c r="G167" t="s">
        <v>4004</v>
      </c>
    </row>
    <row r="168" ht="14.25">
      <c r="A168" t="s">
        <v>4428</v>
      </c>
      <c r="B168" t="s">
        <v>3886</v>
      </c>
      <c r="C168" t="s">
        <v>4429</v>
      </c>
      <c r="D168" t="s">
        <v>4430</v>
      </c>
      <c r="E168">
        <v>22.664823999999999</v>
      </c>
      <c r="F168">
        <v>87.729811999999995</v>
      </c>
      <c r="G168" t="s">
        <v>4099</v>
      </c>
    </row>
    <row r="169" ht="14.25">
      <c r="A169" t="s">
        <v>4432</v>
      </c>
      <c r="B169" t="s">
        <v>3886</v>
      </c>
      <c r="C169" t="s">
        <v>4433</v>
      </c>
      <c r="D169" t="s">
        <v>4434</v>
      </c>
      <c r="E169">
        <v>22.570394</v>
      </c>
      <c r="F169">
        <v>87.723468999999994</v>
      </c>
      <c r="G169" t="s">
        <v>4004</v>
      </c>
    </row>
    <row r="170" ht="14.25">
      <c r="A170" t="s">
        <v>4435</v>
      </c>
      <c r="B170" t="s">
        <v>3886</v>
      </c>
      <c r="C170" t="s">
        <v>4436</v>
      </c>
      <c r="D170" t="s">
        <v>4437</v>
      </c>
      <c r="E170">
        <v>22.720527000000001</v>
      </c>
      <c r="F170">
        <v>87.341279999999998</v>
      </c>
      <c r="G170" t="s">
        <v>4045</v>
      </c>
    </row>
    <row r="171" ht="14.25">
      <c r="A171" t="s">
        <v>1563</v>
      </c>
      <c r="B171" t="s">
        <v>3886</v>
      </c>
      <c r="C171" t="s">
        <v>1564</v>
      </c>
      <c r="D171" t="s">
        <v>1565</v>
      </c>
      <c r="E171">
        <v>22.559372</v>
      </c>
      <c r="F171">
        <v>87.831424999999996</v>
      </c>
      <c r="G171" t="s">
        <v>4004</v>
      </c>
    </row>
    <row r="172" ht="14.25">
      <c r="A172" t="s">
        <v>4438</v>
      </c>
      <c r="B172" t="s">
        <v>3886</v>
      </c>
      <c r="C172" t="s">
        <v>4439</v>
      </c>
      <c r="D172" t="s">
        <v>4440</v>
      </c>
      <c r="E172">
        <v>22.532585999999998</v>
      </c>
      <c r="F172">
        <v>87.682102</v>
      </c>
      <c r="G172" t="s">
        <v>4004</v>
      </c>
    </row>
    <row r="173" ht="14.25">
      <c r="A173" t="s">
        <v>4441</v>
      </c>
      <c r="B173" t="s">
        <v>3886</v>
      </c>
      <c r="C173" t="s">
        <v>4442</v>
      </c>
      <c r="D173" t="s">
        <v>4443</v>
      </c>
      <c r="E173">
        <v>22.809258</v>
      </c>
      <c r="F173">
        <v>87.592217000000005</v>
      </c>
      <c r="G173" t="s">
        <v>4011</v>
      </c>
    </row>
    <row r="174" ht="14.25">
      <c r="A174" t="s">
        <v>4444</v>
      </c>
      <c r="B174" t="s">
        <v>3886</v>
      </c>
      <c r="C174" t="s">
        <v>4416</v>
      </c>
      <c r="D174" t="s">
        <v>4445</v>
      </c>
      <c r="E174">
        <v>22.597943999999998</v>
      </c>
      <c r="F174">
        <v>87.735429999999994</v>
      </c>
      <c r="G174" t="s">
        <v>4122</v>
      </c>
    </row>
    <row r="175" ht="14.25">
      <c r="A175" t="s">
        <v>4446</v>
      </c>
      <c r="B175" t="s">
        <v>3886</v>
      </c>
      <c r="C175" t="s">
        <v>4447</v>
      </c>
      <c r="D175" t="s">
        <v>4448</v>
      </c>
      <c r="E175">
        <v>22.648904999999999</v>
      </c>
      <c r="F175">
        <v>87.312961999999999</v>
      </c>
      <c r="G175" t="s">
        <v>4038</v>
      </c>
    </row>
    <row r="176" ht="14.25">
      <c r="A176" t="s">
        <v>4449</v>
      </c>
      <c r="B176" t="s">
        <v>3886</v>
      </c>
      <c r="C176" t="s">
        <v>4450</v>
      </c>
      <c r="D176" t="s">
        <v>4451</v>
      </c>
      <c r="E176">
        <v>22.541416999999999</v>
      </c>
      <c r="F176">
        <v>87.853296999999998</v>
      </c>
      <c r="G176" t="s">
        <v>4004</v>
      </c>
    </row>
    <row r="177" ht="14.25">
      <c r="A177" t="s">
        <v>4452</v>
      </c>
      <c r="B177" t="s">
        <v>3886</v>
      </c>
      <c r="C177" t="s">
        <v>4453</v>
      </c>
      <c r="D177" t="s">
        <v>4454</v>
      </c>
      <c r="E177">
        <v>22.618739999999999</v>
      </c>
      <c r="F177">
        <v>87.313188999999994</v>
      </c>
      <c r="G177" t="s">
        <v>4033</v>
      </c>
    </row>
    <row r="178" ht="14.25">
      <c r="A178" t="s">
        <v>4455</v>
      </c>
      <c r="B178" t="s">
        <v>3886</v>
      </c>
      <c r="C178" t="s">
        <v>4456</v>
      </c>
      <c r="D178" t="s">
        <v>4457</v>
      </c>
      <c r="E178">
        <v>22.659542999999999</v>
      </c>
      <c r="F178">
        <v>87.593968000000004</v>
      </c>
      <c r="G178" t="s">
        <v>3987</v>
      </c>
    </row>
    <row r="179" ht="14.25">
      <c r="A179" t="s">
        <v>4458</v>
      </c>
      <c r="B179" t="s">
        <v>3886</v>
      </c>
      <c r="C179" t="s">
        <v>4459</v>
      </c>
      <c r="D179" t="s">
        <v>4460</v>
      </c>
      <c r="E179">
        <v>22.788830000000001</v>
      </c>
      <c r="F179">
        <v>87.671195999999995</v>
      </c>
      <c r="G179" t="s">
        <v>3987</v>
      </c>
    </row>
    <row r="180" ht="14.25">
      <c r="A180" t="s">
        <v>4461</v>
      </c>
      <c r="B180" t="s">
        <v>3886</v>
      </c>
      <c r="C180" t="s">
        <v>4462</v>
      </c>
      <c r="D180" t="s">
        <v>4463</v>
      </c>
      <c r="E180">
        <v>22.616448999999999</v>
      </c>
      <c r="F180">
        <v>87.331519999999998</v>
      </c>
      <c r="G180" t="s">
        <v>4038</v>
      </c>
    </row>
    <row r="181" ht="14.25">
      <c r="A181" t="s">
        <v>4464</v>
      </c>
      <c r="B181" t="s">
        <v>3886</v>
      </c>
      <c r="C181" t="s">
        <v>4465</v>
      </c>
      <c r="D181" t="s">
        <v>2687</v>
      </c>
      <c r="E181">
        <v>22.737244</v>
      </c>
      <c r="F181">
        <v>87.370110999999994</v>
      </c>
      <c r="G181" t="s">
        <v>4045</v>
      </c>
    </row>
    <row r="182" ht="14.25">
      <c r="A182" t="s">
        <v>4466</v>
      </c>
      <c r="B182" t="s">
        <v>3886</v>
      </c>
      <c r="C182" t="s">
        <v>4467</v>
      </c>
      <c r="D182" t="s">
        <v>4468</v>
      </c>
      <c r="E182">
        <v>22.824631</v>
      </c>
      <c r="F182">
        <v>87.114656999999994</v>
      </c>
      <c r="G182" t="s">
        <v>4210</v>
      </c>
    </row>
    <row r="183" ht="14.25">
      <c r="A183" t="s">
        <v>4470</v>
      </c>
      <c r="B183" t="s">
        <v>3886</v>
      </c>
      <c r="C183" t="s">
        <v>4471</v>
      </c>
      <c r="D183" t="s">
        <v>4472</v>
      </c>
      <c r="E183">
        <v>22.555268999999999</v>
      </c>
      <c r="F183">
        <v>87.724630000000005</v>
      </c>
      <c r="G183" t="s">
        <v>4004</v>
      </c>
    </row>
    <row r="184" ht="14.25">
      <c r="A184" t="s">
        <v>4473</v>
      </c>
      <c r="B184" t="s">
        <v>3886</v>
      </c>
      <c r="C184" t="s">
        <v>4474</v>
      </c>
      <c r="D184" t="s">
        <v>4475</v>
      </c>
      <c r="E184">
        <v>22.710812000000001</v>
      </c>
      <c r="F184">
        <v>87.144022000000007</v>
      </c>
      <c r="G184" t="s">
        <v>4210</v>
      </c>
    </row>
    <row r="185" ht="14.25">
      <c r="A185" t="s">
        <v>4476</v>
      </c>
      <c r="B185" t="s">
        <v>3886</v>
      </c>
      <c r="C185" t="s">
        <v>2477</v>
      </c>
      <c r="D185" t="s">
        <v>4477</v>
      </c>
      <c r="E185">
        <v>22.473049</v>
      </c>
      <c r="F185">
        <v>87.432362999999995</v>
      </c>
      <c r="G185" t="s">
        <v>3893</v>
      </c>
    </row>
    <row r="186" ht="14.25">
      <c r="A186" t="s">
        <v>4478</v>
      </c>
      <c r="B186" t="s">
        <v>3886</v>
      </c>
      <c r="C186" t="s">
        <v>4479</v>
      </c>
      <c r="D186" t="s">
        <v>4480</v>
      </c>
      <c r="E186">
        <v>22.610758000000001</v>
      </c>
      <c r="F186">
        <v>87.351687999999996</v>
      </c>
      <c r="G186" t="s">
        <v>4038</v>
      </c>
    </row>
    <row r="187" ht="14.25">
      <c r="A187" t="s">
        <v>4481</v>
      </c>
      <c r="B187" t="s">
        <v>3886</v>
      </c>
      <c r="C187" t="s">
        <v>4482</v>
      </c>
      <c r="D187" t="s">
        <v>4483</v>
      </c>
      <c r="E187">
        <v>22.612825000000001</v>
      </c>
      <c r="F187">
        <v>87.298218000000006</v>
      </c>
      <c r="G187" t="s">
        <v>4038</v>
      </c>
    </row>
    <row r="188" ht="14.25">
      <c r="A188" t="s">
        <v>4484</v>
      </c>
      <c r="B188" t="s">
        <v>3886</v>
      </c>
      <c r="C188" t="s">
        <v>4485</v>
      </c>
      <c r="D188" t="s">
        <v>4486</v>
      </c>
      <c r="E188">
        <v>22.866852000000002</v>
      </c>
      <c r="F188">
        <v>87.497255999999993</v>
      </c>
      <c r="G188" t="s">
        <v>4011</v>
      </c>
    </row>
    <row r="189" ht="14.25">
      <c r="A189" t="s">
        <v>4487</v>
      </c>
      <c r="B189" t="s">
        <v>3886</v>
      </c>
      <c r="C189" t="s">
        <v>4488</v>
      </c>
      <c r="D189" t="s">
        <v>4489</v>
      </c>
      <c r="E189">
        <v>22.874987000000001</v>
      </c>
      <c r="F189">
        <v>87.384052999999994</v>
      </c>
      <c r="G189" t="s">
        <v>3967</v>
      </c>
    </row>
    <row r="190" ht="14.25">
      <c r="A190" t="s">
        <v>4490</v>
      </c>
      <c r="B190" t="s">
        <v>3886</v>
      </c>
      <c r="C190" t="s">
        <v>4491</v>
      </c>
      <c r="D190" t="s">
        <v>4492</v>
      </c>
      <c r="E190">
        <v>22.670805000000001</v>
      </c>
      <c r="F190">
        <v>87.235016999999999</v>
      </c>
      <c r="G190" t="s">
        <v>4366</v>
      </c>
    </row>
    <row r="191" ht="14.25">
      <c r="A191" t="s">
        <v>2685</v>
      </c>
      <c r="B191" t="s">
        <v>3886</v>
      </c>
      <c r="C191" t="s">
        <v>2686</v>
      </c>
      <c r="D191" t="s">
        <v>2687</v>
      </c>
      <c r="E191">
        <v>22.446491000000002</v>
      </c>
      <c r="F191">
        <v>87.533928000000003</v>
      </c>
      <c r="G191" t="s">
        <v>2291</v>
      </c>
    </row>
    <row r="192" ht="14.25">
      <c r="A192" t="s">
        <v>4493</v>
      </c>
      <c r="B192" t="s">
        <v>3886</v>
      </c>
      <c r="C192" t="s">
        <v>4494</v>
      </c>
      <c r="D192" t="s">
        <v>4495</v>
      </c>
      <c r="E192">
        <v>22.740518999999999</v>
      </c>
      <c r="F192">
        <v>87.638813999999996</v>
      </c>
      <c r="G192" t="s">
        <v>3987</v>
      </c>
    </row>
    <row r="193" ht="14.25">
      <c r="A193" t="s">
        <v>4496</v>
      </c>
      <c r="B193" t="s">
        <v>3886</v>
      </c>
      <c r="C193" t="s">
        <v>4497</v>
      </c>
      <c r="D193" t="s">
        <v>4498</v>
      </c>
      <c r="E193">
        <v>22.818683</v>
      </c>
      <c r="F193">
        <v>87.392673000000002</v>
      </c>
      <c r="G193" t="s">
        <v>3967</v>
      </c>
    </row>
    <row r="194" ht="14.25">
      <c r="A194" t="s">
        <v>4499</v>
      </c>
      <c r="B194" t="s">
        <v>3886</v>
      </c>
      <c r="C194" t="s">
        <v>4500</v>
      </c>
      <c r="D194" t="s">
        <v>4501</v>
      </c>
      <c r="E194">
        <v>22.913008999999999</v>
      </c>
      <c r="F194">
        <v>87.503183000000007</v>
      </c>
      <c r="G194" t="s">
        <v>4011</v>
      </c>
    </row>
    <row r="195" ht="14.25">
      <c r="A195" t="s">
        <v>4502</v>
      </c>
      <c r="B195" t="s">
        <v>3886</v>
      </c>
      <c r="C195" t="s">
        <v>4503</v>
      </c>
      <c r="D195" t="s">
        <v>4504</v>
      </c>
      <c r="E195">
        <v>22.688925000000001</v>
      </c>
      <c r="F195">
        <v>87.469680999999994</v>
      </c>
      <c r="G195" t="s">
        <v>4298</v>
      </c>
    </row>
    <row r="196" ht="14.25">
      <c r="A196" t="s">
        <v>4505</v>
      </c>
      <c r="B196" t="s">
        <v>3886</v>
      </c>
      <c r="C196" t="s">
        <v>4506</v>
      </c>
      <c r="D196" t="s">
        <v>4507</v>
      </c>
      <c r="E196">
        <v>22.755289999999999</v>
      </c>
      <c r="F196">
        <v>87.182935999999998</v>
      </c>
      <c r="G196" t="s">
        <v>4210</v>
      </c>
    </row>
    <row r="197" ht="14.25">
      <c r="A197" t="s">
        <v>4508</v>
      </c>
      <c r="B197" t="s">
        <v>3886</v>
      </c>
      <c r="C197" t="s">
        <v>4509</v>
      </c>
      <c r="D197" t="s">
        <v>4510</v>
      </c>
      <c r="E197">
        <v>22.433709</v>
      </c>
      <c r="F197">
        <v>87.324610000000007</v>
      </c>
      <c r="G197" t="s">
        <v>3893</v>
      </c>
    </row>
    <row r="198" ht="14.25">
      <c r="A198" t="s">
        <v>4511</v>
      </c>
      <c r="B198" t="s">
        <v>3886</v>
      </c>
      <c r="C198" t="s">
        <v>4512</v>
      </c>
      <c r="D198" t="s">
        <v>4513</v>
      </c>
      <c r="E198">
        <v>22.413035000000001</v>
      </c>
      <c r="F198">
        <v>87.311481999999998</v>
      </c>
      <c r="G198" t="s">
        <v>3889</v>
      </c>
    </row>
    <row r="199" ht="14.25">
      <c r="A199" t="s">
        <v>4514</v>
      </c>
      <c r="B199" t="s">
        <v>3886</v>
      </c>
      <c r="C199" t="s">
        <v>4515</v>
      </c>
      <c r="D199" t="s">
        <v>4516</v>
      </c>
      <c r="E199">
        <v>22.447116000000001</v>
      </c>
      <c r="F199">
        <v>87.323953000000003</v>
      </c>
      <c r="G199" t="s">
        <v>3893</v>
      </c>
    </row>
    <row r="200" ht="14.25">
      <c r="A200" t="s">
        <v>4517</v>
      </c>
      <c r="B200" t="s">
        <v>3886</v>
      </c>
      <c r="C200" t="s">
        <v>4518</v>
      </c>
      <c r="D200" t="s">
        <v>4519</v>
      </c>
      <c r="E200">
        <v>22.524290000000001</v>
      </c>
      <c r="F200">
        <v>87.302502000000004</v>
      </c>
      <c r="G200" t="s">
        <v>4038</v>
      </c>
    </row>
    <row r="201" ht="14.25">
      <c r="A201" t="s">
        <v>4520</v>
      </c>
      <c r="B201" t="s">
        <v>3886</v>
      </c>
      <c r="C201" t="s">
        <v>4521</v>
      </c>
      <c r="D201" t="s">
        <v>4522</v>
      </c>
      <c r="E201">
        <v>22.580973</v>
      </c>
      <c r="F201">
        <v>87.660415</v>
      </c>
      <c r="G201" t="s">
        <v>4122</v>
      </c>
    </row>
    <row r="202" ht="14.25">
      <c r="A202" t="s">
        <v>4523</v>
      </c>
      <c r="B202" t="s">
        <v>3886</v>
      </c>
      <c r="C202" t="s">
        <v>4524</v>
      </c>
      <c r="D202" t="s">
        <v>4525</v>
      </c>
      <c r="E202">
        <v>22.775382</v>
      </c>
      <c r="F202">
        <v>87.448603000000006</v>
      </c>
      <c r="G202" t="s">
        <v>4011</v>
      </c>
    </row>
    <row r="203" ht="14.25">
      <c r="A203" t="s">
        <v>4526</v>
      </c>
      <c r="B203" t="s">
        <v>3886</v>
      </c>
      <c r="C203" t="s">
        <v>4527</v>
      </c>
      <c r="D203" t="s">
        <v>4528</v>
      </c>
      <c r="E203">
        <v>22.593216999999999</v>
      </c>
      <c r="F203">
        <v>87.687939</v>
      </c>
      <c r="G203" t="s">
        <v>4122</v>
      </c>
    </row>
    <row r="204" ht="14.25">
      <c r="A204" t="s">
        <v>4529</v>
      </c>
      <c r="B204" t="s">
        <v>3886</v>
      </c>
      <c r="C204" t="s">
        <v>4530</v>
      </c>
      <c r="D204" t="s">
        <v>4531</v>
      </c>
      <c r="E204">
        <v>22.665915999999999</v>
      </c>
      <c r="F204">
        <v>87.662895000000006</v>
      </c>
      <c r="G204" t="s">
        <v>4099</v>
      </c>
    </row>
    <row r="205" ht="14.25">
      <c r="A205" t="s">
        <v>4533</v>
      </c>
      <c r="B205" t="s">
        <v>3886</v>
      </c>
      <c r="C205" t="s">
        <v>4534</v>
      </c>
      <c r="D205" t="s">
        <v>4535</v>
      </c>
      <c r="E205">
        <v>22.665465000000001</v>
      </c>
      <c r="F205">
        <v>87.143966000000006</v>
      </c>
      <c r="G205" t="s">
        <v>4366</v>
      </c>
    </row>
    <row r="206" ht="14.25">
      <c r="A206" t="s">
        <v>4536</v>
      </c>
      <c r="B206" t="s">
        <v>3886</v>
      </c>
      <c r="C206" t="s">
        <v>4537</v>
      </c>
      <c r="D206" t="s">
        <v>4538</v>
      </c>
      <c r="E206">
        <v>22.433723000000001</v>
      </c>
      <c r="F206">
        <v>87.363181999999995</v>
      </c>
      <c r="G206" t="s">
        <v>3893</v>
      </c>
    </row>
    <row r="207" ht="14.25">
      <c r="A207" t="s">
        <v>4539</v>
      </c>
      <c r="B207" t="s">
        <v>3886</v>
      </c>
      <c r="C207" t="s">
        <v>4540</v>
      </c>
      <c r="D207" t="s">
        <v>4541</v>
      </c>
      <c r="E207">
        <v>22.520733</v>
      </c>
      <c r="F207">
        <v>87.800659999999993</v>
      </c>
      <c r="G207" t="s">
        <v>4004</v>
      </c>
    </row>
    <row r="208" ht="14.25">
      <c r="A208" t="s">
        <v>4542</v>
      </c>
      <c r="B208" t="s">
        <v>3886</v>
      </c>
      <c r="C208" t="s">
        <v>4543</v>
      </c>
      <c r="D208" t="s">
        <v>4544</v>
      </c>
      <c r="E208">
        <v>22.841570000000001</v>
      </c>
      <c r="F208">
        <v>87.512512999999998</v>
      </c>
      <c r="G208" t="s">
        <v>4011</v>
      </c>
    </row>
    <row r="209" ht="14.25">
      <c r="A209" t="s">
        <v>4545</v>
      </c>
      <c r="B209" t="s">
        <v>3886</v>
      </c>
      <c r="C209" t="s">
        <v>4546</v>
      </c>
      <c r="D209" t="s">
        <v>4547</v>
      </c>
      <c r="E209">
        <v>22.644192</v>
      </c>
      <c r="F209">
        <v>87.635670000000005</v>
      </c>
      <c r="G209" t="s">
        <v>4122</v>
      </c>
    </row>
    <row r="210" ht="14.25">
      <c r="A210" t="s">
        <v>4548</v>
      </c>
      <c r="B210" t="s">
        <v>3886</v>
      </c>
      <c r="C210" t="s">
        <v>4549</v>
      </c>
      <c r="D210" t="s">
        <v>4550</v>
      </c>
      <c r="E210">
        <v>22.645820000000001</v>
      </c>
      <c r="F210">
        <v>87.676799000000003</v>
      </c>
      <c r="G210" t="s">
        <v>4122</v>
      </c>
    </row>
    <row r="211" ht="14.25">
      <c r="A211" t="s">
        <v>4551</v>
      </c>
      <c r="B211" t="s">
        <v>3886</v>
      </c>
      <c r="C211" t="s">
        <v>4552</v>
      </c>
      <c r="D211" t="s">
        <v>4553</v>
      </c>
      <c r="E211">
        <v>22.763952</v>
      </c>
      <c r="F211">
        <v>87.425398000000001</v>
      </c>
      <c r="G211" t="s">
        <v>4011</v>
      </c>
    </row>
    <row r="212" ht="14.25">
      <c r="A212" t="s">
        <v>4556</v>
      </c>
      <c r="B212" t="s">
        <v>3886</v>
      </c>
      <c r="C212" t="s">
        <v>4557</v>
      </c>
      <c r="D212" t="s">
        <v>4558</v>
      </c>
      <c r="E212">
        <v>22.585985999999998</v>
      </c>
      <c r="F212">
        <v>87.405000000000001</v>
      </c>
      <c r="G212" t="s">
        <v>4016</v>
      </c>
    </row>
    <row r="213" ht="14.25">
      <c r="A213" t="s">
        <v>4559</v>
      </c>
      <c r="B213" t="s">
        <v>3886</v>
      </c>
      <c r="C213" t="s">
        <v>4560</v>
      </c>
      <c r="D213" t="s">
        <v>4561</v>
      </c>
      <c r="E213">
        <v>22.530170999999999</v>
      </c>
      <c r="F213">
        <v>87.424971999999997</v>
      </c>
      <c r="G213" t="s">
        <v>4016</v>
      </c>
    </row>
    <row r="214" ht="14.25">
      <c r="A214" t="s">
        <v>4562</v>
      </c>
      <c r="B214" t="s">
        <v>3886</v>
      </c>
      <c r="C214" t="s">
        <v>4563</v>
      </c>
      <c r="D214" t="s">
        <v>4564</v>
      </c>
      <c r="E214">
        <v>22.576798</v>
      </c>
      <c r="F214">
        <v>87.478635999999995</v>
      </c>
      <c r="G214" t="s">
        <v>4298</v>
      </c>
    </row>
    <row r="215" ht="14.25">
      <c r="A215" t="s">
        <v>4565</v>
      </c>
      <c r="B215" t="s">
        <v>3886</v>
      </c>
      <c r="C215" t="s">
        <v>4566</v>
      </c>
      <c r="D215" t="s">
        <v>4567</v>
      </c>
      <c r="E215">
        <v>22.740289000000001</v>
      </c>
      <c r="F215">
        <v>87.428424000000007</v>
      </c>
      <c r="G215" t="s">
        <v>4045</v>
      </c>
    </row>
    <row r="216" ht="14.25">
      <c r="A216" t="s">
        <v>4568</v>
      </c>
      <c r="B216" t="s">
        <v>3886</v>
      </c>
      <c r="C216" t="s">
        <v>4569</v>
      </c>
      <c r="D216" t="s">
        <v>4570</v>
      </c>
      <c r="E216">
        <v>22.554088</v>
      </c>
      <c r="F216">
        <v>87.206121999999993</v>
      </c>
      <c r="G216" t="s">
        <v>4366</v>
      </c>
    </row>
    <row r="217" ht="14.25">
      <c r="A217" t="s">
        <v>4571</v>
      </c>
      <c r="B217" t="s">
        <v>3886</v>
      </c>
      <c r="C217" t="s">
        <v>4572</v>
      </c>
      <c r="D217" t="s">
        <v>4573</v>
      </c>
      <c r="E217">
        <v>22.797661000000002</v>
      </c>
      <c r="F217">
        <v>87.626821000000007</v>
      </c>
      <c r="G217" t="s">
        <v>3987</v>
      </c>
    </row>
    <row r="218" ht="14.25">
      <c r="A218" t="s">
        <v>4574</v>
      </c>
      <c r="B218" t="s">
        <v>3886</v>
      </c>
      <c r="C218" t="s">
        <v>4575</v>
      </c>
      <c r="D218" t="s">
        <v>4576</v>
      </c>
      <c r="E218">
        <v>22.726226</v>
      </c>
      <c r="F218">
        <v>87.594545999999994</v>
      </c>
      <c r="G218" t="s">
        <v>3987</v>
      </c>
    </row>
    <row r="219" ht="14.25">
      <c r="A219" t="s">
        <v>4577</v>
      </c>
      <c r="B219" t="s">
        <v>3886</v>
      </c>
      <c r="C219" t="s">
        <v>4578</v>
      </c>
      <c r="D219" t="s">
        <v>4579</v>
      </c>
      <c r="E219">
        <v>22.530574999999999</v>
      </c>
      <c r="F219">
        <v>87.728168999999994</v>
      </c>
      <c r="G219" t="s">
        <v>4004</v>
      </c>
    </row>
    <row r="220" ht="14.25">
      <c r="A220" t="s">
        <v>4580</v>
      </c>
      <c r="B220" t="s">
        <v>3886</v>
      </c>
      <c r="C220" t="s">
        <v>4581</v>
      </c>
      <c r="D220" t="s">
        <v>4582</v>
      </c>
      <c r="E220">
        <v>22.846741000000002</v>
      </c>
      <c r="F220">
        <v>87.297398999999999</v>
      </c>
      <c r="G220" t="s">
        <v>3967</v>
      </c>
    </row>
    <row r="221" ht="14.25">
      <c r="A221" t="s">
        <v>4583</v>
      </c>
      <c r="B221" t="s">
        <v>3886</v>
      </c>
      <c r="C221" t="s">
        <v>4584</v>
      </c>
      <c r="D221" t="s">
        <v>4585</v>
      </c>
      <c r="E221">
        <v>22.719156999999999</v>
      </c>
      <c r="F221">
        <v>87.657178000000002</v>
      </c>
      <c r="G221" t="s">
        <v>4122</v>
      </c>
    </row>
    <row r="222" ht="14.25">
      <c r="A222" t="s">
        <v>4586</v>
      </c>
      <c r="B222" t="s">
        <v>3886</v>
      </c>
      <c r="C222" t="s">
        <v>4587</v>
      </c>
      <c r="D222" t="s">
        <v>4588</v>
      </c>
      <c r="E222">
        <v>22.727027</v>
      </c>
      <c r="F222">
        <v>87.566131999999996</v>
      </c>
      <c r="G222" t="s">
        <v>3987</v>
      </c>
    </row>
    <row r="223" ht="14.25">
      <c r="A223" t="s">
        <v>4589</v>
      </c>
      <c r="B223" t="s">
        <v>3886</v>
      </c>
      <c r="C223" t="s">
        <v>4590</v>
      </c>
      <c r="D223" t="s">
        <v>4591</v>
      </c>
      <c r="E223">
        <v>22.554593000000001</v>
      </c>
      <c r="F223">
        <v>87.672218000000001</v>
      </c>
      <c r="G223" t="s">
        <v>4004</v>
      </c>
    </row>
    <row r="224" ht="14.25">
      <c r="A224" t="s">
        <v>4592</v>
      </c>
      <c r="B224" t="s">
        <v>3886</v>
      </c>
      <c r="C224" t="s">
        <v>4593</v>
      </c>
      <c r="D224" t="s">
        <v>4594</v>
      </c>
      <c r="E224">
        <v>22.767996</v>
      </c>
      <c r="F224">
        <v>87.321573000000001</v>
      </c>
      <c r="G224" t="s">
        <v>4045</v>
      </c>
    </row>
    <row r="225" ht="14.25">
      <c r="A225" t="s">
        <v>4595</v>
      </c>
      <c r="B225" t="s">
        <v>3886</v>
      </c>
      <c r="C225" t="s">
        <v>4596</v>
      </c>
      <c r="D225" t="s">
        <v>4597</v>
      </c>
      <c r="E225">
        <v>22.866014</v>
      </c>
      <c r="F225">
        <v>87.421882999999994</v>
      </c>
      <c r="G225" t="s">
        <v>4011</v>
      </c>
    </row>
    <row r="226" ht="14.25">
      <c r="A226" t="s">
        <v>4598</v>
      </c>
      <c r="B226" t="s">
        <v>3886</v>
      </c>
      <c r="C226" t="s">
        <v>4599</v>
      </c>
      <c r="D226" t="s">
        <v>4600</v>
      </c>
      <c r="E226">
        <v>22.676691999999999</v>
      </c>
      <c r="F226">
        <v>87.446353999999999</v>
      </c>
      <c r="G226" t="s">
        <v>4298</v>
      </c>
    </row>
    <row r="227" ht="14.25">
      <c r="A227" t="s">
        <v>4601</v>
      </c>
      <c r="B227" t="s">
        <v>3886</v>
      </c>
      <c r="C227" t="s">
        <v>4602</v>
      </c>
      <c r="D227" t="s">
        <v>4603</v>
      </c>
      <c r="E227">
        <v>22.695492999999999</v>
      </c>
      <c r="F227">
        <v>87.761291999999997</v>
      </c>
      <c r="G227" t="s">
        <v>4122</v>
      </c>
    </row>
    <row r="228" ht="14.25">
      <c r="A228" t="s">
        <v>4604</v>
      </c>
      <c r="B228" t="s">
        <v>3886</v>
      </c>
      <c r="C228" t="s">
        <v>4605</v>
      </c>
      <c r="D228" t="s">
        <v>4606</v>
      </c>
      <c r="E228">
        <v>22.485279999999999</v>
      </c>
      <c r="F228">
        <v>87.414085999999998</v>
      </c>
      <c r="G228" t="s">
        <v>4298</v>
      </c>
    </row>
    <row r="229" ht="14.25">
      <c r="A229" t="s">
        <v>4607</v>
      </c>
      <c r="B229" t="s">
        <v>3886</v>
      </c>
      <c r="C229" t="s">
        <v>4608</v>
      </c>
      <c r="D229" t="s">
        <v>4609</v>
      </c>
      <c r="E229">
        <v>22.546531999999999</v>
      </c>
      <c r="F229">
        <v>87.378969999999995</v>
      </c>
      <c r="G229" t="s">
        <v>4033</v>
      </c>
    </row>
    <row r="230" ht="14.25">
      <c r="A230" t="s">
        <v>4610</v>
      </c>
      <c r="B230" t="s">
        <v>3886</v>
      </c>
      <c r="C230" t="s">
        <v>4611</v>
      </c>
      <c r="D230" t="s">
        <v>4612</v>
      </c>
      <c r="E230">
        <v>22.653213999999998</v>
      </c>
      <c r="F230">
        <v>87.456417000000002</v>
      </c>
      <c r="G230" t="s">
        <v>2291</v>
      </c>
    </row>
    <row r="231" ht="14.25">
      <c r="A231" t="s">
        <v>4613</v>
      </c>
      <c r="B231" t="s">
        <v>3886</v>
      </c>
      <c r="C231" t="s">
        <v>4614</v>
      </c>
      <c r="D231" t="s">
        <v>4615</v>
      </c>
      <c r="E231">
        <v>22.582740999999999</v>
      </c>
      <c r="F231">
        <v>87.443006999999994</v>
      </c>
      <c r="G231" t="s">
        <v>4298</v>
      </c>
    </row>
    <row r="232" ht="14.25">
      <c r="A232" t="s">
        <v>4616</v>
      </c>
      <c r="B232" t="s">
        <v>3886</v>
      </c>
      <c r="C232" t="s">
        <v>368</v>
      </c>
      <c r="D232" t="s">
        <v>4617</v>
      </c>
      <c r="E232">
        <v>22.583943999999999</v>
      </c>
      <c r="F232">
        <v>87.331952999999999</v>
      </c>
      <c r="G232" t="s">
        <v>4038</v>
      </c>
    </row>
    <row r="233" ht="14.25">
      <c r="A233" t="s">
        <v>4618</v>
      </c>
      <c r="B233" t="s">
        <v>3886</v>
      </c>
      <c r="C233" t="s">
        <v>4619</v>
      </c>
      <c r="D233" t="s">
        <v>4620</v>
      </c>
      <c r="E233">
        <v>22.49701</v>
      </c>
      <c r="F233">
        <v>87.480532999999994</v>
      </c>
      <c r="G233" t="s">
        <v>4298</v>
      </c>
    </row>
    <row r="234" ht="14.25">
      <c r="A234" t="s">
        <v>4621</v>
      </c>
      <c r="B234" t="s">
        <v>3886</v>
      </c>
      <c r="C234" t="s">
        <v>4622</v>
      </c>
      <c r="D234" t="s">
        <v>4623</v>
      </c>
      <c r="E234">
        <v>22.465035</v>
      </c>
      <c r="F234">
        <v>87.480975999999998</v>
      </c>
      <c r="G234" t="s">
        <v>4298</v>
      </c>
    </row>
    <row r="235" ht="14.25">
      <c r="A235" t="s">
        <v>4624</v>
      </c>
      <c r="B235" t="s">
        <v>3886</v>
      </c>
      <c r="C235" t="s">
        <v>4625</v>
      </c>
      <c r="D235" t="s">
        <v>4626</v>
      </c>
      <c r="E235">
        <v>22.496962</v>
      </c>
      <c r="F235">
        <v>87.139790000000005</v>
      </c>
      <c r="G235" t="s">
        <v>4347</v>
      </c>
    </row>
    <row r="236" ht="14.25">
      <c r="A236" t="s">
        <v>4627</v>
      </c>
      <c r="B236" t="s">
        <v>3886</v>
      </c>
      <c r="C236" t="s">
        <v>4628</v>
      </c>
      <c r="D236" t="s">
        <v>7903</v>
      </c>
    </row>
    <row r="237" ht="14.25">
      <c r="A237" t="s">
        <v>7904</v>
      </c>
      <c r="B237">
        <v>22.641529999999999</v>
      </c>
      <c r="C237">
        <v>87.322591000000003</v>
      </c>
      <c r="D237"/>
      <c r="E237"/>
      <c r="F237"/>
    </row>
    <row r="238" ht="14.25">
      <c r="A238" t="s">
        <v>4630</v>
      </c>
      <c r="B238" t="s">
        <v>3886</v>
      </c>
      <c r="C238" t="s">
        <v>4631</v>
      </c>
      <c r="D238" t="s">
        <v>4632</v>
      </c>
      <c r="E238">
        <v>22.646677</v>
      </c>
      <c r="F238">
        <v>87.151764</v>
      </c>
      <c r="G238" t="s">
        <v>4347</v>
      </c>
    </row>
    <row r="239" ht="14.25">
      <c r="A239" t="s">
        <v>4633</v>
      </c>
      <c r="B239" t="s">
        <v>3886</v>
      </c>
      <c r="C239" t="s">
        <v>4634</v>
      </c>
      <c r="D239" t="s">
        <v>4635</v>
      </c>
      <c r="E239">
        <v>22.565103000000001</v>
      </c>
      <c r="F239">
        <v>87.136167</v>
      </c>
      <c r="G239" t="s">
        <v>4347</v>
      </c>
    </row>
    <row r="240" ht="14.25">
      <c r="A240" t="s">
        <v>4636</v>
      </c>
      <c r="B240" t="s">
        <v>3886</v>
      </c>
      <c r="C240" t="s">
        <v>4637</v>
      </c>
      <c r="D240" t="s">
        <v>4638</v>
      </c>
      <c r="E240">
        <v>22.587437999999999</v>
      </c>
      <c r="F240">
        <v>87.185456000000002</v>
      </c>
      <c r="G240" t="s">
        <v>4347</v>
      </c>
    </row>
    <row r="241" ht="14.25">
      <c r="A241" t="s">
        <v>4639</v>
      </c>
      <c r="B241" t="s">
        <v>3886</v>
      </c>
      <c r="C241" t="s">
        <v>4640</v>
      </c>
      <c r="D241" t="s">
        <v>4641</v>
      </c>
      <c r="E241">
        <v>22.590944</v>
      </c>
      <c r="F241">
        <v>87.276690000000002</v>
      </c>
      <c r="G241" t="s">
        <v>4038</v>
      </c>
    </row>
    <row r="242" ht="14.25">
      <c r="A242" t="s">
        <v>4642</v>
      </c>
      <c r="B242" t="s">
        <v>3886</v>
      </c>
      <c r="C242" t="s">
        <v>4643</v>
      </c>
      <c r="D242" t="s">
        <v>4644</v>
      </c>
      <c r="E242">
        <v>22.671489000000001</v>
      </c>
      <c r="F242">
        <v>87.302717000000001</v>
      </c>
      <c r="G242" t="s">
        <v>4045</v>
      </c>
    </row>
    <row r="243" ht="14.25">
      <c r="A243" t="s">
        <v>4645</v>
      </c>
      <c r="B243" t="s">
        <v>3886</v>
      </c>
      <c r="C243" t="s">
        <v>4646</v>
      </c>
      <c r="D243" t="s">
        <v>4647</v>
      </c>
      <c r="E243">
        <v>22.511316999999998</v>
      </c>
      <c r="F243">
        <v>87.355665000000002</v>
      </c>
      <c r="G243" t="s">
        <v>4033</v>
      </c>
    </row>
    <row r="244" ht="14.25">
      <c r="A244" t="s">
        <v>4648</v>
      </c>
      <c r="B244" t="s">
        <v>3886</v>
      </c>
      <c r="C244" t="s">
        <v>4649</v>
      </c>
      <c r="D244" t="s">
        <v>4650</v>
      </c>
      <c r="E244">
        <v>22.73366</v>
      </c>
      <c r="F244">
        <v>87.185091</v>
      </c>
      <c r="G244" t="s">
        <v>4210</v>
      </c>
    </row>
    <row r="245" ht="14.25">
      <c r="A245" t="s">
        <v>4651</v>
      </c>
      <c r="B245" t="s">
        <v>3886</v>
      </c>
      <c r="C245" t="s">
        <v>4652</v>
      </c>
      <c r="D245" t="s">
        <v>4653</v>
      </c>
      <c r="E245">
        <v>22.541723000000001</v>
      </c>
      <c r="F245">
        <v>87.528677999999999</v>
      </c>
      <c r="G245" t="s">
        <v>4298</v>
      </c>
    </row>
    <row r="246" ht="14.25">
      <c r="A246" t="s">
        <v>4654</v>
      </c>
      <c r="B246" t="s">
        <v>3886</v>
      </c>
      <c r="C246" t="s">
        <v>4655</v>
      </c>
      <c r="D246" t="s">
        <v>4656</v>
      </c>
      <c r="E246">
        <v>22.496357</v>
      </c>
      <c r="F246">
        <v>87.538363000000004</v>
      </c>
      <c r="G246" t="s">
        <v>4298</v>
      </c>
    </row>
    <row r="247" ht="14.25">
      <c r="A247" t="s">
        <v>4657</v>
      </c>
      <c r="B247" t="s">
        <v>3886</v>
      </c>
      <c r="C247" t="s">
        <v>4658</v>
      </c>
      <c r="D247" t="s">
        <v>4659</v>
      </c>
      <c r="E247">
        <v>22.590785</v>
      </c>
      <c r="F247">
        <v>87.376051000000004</v>
      </c>
      <c r="G247" t="s">
        <v>4038</v>
      </c>
    </row>
    <row r="248" ht="14.25">
      <c r="A248" t="s">
        <v>4660</v>
      </c>
      <c r="B248" t="s">
        <v>3886</v>
      </c>
      <c r="C248" t="s">
        <v>4661</v>
      </c>
      <c r="D248" t="s">
        <v>4662</v>
      </c>
      <c r="E248">
        <v>22.518433000000002</v>
      </c>
      <c r="F248">
        <v>87.170563999999999</v>
      </c>
      <c r="G248" t="s">
        <v>4366</v>
      </c>
    </row>
    <row r="249" ht="14.25">
      <c r="A249" t="s">
        <v>4663</v>
      </c>
      <c r="B249" t="s">
        <v>3886</v>
      </c>
      <c r="C249" t="s">
        <v>4664</v>
      </c>
      <c r="D249" t="s">
        <v>4665</v>
      </c>
      <c r="E249">
        <v>22.752915000000002</v>
      </c>
      <c r="F249">
        <v>87.569937999999993</v>
      </c>
      <c r="G249" t="s">
        <v>3987</v>
      </c>
    </row>
    <row r="250" ht="14.25">
      <c r="A250" t="s">
        <v>4666</v>
      </c>
      <c r="B250" t="s">
        <v>3886</v>
      </c>
      <c r="C250" t="s">
        <v>4667</v>
      </c>
      <c r="D250" t="s">
        <v>4668</v>
      </c>
      <c r="E250">
        <v>22.689170000000001</v>
      </c>
      <c r="F250">
        <v>87.512810000000002</v>
      </c>
      <c r="G250" t="s">
        <v>3987</v>
      </c>
    </row>
    <row r="251" ht="14.25">
      <c r="A251" t="s">
        <v>4669</v>
      </c>
      <c r="B251" t="s">
        <v>3886</v>
      </c>
      <c r="C251" t="s">
        <v>4670</v>
      </c>
      <c r="D251" t="s">
        <v>4671</v>
      </c>
      <c r="E251">
        <v>22.763705000000002</v>
      </c>
      <c r="F251">
        <v>87.409192000000004</v>
      </c>
      <c r="G251" t="s">
        <v>4011</v>
      </c>
    </row>
    <row r="252" ht="14.25">
      <c r="A252" t="s">
        <v>4672</v>
      </c>
      <c r="B252" t="s">
        <v>3886</v>
      </c>
      <c r="C252" t="s">
        <v>4673</v>
      </c>
      <c r="D252" t="s">
        <v>4674</v>
      </c>
      <c r="E252">
        <v>22.704647000000001</v>
      </c>
      <c r="F252">
        <v>87.532684000000003</v>
      </c>
      <c r="G252" t="s">
        <v>3987</v>
      </c>
    </row>
    <row r="253" ht="14.25">
      <c r="A253" t="s">
        <v>4675</v>
      </c>
      <c r="B253" t="s">
        <v>3886</v>
      </c>
      <c r="C253" t="s">
        <v>4676</v>
      </c>
      <c r="D253" t="s">
        <v>4677</v>
      </c>
      <c r="E253">
        <v>22.688955</v>
      </c>
      <c r="F253">
        <v>87.409192000000004</v>
      </c>
      <c r="G253" t="s">
        <v>4045</v>
      </c>
    </row>
    <row r="254" ht="14.25">
      <c r="A254" t="s">
        <v>4678</v>
      </c>
      <c r="B254" t="s">
        <v>3886</v>
      </c>
      <c r="C254" t="s">
        <v>4679</v>
      </c>
      <c r="D254" t="s">
        <v>4680</v>
      </c>
      <c r="E254">
        <v>22.684294000000001</v>
      </c>
      <c r="F254">
        <v>87.590001000000001</v>
      </c>
      <c r="G254" t="s">
        <v>3987</v>
      </c>
    </row>
    <row r="255" ht="14.25">
      <c r="A255" t="s">
        <v>4681</v>
      </c>
      <c r="B255" t="s">
        <v>3886</v>
      </c>
      <c r="C255" t="s">
        <v>4188</v>
      </c>
      <c r="D255" t="s">
        <v>4682</v>
      </c>
      <c r="E255">
        <v>22.629458</v>
      </c>
      <c r="F255">
        <v>87.695706999999999</v>
      </c>
      <c r="G255" t="s">
        <v>4122</v>
      </c>
    </row>
    <row r="256" ht="14.25">
      <c r="A256" t="s">
        <v>4683</v>
      </c>
      <c r="B256" t="s">
        <v>3886</v>
      </c>
      <c r="C256" t="s">
        <v>4684</v>
      </c>
      <c r="D256" t="s">
        <v>4685</v>
      </c>
      <c r="E256">
        <v>22.610305</v>
      </c>
      <c r="F256">
        <v>87.620841999999996</v>
      </c>
      <c r="G256" t="s">
        <v>4099</v>
      </c>
    </row>
    <row r="257" ht="14.25">
      <c r="A257" t="s">
        <v>4687</v>
      </c>
      <c r="B257" t="s">
        <v>3886</v>
      </c>
      <c r="C257" t="s">
        <v>4688</v>
      </c>
      <c r="D257" t="s">
        <v>4689</v>
      </c>
      <c r="E257">
        <v>22.746148999999999</v>
      </c>
      <c r="F257">
        <v>87.728967999999995</v>
      </c>
      <c r="G257" t="s">
        <v>4122</v>
      </c>
    </row>
    <row r="258" ht="14.25">
      <c r="A258" t="s">
        <v>4690</v>
      </c>
      <c r="B258" t="s">
        <v>3886</v>
      </c>
      <c r="C258" t="s">
        <v>4691</v>
      </c>
      <c r="D258" t="s">
        <v>4692</v>
      </c>
      <c r="E258">
        <v>22.817708</v>
      </c>
      <c r="F258">
        <v>87.556426000000002</v>
      </c>
      <c r="G258" t="s">
        <v>4011</v>
      </c>
    </row>
    <row r="259" ht="14.25">
      <c r="A259" t="s">
        <v>4693</v>
      </c>
      <c r="B259" t="s">
        <v>3886</v>
      </c>
      <c r="C259" t="s">
        <v>4694</v>
      </c>
      <c r="D259" t="s">
        <v>4695</v>
      </c>
      <c r="E259">
        <v>22.461908999999999</v>
      </c>
      <c r="F259">
        <v>87.325941999999998</v>
      </c>
      <c r="G259" t="s">
        <v>3893</v>
      </c>
    </row>
    <row r="260" ht="14.25">
      <c r="A260" t="s">
        <v>4696</v>
      </c>
      <c r="B260" t="s">
        <v>3886</v>
      </c>
      <c r="C260" t="s">
        <v>4697</v>
      </c>
      <c r="D260" t="s">
        <v>4698</v>
      </c>
      <c r="E260">
        <v>22.846461000000001</v>
      </c>
      <c r="F260">
        <v>87.335971000000001</v>
      </c>
      <c r="G260" t="s">
        <v>3967</v>
      </c>
    </row>
    <row r="261" ht="14.25">
      <c r="A261" t="s">
        <v>4699</v>
      </c>
      <c r="B261" t="s">
        <v>3886</v>
      </c>
      <c r="C261" t="s">
        <v>4700</v>
      </c>
      <c r="D261" t="s">
        <v>4701</v>
      </c>
      <c r="E261">
        <v>22.938745000000001</v>
      </c>
      <c r="F261">
        <v>87.323251999999997</v>
      </c>
      <c r="G261" t="s">
        <v>3967</v>
      </c>
    </row>
    <row r="262" ht="14.25">
      <c r="A262" t="s">
        <v>4702</v>
      </c>
      <c r="B262" t="s">
        <v>3886</v>
      </c>
      <c r="C262" t="s">
        <v>4703</v>
      </c>
      <c r="D262" t="s">
        <v>4704</v>
      </c>
      <c r="E262">
        <v>22.879534</v>
      </c>
      <c r="F262">
        <v>87.305469000000002</v>
      </c>
      <c r="G262" t="s">
        <v>3967</v>
      </c>
    </row>
    <row r="263" ht="14.25">
      <c r="A263" t="s">
        <v>4705</v>
      </c>
      <c r="B263" t="s">
        <v>3886</v>
      </c>
      <c r="C263" t="s">
        <v>4706</v>
      </c>
      <c r="D263" t="s">
        <v>4707</v>
      </c>
      <c r="E263">
        <v>22.580394999999999</v>
      </c>
      <c r="F263">
        <v>87.302419999999998</v>
      </c>
      <c r="G263" t="s">
        <v>4033</v>
      </c>
    </row>
    <row r="264" ht="14.25">
      <c r="A264" t="s">
        <v>4708</v>
      </c>
      <c r="B264" t="s">
        <v>3886</v>
      </c>
      <c r="C264" t="s">
        <v>4628</v>
      </c>
      <c r="D264" t="s">
        <v>4709</v>
      </c>
      <c r="E264">
        <v>22.612697000000001</v>
      </c>
      <c r="F264">
        <v>87.305957000000006</v>
      </c>
      <c r="G264" t="s">
        <v>4033</v>
      </c>
    </row>
    <row r="265" ht="14.25">
      <c r="A265" t="s">
        <v>4710</v>
      </c>
      <c r="B265" t="s">
        <v>3886</v>
      </c>
      <c r="C265" t="s">
        <v>4711</v>
      </c>
      <c r="D265" t="s">
        <v>4712</v>
      </c>
      <c r="E265">
        <v>22.689420999999999</v>
      </c>
      <c r="F265">
        <v>87.745767999999998</v>
      </c>
      <c r="G265" t="s">
        <v>4122</v>
      </c>
    </row>
    <row r="266" ht="14.25">
      <c r="A266" t="s">
        <v>4713</v>
      </c>
      <c r="B266" t="s">
        <v>3886</v>
      </c>
      <c r="C266" t="s">
        <v>4714</v>
      </c>
      <c r="D266" t="s">
        <v>4715</v>
      </c>
      <c r="E266">
        <v>22.544260999999999</v>
      </c>
      <c r="F266">
        <v>87.754672999999997</v>
      </c>
      <c r="G266" t="s">
        <v>4004</v>
      </c>
    </row>
    <row r="267" ht="14.25">
      <c r="A267" t="s">
        <v>4716</v>
      </c>
      <c r="B267" t="s">
        <v>3886</v>
      </c>
      <c r="C267" t="s">
        <v>4717</v>
      </c>
      <c r="D267" t="s">
        <v>4718</v>
      </c>
      <c r="E267">
        <v>22.569116999999999</v>
      </c>
      <c r="F267">
        <v>87.807288999999997</v>
      </c>
      <c r="G267" t="s">
        <v>4004</v>
      </c>
    </row>
    <row r="268" ht="14.25">
      <c r="A268" t="s">
        <v>4719</v>
      </c>
      <c r="B268" t="s">
        <v>3886</v>
      </c>
      <c r="C268" t="s">
        <v>4720</v>
      </c>
      <c r="D268" t="s">
        <v>4721</v>
      </c>
      <c r="E268">
        <v>22.698891</v>
      </c>
      <c r="F268">
        <v>87.187567999999999</v>
      </c>
      <c r="G268" t="s">
        <v>4210</v>
      </c>
    </row>
    <row r="269" ht="14.25">
      <c r="A269" t="s">
        <v>4723</v>
      </c>
      <c r="B269" t="s">
        <v>3886</v>
      </c>
      <c r="C269" t="s">
        <v>4724</v>
      </c>
      <c r="D269" t="s">
        <v>4725</v>
      </c>
      <c r="E269">
        <v>22.723448999999999</v>
      </c>
      <c r="F269">
        <v>87.349373</v>
      </c>
      <c r="G269" t="s">
        <v>4045</v>
      </c>
    </row>
    <row r="270" ht="14.25">
      <c r="A270" t="s">
        <v>4726</v>
      </c>
      <c r="B270" t="s">
        <v>3886</v>
      </c>
      <c r="C270" t="s">
        <v>4727</v>
      </c>
      <c r="D270" t="s">
        <v>4728</v>
      </c>
      <c r="E270">
        <v>22.730184000000001</v>
      </c>
      <c r="F270">
        <v>87.339104000000006</v>
      </c>
      <c r="G270" t="s">
        <v>4045</v>
      </c>
    </row>
    <row r="271" ht="14.25">
      <c r="A271" t="s">
        <v>4729</v>
      </c>
      <c r="B271" t="s">
        <v>3886</v>
      </c>
      <c r="C271" t="s">
        <v>4730</v>
      </c>
      <c r="D271" t="s">
        <v>4731</v>
      </c>
      <c r="E271">
        <v>22.799486999999999</v>
      </c>
      <c r="F271">
        <v>87.417457999999996</v>
      </c>
      <c r="G271" t="s">
        <v>4011</v>
      </c>
    </row>
    <row r="272" ht="14.25">
      <c r="A272" t="s">
        <v>4733</v>
      </c>
      <c r="B272" t="s">
        <v>3886</v>
      </c>
      <c r="C272" t="s">
        <v>3956</v>
      </c>
      <c r="D272" t="s">
        <v>4734</v>
      </c>
      <c r="E272">
        <v>22.792795999999999</v>
      </c>
      <c r="F272">
        <v>87.429610999999994</v>
      </c>
      <c r="G272" t="s">
        <v>4011</v>
      </c>
    </row>
    <row r="273" ht="14.25">
      <c r="A273" t="s">
        <v>4735</v>
      </c>
      <c r="B273" t="s">
        <v>3886</v>
      </c>
      <c r="C273" t="s">
        <v>4736</v>
      </c>
      <c r="D273" t="s">
        <v>4737</v>
      </c>
      <c r="E273">
        <v>22.710083999999998</v>
      </c>
      <c r="F273">
        <v>87.624780999999999</v>
      </c>
      <c r="G273" t="s">
        <v>3987</v>
      </c>
    </row>
    <row r="274" ht="14.25">
      <c r="A274" t="s">
        <v>4738</v>
      </c>
      <c r="B274" t="s">
        <v>3886</v>
      </c>
      <c r="C274" t="s">
        <v>4739</v>
      </c>
      <c r="D274" t="s">
        <v>4740</v>
      </c>
      <c r="E274">
        <v>22.464860999999999</v>
      </c>
      <c r="F274">
        <v>87.123593999999997</v>
      </c>
      <c r="G274" t="s">
        <v>4347</v>
      </c>
    </row>
    <row r="275" ht="14.25">
      <c r="A275" t="s">
        <v>4741</v>
      </c>
      <c r="B275" t="s">
        <v>3886</v>
      </c>
      <c r="C275" t="s">
        <v>4742</v>
      </c>
      <c r="D275" t="s">
        <v>4743</v>
      </c>
      <c r="E275">
        <v>22.692021</v>
      </c>
      <c r="F275">
        <v>87.300668999999999</v>
      </c>
      <c r="G275" t="s">
        <v>4045</v>
      </c>
    </row>
    <row r="276" ht="14.25">
      <c r="A276" t="s">
        <v>4744</v>
      </c>
      <c r="B276" t="s">
        <v>3886</v>
      </c>
      <c r="C276" t="s">
        <v>3956</v>
      </c>
      <c r="D276" t="s">
        <v>4745</v>
      </c>
      <c r="E276">
        <v>22.701031</v>
      </c>
      <c r="F276">
        <v>87.262541999999996</v>
      </c>
      <c r="G276" t="s">
        <v>4045</v>
      </c>
    </row>
    <row r="277" ht="14.25">
      <c r="A277" t="s">
        <v>4746</v>
      </c>
      <c r="B277" t="s">
        <v>3886</v>
      </c>
      <c r="C277" t="s">
        <v>4747</v>
      </c>
      <c r="D277" t="s">
        <v>4748</v>
      </c>
      <c r="E277">
        <v>22.425999000000001</v>
      </c>
      <c r="F277">
        <v>87.267493000000002</v>
      </c>
      <c r="G277" t="s">
        <v>3889</v>
      </c>
    </row>
    <row r="278" ht="14.25">
      <c r="A278" t="s">
        <v>4749</v>
      </c>
      <c r="B278" t="s">
        <v>3886</v>
      </c>
      <c r="C278" t="s">
        <v>4750</v>
      </c>
      <c r="D278" t="s">
        <v>4751</v>
      </c>
      <c r="E278">
        <v>22.442136999999999</v>
      </c>
      <c r="F278">
        <v>87.274152999999998</v>
      </c>
      <c r="G278" t="s">
        <v>3889</v>
      </c>
    </row>
    <row r="279" ht="14.25">
      <c r="A279" t="s">
        <v>4752</v>
      </c>
      <c r="B279" t="s">
        <v>3886</v>
      </c>
      <c r="C279" t="s">
        <v>4753</v>
      </c>
      <c r="D279" t="s">
        <v>4754</v>
      </c>
      <c r="E279">
        <v>22.674396000000002</v>
      </c>
      <c r="F279">
        <v>87.179154999999994</v>
      </c>
      <c r="G279" t="s">
        <v>4347</v>
      </c>
    </row>
    <row r="280" ht="14.25">
      <c r="A280" t="s">
        <v>4755</v>
      </c>
      <c r="B280" t="s">
        <v>3886</v>
      </c>
      <c r="C280" t="s">
        <v>4756</v>
      </c>
      <c r="D280" t="s">
        <v>4757</v>
      </c>
      <c r="E280">
        <v>22.682821000000001</v>
      </c>
      <c r="F280">
        <v>87.197479000000001</v>
      </c>
      <c r="G280" t="s">
        <v>4045</v>
      </c>
    </row>
    <row r="281" ht="14.25">
      <c r="A281" t="s">
        <v>4758</v>
      </c>
      <c r="B281" t="s">
        <v>3886</v>
      </c>
      <c r="C281" t="s">
        <v>4759</v>
      </c>
      <c r="D281" t="s">
        <v>4760</v>
      </c>
      <c r="E281">
        <v>22.746267</v>
      </c>
      <c r="F281">
        <v>87.598586999999995</v>
      </c>
      <c r="G281" t="s">
        <v>3987</v>
      </c>
    </row>
    <row r="282" ht="14.25">
      <c r="A282" t="s">
        <v>4761</v>
      </c>
      <c r="B282" t="s">
        <v>3886</v>
      </c>
      <c r="C282" t="s">
        <v>4762</v>
      </c>
      <c r="D282" t="s">
        <v>4763</v>
      </c>
      <c r="E282">
        <v>22.730236000000001</v>
      </c>
      <c r="F282">
        <v>87.607945999999998</v>
      </c>
      <c r="G282" t="s">
        <v>3987</v>
      </c>
    </row>
    <row r="283" ht="14.25">
      <c r="A283" t="s">
        <v>4764</v>
      </c>
      <c r="B283" t="s">
        <v>3886</v>
      </c>
      <c r="C283" t="s">
        <v>4765</v>
      </c>
      <c r="D283" t="s">
        <v>4766</v>
      </c>
      <c r="E283">
        <v>22.578133999999999</v>
      </c>
      <c r="F283">
        <v>87.152060000000006</v>
      </c>
      <c r="G283" t="s">
        <v>4347</v>
      </c>
    </row>
    <row r="284" ht="14.25">
      <c r="A284" t="s">
        <v>4767</v>
      </c>
      <c r="B284" t="s">
        <v>3886</v>
      </c>
      <c r="C284" t="s">
        <v>4768</v>
      </c>
      <c r="D284" t="s">
        <v>4769</v>
      </c>
      <c r="E284">
        <v>22.589362999999999</v>
      </c>
      <c r="F284">
        <v>87.133208999999994</v>
      </c>
      <c r="G284" t="s">
        <v>4347</v>
      </c>
    </row>
    <row r="285" ht="14.25">
      <c r="A285" t="s">
        <v>4770</v>
      </c>
      <c r="B285" t="s">
        <v>3886</v>
      </c>
      <c r="C285" t="s">
        <v>4771</v>
      </c>
      <c r="D285" t="s">
        <v>4772</v>
      </c>
      <c r="E285">
        <v>22.817383</v>
      </c>
      <c r="F285">
        <v>87.288864000000004</v>
      </c>
      <c r="G285" t="s">
        <v>3967</v>
      </c>
    </row>
    <row r="286" ht="14.25">
      <c r="A286" t="s">
        <v>4773</v>
      </c>
      <c r="B286" t="s">
        <v>3886</v>
      </c>
      <c r="C286" t="s">
        <v>3956</v>
      </c>
      <c r="D286" t="s">
        <v>4774</v>
      </c>
      <c r="E286">
        <v>22.723721000000001</v>
      </c>
      <c r="F286">
        <v>87.318856999999994</v>
      </c>
      <c r="G286" t="s">
        <v>4045</v>
      </c>
    </row>
    <row r="287" ht="14.25">
      <c r="A287" t="s">
        <v>4775</v>
      </c>
      <c r="B287" t="s">
        <v>3886</v>
      </c>
      <c r="C287" t="s">
        <v>3956</v>
      </c>
      <c r="D287" t="s">
        <v>4776</v>
      </c>
      <c r="E287">
        <v>22.689285000000002</v>
      </c>
      <c r="F287">
        <v>87.333179000000001</v>
      </c>
      <c r="G287" t="s">
        <v>4045</v>
      </c>
    </row>
    <row r="288" ht="14.25">
      <c r="A288" t="s">
        <v>4777</v>
      </c>
      <c r="B288" t="s">
        <v>3886</v>
      </c>
      <c r="C288" t="s">
        <v>4778</v>
      </c>
      <c r="D288" t="s">
        <v>4779</v>
      </c>
      <c r="E288">
        <v>22.454886999999999</v>
      </c>
      <c r="F288">
        <v>87.169563999999994</v>
      </c>
      <c r="G288" t="s">
        <v>4347</v>
      </c>
    </row>
    <row r="289" ht="14.25">
      <c r="A289" t="s">
        <v>4780</v>
      </c>
      <c r="B289" t="s">
        <v>3886</v>
      </c>
      <c r="C289" t="s">
        <v>4781</v>
      </c>
      <c r="D289" t="s">
        <v>4782</v>
      </c>
      <c r="E289">
        <v>22.430195999999999</v>
      </c>
      <c r="F289">
        <v>87.168132999999997</v>
      </c>
      <c r="G289" t="s">
        <v>4347</v>
      </c>
    </row>
    <row r="290" ht="14.25">
      <c r="A290" t="s">
        <v>4783</v>
      </c>
      <c r="B290" t="s">
        <v>3886</v>
      </c>
      <c r="C290" t="s">
        <v>4784</v>
      </c>
      <c r="D290" t="s">
        <v>4785</v>
      </c>
      <c r="E290">
        <v>22.849581000000001</v>
      </c>
      <c r="F290">
        <v>87.381106000000003</v>
      </c>
      <c r="G290" t="s">
        <v>3967</v>
      </c>
    </row>
    <row r="291" ht="14.25">
      <c r="A291" t="s">
        <v>4786</v>
      </c>
      <c r="B291" t="s">
        <v>3886</v>
      </c>
      <c r="C291" t="s">
        <v>4787</v>
      </c>
      <c r="D291" t="s">
        <v>4788</v>
      </c>
      <c r="E291">
        <v>22.604191</v>
      </c>
      <c r="F291">
        <v>87.139722000000006</v>
      </c>
      <c r="G291" t="s">
        <v>4347</v>
      </c>
    </row>
    <row r="292" ht="14.25">
      <c r="A292" t="s">
        <v>4789</v>
      </c>
      <c r="B292" t="s">
        <v>3886</v>
      </c>
      <c r="C292" t="s">
        <v>4790</v>
      </c>
      <c r="D292" t="s">
        <v>4791</v>
      </c>
      <c r="E292">
        <v>22.763171</v>
      </c>
      <c r="F292">
        <v>87.357406999999995</v>
      </c>
      <c r="G292" t="s">
        <v>4045</v>
      </c>
    </row>
    <row r="293" ht="14.25">
      <c r="A293" t="s">
        <v>4792</v>
      </c>
      <c r="B293" t="s">
        <v>3886</v>
      </c>
      <c r="C293" t="s">
        <v>3956</v>
      </c>
      <c r="D293" t="s">
        <v>4793</v>
      </c>
      <c r="E293">
        <v>22.752302</v>
      </c>
      <c r="F293">
        <v>87.379906000000005</v>
      </c>
      <c r="G293" t="s">
        <v>4045</v>
      </c>
    </row>
    <row r="294" ht="14.25">
      <c r="A294" t="s">
        <v>4794</v>
      </c>
      <c r="B294" t="s">
        <v>3886</v>
      </c>
      <c r="C294" t="s">
        <v>4795</v>
      </c>
      <c r="D294" t="s">
        <v>4796</v>
      </c>
      <c r="E294">
        <v>22.703208</v>
      </c>
      <c r="F294">
        <v>87.122004000000004</v>
      </c>
      <c r="G294" t="s">
        <v>4210</v>
      </c>
    </row>
    <row r="295" ht="14.25">
      <c r="A295" t="s">
        <v>4797</v>
      </c>
      <c r="B295" t="s">
        <v>3886</v>
      </c>
      <c r="C295" t="s">
        <v>4798</v>
      </c>
      <c r="D295" t="s">
        <v>4799</v>
      </c>
      <c r="E295">
        <v>22.41197</v>
      </c>
      <c r="F295">
        <v>87.179626999999996</v>
      </c>
      <c r="G295" t="s">
        <v>4347</v>
      </c>
    </row>
    <row r="296" ht="14.25">
      <c r="A296" t="s">
        <v>4800</v>
      </c>
      <c r="B296" t="s">
        <v>3886</v>
      </c>
      <c r="C296" t="s">
        <v>3956</v>
      </c>
      <c r="D296" t="s">
        <v>4801</v>
      </c>
      <c r="E296">
        <v>22.5185</v>
      </c>
      <c r="F296">
        <v>87.826267999999999</v>
      </c>
      <c r="G296" t="s">
        <v>4004</v>
      </c>
    </row>
    <row r="297" ht="14.25">
      <c r="A297" t="s">
        <v>4802</v>
      </c>
      <c r="B297" t="s">
        <v>3886</v>
      </c>
      <c r="C297" t="s">
        <v>4803</v>
      </c>
      <c r="D297" t="s">
        <v>4804</v>
      </c>
      <c r="E297">
        <v>22.870797</v>
      </c>
      <c r="F297">
        <v>87.335004999999995</v>
      </c>
      <c r="G297" t="s">
        <v>3967</v>
      </c>
    </row>
    <row r="298" ht="14.25">
      <c r="A298" t="s">
        <v>4805</v>
      </c>
      <c r="B298" t="s">
        <v>3886</v>
      </c>
      <c r="C298" t="s">
        <v>4806</v>
      </c>
      <c r="D298" t="s">
        <v>4807</v>
      </c>
      <c r="E298">
        <v>22.696141999999998</v>
      </c>
      <c r="F298">
        <v>87.437066000000002</v>
      </c>
      <c r="G298" t="s">
        <v>4045</v>
      </c>
    </row>
    <row r="299" ht="14.25">
      <c r="A299" t="s">
        <v>4808</v>
      </c>
      <c r="B299" t="s">
        <v>3886</v>
      </c>
      <c r="C299" t="s">
        <v>4809</v>
      </c>
      <c r="D299" t="s">
        <v>4810</v>
      </c>
      <c r="E299">
        <v>22.70271</v>
      </c>
      <c r="F299">
        <v>87.489254000000003</v>
      </c>
      <c r="G299" t="s">
        <v>3987</v>
      </c>
    </row>
    <row r="300" ht="14.25">
      <c r="A300" t="s">
        <v>4811</v>
      </c>
      <c r="B300" t="s">
        <v>3886</v>
      </c>
      <c r="C300" t="s">
        <v>4812</v>
      </c>
      <c r="D300" t="s">
        <v>4813</v>
      </c>
      <c r="E300">
        <v>22.725863</v>
      </c>
      <c r="F300">
        <v>87.381421000000003</v>
      </c>
      <c r="G300" t="s">
        <v>4045</v>
      </c>
    </row>
    <row r="301" ht="14.25">
      <c r="A301" t="s">
        <v>4814</v>
      </c>
      <c r="B301" t="s">
        <v>3886</v>
      </c>
      <c r="C301" t="s">
        <v>4815</v>
      </c>
      <c r="D301" t="s">
        <v>4816</v>
      </c>
      <c r="E301">
        <v>22.888127000000001</v>
      </c>
      <c r="F301">
        <v>87.210256999999999</v>
      </c>
      <c r="G301" t="s">
        <v>4210</v>
      </c>
    </row>
    <row r="302" ht="14.25">
      <c r="A302" t="s">
        <v>4818</v>
      </c>
      <c r="B302" t="s">
        <v>3886</v>
      </c>
      <c r="C302" t="s">
        <v>4819</v>
      </c>
      <c r="D302" t="s">
        <v>4820</v>
      </c>
      <c r="E302">
        <v>22.537110999999999</v>
      </c>
      <c r="F302">
        <v>87.265511000000004</v>
      </c>
      <c r="G302" t="s">
        <v>4033</v>
      </c>
    </row>
    <row r="303" ht="14.25">
      <c r="A303" t="s">
        <v>4821</v>
      </c>
      <c r="B303" t="s">
        <v>3886</v>
      </c>
      <c r="C303" t="s">
        <v>4822</v>
      </c>
      <c r="D303" t="s">
        <v>4823</v>
      </c>
      <c r="E303">
        <v>22.555387</v>
      </c>
      <c r="F303">
        <v>87.236469999999997</v>
      </c>
      <c r="G303" t="s">
        <v>4033</v>
      </c>
    </row>
    <row r="304" ht="14.25">
      <c r="A304" t="s">
        <v>4824</v>
      </c>
      <c r="B304" t="s">
        <v>3886</v>
      </c>
      <c r="C304" t="s">
        <v>1274</v>
      </c>
      <c r="D304" t="s">
        <v>4825</v>
      </c>
      <c r="E304">
        <v>22.581572999999999</v>
      </c>
      <c r="F304">
        <v>87.423783</v>
      </c>
      <c r="G304" t="s">
        <v>4016</v>
      </c>
    </row>
    <row r="305" ht="14.25">
      <c r="A305" t="s">
        <v>4826</v>
      </c>
      <c r="B305" t="s">
        <v>3886</v>
      </c>
      <c r="C305" t="s">
        <v>4827</v>
      </c>
      <c r="D305" t="s">
        <v>4828</v>
      </c>
      <c r="E305">
        <v>22.849769999999999</v>
      </c>
      <c r="F305">
        <v>87.560770000000005</v>
      </c>
      <c r="G305" t="s">
        <v>4011</v>
      </c>
    </row>
    <row r="306" ht="14.25">
      <c r="A306" t="s">
        <v>4830</v>
      </c>
      <c r="B306" t="s">
        <v>3886</v>
      </c>
      <c r="C306" t="s">
        <v>4831</v>
      </c>
      <c r="D306" t="s">
        <v>4832</v>
      </c>
      <c r="E306">
        <v>22.900535000000001</v>
      </c>
      <c r="F306">
        <v>87.379670000000004</v>
      </c>
      <c r="G306" t="s">
        <v>3967</v>
      </c>
    </row>
    <row r="307" ht="14.25">
      <c r="A307" t="s">
        <v>4833</v>
      </c>
      <c r="B307" t="s">
        <v>3886</v>
      </c>
      <c r="C307" t="s">
        <v>4834</v>
      </c>
      <c r="D307" t="s">
        <v>4766</v>
      </c>
      <c r="E307">
        <v>22.436653</v>
      </c>
      <c r="F307">
        <v>87.131471000000005</v>
      </c>
      <c r="G307" t="s">
        <v>4347</v>
      </c>
    </row>
    <row r="308" ht="14.25">
      <c r="A308" t="s">
        <v>4835</v>
      </c>
      <c r="B308" t="s">
        <v>3886</v>
      </c>
      <c r="C308" t="s">
        <v>4836</v>
      </c>
      <c r="D308" t="s">
        <v>4837</v>
      </c>
      <c r="E308">
        <v>22.835574999999999</v>
      </c>
      <c r="F308">
        <v>87.422811999999993</v>
      </c>
      <c r="G308" t="s">
        <v>4011</v>
      </c>
    </row>
    <row r="309" ht="14.25">
      <c r="A309" t="s">
        <v>4839</v>
      </c>
      <c r="B309" t="s">
        <v>3886</v>
      </c>
      <c r="C309" t="s">
        <v>4840</v>
      </c>
      <c r="D309" t="s">
        <v>4841</v>
      </c>
      <c r="E309">
        <v>22.524341</v>
      </c>
      <c r="F309">
        <v>87.252741</v>
      </c>
      <c r="G309" t="s">
        <v>4033</v>
      </c>
    </row>
    <row r="310" ht="14.25">
      <c r="A310" t="s">
        <v>4842</v>
      </c>
      <c r="B310" t="s">
        <v>3886</v>
      </c>
      <c r="C310" t="s">
        <v>4843</v>
      </c>
      <c r="D310" t="s">
        <v>4844</v>
      </c>
      <c r="E310">
        <v>22.781295</v>
      </c>
      <c r="F310">
        <v>87.117448999999993</v>
      </c>
      <c r="G310" t="s">
        <v>4210</v>
      </c>
    </row>
    <row r="311" ht="14.25">
      <c r="A311" t="s">
        <v>4845</v>
      </c>
      <c r="B311" t="s">
        <v>3886</v>
      </c>
      <c r="C311" t="s">
        <v>4846</v>
      </c>
      <c r="D311" t="s">
        <v>4847</v>
      </c>
      <c r="E311">
        <v>22.725338000000001</v>
      </c>
      <c r="F311">
        <v>87.154210000000006</v>
      </c>
      <c r="G311" t="s">
        <v>4210</v>
      </c>
    </row>
    <row r="312" ht="14.25">
      <c r="A312" t="s">
        <v>4848</v>
      </c>
      <c r="B312" t="s">
        <v>3886</v>
      </c>
      <c r="C312" t="s">
        <v>4849</v>
      </c>
      <c r="D312" t="s">
        <v>4850</v>
      </c>
      <c r="E312">
        <v>22.640184000000001</v>
      </c>
      <c r="F312">
        <v>87.217449000000002</v>
      </c>
      <c r="G312" t="s">
        <v>4347</v>
      </c>
    </row>
    <row r="313" ht="14.25">
      <c r="A313" t="s">
        <v>4851</v>
      </c>
      <c r="B313" t="s">
        <v>3886</v>
      </c>
      <c r="C313" t="s">
        <v>4852</v>
      </c>
      <c r="D313" t="s">
        <v>4853</v>
      </c>
      <c r="E313">
        <v>22.608944000000001</v>
      </c>
      <c r="F313">
        <v>87.245424</v>
      </c>
      <c r="G313" t="s">
        <v>4347</v>
      </c>
    </row>
    <row r="314" ht="14.25">
      <c r="A314" t="s">
        <v>4854</v>
      </c>
      <c r="B314" t="s">
        <v>3886</v>
      </c>
      <c r="C314" t="s">
        <v>4855</v>
      </c>
      <c r="D314" t="s">
        <v>4856</v>
      </c>
      <c r="E314">
        <v>22.56758</v>
      </c>
      <c r="F314">
        <v>87.391886</v>
      </c>
      <c r="G314" t="s">
        <v>4033</v>
      </c>
    </row>
    <row r="315" ht="14.25">
      <c r="A315" t="s">
        <v>4857</v>
      </c>
      <c r="B315" t="s">
        <v>3886</v>
      </c>
      <c r="C315" t="s">
        <v>4858</v>
      </c>
      <c r="D315" t="s">
        <v>4859</v>
      </c>
      <c r="E315">
        <v>22.427638999999999</v>
      </c>
      <c r="F315">
        <v>87.224722999999997</v>
      </c>
      <c r="G315" t="s">
        <v>3889</v>
      </c>
    </row>
    <row r="316" ht="14.25">
      <c r="A316" t="s">
        <v>4860</v>
      </c>
      <c r="B316" t="s">
        <v>3886</v>
      </c>
      <c r="C316" t="s">
        <v>3956</v>
      </c>
      <c r="D316" t="s">
        <v>4861</v>
      </c>
      <c r="E316">
        <v>22.858505999999998</v>
      </c>
      <c r="F316">
        <v>87.222370999999995</v>
      </c>
      <c r="G316" t="s">
        <v>4210</v>
      </c>
    </row>
    <row r="317" ht="14.25">
      <c r="A317" t="s">
        <v>4862</v>
      </c>
      <c r="B317" t="s">
        <v>3886</v>
      </c>
      <c r="C317" t="s">
        <v>4863</v>
      </c>
      <c r="D317" t="s">
        <v>4864</v>
      </c>
      <c r="E317">
        <v>22.526413999999999</v>
      </c>
      <c r="F317">
        <v>87.501148000000001</v>
      </c>
      <c r="G317" t="s">
        <v>4016</v>
      </c>
    </row>
    <row r="318" ht="14.25">
      <c r="A318" t="s">
        <v>4865</v>
      </c>
      <c r="B318" t="s">
        <v>3886</v>
      </c>
      <c r="C318" t="s">
        <v>4866</v>
      </c>
      <c r="D318" t="s">
        <v>4867</v>
      </c>
      <c r="E318">
        <v>22.560352999999999</v>
      </c>
      <c r="F318">
        <v>87.514534999999995</v>
      </c>
      <c r="G318" t="s">
        <v>4016</v>
      </c>
    </row>
    <row r="319" ht="14.25">
      <c r="A319" t="s">
        <v>4868</v>
      </c>
      <c r="B319" t="s">
        <v>3886</v>
      </c>
      <c r="C319" t="s">
        <v>4869</v>
      </c>
      <c r="D319" t="s">
        <v>4870</v>
      </c>
      <c r="E319">
        <v>22.506765000000001</v>
      </c>
      <c r="F319">
        <v>87.297910000000002</v>
      </c>
      <c r="G319" t="s">
        <v>4033</v>
      </c>
    </row>
    <row r="320" ht="14.25">
      <c r="A320" t="s">
        <v>4871</v>
      </c>
      <c r="B320" t="s">
        <v>3886</v>
      </c>
      <c r="C320" t="s">
        <v>4485</v>
      </c>
      <c r="D320" t="s">
        <v>4872</v>
      </c>
      <c r="E320">
        <v>22.552581</v>
      </c>
      <c r="F320">
        <v>87.182573000000005</v>
      </c>
      <c r="G320" t="s">
        <v>4347</v>
      </c>
    </row>
    <row r="321" ht="14.25">
      <c r="A321" t="s">
        <v>4873</v>
      </c>
      <c r="B321" t="s">
        <v>3886</v>
      </c>
      <c r="C321" t="s">
        <v>4874</v>
      </c>
      <c r="D321" t="s">
        <v>4875</v>
      </c>
      <c r="E321">
        <v>22.619935999999999</v>
      </c>
      <c r="F321">
        <v>87.437308999999999</v>
      </c>
      <c r="G321" t="s">
        <v>4016</v>
      </c>
    </row>
    <row r="322" ht="14.25">
      <c r="A322" t="s">
        <v>4876</v>
      </c>
      <c r="B322" t="s">
        <v>3886</v>
      </c>
      <c r="C322" t="s">
        <v>4877</v>
      </c>
      <c r="D322" t="s">
        <v>4878</v>
      </c>
      <c r="E322">
        <v>22.495189</v>
      </c>
      <c r="F322">
        <v>87.203954999999993</v>
      </c>
      <c r="G322" t="s">
        <v>4033</v>
      </c>
    </row>
    <row r="323" ht="14.25">
      <c r="A323" t="s">
        <v>4879</v>
      </c>
      <c r="B323" t="s">
        <v>3886</v>
      </c>
      <c r="C323" t="s">
        <v>4880</v>
      </c>
      <c r="D323" t="s">
        <v>4881</v>
      </c>
      <c r="E323">
        <v>22.743722999999999</v>
      </c>
      <c r="F323">
        <v>87.274518999999998</v>
      </c>
      <c r="G323" t="s">
        <v>4045</v>
      </c>
    </row>
    <row r="324" ht="14.25">
      <c r="A324" t="s">
        <v>4882</v>
      </c>
      <c r="B324" t="s">
        <v>3886</v>
      </c>
      <c r="C324" t="s">
        <v>4883</v>
      </c>
      <c r="D324" t="s">
        <v>4884</v>
      </c>
      <c r="E324">
        <v>22.509381000000001</v>
      </c>
      <c r="F324">
        <v>87.435147999999998</v>
      </c>
      <c r="G324" t="s">
        <v>4016</v>
      </c>
    </row>
    <row r="325" ht="14.25">
      <c r="A325" t="s">
        <v>4885</v>
      </c>
      <c r="B325" t="s">
        <v>3886</v>
      </c>
      <c r="C325" t="s">
        <v>4886</v>
      </c>
      <c r="D325" t="s">
        <v>4887</v>
      </c>
      <c r="E325">
        <v>22.812487999999998</v>
      </c>
      <c r="F325">
        <v>87.100431999999998</v>
      </c>
      <c r="G325" t="s">
        <v>4210</v>
      </c>
    </row>
    <row r="326" ht="14.25">
      <c r="A326" t="s">
        <v>4889</v>
      </c>
      <c r="B326" t="s">
        <v>3886</v>
      </c>
      <c r="C326" t="s">
        <v>4890</v>
      </c>
      <c r="D326" t="s">
        <v>4891</v>
      </c>
      <c r="E326">
        <v>22.870940999999998</v>
      </c>
      <c r="F326">
        <v>87.278381999999993</v>
      </c>
      <c r="G326" t="s">
        <v>3967</v>
      </c>
    </row>
    <row r="327" ht="14.25">
      <c r="A327" t="s">
        <v>4892</v>
      </c>
      <c r="B327" t="s">
        <v>3886</v>
      </c>
      <c r="C327" t="s">
        <v>3560</v>
      </c>
      <c r="D327" t="s">
        <v>4893</v>
      </c>
      <c r="E327">
        <v>22.820028000000001</v>
      </c>
      <c r="F327">
        <v>87.489305999999999</v>
      </c>
      <c r="G327" t="s">
        <v>4011</v>
      </c>
    </row>
    <row r="328" ht="14.25">
      <c r="A328" t="s">
        <v>4894</v>
      </c>
      <c r="B328" t="s">
        <v>3886</v>
      </c>
      <c r="C328" t="s">
        <v>3956</v>
      </c>
      <c r="D328" t="s">
        <v>4895</v>
      </c>
      <c r="E328">
        <v>22.592911999999998</v>
      </c>
      <c r="F328">
        <v>87.751552000000004</v>
      </c>
      <c r="G328" t="s">
        <v>4122</v>
      </c>
    </row>
    <row r="329" ht="14.25">
      <c r="A329" t="s">
        <v>4896</v>
      </c>
      <c r="B329" t="s">
        <v>3886</v>
      </c>
      <c r="C329" t="s">
        <v>4897</v>
      </c>
      <c r="D329" t="s">
        <v>4898</v>
      </c>
      <c r="E329">
        <v>22.892399000000001</v>
      </c>
      <c r="F329">
        <v>87.513891999999998</v>
      </c>
      <c r="G329" t="s">
        <v>4011</v>
      </c>
    </row>
    <row r="330" ht="14.25">
      <c r="A330" t="s">
        <v>4899</v>
      </c>
      <c r="B330" t="s">
        <v>3886</v>
      </c>
      <c r="C330" t="s">
        <v>3956</v>
      </c>
      <c r="D330" t="s">
        <v>4900</v>
      </c>
      <c r="E330">
        <v>22.423203000000001</v>
      </c>
      <c r="F330">
        <v>87.318759</v>
      </c>
      <c r="G330" t="s">
        <v>3893</v>
      </c>
    </row>
    <row r="331" ht="14.25">
      <c r="A331" t="s">
        <v>4901</v>
      </c>
      <c r="B331" t="s">
        <v>3886</v>
      </c>
      <c r="C331" t="s">
        <v>3956</v>
      </c>
      <c r="D331" t="s">
        <v>4902</v>
      </c>
      <c r="E331">
        <v>22.431566</v>
      </c>
      <c r="F331">
        <v>87.303871000000001</v>
      </c>
      <c r="G331" t="s">
        <v>3889</v>
      </c>
    </row>
    <row r="332" ht="14.25">
      <c r="A332" t="s">
        <v>4903</v>
      </c>
      <c r="B332" t="s">
        <v>3886</v>
      </c>
      <c r="C332" t="s">
        <v>4904</v>
      </c>
      <c r="D332" t="s">
        <v>4905</v>
      </c>
      <c r="E332">
        <v>22.431961000000001</v>
      </c>
      <c r="F332">
        <v>87.316277999999997</v>
      </c>
      <c r="G332" t="s">
        <v>3889</v>
      </c>
    </row>
    <row r="333" ht="14.25">
      <c r="A333" t="s">
        <v>4906</v>
      </c>
      <c r="B333" t="s">
        <v>3886</v>
      </c>
      <c r="C333" t="s">
        <v>4907</v>
      </c>
      <c r="D333" t="s">
        <v>4908</v>
      </c>
      <c r="E333">
        <v>22.407720000000001</v>
      </c>
      <c r="F333">
        <v>87.314466999999993</v>
      </c>
      <c r="G333" t="s">
        <v>3889</v>
      </c>
    </row>
    <row r="334" ht="14.25">
      <c r="A334" t="s">
        <v>4909</v>
      </c>
      <c r="B334" t="s">
        <v>3886</v>
      </c>
      <c r="C334" t="s">
        <v>3956</v>
      </c>
      <c r="D334" t="s">
        <v>4910</v>
      </c>
      <c r="E334">
        <v>22.662174</v>
      </c>
      <c r="F334">
        <v>87.732534000000001</v>
      </c>
      <c r="G334" t="s">
        <v>4122</v>
      </c>
    </row>
    <row r="335" ht="14.25">
      <c r="A335" t="s">
        <v>4911</v>
      </c>
      <c r="B335" t="s">
        <v>3886</v>
      </c>
      <c r="C335" t="s">
        <v>380</v>
      </c>
      <c r="D335" t="s">
        <v>4912</v>
      </c>
      <c r="E335">
        <v>22.498086000000001</v>
      </c>
      <c r="F335">
        <v>87.731522999999996</v>
      </c>
      <c r="G335" t="s">
        <v>4004</v>
      </c>
    </row>
    <row r="336" ht="14.25">
      <c r="A336" t="s">
        <v>4914</v>
      </c>
      <c r="B336" t="s">
        <v>3886</v>
      </c>
      <c r="C336" t="s">
        <v>4915</v>
      </c>
      <c r="D336" t="s">
        <v>4916</v>
      </c>
      <c r="E336">
        <v>22.481148999999998</v>
      </c>
      <c r="F336">
        <v>87.466010999999995</v>
      </c>
      <c r="G336" t="s">
        <v>4016</v>
      </c>
    </row>
    <row r="337" ht="14.25">
      <c r="A337" t="s">
        <v>4917</v>
      </c>
      <c r="B337" t="s">
        <v>3886</v>
      </c>
      <c r="C337" t="s">
        <v>4918</v>
      </c>
      <c r="D337" t="s">
        <v>4919</v>
      </c>
      <c r="E337">
        <v>22.693905000000001</v>
      </c>
      <c r="F337">
        <v>87.599851000000001</v>
      </c>
      <c r="G337" t="s">
        <v>3987</v>
      </c>
    </row>
    <row r="338" ht="14.25">
      <c r="A338" t="s">
        <v>4920</v>
      </c>
      <c r="B338" t="s">
        <v>3886</v>
      </c>
      <c r="C338" t="s">
        <v>4921</v>
      </c>
      <c r="D338" t="s">
        <v>4922</v>
      </c>
      <c r="E338">
        <v>22.688853999999999</v>
      </c>
      <c r="F338">
        <v>87.163831000000002</v>
      </c>
      <c r="G338" t="s">
        <v>4210</v>
      </c>
    </row>
    <row r="339" ht="14.25">
      <c r="A339" t="s">
        <v>4923</v>
      </c>
      <c r="B339" t="s">
        <v>3886</v>
      </c>
      <c r="C339" t="s">
        <v>4924</v>
      </c>
      <c r="D339" t="s">
        <v>4925</v>
      </c>
      <c r="E339">
        <v>22.841270000000002</v>
      </c>
      <c r="F339">
        <v>87.163921000000002</v>
      </c>
      <c r="G339" t="s">
        <v>4210</v>
      </c>
    </row>
    <row r="340" ht="14.25">
      <c r="A340" t="s">
        <v>4926</v>
      </c>
      <c r="B340" t="s">
        <v>3886</v>
      </c>
      <c r="C340" t="s">
        <v>4927</v>
      </c>
      <c r="D340" t="s">
        <v>4928</v>
      </c>
      <c r="E340">
        <v>22.534628999999999</v>
      </c>
      <c r="F340">
        <v>87.377725999999996</v>
      </c>
      <c r="G340" t="s">
        <v>4033</v>
      </c>
    </row>
    <row r="341" ht="14.25">
      <c r="A341" t="s">
        <v>4929</v>
      </c>
      <c r="B341" t="s">
        <v>3886</v>
      </c>
      <c r="C341" t="s">
        <v>4930</v>
      </c>
      <c r="D341" t="s">
        <v>4931</v>
      </c>
      <c r="E341">
        <v>22.831947</v>
      </c>
      <c r="F341">
        <v>87.522729999999996</v>
      </c>
      <c r="G341" t="s">
        <v>4011</v>
      </c>
    </row>
    <row r="342" ht="14.25">
      <c r="A342" t="s">
        <v>4933</v>
      </c>
      <c r="B342" t="s">
        <v>3886</v>
      </c>
      <c r="C342" t="s">
        <v>4934</v>
      </c>
      <c r="D342" t="s">
        <v>4935</v>
      </c>
      <c r="E342">
        <v>22.818209</v>
      </c>
      <c r="F342">
        <v>87.544032999999999</v>
      </c>
      <c r="G342" t="s">
        <v>4011</v>
      </c>
    </row>
    <row r="343" ht="14.25">
      <c r="A343" t="s">
        <v>4937</v>
      </c>
      <c r="B343" t="s">
        <v>3886</v>
      </c>
      <c r="C343" t="s">
        <v>4938</v>
      </c>
      <c r="D343" t="s">
        <v>4939</v>
      </c>
      <c r="E343">
        <v>22.859556000000001</v>
      </c>
      <c r="F343">
        <v>87.400308999999993</v>
      </c>
      <c r="G343" t="s">
        <v>3967</v>
      </c>
    </row>
    <row r="344" ht="14.25">
      <c r="A344" t="s">
        <v>4940</v>
      </c>
      <c r="B344" t="s">
        <v>3886</v>
      </c>
      <c r="C344" t="s">
        <v>4941</v>
      </c>
      <c r="D344" t="s">
        <v>4942</v>
      </c>
      <c r="E344">
        <v>22.667337</v>
      </c>
      <c r="F344">
        <v>87.563917000000004</v>
      </c>
      <c r="G344" t="s">
        <v>3987</v>
      </c>
    </row>
    <row r="345" ht="14.25">
      <c r="A345" t="s">
        <v>4943</v>
      </c>
      <c r="B345" t="s">
        <v>3886</v>
      </c>
      <c r="C345" t="s">
        <v>4944</v>
      </c>
      <c r="D345" t="s">
        <v>4945</v>
      </c>
      <c r="E345">
        <v>22.834485999999998</v>
      </c>
      <c r="F345">
        <v>87.288019000000006</v>
      </c>
      <c r="G345" t="s">
        <v>3967</v>
      </c>
    </row>
    <row r="346" ht="14.25">
      <c r="A346" t="s">
        <v>4946</v>
      </c>
      <c r="B346" t="s">
        <v>3886</v>
      </c>
      <c r="C346" t="s">
        <v>4947</v>
      </c>
      <c r="D346" t="s">
        <v>4948</v>
      </c>
      <c r="E346">
        <v>22.806885999999999</v>
      </c>
      <c r="F346">
        <v>87.581352999999993</v>
      </c>
      <c r="G346" t="s">
        <v>4011</v>
      </c>
    </row>
    <row r="347" ht="14.25">
      <c r="A347" t="s">
        <v>4949</v>
      </c>
      <c r="B347" t="s">
        <v>3886</v>
      </c>
      <c r="C347" t="s">
        <v>4950</v>
      </c>
      <c r="D347" t="s">
        <v>4951</v>
      </c>
      <c r="E347">
        <v>22.594422000000002</v>
      </c>
      <c r="F347">
        <v>87.301455000000004</v>
      </c>
      <c r="G347" t="s">
        <v>4033</v>
      </c>
    </row>
    <row r="348" ht="14.25">
      <c r="A348" t="s">
        <v>4952</v>
      </c>
      <c r="B348" t="s">
        <v>3886</v>
      </c>
      <c r="C348" t="s">
        <v>4953</v>
      </c>
      <c r="D348" t="s">
        <v>4954</v>
      </c>
      <c r="E348">
        <v>22.497736</v>
      </c>
      <c r="F348">
        <v>87.556124999999994</v>
      </c>
      <c r="G348" t="s">
        <v>4016</v>
      </c>
    </row>
    <row r="349" ht="14.25">
      <c r="A349" t="s">
        <v>4955</v>
      </c>
      <c r="B349" t="s">
        <v>3886</v>
      </c>
      <c r="C349" t="s">
        <v>4956</v>
      </c>
      <c r="D349" t="s">
        <v>4957</v>
      </c>
      <c r="E349">
        <v>22.468263</v>
      </c>
      <c r="F349">
        <v>87.390180999999998</v>
      </c>
      <c r="G349" t="s">
        <v>3893</v>
      </c>
    </row>
    <row r="350" ht="14.25">
      <c r="A350" t="s">
        <v>4958</v>
      </c>
      <c r="B350" t="s">
        <v>3886</v>
      </c>
      <c r="C350" t="s">
        <v>4959</v>
      </c>
      <c r="D350" t="s">
        <v>4960</v>
      </c>
      <c r="E350">
        <v>22.462062</v>
      </c>
      <c r="F350">
        <v>87.455883</v>
      </c>
      <c r="G350" t="s">
        <v>4016</v>
      </c>
    </row>
    <row r="351" ht="14.25">
      <c r="A351" t="s">
        <v>4961</v>
      </c>
      <c r="B351" t="s">
        <v>3886</v>
      </c>
      <c r="C351" t="s">
        <v>4962</v>
      </c>
      <c r="D351" t="s">
        <v>4963</v>
      </c>
      <c r="E351">
        <v>22.711444</v>
      </c>
      <c r="F351">
        <v>87.392944</v>
      </c>
      <c r="G351" t="s">
        <v>4045</v>
      </c>
    </row>
    <row r="352" ht="14.25">
      <c r="A352" t="s">
        <v>4964</v>
      </c>
      <c r="B352" t="s">
        <v>3886</v>
      </c>
      <c r="C352" t="s">
        <v>4965</v>
      </c>
      <c r="D352" t="s">
        <v>4966</v>
      </c>
      <c r="E352">
        <v>22.77863</v>
      </c>
      <c r="F352">
        <v>87.216294000000005</v>
      </c>
      <c r="G352" t="s">
        <v>4210</v>
      </c>
    </row>
    <row r="353" ht="14.25">
      <c r="A353" t="s">
        <v>4967</v>
      </c>
      <c r="B353" t="s">
        <v>3886</v>
      </c>
      <c r="C353" t="s">
        <v>4968</v>
      </c>
      <c r="D353" t="s">
        <v>4969</v>
      </c>
      <c r="E353">
        <v>22.829719999999998</v>
      </c>
      <c r="F353">
        <v>87.232709999999997</v>
      </c>
      <c r="G353" t="s">
        <v>4210</v>
      </c>
    </row>
    <row r="354" ht="14.25">
      <c r="A354" t="s">
        <v>4971</v>
      </c>
      <c r="B354" t="s">
        <v>3886</v>
      </c>
      <c r="C354" t="s">
        <v>4972</v>
      </c>
      <c r="D354" t="s">
        <v>4973</v>
      </c>
      <c r="E354">
        <v>22.656948</v>
      </c>
      <c r="F354">
        <v>87.246630999999994</v>
      </c>
      <c r="G354" t="s">
        <v>4033</v>
      </c>
    </row>
    <row r="355" ht="14.25">
      <c r="A355" t="s">
        <v>4974</v>
      </c>
      <c r="B355" t="s">
        <v>3886</v>
      </c>
      <c r="C355" t="s">
        <v>4975</v>
      </c>
      <c r="D355" t="s">
        <v>4976</v>
      </c>
      <c r="E355">
        <v>22.857737</v>
      </c>
      <c r="F355">
        <v>87.428456999999995</v>
      </c>
      <c r="G355" t="s">
        <v>4011</v>
      </c>
    </row>
    <row r="356" ht="14.25">
      <c r="A356" t="s">
        <v>4977</v>
      </c>
      <c r="B356" t="s">
        <v>3886</v>
      </c>
      <c r="C356" t="s">
        <v>4978</v>
      </c>
      <c r="D356" t="s">
        <v>4979</v>
      </c>
      <c r="E356">
        <v>22.845514000000001</v>
      </c>
      <c r="F356">
        <v>87.198964000000004</v>
      </c>
      <c r="G356" t="s">
        <v>4210</v>
      </c>
    </row>
    <row r="357" ht="14.25">
      <c r="A357" t="s">
        <v>4981</v>
      </c>
      <c r="B357" t="s">
        <v>3886</v>
      </c>
      <c r="C357" t="s">
        <v>4982</v>
      </c>
      <c r="D357" t="s">
        <v>4983</v>
      </c>
      <c r="E357">
        <v>22.794933</v>
      </c>
      <c r="F357">
        <v>87.381021000000004</v>
      </c>
      <c r="G357" t="s">
        <v>4045</v>
      </c>
    </row>
    <row r="358" ht="14.25">
      <c r="A358" t="s">
        <v>4984</v>
      </c>
      <c r="B358" t="s">
        <v>3886</v>
      </c>
      <c r="C358" t="s">
        <v>4985</v>
      </c>
      <c r="D358" t="s">
        <v>4986</v>
      </c>
      <c r="E358">
        <v>22.484337</v>
      </c>
      <c r="F358">
        <v>87.362640999999996</v>
      </c>
      <c r="G358" t="s">
        <v>4033</v>
      </c>
    </row>
    <row r="359" ht="14.25">
      <c r="A359" t="s">
        <v>4987</v>
      </c>
      <c r="B359" t="s">
        <v>3886</v>
      </c>
      <c r="C359" t="s">
        <v>4988</v>
      </c>
      <c r="D359" t="s">
        <v>4989</v>
      </c>
      <c r="E359">
        <v>22.880483000000002</v>
      </c>
      <c r="F359">
        <v>87.193038000000001</v>
      </c>
      <c r="G359" t="s">
        <v>4210</v>
      </c>
    </row>
    <row r="360" ht="14.25">
      <c r="A360" t="s">
        <v>4991</v>
      </c>
      <c r="B360" t="s">
        <v>3886</v>
      </c>
      <c r="C360" t="s">
        <v>4992</v>
      </c>
      <c r="D360" t="s">
        <v>4993</v>
      </c>
      <c r="E360">
        <v>22.459320000000002</v>
      </c>
      <c r="F360">
        <v>87.261978999999997</v>
      </c>
      <c r="G360" t="s">
        <v>3889</v>
      </c>
    </row>
    <row r="361" ht="14.25">
      <c r="A361" t="s">
        <v>4994</v>
      </c>
      <c r="B361" t="s">
        <v>3886</v>
      </c>
      <c r="C361" t="s">
        <v>2987</v>
      </c>
      <c r="D361" t="s">
        <v>4995</v>
      </c>
      <c r="E361">
        <v>22.786797</v>
      </c>
      <c r="F361">
        <v>87.453451999999999</v>
      </c>
      <c r="G361" t="s">
        <v>4011</v>
      </c>
    </row>
    <row r="362" ht="14.25">
      <c r="A362" t="s">
        <v>4996</v>
      </c>
      <c r="B362" t="s">
        <v>3886</v>
      </c>
      <c r="C362" t="s">
        <v>4997</v>
      </c>
      <c r="D362" t="s">
        <v>4998</v>
      </c>
      <c r="E362">
        <v>22.751732000000001</v>
      </c>
      <c r="F362">
        <v>87.449954000000005</v>
      </c>
      <c r="G362" t="s">
        <v>4011</v>
      </c>
    </row>
    <row r="363" ht="14.25">
      <c r="A363" t="s">
        <v>5000</v>
      </c>
      <c r="B363" t="s">
        <v>3886</v>
      </c>
      <c r="C363" t="s">
        <v>5001</v>
      </c>
      <c r="D363" t="s">
        <v>5002</v>
      </c>
      <c r="E363">
        <v>22.922308999999998</v>
      </c>
      <c r="F363">
        <v>87.416162999999997</v>
      </c>
      <c r="G363" t="s">
        <v>3967</v>
      </c>
    </row>
    <row r="364" ht="14.25">
      <c r="A364" t="s">
        <v>5003</v>
      </c>
      <c r="B364" t="s">
        <v>3886</v>
      </c>
      <c r="C364" t="s">
        <v>5004</v>
      </c>
      <c r="D364" t="s">
        <v>5005</v>
      </c>
      <c r="E364">
        <v>22.914697</v>
      </c>
      <c r="F364">
        <v>87.306274999999999</v>
      </c>
      <c r="G364" t="s">
        <v>3967</v>
      </c>
    </row>
    <row r="365" ht="14.25">
      <c r="A365" t="s">
        <v>5006</v>
      </c>
      <c r="B365" t="s">
        <v>3886</v>
      </c>
      <c r="C365" t="s">
        <v>5007</v>
      </c>
      <c r="D365" t="s">
        <v>5008</v>
      </c>
      <c r="E365">
        <v>22.895987999999999</v>
      </c>
      <c r="F365">
        <v>87.343390999999997</v>
      </c>
      <c r="G365" t="s">
        <v>3967</v>
      </c>
    </row>
    <row r="366" ht="14.25">
      <c r="A366" t="s">
        <v>5009</v>
      </c>
      <c r="B366" t="s">
        <v>3886</v>
      </c>
      <c r="C366" t="s">
        <v>5010</v>
      </c>
      <c r="D366" t="s">
        <v>5011</v>
      </c>
      <c r="E366">
        <v>22.887547999999999</v>
      </c>
      <c r="F366">
        <v>87.265269000000004</v>
      </c>
      <c r="G366" t="s">
        <v>3967</v>
      </c>
    </row>
    <row r="367" ht="14.25">
      <c r="A367" t="s">
        <v>5012</v>
      </c>
      <c r="B367" t="s">
        <v>3886</v>
      </c>
      <c r="C367" t="s">
        <v>5013</v>
      </c>
      <c r="D367" t="s">
        <v>5014</v>
      </c>
      <c r="E367">
        <v>22.883666999999999</v>
      </c>
      <c r="F367">
        <v>87.441030999999995</v>
      </c>
      <c r="G367" t="s">
        <v>4011</v>
      </c>
    </row>
    <row r="368" ht="14.25">
      <c r="A368" t="s">
        <v>5016</v>
      </c>
      <c r="B368" t="s">
        <v>3886</v>
      </c>
      <c r="C368" t="s">
        <v>5017</v>
      </c>
      <c r="D368" t="s">
        <v>5018</v>
      </c>
      <c r="E368">
        <v>22.881149000000001</v>
      </c>
      <c r="F368">
        <v>87.361701999999994</v>
      </c>
      <c r="G368" t="s">
        <v>3967</v>
      </c>
    </row>
    <row r="369" ht="14.25">
      <c r="A369" t="s">
        <v>5019</v>
      </c>
      <c r="B369" t="s">
        <v>3886</v>
      </c>
      <c r="C369" t="s">
        <v>5020</v>
      </c>
      <c r="D369" t="s">
        <v>5021</v>
      </c>
      <c r="E369">
        <v>22.851507999999999</v>
      </c>
      <c r="F369">
        <v>87.466346999999999</v>
      </c>
      <c r="G369" t="s">
        <v>4011</v>
      </c>
    </row>
    <row r="370" ht="14.25">
      <c r="A370" t="s">
        <v>5023</v>
      </c>
      <c r="B370" t="s">
        <v>3886</v>
      </c>
      <c r="C370" t="s">
        <v>5024</v>
      </c>
      <c r="D370" t="s">
        <v>5025</v>
      </c>
      <c r="E370">
        <v>22.846388999999999</v>
      </c>
      <c r="F370">
        <v>87.267145999999997</v>
      </c>
      <c r="G370" t="s">
        <v>3967</v>
      </c>
    </row>
    <row r="371" ht="14.25">
      <c r="A371" t="s">
        <v>5026</v>
      </c>
      <c r="B371" t="s">
        <v>3886</v>
      </c>
      <c r="C371" t="s">
        <v>5027</v>
      </c>
      <c r="D371" t="s">
        <v>5028</v>
      </c>
      <c r="E371">
        <v>22.834681</v>
      </c>
      <c r="F371">
        <v>87.144699000000003</v>
      </c>
      <c r="G371" t="s">
        <v>4210</v>
      </c>
    </row>
    <row r="372" ht="14.25">
      <c r="A372" t="s">
        <v>5030</v>
      </c>
      <c r="B372" t="s">
        <v>3886</v>
      </c>
      <c r="C372" t="s">
        <v>5031</v>
      </c>
      <c r="D372" t="s">
        <v>5032</v>
      </c>
      <c r="E372">
        <v>22.832284000000001</v>
      </c>
      <c r="F372">
        <v>87.265522000000004</v>
      </c>
      <c r="G372" t="s">
        <v>4210</v>
      </c>
    </row>
    <row r="373" ht="14.25">
      <c r="A373" t="s">
        <v>5033</v>
      </c>
      <c r="B373" t="s">
        <v>3886</v>
      </c>
      <c r="C373" t="s">
        <v>4846</v>
      </c>
      <c r="D373" t="s">
        <v>5034</v>
      </c>
      <c r="E373">
        <v>22.823439</v>
      </c>
      <c r="F373">
        <v>87.313143999999994</v>
      </c>
      <c r="G373" t="s">
        <v>3967</v>
      </c>
    </row>
    <row r="374" ht="14.25">
      <c r="A374" t="s">
        <v>5035</v>
      </c>
      <c r="B374" t="s">
        <v>3886</v>
      </c>
      <c r="C374" t="s">
        <v>5036</v>
      </c>
      <c r="D374" t="s">
        <v>5037</v>
      </c>
      <c r="E374">
        <v>22.809246000000002</v>
      </c>
      <c r="F374">
        <v>87.190979999999996</v>
      </c>
      <c r="G374" t="s">
        <v>4210</v>
      </c>
    </row>
    <row r="375" ht="14.25">
      <c r="A375" t="s">
        <v>5038</v>
      </c>
      <c r="B375" t="s">
        <v>3886</v>
      </c>
      <c r="C375" t="s">
        <v>5039</v>
      </c>
      <c r="D375" t="s">
        <v>5040</v>
      </c>
      <c r="E375">
        <v>22.800177000000001</v>
      </c>
      <c r="F375">
        <v>87.230590000000007</v>
      </c>
      <c r="G375" t="s">
        <v>4210</v>
      </c>
    </row>
    <row r="376" ht="14.25">
      <c r="A376" t="s">
        <v>5041</v>
      </c>
      <c r="B376" t="s">
        <v>3886</v>
      </c>
      <c r="C376" t="s">
        <v>3956</v>
      </c>
      <c r="D376" t="s">
        <v>5042</v>
      </c>
      <c r="E376">
        <v>22.800602999999999</v>
      </c>
      <c r="F376">
        <v>87.538882000000001</v>
      </c>
      <c r="G376" t="s">
        <v>4011</v>
      </c>
    </row>
    <row r="377" ht="14.25">
      <c r="A377" t="s">
        <v>5043</v>
      </c>
      <c r="B377" t="s">
        <v>3886</v>
      </c>
      <c r="C377" t="s">
        <v>5044</v>
      </c>
      <c r="D377" t="s">
        <v>5045</v>
      </c>
      <c r="E377">
        <v>22.795455</v>
      </c>
      <c r="F377">
        <v>87.087587999999997</v>
      </c>
      <c r="G377" t="s">
        <v>4210</v>
      </c>
    </row>
    <row r="378" ht="14.25">
      <c r="A378" t="s">
        <v>5046</v>
      </c>
      <c r="B378" t="s">
        <v>3886</v>
      </c>
      <c r="C378" t="s">
        <v>5047</v>
      </c>
      <c r="D378" t="s">
        <v>5048</v>
      </c>
      <c r="E378">
        <v>22.769608000000002</v>
      </c>
      <c r="F378">
        <v>87.658111000000005</v>
      </c>
      <c r="G378" t="s">
        <v>3987</v>
      </c>
    </row>
    <row r="379" ht="14.25">
      <c r="A379" t="s">
        <v>5049</v>
      </c>
      <c r="B379" t="s">
        <v>3886</v>
      </c>
      <c r="C379" t="s">
        <v>5050</v>
      </c>
      <c r="D379" t="s">
        <v>5051</v>
      </c>
      <c r="E379">
        <v>22.769127999999998</v>
      </c>
      <c r="F379">
        <v>87.154741000000001</v>
      </c>
      <c r="G379" t="s">
        <v>4210</v>
      </c>
    </row>
    <row r="380" ht="14.25">
      <c r="A380" t="s">
        <v>5052</v>
      </c>
      <c r="B380" t="s">
        <v>3886</v>
      </c>
      <c r="C380" t="s">
        <v>5053</v>
      </c>
      <c r="D380" t="s">
        <v>5054</v>
      </c>
      <c r="E380">
        <v>22.751197999999999</v>
      </c>
      <c r="F380">
        <v>87.129724999999993</v>
      </c>
      <c r="G380" t="s">
        <v>4210</v>
      </c>
    </row>
    <row r="381" ht="14.25">
      <c r="A381" t="s">
        <v>5055</v>
      </c>
      <c r="B381" t="s">
        <v>3886</v>
      </c>
      <c r="C381" t="s">
        <v>5056</v>
      </c>
      <c r="D381" t="s">
        <v>5057</v>
      </c>
      <c r="E381">
        <v>22.745676</v>
      </c>
      <c r="F381">
        <v>87.203564999999998</v>
      </c>
      <c r="G381" t="s">
        <v>4210</v>
      </c>
    </row>
    <row r="382" ht="14.25">
      <c r="A382" t="s">
        <v>5058</v>
      </c>
      <c r="B382" t="s">
        <v>3886</v>
      </c>
      <c r="C382" t="s">
        <v>5059</v>
      </c>
      <c r="D382" t="s">
        <v>5060</v>
      </c>
      <c r="E382">
        <v>22.743198</v>
      </c>
      <c r="F382">
        <v>87.551525999999996</v>
      </c>
      <c r="G382" t="s">
        <v>3987</v>
      </c>
    </row>
    <row r="383" ht="14.25">
      <c r="A383" t="s">
        <v>5061</v>
      </c>
      <c r="B383" t="s">
        <v>3886</v>
      </c>
      <c r="C383" t="s">
        <v>3956</v>
      </c>
      <c r="D383" t="s">
        <v>5062</v>
      </c>
      <c r="E383">
        <v>22.730084000000002</v>
      </c>
      <c r="F383">
        <v>87.499122</v>
      </c>
      <c r="G383" t="s">
        <v>3987</v>
      </c>
    </row>
    <row r="384" ht="14.25">
      <c r="A384" t="s">
        <v>5063</v>
      </c>
      <c r="B384" t="s">
        <v>3886</v>
      </c>
      <c r="C384" t="s">
        <v>5064</v>
      </c>
      <c r="D384" t="s">
        <v>5065</v>
      </c>
      <c r="E384">
        <v>22.727148</v>
      </c>
      <c r="F384">
        <v>87.630325999999997</v>
      </c>
      <c r="G384" t="s">
        <v>3987</v>
      </c>
    </row>
    <row r="385" ht="14.25">
      <c r="A385" t="s">
        <v>5066</v>
      </c>
      <c r="B385" t="s">
        <v>3886</v>
      </c>
      <c r="C385" t="s">
        <v>5067</v>
      </c>
      <c r="D385" t="s">
        <v>5068</v>
      </c>
      <c r="E385">
        <v>22.723444000000001</v>
      </c>
      <c r="F385">
        <v>87.126862000000003</v>
      </c>
      <c r="G385" t="s">
        <v>4210</v>
      </c>
    </row>
    <row r="386" ht="14.25">
      <c r="A386" t="s">
        <v>5069</v>
      </c>
      <c r="B386" t="s">
        <v>3886</v>
      </c>
      <c r="C386" t="s">
        <v>5070</v>
      </c>
      <c r="D386" t="s">
        <v>5071</v>
      </c>
      <c r="E386">
        <v>22.713477999999999</v>
      </c>
      <c r="F386">
        <v>87.271801999999994</v>
      </c>
      <c r="G386" t="s">
        <v>4045</v>
      </c>
    </row>
    <row r="387" ht="14.25">
      <c r="A387" t="s">
        <v>5072</v>
      </c>
      <c r="B387" t="s">
        <v>3886</v>
      </c>
      <c r="C387" t="s">
        <v>5073</v>
      </c>
      <c r="D387" t="s">
        <v>5074</v>
      </c>
      <c r="E387">
        <v>22.713925</v>
      </c>
      <c r="F387">
        <v>87.215232</v>
      </c>
      <c r="G387" t="s">
        <v>4045</v>
      </c>
    </row>
    <row r="388" ht="14.25">
      <c r="A388" t="s">
        <v>5075</v>
      </c>
      <c r="B388" t="s">
        <v>3886</v>
      </c>
      <c r="C388" t="s">
        <v>5076</v>
      </c>
      <c r="D388" t="s">
        <v>5077</v>
      </c>
      <c r="E388">
        <v>22.704108000000002</v>
      </c>
      <c r="F388">
        <v>87.584878000000003</v>
      </c>
      <c r="G388" t="s">
        <v>3987</v>
      </c>
    </row>
    <row r="389" ht="14.25">
      <c r="A389" t="s">
        <v>5078</v>
      </c>
      <c r="B389" t="s">
        <v>3886</v>
      </c>
      <c r="C389" t="s">
        <v>5079</v>
      </c>
      <c r="D389" t="s">
        <v>5080</v>
      </c>
      <c r="E389">
        <v>22.687456000000001</v>
      </c>
      <c r="F389">
        <v>87.575415000000007</v>
      </c>
      <c r="G389" t="s">
        <v>3987</v>
      </c>
    </row>
    <row r="390" ht="14.25">
      <c r="A390" t="s">
        <v>5081</v>
      </c>
      <c r="B390" t="s">
        <v>3886</v>
      </c>
      <c r="C390" t="s">
        <v>5082</v>
      </c>
      <c r="D390" t="s">
        <v>5083</v>
      </c>
      <c r="E390">
        <v>22.673811000000001</v>
      </c>
      <c r="F390">
        <v>87.413053000000005</v>
      </c>
      <c r="G390" t="s">
        <v>4045</v>
      </c>
    </row>
    <row r="391" ht="14.25">
      <c r="A391" t="s">
        <v>5084</v>
      </c>
      <c r="B391" t="s">
        <v>3886</v>
      </c>
      <c r="C391" t="s">
        <v>5085</v>
      </c>
      <c r="D391" t="s">
        <v>5086</v>
      </c>
      <c r="E391">
        <v>22.655283000000001</v>
      </c>
      <c r="F391">
        <v>87.630724000000001</v>
      </c>
      <c r="G391" t="s">
        <v>4099</v>
      </c>
    </row>
    <row r="392" ht="14.25">
      <c r="A392" t="s">
        <v>5087</v>
      </c>
      <c r="B392" t="s">
        <v>3886</v>
      </c>
      <c r="C392" t="s">
        <v>5088</v>
      </c>
      <c r="D392" t="s">
        <v>5089</v>
      </c>
      <c r="E392">
        <v>22.65269</v>
      </c>
      <c r="F392">
        <v>87.546456000000006</v>
      </c>
      <c r="G392" t="s">
        <v>3987</v>
      </c>
    </row>
    <row r="393" ht="14.25">
      <c r="A393" t="s">
        <v>5090</v>
      </c>
      <c r="B393" t="s">
        <v>3886</v>
      </c>
      <c r="C393" t="s">
        <v>5091</v>
      </c>
      <c r="D393" t="s">
        <v>5092</v>
      </c>
      <c r="E393">
        <v>22.656094</v>
      </c>
      <c r="F393">
        <v>87.521348000000003</v>
      </c>
      <c r="G393" t="s">
        <v>3987</v>
      </c>
    </row>
    <row r="394" ht="14.25">
      <c r="A394" t="s">
        <v>5093</v>
      </c>
      <c r="B394" t="s">
        <v>3886</v>
      </c>
      <c r="C394" t="s">
        <v>5094</v>
      </c>
      <c r="D394" t="s">
        <v>5095</v>
      </c>
      <c r="E394">
        <v>22.647974000000001</v>
      </c>
      <c r="F394">
        <v>87.427864</v>
      </c>
      <c r="G394" t="s">
        <v>4045</v>
      </c>
    </row>
    <row r="395" ht="14.25">
      <c r="A395" t="s">
        <v>5096</v>
      </c>
      <c r="B395" t="s">
        <v>3886</v>
      </c>
      <c r="C395" t="s">
        <v>5097</v>
      </c>
      <c r="D395" t="s">
        <v>5098</v>
      </c>
      <c r="E395">
        <v>22.646222999999999</v>
      </c>
      <c r="F395">
        <v>87.129180000000005</v>
      </c>
      <c r="G395" t="s">
        <v>4347</v>
      </c>
    </row>
    <row r="396" ht="14.25">
      <c r="A396" t="s">
        <v>5099</v>
      </c>
      <c r="B396" t="s">
        <v>3886</v>
      </c>
      <c r="C396" t="s">
        <v>5100</v>
      </c>
      <c r="D396" t="s">
        <v>5101</v>
      </c>
      <c r="E396">
        <v>22.637157999999999</v>
      </c>
      <c r="F396">
        <v>87.356845000000007</v>
      </c>
      <c r="G396" t="s">
        <v>4045</v>
      </c>
    </row>
    <row r="397" ht="14.25">
      <c r="A397" t="s">
        <v>5102</v>
      </c>
      <c r="B397" t="s">
        <v>3886</v>
      </c>
      <c r="C397" t="s">
        <v>3956</v>
      </c>
      <c r="D397" t="s">
        <v>5103</v>
      </c>
      <c r="E397">
        <v>22.629687000000001</v>
      </c>
      <c r="F397">
        <v>87.581221999999997</v>
      </c>
      <c r="G397" t="s">
        <v>3987</v>
      </c>
    </row>
    <row r="398" ht="14.25">
      <c r="A398" t="s">
        <v>5104</v>
      </c>
      <c r="B398" t="s">
        <v>3886</v>
      </c>
      <c r="C398" t="s">
        <v>5105</v>
      </c>
      <c r="D398" t="s">
        <v>5106</v>
      </c>
      <c r="E398">
        <v>22.634094999999999</v>
      </c>
      <c r="F398">
        <v>87.536698999999999</v>
      </c>
      <c r="G398" t="s">
        <v>3987</v>
      </c>
    </row>
    <row r="399" ht="14.25">
      <c r="A399" t="s">
        <v>5107</v>
      </c>
      <c r="B399" t="s">
        <v>3886</v>
      </c>
      <c r="C399" t="s">
        <v>5108</v>
      </c>
      <c r="D399" t="s">
        <v>5109</v>
      </c>
      <c r="E399">
        <v>22.628647999999998</v>
      </c>
      <c r="F399">
        <v>87.633673000000002</v>
      </c>
      <c r="G399" t="s">
        <v>4099</v>
      </c>
    </row>
    <row r="400" ht="14.25">
      <c r="A400" t="s">
        <v>5110</v>
      </c>
      <c r="B400" t="s">
        <v>3886</v>
      </c>
      <c r="C400" t="s">
        <v>5111</v>
      </c>
      <c r="D400" t="s">
        <v>5112</v>
      </c>
      <c r="E400">
        <v>22.614348</v>
      </c>
      <c r="F400">
        <v>87.586901999999995</v>
      </c>
      <c r="G400" t="s">
        <v>4099</v>
      </c>
    </row>
    <row r="401" ht="14.25">
      <c r="A401" t="s">
        <v>5113</v>
      </c>
      <c r="B401" t="s">
        <v>3886</v>
      </c>
      <c r="C401" t="s">
        <v>5114</v>
      </c>
      <c r="D401" t="s">
        <v>5115</v>
      </c>
      <c r="E401">
        <v>22.610999</v>
      </c>
      <c r="F401">
        <v>87.686197000000007</v>
      </c>
      <c r="G401" t="s">
        <v>4099</v>
      </c>
    </row>
    <row r="402" ht="14.25">
      <c r="A402" t="s">
        <v>5116</v>
      </c>
      <c r="B402" t="s">
        <v>3886</v>
      </c>
      <c r="C402" t="s">
        <v>5117</v>
      </c>
      <c r="D402" t="s">
        <v>5118</v>
      </c>
      <c r="E402">
        <v>22.611446999999998</v>
      </c>
      <c r="F402">
        <v>87.397070999999997</v>
      </c>
      <c r="G402" t="s">
        <v>4016</v>
      </c>
    </row>
    <row r="403" ht="14.25">
      <c r="A403" t="s">
        <v>5119</v>
      </c>
      <c r="B403" t="s">
        <v>3886</v>
      </c>
      <c r="C403" t="s">
        <v>5120</v>
      </c>
      <c r="D403" t="s">
        <v>5121</v>
      </c>
      <c r="E403">
        <v>22.605240999999999</v>
      </c>
      <c r="F403">
        <v>87.549836999999997</v>
      </c>
      <c r="G403" t="s">
        <v>3987</v>
      </c>
    </row>
    <row r="404" ht="14.25">
      <c r="A404" t="s">
        <v>5122</v>
      </c>
      <c r="B404" t="s">
        <v>3886</v>
      </c>
      <c r="C404" t="s">
        <v>5123</v>
      </c>
      <c r="D404" t="s">
        <v>5124</v>
      </c>
      <c r="E404">
        <v>22.564729</v>
      </c>
      <c r="F404">
        <v>87.549142000000003</v>
      </c>
      <c r="G404" t="s">
        <v>4016</v>
      </c>
    </row>
    <row r="405" ht="14.25">
      <c r="A405" t="s">
        <v>5125</v>
      </c>
      <c r="B405" t="s">
        <v>3886</v>
      </c>
      <c r="C405" t="s">
        <v>5126</v>
      </c>
      <c r="D405" t="s">
        <v>5127</v>
      </c>
      <c r="E405">
        <v>22.542527</v>
      </c>
      <c r="F405">
        <v>87.572204999999997</v>
      </c>
      <c r="G405" t="s">
        <v>4016</v>
      </c>
    </row>
    <row r="406" ht="14.25">
      <c r="A406" t="s">
        <v>5128</v>
      </c>
      <c r="B406" t="s">
        <v>3886</v>
      </c>
      <c r="C406" t="s">
        <v>5129</v>
      </c>
      <c r="D406" t="s">
        <v>5130</v>
      </c>
      <c r="E406">
        <v>22.528675</v>
      </c>
      <c r="F406">
        <v>87.399189000000007</v>
      </c>
      <c r="G406" t="s">
        <v>4033</v>
      </c>
    </row>
    <row r="407" ht="14.25">
      <c r="A407" t="s">
        <v>5131</v>
      </c>
      <c r="B407" t="s">
        <v>3886</v>
      </c>
      <c r="C407" t="s">
        <v>5132</v>
      </c>
      <c r="D407" t="s">
        <v>5133</v>
      </c>
      <c r="E407">
        <v>22.525842999999998</v>
      </c>
      <c r="F407">
        <v>87.767448999999999</v>
      </c>
      <c r="G407" t="s">
        <v>4004</v>
      </c>
    </row>
    <row r="408" ht="14.25">
      <c r="A408" t="s">
        <v>5134</v>
      </c>
      <c r="B408" t="s">
        <v>3886</v>
      </c>
      <c r="C408" t="s">
        <v>5135</v>
      </c>
      <c r="D408" t="s">
        <v>5136</v>
      </c>
      <c r="E408">
        <v>22.519375</v>
      </c>
      <c r="F408">
        <v>87.215901000000002</v>
      </c>
      <c r="G408" t="s">
        <v>4347</v>
      </c>
    </row>
    <row r="409" ht="14.25">
      <c r="A409" t="s">
        <v>5137</v>
      </c>
      <c r="B409" t="s">
        <v>3886</v>
      </c>
      <c r="C409" t="s">
        <v>3956</v>
      </c>
      <c r="D409" t="s">
        <v>5138</v>
      </c>
      <c r="E409">
        <v>22.516195</v>
      </c>
      <c r="F409">
        <v>87.723744999999994</v>
      </c>
      <c r="G409" t="s">
        <v>4004</v>
      </c>
    </row>
    <row r="410" ht="14.25">
      <c r="A410" t="s">
        <v>5139</v>
      </c>
      <c r="B410" t="s">
        <v>3886</v>
      </c>
      <c r="C410" t="s">
        <v>5140</v>
      </c>
      <c r="D410" t="s">
        <v>5141</v>
      </c>
      <c r="E410">
        <v>22.467265999999999</v>
      </c>
      <c r="F410">
        <v>87.503218000000004</v>
      </c>
      <c r="G410" t="s">
        <v>4016</v>
      </c>
    </row>
    <row r="411" ht="14.25">
      <c r="A411" t="s">
        <v>5142</v>
      </c>
      <c r="B411" t="s">
        <v>3886</v>
      </c>
      <c r="C411" t="s">
        <v>5143</v>
      </c>
      <c r="D411" t="s">
        <v>5144</v>
      </c>
      <c r="E411">
        <v>22.446249000000002</v>
      </c>
      <c r="F411">
        <v>87.411579000000003</v>
      </c>
      <c r="G411" t="s">
        <v>3893</v>
      </c>
    </row>
    <row r="412" ht="14.25">
      <c r="A412" t="s">
        <v>5145</v>
      </c>
      <c r="B412" t="s">
        <v>3886</v>
      </c>
      <c r="C412" t="s">
        <v>5146</v>
      </c>
      <c r="D412" t="s">
        <v>5147</v>
      </c>
      <c r="E412">
        <v>22.402249000000001</v>
      </c>
      <c r="F412">
        <v>87.380785000000003</v>
      </c>
      <c r="G412" t="s">
        <v>3893</v>
      </c>
    </row>
    <row r="413" ht="14.25">
      <c r="A413" t="s">
        <v>5148</v>
      </c>
      <c r="B413" t="s">
        <v>3886</v>
      </c>
      <c r="C413" t="s">
        <v>3956</v>
      </c>
      <c r="D413" t="s">
        <v>5149</v>
      </c>
      <c r="E413">
        <v>22.401439</v>
      </c>
      <c r="F413">
        <v>87.440358000000003</v>
      </c>
      <c r="G413" t="s">
        <v>3893</v>
      </c>
    </row>
    <row r="414" ht="14.25">
      <c r="A414" t="s">
        <v>5150</v>
      </c>
      <c r="B414" t="s">
        <v>3886</v>
      </c>
      <c r="C414" t="s">
        <v>4036</v>
      </c>
      <c r="D414" t="s">
        <v>5151</v>
      </c>
      <c r="E414">
        <v>22.485833</v>
      </c>
      <c r="F414">
        <v>87.321749999999994</v>
      </c>
      <c r="G414" t="s">
        <v>4033</v>
      </c>
    </row>
    <row r="415" ht="14.25">
      <c r="A415" t="s">
        <v>5152</v>
      </c>
      <c r="B415" t="s">
        <v>3886</v>
      </c>
      <c r="C415" t="s">
        <v>5153</v>
      </c>
      <c r="D415" t="s">
        <v>5154</v>
      </c>
      <c r="E415">
        <v>22.778797999999998</v>
      </c>
      <c r="F415">
        <v>87.577878999999996</v>
      </c>
      <c r="G415" t="s">
        <v>4011</v>
      </c>
    </row>
    <row r="416" ht="14.25">
      <c r="A416" t="s">
        <v>5156</v>
      </c>
      <c r="B416" t="s">
        <v>3886</v>
      </c>
      <c r="C416" t="s">
        <v>5157</v>
      </c>
      <c r="D416" t="s">
        <v>5158</v>
      </c>
      <c r="E416">
        <v>22.865549999999999</v>
      </c>
      <c r="F416">
        <v>87.315134999999998</v>
      </c>
      <c r="G416" t="s">
        <v>3967</v>
      </c>
    </row>
    <row r="417" ht="14.25">
      <c r="A417" t="s">
        <v>5159</v>
      </c>
      <c r="B417" t="s">
        <v>3886</v>
      </c>
      <c r="C417" t="s">
        <v>5160</v>
      </c>
      <c r="D417" t="s">
        <v>5161</v>
      </c>
      <c r="E417">
        <v>22.793085000000001</v>
      </c>
      <c r="F417">
        <v>87.643152000000001</v>
      </c>
      <c r="G417" t="s">
        <v>3987</v>
      </c>
    </row>
    <row r="418" ht="14.25">
      <c r="A418" t="s">
        <v>5162</v>
      </c>
      <c r="B418" t="s">
        <v>3886</v>
      </c>
      <c r="C418" t="s">
        <v>3956</v>
      </c>
      <c r="D418" t="s">
        <v>5163</v>
      </c>
      <c r="E418">
        <v>22.769677999999999</v>
      </c>
      <c r="F418">
        <v>87.612132000000003</v>
      </c>
      <c r="G418" t="s">
        <v>3987</v>
      </c>
    </row>
    <row r="419" ht="14.25">
      <c r="A419" t="s">
        <v>5164</v>
      </c>
      <c r="B419" t="s">
        <v>3886</v>
      </c>
      <c r="C419" t="s">
        <v>5165</v>
      </c>
      <c r="D419" t="s">
        <v>5166</v>
      </c>
      <c r="E419">
        <v>22.408873</v>
      </c>
      <c r="F419">
        <v>87.328861000000003</v>
      </c>
      <c r="G419" t="s">
        <v>3893</v>
      </c>
    </row>
    <row r="420" ht="14.25">
      <c r="A420" t="s">
        <v>5167</v>
      </c>
      <c r="B420" t="s">
        <v>3886</v>
      </c>
      <c r="C420" t="s">
        <v>5168</v>
      </c>
      <c r="D420" t="s">
        <v>5169</v>
      </c>
      <c r="E420">
        <v>22.739484999999998</v>
      </c>
      <c r="F420">
        <v>87.669976000000005</v>
      </c>
      <c r="G420" t="s">
        <v>4099</v>
      </c>
    </row>
    <row r="421" ht="14.25">
      <c r="A421" t="s">
        <v>5171</v>
      </c>
      <c r="B421" t="s">
        <v>3886</v>
      </c>
      <c r="C421" t="s">
        <v>5172</v>
      </c>
      <c r="D421" t="s">
        <v>5173</v>
      </c>
      <c r="E421">
        <v>22.776143999999999</v>
      </c>
      <c r="F421">
        <v>87.536711999999994</v>
      </c>
      <c r="G421" t="s">
        <v>4011</v>
      </c>
    </row>
    <row r="422" ht="14.25">
      <c r="A422" t="s">
        <v>5174</v>
      </c>
      <c r="B422" t="s">
        <v>3886</v>
      </c>
      <c r="C422" t="s">
        <v>5175</v>
      </c>
      <c r="D422" t="s">
        <v>5176</v>
      </c>
      <c r="E422">
        <v>22.854818999999999</v>
      </c>
      <c r="F422">
        <v>87.503938000000005</v>
      </c>
      <c r="G422" t="s">
        <v>4011</v>
      </c>
    </row>
    <row r="423" ht="14.25">
      <c r="A423" t="s">
        <v>5177</v>
      </c>
      <c r="B423" t="s">
        <v>3886</v>
      </c>
      <c r="C423" t="s">
        <v>5178</v>
      </c>
      <c r="D423" t="s">
        <v>5179</v>
      </c>
      <c r="E423">
        <v>22.809559</v>
      </c>
      <c r="F423">
        <v>87.520551999999995</v>
      </c>
      <c r="G423" t="s">
        <v>4011</v>
      </c>
    </row>
    <row r="424" ht="14.25">
      <c r="A424" t="s">
        <v>5181</v>
      </c>
      <c r="B424" t="s">
        <v>3886</v>
      </c>
      <c r="C424" t="s">
        <v>5182</v>
      </c>
      <c r="D424" t="s">
        <v>5183</v>
      </c>
      <c r="E424">
        <v>22.639296000000002</v>
      </c>
      <c r="F424">
        <v>87.785793999999996</v>
      </c>
      <c r="G424" t="s">
        <v>4099</v>
      </c>
    </row>
    <row r="425" ht="14.25">
      <c r="A425" t="s">
        <v>5184</v>
      </c>
      <c r="B425" t="s">
        <v>3886</v>
      </c>
      <c r="C425" t="s">
        <v>5185</v>
      </c>
      <c r="D425" t="s">
        <v>5186</v>
      </c>
      <c r="E425">
        <v>22.674652999999999</v>
      </c>
      <c r="F425">
        <v>87.639756000000006</v>
      </c>
      <c r="G425" t="s">
        <v>4099</v>
      </c>
    </row>
    <row r="426" ht="14.25">
      <c r="A426" t="s">
        <v>5187</v>
      </c>
      <c r="B426" t="s">
        <v>3886</v>
      </c>
      <c r="C426" t="s">
        <v>3956</v>
      </c>
      <c r="D426" t="s">
        <v>5188</v>
      </c>
      <c r="E426">
        <v>22.718769000000002</v>
      </c>
      <c r="F426">
        <v>87.675846000000007</v>
      </c>
      <c r="G426" t="s">
        <v>3987</v>
      </c>
    </row>
    <row r="427" ht="14.25">
      <c r="A427" t="s">
        <v>5189</v>
      </c>
      <c r="B427" t="s">
        <v>3886</v>
      </c>
      <c r="C427" t="s">
        <v>5190</v>
      </c>
      <c r="D427" t="s">
        <v>5191</v>
      </c>
      <c r="E427">
        <v>22.619743</v>
      </c>
      <c r="F427">
        <v>87.339995999999999</v>
      </c>
      <c r="G427" t="s">
        <v>4033</v>
      </c>
    </row>
    <row r="428" ht="14.25">
      <c r="A428" t="s">
        <v>5192</v>
      </c>
      <c r="B428" t="s">
        <v>3886</v>
      </c>
      <c r="C428" t="s">
        <v>5193</v>
      </c>
      <c r="D428" t="s">
        <v>5194</v>
      </c>
      <c r="E428">
        <v>22.758353</v>
      </c>
      <c r="F428">
        <v>87.636508000000006</v>
      </c>
      <c r="G428" t="s">
        <v>3987</v>
      </c>
    </row>
    <row r="429" ht="14.25">
      <c r="A429" t="s">
        <v>5195</v>
      </c>
      <c r="B429" t="s">
        <v>3886</v>
      </c>
      <c r="C429" t="s">
        <v>5196</v>
      </c>
      <c r="D429" t="s">
        <v>5197</v>
      </c>
      <c r="E429">
        <v>22.780318999999999</v>
      </c>
      <c r="F429">
        <v>87.411458999999994</v>
      </c>
      <c r="G429" t="s">
        <v>4011</v>
      </c>
    </row>
    <row r="430" ht="14.25">
      <c r="A430" t="s">
        <v>5199</v>
      </c>
      <c r="B430" t="s">
        <v>3886</v>
      </c>
      <c r="C430" t="s">
        <v>3956</v>
      </c>
      <c r="D430" t="s">
        <v>5200</v>
      </c>
      <c r="E430">
        <v>22.825012000000001</v>
      </c>
      <c r="F430">
        <v>87.600701000000001</v>
      </c>
      <c r="G430" t="s">
        <v>4011</v>
      </c>
    </row>
    <row r="431" ht="14.25">
      <c r="A431" t="s">
        <v>5201</v>
      </c>
      <c r="B431" t="s">
        <v>3886</v>
      </c>
      <c r="C431" t="s">
        <v>5202</v>
      </c>
      <c r="D431" t="s">
        <v>5203</v>
      </c>
      <c r="E431">
        <v>22.822751</v>
      </c>
      <c r="F431">
        <v>87.366895</v>
      </c>
      <c r="G431" t="s">
        <v>3967</v>
      </c>
    </row>
    <row r="432" ht="14.25">
      <c r="A432" t="s">
        <v>5204</v>
      </c>
      <c r="B432" t="s">
        <v>3886</v>
      </c>
      <c r="C432" t="s">
        <v>5205</v>
      </c>
      <c r="D432" t="s">
        <v>5206</v>
      </c>
      <c r="E432">
        <v>22.609185</v>
      </c>
      <c r="F432">
        <v>87.269259000000005</v>
      </c>
      <c r="G432" t="s">
        <v>4033</v>
      </c>
    </row>
    <row r="433" ht="14.25">
      <c r="A433" t="s">
        <v>5207</v>
      </c>
      <c r="B433" t="s">
        <v>3886</v>
      </c>
      <c r="C433" t="s">
        <v>3965</v>
      </c>
      <c r="D433" t="s">
        <v>5208</v>
      </c>
      <c r="E433">
        <v>22.856555</v>
      </c>
      <c r="F433">
        <v>87.355975000000001</v>
      </c>
      <c r="G433" t="s">
        <v>3967</v>
      </c>
    </row>
    <row r="434" ht="14.25">
      <c r="A434" t="s">
        <v>5209</v>
      </c>
      <c r="B434" t="s">
        <v>3886</v>
      </c>
      <c r="C434" t="s">
        <v>5210</v>
      </c>
      <c r="D434" t="s">
        <v>5211</v>
      </c>
      <c r="E434">
        <v>22.578275999999999</v>
      </c>
      <c r="F434">
        <v>87.748513000000003</v>
      </c>
      <c r="G434" t="s">
        <v>4004</v>
      </c>
    </row>
    <row r="435" ht="14.25">
      <c r="A435" t="s">
        <v>5213</v>
      </c>
      <c r="B435" t="s">
        <v>3886</v>
      </c>
      <c r="C435" t="s">
        <v>5214</v>
      </c>
      <c r="D435" t="s">
        <v>5215</v>
      </c>
      <c r="E435">
        <v>22.656859000000001</v>
      </c>
      <c r="F435">
        <v>87.480625000000003</v>
      </c>
      <c r="G435" t="s">
        <v>3987</v>
      </c>
    </row>
    <row r="436" ht="14.25">
      <c r="A436" t="s">
        <v>5216</v>
      </c>
      <c r="B436" t="s">
        <v>3886</v>
      </c>
      <c r="C436" t="s">
        <v>5217</v>
      </c>
      <c r="D436" t="s">
        <v>5218</v>
      </c>
      <c r="E436">
        <v>22.610485000000001</v>
      </c>
      <c r="F436">
        <v>87.511104000000003</v>
      </c>
      <c r="G436" t="s">
        <v>4000</v>
      </c>
    </row>
    <row r="437" ht="14.25">
      <c r="A437" t="s">
        <v>5219</v>
      </c>
      <c r="B437" t="s">
        <v>3886</v>
      </c>
      <c r="C437" t="s">
        <v>5220</v>
      </c>
      <c r="D437" t="s">
        <v>5221</v>
      </c>
      <c r="E437">
        <v>22.638010999999999</v>
      </c>
      <c r="F437">
        <v>87.316816000000003</v>
      </c>
      <c r="G437" t="s">
        <v>4033</v>
      </c>
    </row>
    <row r="438" ht="14.25">
      <c r="A438" t="s">
        <v>5222</v>
      </c>
      <c r="B438" t="s">
        <v>3886</v>
      </c>
      <c r="C438" t="s">
        <v>5223</v>
      </c>
      <c r="D438" t="s">
        <v>5224</v>
      </c>
      <c r="E438">
        <v>22.673527</v>
      </c>
      <c r="F438">
        <v>87.607167000000004</v>
      </c>
      <c r="G438" t="s">
        <v>3987</v>
      </c>
    </row>
    <row r="439" ht="14.25">
      <c r="A439" t="s">
        <v>5225</v>
      </c>
      <c r="B439" t="s">
        <v>3886</v>
      </c>
      <c r="C439" t="s">
        <v>5226</v>
      </c>
      <c r="D439" t="s">
        <v>5227</v>
      </c>
      <c r="E439">
        <v>22.847086999999998</v>
      </c>
      <c r="F439">
        <v>87.313457</v>
      </c>
      <c r="G439" t="s">
        <v>3967</v>
      </c>
    </row>
    <row r="440" ht="14.25">
      <c r="A440" t="s">
        <v>5228</v>
      </c>
      <c r="B440" t="s">
        <v>3886</v>
      </c>
      <c r="C440" t="s">
        <v>5229</v>
      </c>
      <c r="D440" t="s">
        <v>5230</v>
      </c>
      <c r="E440">
        <v>22.601199000000001</v>
      </c>
      <c r="F440">
        <v>87.459772999999998</v>
      </c>
      <c r="G440" t="s">
        <v>4016</v>
      </c>
    </row>
    <row r="441" ht="14.25">
      <c r="A441" t="s">
        <v>5231</v>
      </c>
      <c r="B441" t="s">
        <v>3886</v>
      </c>
      <c r="C441" t="s">
        <v>5232</v>
      </c>
      <c r="D441" t="s">
        <v>5233</v>
      </c>
      <c r="E441">
        <v>22.582519999999999</v>
      </c>
      <c r="F441">
        <v>87.458709999999996</v>
      </c>
      <c r="G441" t="s">
        <v>4016</v>
      </c>
    </row>
    <row r="442" ht="14.25">
      <c r="A442" t="s">
        <v>5234</v>
      </c>
      <c r="B442" t="s">
        <v>3886</v>
      </c>
      <c r="C442" t="s">
        <v>5235</v>
      </c>
      <c r="D442" t="s">
        <v>5236</v>
      </c>
      <c r="E442">
        <v>22.758150000000001</v>
      </c>
      <c r="F442">
        <v>87.602553</v>
      </c>
      <c r="G442" t="s">
        <v>3987</v>
      </c>
    </row>
    <row r="443" ht="14.25">
      <c r="A443" t="s">
        <v>5237</v>
      </c>
      <c r="B443" t="s">
        <v>3886</v>
      </c>
      <c r="C443" t="s">
        <v>5238</v>
      </c>
      <c r="D443" t="s">
        <v>5239</v>
      </c>
      <c r="E443">
        <v>22.741952999999999</v>
      </c>
      <c r="F443">
        <v>87.339016000000001</v>
      </c>
      <c r="G443" t="s">
        <v>4045</v>
      </c>
    </row>
    <row r="444" ht="14.25">
      <c r="A444" t="s">
        <v>5240</v>
      </c>
      <c r="B444" t="s">
        <v>3886</v>
      </c>
      <c r="C444" t="s">
        <v>5241</v>
      </c>
      <c r="D444" t="s">
        <v>5242</v>
      </c>
      <c r="E444">
        <v>22.656123000000001</v>
      </c>
      <c r="F444">
        <v>87.742028000000005</v>
      </c>
      <c r="G444" t="s">
        <v>4099</v>
      </c>
    </row>
    <row r="445" ht="14.25">
      <c r="A445" t="s">
        <v>5243</v>
      </c>
      <c r="B445" t="s">
        <v>3886</v>
      </c>
      <c r="C445" t="s">
        <v>5244</v>
      </c>
      <c r="D445" t="s">
        <v>5245</v>
      </c>
      <c r="E445">
        <v>22.44753</v>
      </c>
      <c r="F445">
        <v>87.376830999999996</v>
      </c>
      <c r="G445" t="s">
        <v>3893</v>
      </c>
    </row>
    <row r="446" ht="14.25">
      <c r="A446" t="s">
        <v>5246</v>
      </c>
      <c r="B446" t="s">
        <v>3886</v>
      </c>
      <c r="C446" t="s">
        <v>5247</v>
      </c>
      <c r="D446" t="s">
        <v>5248</v>
      </c>
      <c r="E446">
        <v>22.525369999999999</v>
      </c>
      <c r="F446">
        <v>87.314335999999997</v>
      </c>
      <c r="G446" t="s">
        <v>4033</v>
      </c>
    </row>
    <row r="447" ht="14.25">
      <c r="A447" t="s">
        <v>5249</v>
      </c>
      <c r="B447" t="s">
        <v>3886</v>
      </c>
      <c r="C447" t="s">
        <v>5250</v>
      </c>
      <c r="D447" t="s">
        <v>5251</v>
      </c>
      <c r="E447">
        <v>22.564893999999999</v>
      </c>
      <c r="F447">
        <v>87.600010999999995</v>
      </c>
      <c r="G447" t="s">
        <v>4016</v>
      </c>
    </row>
    <row r="448" ht="14.25">
      <c r="A448" t="s">
        <v>5252</v>
      </c>
      <c r="B448" t="s">
        <v>3886</v>
      </c>
      <c r="C448" t="s">
        <v>5253</v>
      </c>
      <c r="D448" t="s">
        <v>5254</v>
      </c>
      <c r="E448">
        <v>22.6816</v>
      </c>
      <c r="F448">
        <v>87.372891999999993</v>
      </c>
      <c r="G448" t="s">
        <v>4045</v>
      </c>
    </row>
    <row r="449" ht="14.25">
      <c r="A449" t="s">
        <v>5255</v>
      </c>
      <c r="B449" t="s">
        <v>3886</v>
      </c>
      <c r="C449" t="s">
        <v>5256</v>
      </c>
      <c r="D449" t="s">
        <v>5257</v>
      </c>
      <c r="E449">
        <v>22.767493000000002</v>
      </c>
      <c r="F449">
        <v>87.705724000000004</v>
      </c>
      <c r="G449" t="s">
        <v>4099</v>
      </c>
    </row>
    <row r="450" ht="14.25">
      <c r="A450" t="s">
        <v>5258</v>
      </c>
      <c r="B450" t="s">
        <v>3886</v>
      </c>
      <c r="C450" t="s">
        <v>5259</v>
      </c>
      <c r="D450" t="s">
        <v>5260</v>
      </c>
      <c r="E450">
        <v>22.607714999999999</v>
      </c>
      <c r="F450">
        <v>87.189233000000002</v>
      </c>
      <c r="G450" t="s">
        <v>4347</v>
      </c>
    </row>
    <row r="451" ht="14.25">
      <c r="A451" t="s">
        <v>5261</v>
      </c>
      <c r="B451" t="s">
        <v>3886</v>
      </c>
      <c r="C451" t="s">
        <v>5262</v>
      </c>
      <c r="D451" t="s">
        <v>5263</v>
      </c>
      <c r="E451">
        <v>22.615469999999998</v>
      </c>
      <c r="F451">
        <v>87.648961</v>
      </c>
      <c r="G451" t="s">
        <v>4099</v>
      </c>
    </row>
    <row r="452" ht="14.25">
      <c r="A452" t="s">
        <v>5264</v>
      </c>
      <c r="B452" t="s">
        <v>3886</v>
      </c>
      <c r="C452" t="s">
        <v>5265</v>
      </c>
      <c r="D452" t="s">
        <v>5266</v>
      </c>
      <c r="E452">
        <v>22.504327</v>
      </c>
      <c r="F452">
        <v>87.105491999999998</v>
      </c>
      <c r="G452" t="s">
        <v>4347</v>
      </c>
    </row>
    <row r="453" ht="14.25">
      <c r="A453" t="s">
        <v>5267</v>
      </c>
      <c r="B453" t="s">
        <v>3886</v>
      </c>
      <c r="C453" t="s">
        <v>5268</v>
      </c>
      <c r="D453" t="s">
        <v>5269</v>
      </c>
      <c r="E453">
        <v>22.566538000000001</v>
      </c>
      <c r="F453">
        <v>87.354207000000002</v>
      </c>
      <c r="G453" t="s">
        <v>4033</v>
      </c>
    </row>
    <row r="454" ht="14.25">
      <c r="A454" t="s">
        <v>5270</v>
      </c>
      <c r="B454" t="s">
        <v>3886</v>
      </c>
      <c r="C454" t="s">
        <v>5271</v>
      </c>
      <c r="D454" t="s">
        <v>5272</v>
      </c>
      <c r="E454">
        <v>22.784700999999998</v>
      </c>
      <c r="F454">
        <v>87.275402</v>
      </c>
      <c r="G454" t="s">
        <v>4210</v>
      </c>
    </row>
    <row r="455" ht="14.25">
      <c r="A455" t="s">
        <v>5273</v>
      </c>
      <c r="B455" t="s">
        <v>3886</v>
      </c>
      <c r="C455" t="s">
        <v>5274</v>
      </c>
      <c r="D455" t="s">
        <v>5275</v>
      </c>
      <c r="E455">
        <v>22.636337000000001</v>
      </c>
      <c r="F455">
        <v>87.497995000000003</v>
      </c>
      <c r="G455" t="s">
        <v>3987</v>
      </c>
    </row>
    <row r="456" ht="14.25">
      <c r="A456" t="s">
        <v>5276</v>
      </c>
      <c r="B456" t="s">
        <v>3886</v>
      </c>
      <c r="C456" t="s">
        <v>5277</v>
      </c>
      <c r="D456" t="s">
        <v>5278</v>
      </c>
      <c r="E456">
        <v>22.561937</v>
      </c>
      <c r="F456">
        <v>87.653520999999998</v>
      </c>
      <c r="G456" t="s">
        <v>4099</v>
      </c>
    </row>
    <row r="457" ht="14.25">
      <c r="A457" t="s">
        <v>5279</v>
      </c>
      <c r="B457" t="s">
        <v>3886</v>
      </c>
      <c r="C457" t="s">
        <v>5280</v>
      </c>
      <c r="D457" t="s">
        <v>5281</v>
      </c>
      <c r="E457">
        <v>22.788575999999999</v>
      </c>
      <c r="F457">
        <v>87.303898000000004</v>
      </c>
      <c r="G457" t="s">
        <v>4045</v>
      </c>
    </row>
    <row r="458" ht="14.25">
      <c r="A458" t="s">
        <v>5282</v>
      </c>
      <c r="B458" t="s">
        <v>3886</v>
      </c>
      <c r="C458" t="s">
        <v>5283</v>
      </c>
      <c r="D458" t="s">
        <v>5284</v>
      </c>
      <c r="E458">
        <v>22.422056999999999</v>
      </c>
      <c r="F458">
        <v>87.370249000000001</v>
      </c>
      <c r="G458" t="s">
        <v>3893</v>
      </c>
    </row>
    <row r="459" ht="14.25">
      <c r="A459" t="s">
        <v>5285</v>
      </c>
      <c r="B459" t="s">
        <v>3886</v>
      </c>
      <c r="C459" t="s">
        <v>5286</v>
      </c>
      <c r="D459">
        <v>0</v>
      </c>
      <c r="E459">
        <v>22.536353999999999</v>
      </c>
      <c r="F459">
        <v>87.798895999999999</v>
      </c>
      <c r="G459" t="s">
        <v>4004</v>
      </c>
    </row>
    <row r="460" ht="14.25">
      <c r="A460" t="s">
        <v>5287</v>
      </c>
      <c r="B460" t="s">
        <v>3886</v>
      </c>
      <c r="C460" t="s">
        <v>5288</v>
      </c>
      <c r="D460">
        <v>0</v>
      </c>
      <c r="E460">
        <v>22.412538000000001</v>
      </c>
      <c r="F460">
        <v>87.329168999999993</v>
      </c>
      <c r="G460" t="s">
        <v>3893</v>
      </c>
    </row>
    <row r="461" ht="14.25">
      <c r="A461" t="s">
        <v>5289</v>
      </c>
      <c r="B461" t="s">
        <v>3886</v>
      </c>
      <c r="C461" t="s">
        <v>5290</v>
      </c>
      <c r="D461" t="s">
        <v>5291</v>
      </c>
      <c r="E461">
        <v>22.536125999999999</v>
      </c>
      <c r="F461">
        <v>87.328198999999998</v>
      </c>
      <c r="G461" t="s">
        <v>4033</v>
      </c>
    </row>
    <row r="462" ht="14.25">
      <c r="A462" t="s">
        <v>5292</v>
      </c>
      <c r="B462" t="s">
        <v>3886</v>
      </c>
      <c r="C462" t="s">
        <v>5293</v>
      </c>
      <c r="D462" t="s">
        <v>5294</v>
      </c>
      <c r="E462">
        <v>22.465060000000001</v>
      </c>
      <c r="F462">
        <v>87.145430000000005</v>
      </c>
      <c r="G462" t="s">
        <v>4347</v>
      </c>
    </row>
    <row r="463" ht="14.25">
      <c r="A463" t="s">
        <v>5295</v>
      </c>
      <c r="B463" t="s">
        <v>3886</v>
      </c>
      <c r="C463" t="s">
        <v>4339</v>
      </c>
      <c r="D463" t="s">
        <v>5296</v>
      </c>
      <c r="E463">
        <v>22.41112</v>
      </c>
      <c r="F463">
        <v>87.419849999999997</v>
      </c>
      <c r="G463" t="s">
        <v>3893</v>
      </c>
    </row>
    <row r="464" ht="14.25">
      <c r="A464" t="s">
        <v>5297</v>
      </c>
      <c r="B464" t="s">
        <v>3886</v>
      </c>
      <c r="C464" t="s">
        <v>5298</v>
      </c>
      <c r="D464" t="s">
        <v>5299</v>
      </c>
      <c r="E464">
        <v>22.61045</v>
      </c>
      <c r="F464">
        <v>87.721819999999994</v>
      </c>
      <c r="G464" t="s">
        <v>4099</v>
      </c>
    </row>
    <row r="465" ht="14.25">
      <c r="A465" t="s">
        <v>5301</v>
      </c>
      <c r="B465" t="s">
        <v>3886</v>
      </c>
      <c r="C465" t="s">
        <v>5047</v>
      </c>
      <c r="D465" t="s">
        <v>5302</v>
      </c>
      <c r="E465">
        <v>22.42408</v>
      </c>
      <c r="F465">
        <v>87.248570000000001</v>
      </c>
      <c r="G465" t="s">
        <v>3889</v>
      </c>
    </row>
    <row r="466" ht="14.25">
      <c r="A466" t="s">
        <v>5303</v>
      </c>
      <c r="B466" t="s">
        <v>3886</v>
      </c>
      <c r="C466" t="s">
        <v>5304</v>
      </c>
      <c r="D466" t="s">
        <v>5305</v>
      </c>
      <c r="E466">
        <v>22.39911</v>
      </c>
      <c r="F466">
        <v>87.327361999999994</v>
      </c>
      <c r="G466" t="s">
        <v>3889</v>
      </c>
    </row>
    <row r="467" ht="14.25">
      <c r="A467" t="s">
        <v>5306</v>
      </c>
      <c r="B467" t="s">
        <v>3886</v>
      </c>
      <c r="C467" t="s">
        <v>5307</v>
      </c>
      <c r="D467" t="s">
        <v>5308</v>
      </c>
      <c r="E467">
        <v>22.705069999999999</v>
      </c>
      <c r="F467">
        <v>87.320390000000003</v>
      </c>
      <c r="G467" t="s">
        <v>4045</v>
      </c>
    </row>
    <row r="468" ht="14.25">
      <c r="A468" t="s">
        <v>5309</v>
      </c>
      <c r="B468" t="s">
        <v>3886</v>
      </c>
      <c r="C468" t="s">
        <v>5310</v>
      </c>
      <c r="D468" t="s">
        <v>5311</v>
      </c>
      <c r="E468">
        <v>22.421320000000001</v>
      </c>
      <c r="F468">
        <v>87.313810000000004</v>
      </c>
      <c r="G468" t="s">
        <v>3889</v>
      </c>
    </row>
    <row r="469" ht="14.25">
      <c r="A469" t="s">
        <v>5312</v>
      </c>
      <c r="B469" t="s">
        <v>3886</v>
      </c>
      <c r="C469" t="s">
        <v>5313</v>
      </c>
      <c r="D469" t="s">
        <v>5314</v>
      </c>
      <c r="E469">
        <v>22.406199999999998</v>
      </c>
      <c r="F469">
        <v>87.317790000000002</v>
      </c>
      <c r="G469" t="s">
        <v>3889</v>
      </c>
    </row>
    <row r="470" ht="14.25">
      <c r="A470" t="s">
        <v>5315</v>
      </c>
      <c r="B470" t="s">
        <v>3886</v>
      </c>
      <c r="C470" t="s">
        <v>5316</v>
      </c>
      <c r="D470" t="s">
        <v>5317</v>
      </c>
      <c r="E470">
        <v>22.43197</v>
      </c>
      <c r="F470">
        <v>87.307699999999997</v>
      </c>
      <c r="G470" t="s">
        <v>3889</v>
      </c>
    </row>
    <row r="471" ht="14.25">
      <c r="A471" t="s">
        <v>5318</v>
      </c>
      <c r="B471" t="s">
        <v>3886</v>
      </c>
      <c r="C471" t="s">
        <v>3956</v>
      </c>
      <c r="D471" t="s">
        <v>5319</v>
      </c>
      <c r="E471">
        <v>22.414349999999999</v>
      </c>
      <c r="F471">
        <v>87.325159999999997</v>
      </c>
      <c r="G471" t="s">
        <v>3893</v>
      </c>
    </row>
    <row r="472" ht="14.25">
      <c r="A472" t="s">
        <v>5320</v>
      </c>
      <c r="B472" t="s">
        <v>3886</v>
      </c>
      <c r="C472" t="s">
        <v>5321</v>
      </c>
      <c r="D472" t="s">
        <v>5322</v>
      </c>
      <c r="E472">
        <v>22.842020000000002</v>
      </c>
      <c r="F472">
        <v>87.324996999999996</v>
      </c>
      <c r="G472" t="s">
        <v>3967</v>
      </c>
    </row>
    <row r="473" ht="14.25">
      <c r="A473" t="s">
        <v>5323</v>
      </c>
      <c r="B473" t="s">
        <v>3886</v>
      </c>
      <c r="C473" t="s">
        <v>5324</v>
      </c>
      <c r="D473" t="s">
        <v>5325</v>
      </c>
      <c r="E473">
        <v>22.729310000000002</v>
      </c>
      <c r="F473">
        <v>87.551990000000004</v>
      </c>
      <c r="G473" t="s">
        <v>3987</v>
      </c>
    </row>
    <row r="474" ht="14.25">
      <c r="A474" t="s">
        <v>5326</v>
      </c>
      <c r="B474" t="s">
        <v>3886</v>
      </c>
      <c r="C474" t="s">
        <v>5327</v>
      </c>
      <c r="D474" t="s">
        <v>5328</v>
      </c>
      <c r="E474">
        <v>22.68271</v>
      </c>
      <c r="F474">
        <v>87.663179999999997</v>
      </c>
      <c r="G474" t="s">
        <v>4099</v>
      </c>
    </row>
    <row r="475" ht="14.25">
      <c r="A475" t="s">
        <v>5329</v>
      </c>
      <c r="B475" t="s">
        <v>3886</v>
      </c>
      <c r="C475" t="s">
        <v>5330</v>
      </c>
      <c r="D475" t="s">
        <v>5331</v>
      </c>
      <c r="E475">
        <v>22.60211</v>
      </c>
      <c r="F475">
        <v>87.772279999999995</v>
      </c>
      <c r="G475" t="s">
        <v>4099</v>
      </c>
    </row>
    <row r="476" ht="14.25">
      <c r="A476" t="s">
        <v>5332</v>
      </c>
      <c r="B476" t="s">
        <v>3886</v>
      </c>
      <c r="C476" t="s">
        <v>5333</v>
      </c>
      <c r="D476" t="s">
        <v>5334</v>
      </c>
      <c r="E476">
        <v>22.486409999999999</v>
      </c>
      <c r="F476">
        <v>87.756969999999995</v>
      </c>
      <c r="G476" t="s">
        <v>4004</v>
      </c>
    </row>
    <row r="477" ht="14.25">
      <c r="A477" t="s">
        <v>5335</v>
      </c>
      <c r="B477" t="s">
        <v>3886</v>
      </c>
      <c r="C477" t="s">
        <v>5336</v>
      </c>
      <c r="D477" t="s">
        <v>5337</v>
      </c>
      <c r="E477">
        <v>22.5688</v>
      </c>
      <c r="F477">
        <v>87.836119999999994</v>
      </c>
      <c r="G477" t="s">
        <v>4004</v>
      </c>
    </row>
    <row r="478" ht="14.25">
      <c r="A478" t="s">
        <v>5338</v>
      </c>
      <c r="B478" t="s">
        <v>3886</v>
      </c>
      <c r="C478" t="s">
        <v>5339</v>
      </c>
      <c r="D478" t="s">
        <v>5340</v>
      </c>
      <c r="E478">
        <v>22.50442</v>
      </c>
      <c r="F478">
        <v>87.81962</v>
      </c>
      <c r="G478" t="s">
        <v>4004</v>
      </c>
    </row>
    <row r="479" ht="14.25">
      <c r="A479" t="s">
        <v>5341</v>
      </c>
      <c r="B479" t="s">
        <v>3886</v>
      </c>
      <c r="C479" t="s">
        <v>5342</v>
      </c>
      <c r="D479" t="s">
        <v>5343</v>
      </c>
      <c r="E479">
        <v>22.595890000000001</v>
      </c>
      <c r="F479">
        <v>87.636799999999994</v>
      </c>
      <c r="G479" t="s">
        <v>4099</v>
      </c>
    </row>
    <row r="480" ht="14.25">
      <c r="A480" t="s">
        <v>5345</v>
      </c>
      <c r="B480" t="s">
        <v>3886</v>
      </c>
      <c r="C480"/>
      <c r="D480"/>
      <c r="E480"/>
      <c r="F480"/>
      <c r="G480" t="s">
        <v>5346</v>
      </c>
    </row>
    <row r="481" ht="14.25">
      <c r="A481" t="s">
        <v>5348</v>
      </c>
      <c r="B481" t="s">
        <v>3886</v>
      </c>
      <c r="C481"/>
      <c r="D481"/>
      <c r="E481"/>
      <c r="F481"/>
      <c r="G481" t="s">
        <v>3987</v>
      </c>
    </row>
    <row r="482" ht="14.25">
      <c r="A482" t="s">
        <v>5349</v>
      </c>
      <c r="B482" t="s">
        <v>3886</v>
      </c>
      <c r="C482" t="s">
        <v>5350</v>
      </c>
      <c r="D482" t="s">
        <v>5351</v>
      </c>
      <c r="E482">
        <v>22.669499999999999</v>
      </c>
      <c r="F482">
        <v>87.763704000000004</v>
      </c>
      <c r="G482" t="s">
        <v>4099</v>
      </c>
    </row>
    <row r="483" ht="14.25">
      <c r="A483" t="s">
        <v>5352</v>
      </c>
      <c r="B483" t="s">
        <v>3886</v>
      </c>
      <c r="C483" t="s">
        <v>5353</v>
      </c>
      <c r="D483" t="s">
        <v>5354</v>
      </c>
      <c r="E483">
        <v>22.56382</v>
      </c>
      <c r="F483">
        <v>87.742369999999994</v>
      </c>
      <c r="G483" t="s">
        <v>4004</v>
      </c>
    </row>
    <row r="484" ht="14.25">
      <c r="A484" t="s">
        <v>5355</v>
      </c>
      <c r="B484" t="s">
        <v>3886</v>
      </c>
      <c r="C484" t="s">
        <v>5356</v>
      </c>
      <c r="D484" t="s">
        <v>5357</v>
      </c>
      <c r="E484">
        <v>22.546589999999998</v>
      </c>
      <c r="F484">
        <v>87.471320000000006</v>
      </c>
      <c r="G484" t="s">
        <v>4016</v>
      </c>
    </row>
    <row r="485" ht="14.25">
      <c r="A485" t="s">
        <v>5358</v>
      </c>
      <c r="B485" t="s">
        <v>3886</v>
      </c>
      <c r="C485" t="s">
        <v>5359</v>
      </c>
      <c r="D485" t="s">
        <v>5360</v>
      </c>
      <c r="E485">
        <v>22.572949999999999</v>
      </c>
      <c r="F485">
        <v>87.695179999999993</v>
      </c>
      <c r="G485" t="s">
        <v>4099</v>
      </c>
    </row>
    <row r="486" ht="14.25">
      <c r="A486" t="s">
        <v>5361</v>
      </c>
      <c r="B486" t="s">
        <v>3886</v>
      </c>
      <c r="C486" t="s">
        <v>5362</v>
      </c>
      <c r="D486" t="s">
        <v>5363</v>
      </c>
      <c r="E486">
        <v>22.725899999999999</v>
      </c>
      <c r="F486">
        <v>87.704390000000004</v>
      </c>
      <c r="G486" t="s">
        <v>4099</v>
      </c>
    </row>
    <row r="487" ht="14.25">
      <c r="A487" t="s">
        <v>5364</v>
      </c>
      <c r="B487" t="s">
        <v>3886</v>
      </c>
      <c r="C487" t="s">
        <v>5365</v>
      </c>
      <c r="D487" t="s">
        <v>5366</v>
      </c>
      <c r="E487">
        <v>22.537776999999998</v>
      </c>
      <c r="F487">
        <v>87.443875000000006</v>
      </c>
      <c r="G487" t="s">
        <v>4016</v>
      </c>
    </row>
    <row r="488" ht="14.25">
      <c r="A488" t="s">
        <v>5367</v>
      </c>
      <c r="B488" t="s">
        <v>3886</v>
      </c>
      <c r="C488" t="s">
        <v>5368</v>
      </c>
      <c r="D488" t="s">
        <v>5369</v>
      </c>
      <c r="E488">
        <v>22.920266999999999</v>
      </c>
      <c r="F488">
        <v>87.387247000000002</v>
      </c>
      <c r="G488" t="s">
        <v>3967</v>
      </c>
    </row>
    <row r="489" ht="14.25">
      <c r="A489" t="s">
        <v>5370</v>
      </c>
      <c r="B489" t="s">
        <v>3886</v>
      </c>
      <c r="C489" t="s">
        <v>5371</v>
      </c>
      <c r="D489" t="s">
        <v>5372</v>
      </c>
      <c r="E489">
        <v>22.527460000000001</v>
      </c>
      <c r="F489">
        <v>87.566533000000007</v>
      </c>
      <c r="G489" t="s">
        <v>4016</v>
      </c>
    </row>
    <row r="490" ht="14.25">
      <c r="A490" t="s">
        <v>5373</v>
      </c>
      <c r="B490" t="s">
        <v>3886</v>
      </c>
      <c r="C490" t="s">
        <v>5374</v>
      </c>
      <c r="D490" t="s">
        <v>5375</v>
      </c>
      <c r="E490">
        <v>22.828949999999999</v>
      </c>
      <c r="F490">
        <v>87.450609999999998</v>
      </c>
      <c r="G490" t="s">
        <v>4011</v>
      </c>
    </row>
    <row r="491" ht="14.25">
      <c r="A491" t="s">
        <v>5376</v>
      </c>
      <c r="B491" t="s">
        <v>3886</v>
      </c>
      <c r="C491" t="s">
        <v>5377</v>
      </c>
      <c r="D491" t="s">
        <v>5378</v>
      </c>
      <c r="E491">
        <v>22.634170000000001</v>
      </c>
      <c r="F491">
        <v>87.286850999999999</v>
      </c>
      <c r="G491" t="s">
        <v>4033</v>
      </c>
    </row>
    <row r="492" ht="14.25">
      <c r="A492" t="s">
        <v>5379</v>
      </c>
      <c r="B492" t="s">
        <v>3886</v>
      </c>
      <c r="C492" t="s">
        <v>5380</v>
      </c>
      <c r="D492" t="s">
        <v>5381</v>
      </c>
      <c r="E492">
        <v>22.63466</v>
      </c>
      <c r="F492">
        <v>87.27543</v>
      </c>
      <c r="G492" t="s">
        <v>4033</v>
      </c>
    </row>
    <row r="493" ht="14.25">
      <c r="A493" t="s">
        <v>5382</v>
      </c>
      <c r="B493" t="s">
        <v>3886</v>
      </c>
      <c r="C493" t="s">
        <v>5383</v>
      </c>
      <c r="D493" t="s">
        <v>5384</v>
      </c>
      <c r="E493">
        <v>22.401669999999999</v>
      </c>
      <c r="F493">
        <v>87.403090000000006</v>
      </c>
      <c r="G493" t="s">
        <v>3893</v>
      </c>
    </row>
    <row r="494" ht="14.25">
      <c r="A494" t="s">
        <v>5385</v>
      </c>
      <c r="B494" t="s">
        <v>3886</v>
      </c>
      <c r="C494" t="s">
        <v>5386</v>
      </c>
      <c r="D494" t="s">
        <v>5387</v>
      </c>
      <c r="E494">
        <v>22.509285999999999</v>
      </c>
      <c r="F494">
        <v>87.525030999999998</v>
      </c>
      <c r="G494" t="s">
        <v>4016</v>
      </c>
    </row>
    <row r="495" ht="14.25">
      <c r="A495" t="s">
        <v>5388</v>
      </c>
      <c r="B495" t="s">
        <v>3886</v>
      </c>
      <c r="C495" t="s">
        <v>5389</v>
      </c>
      <c r="D495" t="s">
        <v>5390</v>
      </c>
      <c r="E495">
        <v>22.663129999999999</v>
      </c>
      <c r="F495">
        <v>87.429329999999993</v>
      </c>
      <c r="G495" t="s">
        <v>4045</v>
      </c>
    </row>
    <row r="496" ht="14.25">
      <c r="A496" t="s">
        <v>5391</v>
      </c>
      <c r="B496" t="s">
        <v>3886</v>
      </c>
      <c r="C496" t="s">
        <v>5392</v>
      </c>
      <c r="D496" t="s">
        <v>5393</v>
      </c>
      <c r="E496">
        <v>22.521409999999999</v>
      </c>
      <c r="F496">
        <v>87.559650000000005</v>
      </c>
      <c r="G496" t="s">
        <v>4016</v>
      </c>
    </row>
    <row r="497" ht="14.25">
      <c r="A497" t="s">
        <v>5394</v>
      </c>
      <c r="B497" t="s">
        <v>3886</v>
      </c>
      <c r="C497" t="s">
        <v>5395</v>
      </c>
      <c r="D497" t="s">
        <v>5396</v>
      </c>
      <c r="E497">
        <v>22.664914</v>
      </c>
      <c r="F497">
        <v>87.398747</v>
      </c>
      <c r="G497" t="s">
        <v>4045</v>
      </c>
    </row>
    <row r="498" ht="14.25">
      <c r="A498" t="s">
        <v>5397</v>
      </c>
      <c r="B498" t="s">
        <v>3886</v>
      </c>
      <c r="C498" t="s">
        <v>5398</v>
      </c>
      <c r="D498">
        <v>0</v>
      </c>
      <c r="E498">
        <v>22.419740000000001</v>
      </c>
      <c r="F498">
        <v>87.319280000000006</v>
      </c>
      <c r="G498" t="s">
        <v>3893</v>
      </c>
    </row>
    <row r="499" ht="14.25">
      <c r="A499" t="s">
        <v>1560</v>
      </c>
      <c r="B499" t="s">
        <v>3886</v>
      </c>
      <c r="C499" t="s">
        <v>1561</v>
      </c>
      <c r="D499" t="s">
        <v>1562</v>
      </c>
      <c r="E499">
        <v>22.560176999999999</v>
      </c>
      <c r="F499">
        <v>87.841515000000001</v>
      </c>
      <c r="G499" t="s">
        <v>4004</v>
      </c>
    </row>
    <row r="500" ht="14.25">
      <c r="A500" t="s">
        <v>5400</v>
      </c>
      <c r="B500" t="s">
        <v>3886</v>
      </c>
      <c r="C500" t="s">
        <v>5401</v>
      </c>
      <c r="D500" t="s">
        <v>5402</v>
      </c>
      <c r="E500">
        <v>22.680882</v>
      </c>
      <c r="F500">
        <v>87.535309999999996</v>
      </c>
      <c r="G500" t="s">
        <v>3987</v>
      </c>
    </row>
    <row r="501" ht="14.25">
      <c r="A501" t="s">
        <v>5403</v>
      </c>
      <c r="B501" t="s">
        <v>3886</v>
      </c>
      <c r="C501" t="s">
        <v>5404</v>
      </c>
      <c r="D501" t="s">
        <v>5405</v>
      </c>
      <c r="E501">
        <v>22.651869000000001</v>
      </c>
      <c r="F501">
        <v>87.564152000000007</v>
      </c>
      <c r="G501" t="s">
        <v>3987</v>
      </c>
    </row>
    <row r="502" ht="14.25">
      <c r="A502" t="s">
        <v>5406</v>
      </c>
      <c r="B502" t="s">
        <v>3886</v>
      </c>
      <c r="C502" t="s">
        <v>5407</v>
      </c>
      <c r="D502" t="s">
        <v>5408</v>
      </c>
      <c r="E502">
        <v>22.743089999999999</v>
      </c>
      <c r="F502">
        <v>87.700620000000001</v>
      </c>
      <c r="G502" t="s">
        <v>4099</v>
      </c>
    </row>
    <row r="503" ht="14.25">
      <c r="A503" t="s">
        <v>5410</v>
      </c>
      <c r="B503" t="s">
        <v>3886</v>
      </c>
      <c r="C503" t="s">
        <v>5411</v>
      </c>
      <c r="D503" t="s">
        <v>5412</v>
      </c>
      <c r="E503">
        <v>22.698119999999999</v>
      </c>
      <c r="F503">
        <v>87.702010000000001</v>
      </c>
      <c r="G503" t="s">
        <v>4099</v>
      </c>
    </row>
    <row r="504" ht="14.25">
      <c r="A504" t="s">
        <v>5413</v>
      </c>
      <c r="B504" t="s">
        <v>3886</v>
      </c>
      <c r="C504" t="s">
        <v>5414</v>
      </c>
      <c r="D504" t="s">
        <v>5415</v>
      </c>
      <c r="E504">
        <v>22.604140000000001</v>
      </c>
      <c r="F504">
        <v>87.723060000000004</v>
      </c>
      <c r="G504" t="s">
        <v>4099</v>
      </c>
    </row>
    <row r="505" ht="14.25">
      <c r="A505" t="s">
        <v>5416</v>
      </c>
      <c r="B505" t="s">
        <v>3886</v>
      </c>
      <c r="C505" t="s">
        <v>5417</v>
      </c>
      <c r="D505">
        <v>0</v>
      </c>
      <c r="E505">
        <v>22.431823000000001</v>
      </c>
      <c r="F505">
        <v>87.322757999999993</v>
      </c>
      <c r="G505" t="s">
        <v>3889</v>
      </c>
    </row>
    <row r="506" ht="14.25">
      <c r="A506" t="s">
        <v>5418</v>
      </c>
      <c r="B506" t="s">
        <v>3886</v>
      </c>
      <c r="C506" t="s">
        <v>5419</v>
      </c>
      <c r="D506" t="s">
        <v>7905</v>
      </c>
      <c r="E506">
        <v>22.408829999999998</v>
      </c>
      <c r="F506">
        <v>87.308130000000006</v>
      </c>
      <c r="G506" t="s">
        <v>3889</v>
      </c>
    </row>
    <row r="507" ht="14.25">
      <c r="A507" t="s">
        <v>5421</v>
      </c>
      <c r="B507" t="s">
        <v>3886</v>
      </c>
      <c r="C507" t="s">
        <v>5422</v>
      </c>
      <c r="D507" t="s">
        <v>5423</v>
      </c>
      <c r="E507">
        <v>22.68965</v>
      </c>
      <c r="F507">
        <v>87.696349999999995</v>
      </c>
      <c r="G507" t="s">
        <v>4099</v>
      </c>
    </row>
    <row r="508" ht="14.25">
      <c r="A508" t="s">
        <v>5425</v>
      </c>
      <c r="B508" t="s">
        <v>3886</v>
      </c>
      <c r="C508" t="s">
        <v>5426</v>
      </c>
      <c r="D508">
        <v>0</v>
      </c>
      <c r="E508">
        <v>22.419609999999999</v>
      </c>
      <c r="F508">
        <v>87.308310000000006</v>
      </c>
      <c r="G508" t="s">
        <v>3889</v>
      </c>
    </row>
    <row r="509" ht="14.25">
      <c r="A509" t="s">
        <v>5427</v>
      </c>
      <c r="B509" t="s">
        <v>3886</v>
      </c>
      <c r="C509" t="s">
        <v>5428</v>
      </c>
      <c r="D509" t="s">
        <v>5429</v>
      </c>
      <c r="E509">
        <v>22.524266999999998</v>
      </c>
      <c r="F509">
        <v>87.539421000000004</v>
      </c>
      <c r="G509" t="s">
        <v>4016</v>
      </c>
    </row>
    <row r="510" ht="14.25">
      <c r="A510" t="s">
        <v>5430</v>
      </c>
      <c r="B510" t="s">
        <v>3886</v>
      </c>
      <c r="C510" t="s">
        <v>5431</v>
      </c>
      <c r="D510" t="s">
        <v>5432</v>
      </c>
      <c r="E510">
        <v>22.442539</v>
      </c>
      <c r="F510">
        <v>87.308564000000004</v>
      </c>
      <c r="G510" t="s">
        <v>3889</v>
      </c>
    </row>
    <row r="511" ht="14.25">
      <c r="A511" t="s">
        <v>1522</v>
      </c>
      <c r="B511" t="s">
        <v>3886</v>
      </c>
      <c r="C511" t="s">
        <v>1523</v>
      </c>
      <c r="D511" t="s">
        <v>1524</v>
      </c>
      <c r="E511">
        <v>22.53622</v>
      </c>
      <c r="F511">
        <v>87.821529999999996</v>
      </c>
      <c r="G511" t="s">
        <v>4004</v>
      </c>
    </row>
    <row r="512" ht="14.25">
      <c r="A512" t="s">
        <v>1557</v>
      </c>
      <c r="B512" t="s">
        <v>3886</v>
      </c>
      <c r="C512" t="s">
        <v>1558</v>
      </c>
      <c r="D512" t="s">
        <v>1559</v>
      </c>
      <c r="E512">
        <v>22.553249999999998</v>
      </c>
      <c r="F512">
        <v>87.76773</v>
      </c>
      <c r="G512" t="s">
        <v>4004</v>
      </c>
    </row>
    <row r="513" ht="14.25">
      <c r="A513" t="s">
        <v>5433</v>
      </c>
      <c r="B513" t="s">
        <v>3886</v>
      </c>
      <c r="C513" t="s">
        <v>2100</v>
      </c>
      <c r="D513" t="s">
        <v>5434</v>
      </c>
      <c r="E513">
        <v>22.55509</v>
      </c>
      <c r="F513">
        <v>87.786600000000007</v>
      </c>
      <c r="G513" t="s">
        <v>4004</v>
      </c>
    </row>
    <row r="514" ht="14.25">
      <c r="A514" t="s">
        <v>5435</v>
      </c>
      <c r="B514" t="s">
        <v>3886</v>
      </c>
      <c r="C514" t="s">
        <v>5436</v>
      </c>
      <c r="D514" t="s">
        <v>5437</v>
      </c>
      <c r="E514">
        <v>22.771979000000002</v>
      </c>
      <c r="F514">
        <v>87.729591999999997</v>
      </c>
      <c r="G514" t="s">
        <v>4099</v>
      </c>
    </row>
    <row r="515" ht="14.25">
      <c r="A515" t="s">
        <v>5439</v>
      </c>
      <c r="B515" t="s">
        <v>3886</v>
      </c>
      <c r="C515" t="s">
        <v>5440</v>
      </c>
      <c r="D515" t="s">
        <v>5441</v>
      </c>
      <c r="E515">
        <v>22.516729999999999</v>
      </c>
      <c r="F515">
        <v>87.87679</v>
      </c>
      <c r="G515" t="s">
        <v>4004</v>
      </c>
    </row>
    <row r="516" ht="14.25">
      <c r="A516" t="s">
        <v>5442</v>
      </c>
      <c r="B516" t="s">
        <v>3886</v>
      </c>
      <c r="C516" t="s">
        <v>5443</v>
      </c>
      <c r="D516" t="s">
        <v>5444</v>
      </c>
      <c r="E516">
        <v>22.430720000000001</v>
      </c>
      <c r="F516">
        <v>87.473410000000001</v>
      </c>
      <c r="G516" t="s">
        <v>3893</v>
      </c>
    </row>
    <row r="517" ht="14.25">
      <c r="A517" t="s">
        <v>5445</v>
      </c>
      <c r="B517" t="s">
        <v>3886</v>
      </c>
      <c r="C517" t="s">
        <v>5446</v>
      </c>
      <c r="D517" t="s">
        <v>5447</v>
      </c>
      <c r="E517">
        <v>22.585190000000001</v>
      </c>
      <c r="F517">
        <v>87.615970000000004</v>
      </c>
      <c r="G517" t="s">
        <v>4099</v>
      </c>
    </row>
    <row r="518" ht="14.25">
      <c r="A518" t="s">
        <v>5448</v>
      </c>
      <c r="B518" t="s">
        <v>3886</v>
      </c>
      <c r="C518" t="s">
        <v>5449</v>
      </c>
      <c r="D518" t="s">
        <v>5450</v>
      </c>
      <c r="E518">
        <v>22.43946</v>
      </c>
      <c r="F518">
        <v>87.323300000000003</v>
      </c>
      <c r="G518" t="s">
        <v>3893</v>
      </c>
    </row>
    <row r="519" ht="14.25">
      <c r="A519" t="s">
        <v>5451</v>
      </c>
      <c r="B519" t="s">
        <v>3886</v>
      </c>
      <c r="C519" t="s">
        <v>5452</v>
      </c>
      <c r="D519" t="s">
        <v>5453</v>
      </c>
      <c r="E519">
        <v>22.577169999999999</v>
      </c>
      <c r="F519">
        <v>87.311746999999997</v>
      </c>
      <c r="G519" t="s">
        <v>4033</v>
      </c>
    </row>
    <row r="520" ht="14.25">
      <c r="A520" t="s">
        <v>5454</v>
      </c>
      <c r="B520" t="s">
        <v>3886</v>
      </c>
      <c r="C520"/>
      <c r="D520"/>
      <c r="E520"/>
      <c r="F520"/>
      <c r="G520" t="s">
        <v>3889</v>
      </c>
    </row>
    <row r="521" ht="14.25">
      <c r="A521" t="s">
        <v>5455</v>
      </c>
      <c r="B521" t="s">
        <v>3886</v>
      </c>
      <c r="C521" t="s">
        <v>5456</v>
      </c>
      <c r="D521" t="s">
        <v>5457</v>
      </c>
      <c r="E521">
        <v>22.4162</v>
      </c>
      <c r="F521">
        <v>87.305840000000003</v>
      </c>
      <c r="G521" t="s">
        <v>3889</v>
      </c>
    </row>
    <row r="522" ht="14.25">
      <c r="A522" t="s">
        <v>5458</v>
      </c>
      <c r="B522" t="s">
        <v>3886</v>
      </c>
      <c r="C522" t="s">
        <v>5459</v>
      </c>
      <c r="D522" t="s">
        <v>5460</v>
      </c>
      <c r="E522">
        <v>22.4207</v>
      </c>
      <c r="F522">
        <v>87.329409999999996</v>
      </c>
      <c r="G522" t="s">
        <v>3893</v>
      </c>
    </row>
    <row r="523" ht="14.25">
      <c r="A523" t="s">
        <v>5461</v>
      </c>
      <c r="B523" t="s">
        <v>3886</v>
      </c>
      <c r="C523"/>
      <c r="D523" t="s">
        <v>5462</v>
      </c>
      <c r="E523">
        <v>22.85416</v>
      </c>
      <c r="F523">
        <v>87.351659999999995</v>
      </c>
      <c r="G523" t="s">
        <v>3967</v>
      </c>
    </row>
    <row r="524" ht="14.25">
      <c r="A524" t="s">
        <v>5463</v>
      </c>
      <c r="B524" t="s">
        <v>3886</v>
      </c>
      <c r="C524"/>
      <c r="D524" t="s">
        <v>5464</v>
      </c>
      <c r="E524">
        <v>22.458500000000001</v>
      </c>
      <c r="F524">
        <v>87.327520000000007</v>
      </c>
      <c r="G524" t="s">
        <v>3893</v>
      </c>
    </row>
    <row r="525" ht="14.25">
      <c r="A525" t="s">
        <v>5465</v>
      </c>
      <c r="B525" t="s">
        <v>3886</v>
      </c>
      <c r="C525" t="s">
        <v>3238</v>
      </c>
      <c r="D525" t="s">
        <v>5466</v>
      </c>
      <c r="E525">
        <v>22.731459999999998</v>
      </c>
      <c r="F525">
        <v>87.512200000000007</v>
      </c>
      <c r="G525" t="s">
        <v>3987</v>
      </c>
    </row>
    <row r="526" ht="14.25">
      <c r="A526" t="s">
        <v>5467</v>
      </c>
      <c r="B526" t="s">
        <v>3886</v>
      </c>
      <c r="C526" t="s">
        <v>5468</v>
      </c>
      <c r="D526" t="s">
        <v>5469</v>
      </c>
      <c r="E526">
        <v>22.444859999999998</v>
      </c>
      <c r="F526">
        <v>87.330449999999999</v>
      </c>
      <c r="G526" t="s">
        <v>3893</v>
      </c>
    </row>
    <row r="527" ht="14.25">
      <c r="A527" t="s">
        <v>5470</v>
      </c>
      <c r="B527" t="s">
        <v>3886</v>
      </c>
      <c r="C527" t="s">
        <v>5471</v>
      </c>
      <c r="D527" t="s">
        <v>5472</v>
      </c>
      <c r="E527">
        <v>22.431139999999999</v>
      </c>
      <c r="F527">
        <v>87.325900000000004</v>
      </c>
      <c r="G527" t="s">
        <v>3893</v>
      </c>
    </row>
    <row r="528" ht="14.25">
      <c r="A528" t="s">
        <v>5473</v>
      </c>
      <c r="B528" t="s">
        <v>3886</v>
      </c>
      <c r="C528" t="s">
        <v>5474</v>
      </c>
      <c r="D528" t="s">
        <v>5475</v>
      </c>
      <c r="E528">
        <v>22.421309999999998</v>
      </c>
      <c r="F528">
        <v>87.325909999999993</v>
      </c>
      <c r="G528" t="s">
        <v>3893</v>
      </c>
    </row>
    <row r="529" ht="14.25">
      <c r="A529" t="s">
        <v>5476</v>
      </c>
      <c r="B529" t="s">
        <v>3886</v>
      </c>
      <c r="C529"/>
      <c r="D529" t="s">
        <v>5477</v>
      </c>
      <c r="E529">
        <v>22.73067</v>
      </c>
      <c r="F529">
        <v>87.738439999999997</v>
      </c>
      <c r="G529" t="s">
        <v>4099</v>
      </c>
    </row>
    <row r="530" ht="14.25">
      <c r="A530" t="s">
        <v>5478</v>
      </c>
      <c r="B530" t="s">
        <v>3886</v>
      </c>
      <c r="C530"/>
      <c r="D530">
        <v>0</v>
      </c>
      <c r="E530">
        <v>22.589500000000001</v>
      </c>
      <c r="F530">
        <v>87.516069999999999</v>
      </c>
      <c r="G530" t="s">
        <v>4016</v>
      </c>
    </row>
    <row r="531" ht="14.25">
      <c r="A531" t="s">
        <v>5479</v>
      </c>
      <c r="B531" t="s">
        <v>3886</v>
      </c>
      <c r="C531"/>
      <c r="D531">
        <v>0</v>
      </c>
      <c r="E531">
        <v>22.6069</v>
      </c>
      <c r="F531">
        <v>87.323070000000001</v>
      </c>
      <c r="G531" t="s">
        <v>4033</v>
      </c>
    </row>
    <row r="532" ht="14.25">
      <c r="A532" t="s">
        <v>5480</v>
      </c>
      <c r="B532" t="s">
        <v>3886</v>
      </c>
      <c r="C532" t="s">
        <v>5481</v>
      </c>
      <c r="D532">
        <v>0</v>
      </c>
      <c r="E532">
        <v>22.729099999999999</v>
      </c>
      <c r="F532">
        <v>87.355050000000006</v>
      </c>
      <c r="G532" t="s">
        <v>4045</v>
      </c>
    </row>
    <row r="533" ht="14.25">
      <c r="A533" t="s">
        <v>5482</v>
      </c>
      <c r="B533" t="s">
        <v>3886</v>
      </c>
      <c r="C533" t="s">
        <v>5483</v>
      </c>
      <c r="D533">
        <v>0</v>
      </c>
      <c r="E533">
        <v>22.636710000000001</v>
      </c>
      <c r="F533">
        <v>87.440169999999995</v>
      </c>
      <c r="G533" t="s">
        <v>4045</v>
      </c>
    </row>
    <row r="534" ht="14.25">
      <c r="A534" t="s">
        <v>5484</v>
      </c>
      <c r="B534" t="s">
        <v>3886</v>
      </c>
      <c r="C534" t="s">
        <v>5485</v>
      </c>
      <c r="D534">
        <v>0</v>
      </c>
      <c r="E534">
        <v>22.722249999999999</v>
      </c>
      <c r="F534">
        <v>87.673389999999998</v>
      </c>
      <c r="G534" t="s">
        <v>4099</v>
      </c>
    </row>
    <row r="535" ht="14.25">
      <c r="A535" t="s">
        <v>5487</v>
      </c>
      <c r="B535" t="s">
        <v>3886</v>
      </c>
      <c r="C535" t="s">
        <v>5488</v>
      </c>
      <c r="D535">
        <v>0</v>
      </c>
      <c r="E535">
        <v>22.66385</v>
      </c>
      <c r="F535">
        <v>87.733239999999995</v>
      </c>
      <c r="G535" t="s">
        <v>4099</v>
      </c>
    </row>
    <row r="536" ht="14.25">
      <c r="A536" t="s">
        <v>5489</v>
      </c>
      <c r="B536" t="s">
        <v>3886</v>
      </c>
      <c r="C536" t="s">
        <v>5490</v>
      </c>
      <c r="D536">
        <v>0</v>
      </c>
      <c r="E536">
        <v>22.518080000000001</v>
      </c>
      <c r="F536">
        <v>87.824860000000001</v>
      </c>
      <c r="G536" t="s">
        <v>4004</v>
      </c>
    </row>
    <row r="537" ht="14.25">
      <c r="A537" t="s">
        <v>5491</v>
      </c>
      <c r="B537" t="s">
        <v>3886</v>
      </c>
      <c r="C537" t="s">
        <v>5492</v>
      </c>
      <c r="D537"/>
      <c r="E537"/>
      <c r="F537"/>
      <c r="G537" t="s">
        <v>4004</v>
      </c>
    </row>
    <row r="538" ht="14.25">
      <c r="A538" t="s">
        <v>5493</v>
      </c>
      <c r="B538" t="s">
        <v>3886</v>
      </c>
      <c r="C538" t="s">
        <v>5494</v>
      </c>
      <c r="D538">
        <v>0</v>
      </c>
      <c r="E538">
        <v>22.422249999999998</v>
      </c>
      <c r="F538">
        <v>87.316919999999996</v>
      </c>
      <c r="G538" t="s">
        <v>3889</v>
      </c>
    </row>
    <row r="539" ht="14.25">
      <c r="A539" t="s">
        <v>5495</v>
      </c>
      <c r="B539" t="s">
        <v>3886</v>
      </c>
      <c r="C539"/>
      <c r="D539"/>
      <c r="E539"/>
      <c r="F539"/>
      <c r="G539" t="s">
        <v>4045</v>
      </c>
    </row>
    <row r="540" ht="14.25">
      <c r="A540" t="s">
        <v>5496</v>
      </c>
      <c r="B540" t="s">
        <v>3886</v>
      </c>
      <c r="C540"/>
      <c r="D540"/>
      <c r="E540"/>
      <c r="F540"/>
      <c r="G540" t="s">
        <v>4045</v>
      </c>
    </row>
    <row r="541" ht="14.25">
      <c r="A541" t="s">
        <v>5497</v>
      </c>
      <c r="B541" t="s">
        <v>3886</v>
      </c>
      <c r="C541"/>
      <c r="D541"/>
      <c r="E541"/>
      <c r="F541"/>
      <c r="G541"/>
    </row>
    <row r="542" ht="14.25">
      <c r="A542" t="s">
        <v>5498</v>
      </c>
      <c r="B542" t="s">
        <v>3886</v>
      </c>
      <c r="C542"/>
      <c r="D542"/>
      <c r="E542"/>
      <c r="F542"/>
      <c r="G542"/>
    </row>
    <row r="543" ht="14.25">
      <c r="A543" t="s">
        <v>5499</v>
      </c>
      <c r="B543" t="s">
        <v>3886</v>
      </c>
      <c r="C543"/>
      <c r="D543"/>
      <c r="E543"/>
      <c r="F543"/>
      <c r="G543"/>
    </row>
    <row r="544" ht="14.25">
      <c r="A544" t="s">
        <v>5500</v>
      </c>
      <c r="B544" t="s">
        <v>3886</v>
      </c>
      <c r="C544"/>
      <c r="D544"/>
      <c r="E544"/>
      <c r="F544"/>
      <c r="G544"/>
    </row>
    <row r="545" ht="14.25">
      <c r="A545" t="s">
        <v>5501</v>
      </c>
      <c r="B545" t="s">
        <v>3886</v>
      </c>
      <c r="C545"/>
      <c r="D545"/>
      <c r="E545"/>
      <c r="F545"/>
      <c r="G545"/>
    </row>
    <row r="546" ht="14.25">
      <c r="A546" t="s">
        <v>5502</v>
      </c>
      <c r="B546" t="s">
        <v>3886</v>
      </c>
      <c r="C546"/>
      <c r="D546"/>
      <c r="E546"/>
      <c r="F546"/>
      <c r="G546"/>
    </row>
    <row r="547" ht="14.25">
      <c r="A547" t="s">
        <v>5503</v>
      </c>
      <c r="B547" t="s">
        <v>3886</v>
      </c>
      <c r="C547"/>
      <c r="D547"/>
      <c r="E547"/>
      <c r="F547"/>
      <c r="G547"/>
    </row>
    <row r="548" ht="14.25">
      <c r="A548" t="s">
        <v>5504</v>
      </c>
      <c r="B548" t="s">
        <v>3886</v>
      </c>
      <c r="C548"/>
      <c r="D548"/>
      <c r="E548"/>
      <c r="F548"/>
      <c r="G548"/>
    </row>
    <row r="549" ht="14.25">
      <c r="A549" t="s">
        <v>5505</v>
      </c>
      <c r="B549" t="s">
        <v>3886</v>
      </c>
      <c r="C549"/>
      <c r="D549"/>
      <c r="E549"/>
      <c r="F549"/>
      <c r="G549"/>
    </row>
    <row r="550" ht="14.25">
      <c r="A550" t="s">
        <v>5506</v>
      </c>
      <c r="B550" t="s">
        <v>3886</v>
      </c>
      <c r="C550"/>
      <c r="D550"/>
      <c r="E550"/>
      <c r="F550"/>
      <c r="G550"/>
    </row>
    <row r="551" ht="14.25">
      <c r="A551" t="s">
        <v>5507</v>
      </c>
      <c r="B551" t="s">
        <v>3886</v>
      </c>
      <c r="C551"/>
      <c r="D551"/>
      <c r="E551"/>
      <c r="F551"/>
      <c r="G551"/>
    </row>
    <row r="552" ht="14.25">
      <c r="A552" t="s">
        <v>5508</v>
      </c>
      <c r="B552" t="s">
        <v>3886</v>
      </c>
      <c r="C552"/>
      <c r="D552"/>
      <c r="E552"/>
      <c r="F552"/>
      <c r="G552"/>
    </row>
    <row r="553" ht="14.25">
      <c r="A553" t="s">
        <v>5509</v>
      </c>
      <c r="B553" t="s">
        <v>3886</v>
      </c>
      <c r="C553"/>
      <c r="D553"/>
      <c r="E553"/>
      <c r="F553"/>
      <c r="G553"/>
    </row>
    <row r="554" ht="14.25">
      <c r="A554" t="s">
        <v>5510</v>
      </c>
      <c r="B554" t="s">
        <v>3886</v>
      </c>
      <c r="C554"/>
      <c r="D554"/>
      <c r="E554"/>
      <c r="F554"/>
      <c r="G554"/>
    </row>
    <row r="555" ht="14.25">
      <c r="A555" t="s">
        <v>5511</v>
      </c>
      <c r="B555" t="s">
        <v>3886</v>
      </c>
      <c r="C555"/>
      <c r="D555"/>
      <c r="E555"/>
      <c r="F555"/>
      <c r="G555"/>
    </row>
    <row r="556" ht="14.25">
      <c r="A556" t="s">
        <v>5512</v>
      </c>
      <c r="B556" t="s">
        <v>3886</v>
      </c>
      <c r="C556"/>
      <c r="D556"/>
      <c r="E556"/>
      <c r="F556"/>
      <c r="G556"/>
    </row>
    <row r="557" ht="14.25">
      <c r="A557" t="s">
        <v>5513</v>
      </c>
      <c r="B557" t="s">
        <v>3886</v>
      </c>
      <c r="C557"/>
      <c r="D557"/>
      <c r="E557"/>
      <c r="F557"/>
      <c r="G557"/>
    </row>
    <row r="558" ht="14.25">
      <c r="A558" t="s">
        <v>5514</v>
      </c>
      <c r="B558" t="s">
        <v>3886</v>
      </c>
      <c r="C558"/>
      <c r="D558"/>
      <c r="E558"/>
      <c r="F558"/>
      <c r="G558"/>
    </row>
    <row r="559" ht="14.25">
      <c r="A559" t="s">
        <v>5515</v>
      </c>
      <c r="B559" t="s">
        <v>3886</v>
      </c>
      <c r="C559"/>
      <c r="D559"/>
      <c r="E559"/>
      <c r="F559"/>
      <c r="G559"/>
    </row>
    <row r="560" ht="14.25">
      <c r="A560" t="s">
        <v>5516</v>
      </c>
      <c r="B560" t="s">
        <v>3886</v>
      </c>
      <c r="C560"/>
      <c r="D560"/>
      <c r="E560"/>
      <c r="F560"/>
      <c r="G560"/>
    </row>
    <row r="561" ht="14.25">
      <c r="A561" t="s">
        <v>5517</v>
      </c>
      <c r="B561" t="s">
        <v>3886</v>
      </c>
      <c r="C561"/>
      <c r="D561"/>
      <c r="E561"/>
      <c r="F561"/>
      <c r="G561"/>
    </row>
    <row r="562" ht="14.25">
      <c r="A562" t="s">
        <v>5518</v>
      </c>
      <c r="B562" t="s">
        <v>3886</v>
      </c>
      <c r="C562"/>
      <c r="D562"/>
      <c r="E562"/>
      <c r="F562"/>
      <c r="G562"/>
    </row>
    <row r="563" ht="14.25">
      <c r="A563" t="s">
        <v>5519</v>
      </c>
      <c r="B563" t="s">
        <v>3886</v>
      </c>
      <c r="C563"/>
      <c r="D563"/>
      <c r="E563"/>
      <c r="F563"/>
      <c r="G563"/>
    </row>
    <row r="564" ht="14.25">
      <c r="A564" t="s">
        <v>5520</v>
      </c>
      <c r="B564" t="s">
        <v>3886</v>
      </c>
      <c r="C564"/>
      <c r="D564"/>
      <c r="E564"/>
      <c r="F564"/>
      <c r="G564"/>
    </row>
    <row r="565" ht="14.25">
      <c r="A565" t="s">
        <v>5521</v>
      </c>
      <c r="B565" t="s">
        <v>3886</v>
      </c>
      <c r="C565"/>
      <c r="D565"/>
      <c r="E565"/>
      <c r="F565"/>
      <c r="G565"/>
    </row>
    <row r="566" ht="14.25">
      <c r="A566" t="s">
        <v>5522</v>
      </c>
      <c r="B566" t="s">
        <v>3886</v>
      </c>
      <c r="C566"/>
      <c r="D566"/>
      <c r="E566"/>
      <c r="F566"/>
      <c r="G566"/>
    </row>
    <row r="567" ht="14.25">
      <c r="A567" t="s">
        <v>5523</v>
      </c>
      <c r="B567" t="s">
        <v>3886</v>
      </c>
      <c r="C567"/>
      <c r="D567"/>
      <c r="E567"/>
      <c r="F567"/>
      <c r="G567"/>
    </row>
    <row r="568" ht="14.25">
      <c r="A568" t="s">
        <v>5524</v>
      </c>
      <c r="B568" t="s">
        <v>3886</v>
      </c>
      <c r="C568"/>
      <c r="D568"/>
      <c r="E568"/>
      <c r="F568"/>
      <c r="G568"/>
    </row>
    <row r="569" ht="14.25">
      <c r="A569" t="s">
        <v>5525</v>
      </c>
      <c r="B569" t="s">
        <v>3886</v>
      </c>
      <c r="C569"/>
      <c r="D569"/>
      <c r="E569"/>
      <c r="F569"/>
      <c r="G569"/>
    </row>
    <row r="570" ht="14.25">
      <c r="A570" t="s">
        <v>5526</v>
      </c>
      <c r="B570" t="s">
        <v>3886</v>
      </c>
      <c r="C570"/>
      <c r="D570"/>
      <c r="E570"/>
      <c r="F570"/>
      <c r="G570"/>
    </row>
    <row r="571" ht="14.25">
      <c r="A571" t="s">
        <v>5527</v>
      </c>
      <c r="B571" t="s">
        <v>3886</v>
      </c>
      <c r="C571"/>
      <c r="D571"/>
      <c r="E571"/>
      <c r="F571"/>
      <c r="G571"/>
    </row>
    <row r="572" ht="14.25">
      <c r="A572" t="s">
        <v>5528</v>
      </c>
      <c r="B572" t="s">
        <v>3886</v>
      </c>
      <c r="C572"/>
      <c r="D572"/>
      <c r="E572"/>
      <c r="F572"/>
      <c r="G572"/>
    </row>
    <row r="573" ht="14.25">
      <c r="A573" t="s">
        <v>5529</v>
      </c>
      <c r="B573" t="s">
        <v>3886</v>
      </c>
      <c r="C573"/>
      <c r="D573"/>
      <c r="E573"/>
      <c r="F573"/>
      <c r="G573"/>
    </row>
    <row r="574" ht="14.25">
      <c r="A574" t="s">
        <v>5530</v>
      </c>
      <c r="B574" t="s">
        <v>3886</v>
      </c>
      <c r="C574"/>
      <c r="D574"/>
      <c r="E574"/>
      <c r="F574"/>
      <c r="G574"/>
    </row>
    <row r="575" ht="14.25">
      <c r="A575" t="s">
        <v>5531</v>
      </c>
      <c r="B575" t="s">
        <v>3886</v>
      </c>
      <c r="C575"/>
      <c r="D575"/>
      <c r="E575"/>
      <c r="F575"/>
      <c r="G575"/>
    </row>
    <row r="576" ht="14.25">
      <c r="A576" t="s">
        <v>5532</v>
      </c>
      <c r="B576" t="s">
        <v>3886</v>
      </c>
      <c r="C576"/>
      <c r="D576"/>
      <c r="E576"/>
      <c r="F576"/>
      <c r="G576"/>
    </row>
    <row r="577" ht="14.25">
      <c r="A577" t="s">
        <v>5533</v>
      </c>
      <c r="B577" t="s">
        <v>3886</v>
      </c>
      <c r="C577"/>
      <c r="D577"/>
      <c r="E577"/>
      <c r="F577"/>
      <c r="G577"/>
    </row>
    <row r="578" ht="14.25">
      <c r="A578" t="s">
        <v>5534</v>
      </c>
      <c r="B578" t="s">
        <v>3886</v>
      </c>
      <c r="C578"/>
      <c r="D578"/>
      <c r="E578"/>
      <c r="F578"/>
      <c r="G578"/>
    </row>
    <row r="579" ht="14.25">
      <c r="A579" t="s">
        <v>5535</v>
      </c>
      <c r="B579" t="s">
        <v>3886</v>
      </c>
      <c r="C579"/>
      <c r="D579"/>
      <c r="E579"/>
      <c r="F579"/>
      <c r="G579"/>
    </row>
    <row r="580" ht="14.25">
      <c r="A580" t="s">
        <v>5536</v>
      </c>
      <c r="B580" t="s">
        <v>3886</v>
      </c>
      <c r="C580"/>
      <c r="D580"/>
      <c r="E580"/>
      <c r="F580"/>
      <c r="G580"/>
    </row>
    <row r="581" ht="14.25">
      <c r="A581" t="s">
        <v>5537</v>
      </c>
      <c r="B581" t="s">
        <v>3886</v>
      </c>
      <c r="C581"/>
      <c r="D581"/>
      <c r="E581"/>
      <c r="F581"/>
      <c r="G581"/>
    </row>
    <row r="582" ht="14.25">
      <c r="A582" t="s">
        <v>5538</v>
      </c>
      <c r="B582" t="s">
        <v>3886</v>
      </c>
      <c r="C582"/>
      <c r="D582"/>
      <c r="E582"/>
      <c r="F582"/>
      <c r="G582"/>
    </row>
    <row r="583" ht="14.25">
      <c r="A583" t="s">
        <v>5539</v>
      </c>
      <c r="B583" t="s">
        <v>3886</v>
      </c>
      <c r="C583"/>
      <c r="D583"/>
      <c r="E583"/>
      <c r="F583"/>
      <c r="G583"/>
    </row>
    <row r="584" ht="14.25">
      <c r="A584" t="s">
        <v>5540</v>
      </c>
      <c r="B584" t="s">
        <v>3886</v>
      </c>
      <c r="C584"/>
      <c r="D584"/>
      <c r="E584"/>
      <c r="F584"/>
      <c r="G584"/>
    </row>
    <row r="585" ht="14.25">
      <c r="A585" t="s">
        <v>5541</v>
      </c>
      <c r="B585" t="s">
        <v>3886</v>
      </c>
      <c r="C585"/>
      <c r="D585"/>
      <c r="E585"/>
      <c r="F585"/>
      <c r="G585"/>
    </row>
    <row r="586" ht="14.25">
      <c r="A586" t="s">
        <v>5542</v>
      </c>
      <c r="B586" t="s">
        <v>3886</v>
      </c>
      <c r="C586"/>
      <c r="D586"/>
      <c r="E586"/>
      <c r="F586"/>
      <c r="G586"/>
    </row>
    <row r="587" ht="14.25">
      <c r="A587" t="s">
        <v>5543</v>
      </c>
      <c r="B587" t="s">
        <v>3886</v>
      </c>
      <c r="C587"/>
      <c r="D587"/>
      <c r="E587"/>
      <c r="F587"/>
      <c r="G587"/>
    </row>
    <row r="588" ht="14.25">
      <c r="A588" t="s">
        <v>5544</v>
      </c>
      <c r="B588" t="s">
        <v>3886</v>
      </c>
      <c r="C588"/>
      <c r="D588"/>
      <c r="E588"/>
      <c r="F588"/>
      <c r="G588"/>
    </row>
    <row r="589" ht="14.25">
      <c r="A589" t="s">
        <v>5545</v>
      </c>
      <c r="B589" t="s">
        <v>3886</v>
      </c>
      <c r="C589"/>
      <c r="D589"/>
      <c r="E589"/>
      <c r="F589"/>
      <c r="G589"/>
    </row>
    <row r="590" ht="14.25">
      <c r="A590" t="s">
        <v>5546</v>
      </c>
      <c r="B590" t="s">
        <v>3886</v>
      </c>
      <c r="C590"/>
      <c r="D590"/>
      <c r="E590"/>
      <c r="F590"/>
      <c r="G590"/>
    </row>
    <row r="591" ht="14.25">
      <c r="A591" t="s">
        <v>5547</v>
      </c>
      <c r="B591" t="s">
        <v>3886</v>
      </c>
      <c r="C591"/>
      <c r="D591"/>
      <c r="E591"/>
      <c r="F591"/>
      <c r="G591"/>
    </row>
    <row r="592" ht="14.25">
      <c r="A592" t="s">
        <v>5548</v>
      </c>
      <c r="B592" t="s">
        <v>3886</v>
      </c>
      <c r="C592"/>
      <c r="D592"/>
      <c r="E592"/>
      <c r="F592"/>
      <c r="G592"/>
    </row>
    <row r="593" ht="14.25">
      <c r="A593" t="s">
        <v>5549</v>
      </c>
      <c r="B593" t="s">
        <v>3886</v>
      </c>
      <c r="C593"/>
      <c r="D593"/>
      <c r="E593"/>
      <c r="F593"/>
      <c r="G593"/>
    </row>
    <row r="594" ht="14.25">
      <c r="A594" t="s">
        <v>5550</v>
      </c>
      <c r="B594" t="s">
        <v>3886</v>
      </c>
      <c r="C594"/>
      <c r="D594"/>
      <c r="E594"/>
      <c r="F594"/>
      <c r="G594"/>
    </row>
    <row r="595" ht="14.25">
      <c r="A595" t="s">
        <v>5551</v>
      </c>
      <c r="B595" t="s">
        <v>3886</v>
      </c>
      <c r="C595"/>
      <c r="D595"/>
      <c r="E595"/>
      <c r="F595"/>
      <c r="G595"/>
    </row>
    <row r="596" ht="14.25">
      <c r="A596" t="s">
        <v>5552</v>
      </c>
      <c r="B596" t="s">
        <v>3886</v>
      </c>
      <c r="C596"/>
      <c r="D596"/>
      <c r="E596"/>
      <c r="F596"/>
      <c r="G596"/>
    </row>
    <row r="597" ht="14.25">
      <c r="A597" t="s">
        <v>5553</v>
      </c>
      <c r="B597" t="s">
        <v>3886</v>
      </c>
      <c r="C597"/>
      <c r="D597"/>
      <c r="E597"/>
      <c r="F597"/>
      <c r="G597"/>
    </row>
    <row r="598" ht="14.25">
      <c r="A598" t="s">
        <v>5554</v>
      </c>
      <c r="B598" t="s">
        <v>3886</v>
      </c>
      <c r="C598"/>
      <c r="D598"/>
      <c r="E598"/>
      <c r="F598"/>
      <c r="G598"/>
    </row>
    <row r="599" ht="14.25">
      <c r="A599" t="s">
        <v>5555</v>
      </c>
      <c r="B599" t="s">
        <v>3886</v>
      </c>
      <c r="C599"/>
      <c r="D599"/>
      <c r="E599"/>
      <c r="F599"/>
      <c r="G599"/>
    </row>
    <row r="600" ht="14.25">
      <c r="A600" t="s">
        <v>5556</v>
      </c>
      <c r="B600" t="s">
        <v>3886</v>
      </c>
      <c r="C600"/>
      <c r="D600"/>
      <c r="E600"/>
      <c r="F600"/>
      <c r="G600"/>
    </row>
    <row r="601" ht="14.25">
      <c r="A601" t="s">
        <v>5557</v>
      </c>
      <c r="B601" t="s">
        <v>3886</v>
      </c>
      <c r="C601"/>
      <c r="D601"/>
      <c r="E601"/>
      <c r="F601"/>
      <c r="G601"/>
    </row>
    <row r="602" ht="14.25">
      <c r="A602" t="s">
        <v>5558</v>
      </c>
      <c r="B602" t="s">
        <v>3886</v>
      </c>
      <c r="C602"/>
      <c r="D602"/>
      <c r="E602"/>
      <c r="F602"/>
      <c r="G602"/>
    </row>
    <row r="603" ht="14.25">
      <c r="A603" t="s">
        <v>5559</v>
      </c>
      <c r="B603" t="s">
        <v>3886</v>
      </c>
      <c r="C603"/>
      <c r="D603"/>
      <c r="E603"/>
      <c r="F603"/>
      <c r="G603"/>
    </row>
    <row r="604" ht="14.25">
      <c r="A604" t="s">
        <v>5560</v>
      </c>
      <c r="B604" t="s">
        <v>3886</v>
      </c>
      <c r="C604"/>
      <c r="D604"/>
      <c r="E604"/>
      <c r="F604"/>
      <c r="G604"/>
    </row>
    <row r="605" ht="14.25">
      <c r="A605" t="s">
        <v>5561</v>
      </c>
      <c r="B605" t="s">
        <v>3886</v>
      </c>
      <c r="C605"/>
      <c r="D605"/>
      <c r="E605"/>
      <c r="F605"/>
      <c r="G605"/>
    </row>
    <row r="606" ht="14.25">
      <c r="A606" t="s">
        <v>5562</v>
      </c>
      <c r="B606" t="s">
        <v>3886</v>
      </c>
      <c r="C606"/>
      <c r="D606"/>
      <c r="E606"/>
      <c r="F606"/>
      <c r="G606"/>
    </row>
    <row r="607" ht="14.25">
      <c r="A607" t="s">
        <v>5563</v>
      </c>
      <c r="B607" t="s">
        <v>3886</v>
      </c>
      <c r="C607"/>
      <c r="D607"/>
      <c r="E607"/>
      <c r="F607"/>
      <c r="G607"/>
    </row>
    <row r="608" ht="14.25">
      <c r="A608" t="s">
        <v>5564</v>
      </c>
      <c r="B608" t="s">
        <v>3886</v>
      </c>
      <c r="C608"/>
      <c r="D608"/>
      <c r="E608"/>
      <c r="F608"/>
      <c r="G608"/>
    </row>
    <row r="609" ht="14.25">
      <c r="A609" t="s">
        <v>5565</v>
      </c>
      <c r="B609" t="s">
        <v>3886</v>
      </c>
      <c r="C609"/>
      <c r="D609"/>
      <c r="E609"/>
      <c r="F609"/>
      <c r="G609"/>
    </row>
    <row r="610" ht="14.25">
      <c r="A610" t="s">
        <v>5566</v>
      </c>
      <c r="B610" t="s">
        <v>3886</v>
      </c>
      <c r="C610"/>
      <c r="D610"/>
      <c r="E610"/>
      <c r="F610"/>
      <c r="G610"/>
    </row>
    <row r="611" ht="14.25">
      <c r="A611" t="s">
        <v>5567</v>
      </c>
      <c r="B611" t="s">
        <v>3886</v>
      </c>
      <c r="C611"/>
      <c r="D611"/>
      <c r="E611"/>
      <c r="F611"/>
      <c r="G611"/>
    </row>
    <row r="612" ht="14.25">
      <c r="A612" t="s">
        <v>5568</v>
      </c>
      <c r="B612" t="s">
        <v>3886</v>
      </c>
      <c r="C612"/>
      <c r="D612"/>
      <c r="E612"/>
      <c r="F612"/>
      <c r="G612"/>
    </row>
    <row r="613" ht="14.25">
      <c r="A613" t="s">
        <v>5569</v>
      </c>
      <c r="B613" t="s">
        <v>3886</v>
      </c>
      <c r="C613"/>
      <c r="D613"/>
      <c r="E613"/>
      <c r="F613"/>
      <c r="G61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2" zoomScale="100" workbookViewId="0">
      <selection activeCell="A1" activeCellId="0" sqref="A1"/>
    </sheetView>
  </sheetViews>
  <sheetFormatPr defaultRowHeight="14.25"/>
  <cols>
    <col bestFit="1" customWidth="1" min="2" max="2" width="23.76171875"/>
    <col bestFit="1" min="3" max="3" width="5.09375"/>
    <col bestFit="1" min="4" max="4" width="5.19140625"/>
    <col bestFit="1" customWidth="1" min="5" max="5" width="9.47265625"/>
    <col bestFit="1" customWidth="1" min="6" max="6" width="11.28125"/>
    <col bestFit="1" customWidth="1" min="7" max="7" width="13.76171875"/>
    <col customWidth="1" min="13" max="13" width="10.7109375"/>
    <col bestFit="1" min="14" max="14" width="10.421875"/>
  </cols>
  <sheetData>
    <row r="1" ht="14.25">
      <c r="J1" s="28"/>
      <c r="K1" s="28"/>
      <c r="L1" s="28"/>
      <c r="M1" s="28"/>
      <c r="N1" s="28"/>
      <c r="O1" s="28"/>
    </row>
    <row r="2" ht="14.25">
      <c r="A2" s="52" t="s">
        <v>7906</v>
      </c>
      <c r="B2" s="53" t="s">
        <v>7907</v>
      </c>
      <c r="C2" s="54" t="s">
        <v>7908</v>
      </c>
      <c r="D2" s="55" t="s">
        <v>7909</v>
      </c>
      <c r="E2" s="56" t="s">
        <v>7910</v>
      </c>
      <c r="F2" s="57" t="s">
        <v>7911</v>
      </c>
      <c r="G2" s="58" t="s">
        <v>7912</v>
      </c>
      <c r="H2" s="59" t="s">
        <v>7913</v>
      </c>
      <c r="J2" s="60" t="s">
        <v>7914</v>
      </c>
      <c r="K2" s="61" t="s">
        <v>7915</v>
      </c>
      <c r="L2" s="62" t="s">
        <v>7908</v>
      </c>
      <c r="M2" s="63" t="s">
        <v>7916</v>
      </c>
      <c r="N2" s="64" t="s">
        <v>7917</v>
      </c>
      <c r="O2" s="65" t="s">
        <v>7909</v>
      </c>
    </row>
    <row r="3" ht="14.25">
      <c r="A3" s="39">
        <v>1</v>
      </c>
      <c r="B3" s="65" t="s">
        <v>7918</v>
      </c>
      <c r="C3" s="40">
        <v>43</v>
      </c>
      <c r="D3" s="40">
        <v>32</v>
      </c>
      <c r="E3" s="40">
        <f t="shared" ref="E3:E9" si="0">SUM(C3-D3-F3)</f>
        <v>0</v>
      </c>
      <c r="F3" s="40">
        <v>11</v>
      </c>
      <c r="G3" s="66">
        <v>9734686678</v>
      </c>
      <c r="H3" s="67" t="s">
        <v>7919</v>
      </c>
      <c r="I3" s="68"/>
      <c r="J3" s="69">
        <f>SUM(C3:C61)</f>
        <v>1390</v>
      </c>
      <c r="K3" s="69">
        <f>SUM(F3:F66)</f>
        <v>443</v>
      </c>
      <c r="L3" s="69">
        <f>SUM(D3:D58)</f>
        <v>687</v>
      </c>
      <c r="M3" s="70">
        <f>SUM(O3/J3)*100</f>
        <v>81.294964028776988</v>
      </c>
      <c r="N3" s="69">
        <f>SUM(J3-O3)</f>
        <v>260</v>
      </c>
      <c r="O3" s="69">
        <f>SUM(K3+L3)</f>
        <v>1130</v>
      </c>
    </row>
    <row r="4" ht="14.25">
      <c r="A4" s="39">
        <v>2</v>
      </c>
      <c r="B4" s="65" t="s">
        <v>7920</v>
      </c>
      <c r="C4" s="40">
        <v>35</v>
      </c>
      <c r="D4" s="40">
        <v>21</v>
      </c>
      <c r="E4" s="40">
        <f t="shared" si="0"/>
        <v>0</v>
      </c>
      <c r="F4" s="40">
        <v>14</v>
      </c>
      <c r="G4" s="66">
        <v>7439932070</v>
      </c>
      <c r="H4" s="67" t="s">
        <v>7921</v>
      </c>
      <c r="I4" s="68"/>
      <c r="J4" s="69"/>
      <c r="K4" s="69"/>
      <c r="L4" s="69"/>
      <c r="M4" s="69"/>
      <c r="N4" s="69"/>
      <c r="O4" s="69"/>
    </row>
    <row r="5" ht="14.25">
      <c r="A5" s="39">
        <v>3</v>
      </c>
      <c r="B5" s="71" t="s">
        <v>2248</v>
      </c>
      <c r="C5" s="40">
        <v>20</v>
      </c>
      <c r="D5" s="40">
        <v>15</v>
      </c>
      <c r="E5" s="40">
        <f t="shared" si="0"/>
        <v>0</v>
      </c>
      <c r="F5" s="40">
        <v>5</v>
      </c>
      <c r="G5" s="72">
        <v>9635120146</v>
      </c>
      <c r="H5" s="67" t="s">
        <v>7919</v>
      </c>
      <c r="I5" s="68"/>
      <c r="J5" s="69"/>
      <c r="K5" s="69"/>
      <c r="L5" s="69"/>
      <c r="M5" s="69"/>
      <c r="N5" s="69"/>
      <c r="O5" s="69"/>
    </row>
    <row r="6" ht="14.25">
      <c r="A6" s="39">
        <v>4</v>
      </c>
      <c r="B6" s="65" t="s">
        <v>7922</v>
      </c>
      <c r="C6" s="40">
        <v>28</v>
      </c>
      <c r="D6" s="40">
        <v>17</v>
      </c>
      <c r="E6" s="40">
        <f t="shared" si="0"/>
        <v>0</v>
      </c>
      <c r="F6" s="40">
        <v>11</v>
      </c>
      <c r="G6" s="72">
        <v>8240995955</v>
      </c>
      <c r="H6" s="67" t="s">
        <v>7923</v>
      </c>
      <c r="I6" s="68"/>
      <c r="J6" s="69"/>
      <c r="K6" s="69"/>
      <c r="L6" s="69"/>
      <c r="M6" s="69"/>
      <c r="N6" s="69"/>
      <c r="O6" s="69"/>
    </row>
    <row r="7" ht="14.25">
      <c r="A7" s="40">
        <v>5</v>
      </c>
      <c r="B7" s="65" t="s">
        <v>7924</v>
      </c>
      <c r="C7" s="40">
        <v>52</v>
      </c>
      <c r="D7" s="40">
        <v>32</v>
      </c>
      <c r="E7" s="40">
        <f t="shared" si="0"/>
        <v>0</v>
      </c>
      <c r="F7" s="40">
        <v>20</v>
      </c>
      <c r="G7" s="72">
        <v>6290825031</v>
      </c>
      <c r="H7" s="67" t="s">
        <v>7919</v>
      </c>
      <c r="I7" s="68"/>
      <c r="J7" s="69"/>
      <c r="K7" s="69"/>
      <c r="L7" s="69"/>
      <c r="M7" s="69"/>
      <c r="N7" s="69"/>
      <c r="O7" s="69"/>
    </row>
    <row r="8" ht="14.25">
      <c r="A8" s="39">
        <v>6</v>
      </c>
      <c r="B8" s="65" t="s">
        <v>4004</v>
      </c>
      <c r="C8" s="40">
        <v>41</v>
      </c>
      <c r="D8" s="40">
        <v>15</v>
      </c>
      <c r="E8" s="40">
        <f t="shared" si="0"/>
        <v>0</v>
      </c>
      <c r="F8" s="40">
        <v>26</v>
      </c>
      <c r="G8" s="72">
        <v>9382071290</v>
      </c>
      <c r="H8" s="67" t="s">
        <v>7919</v>
      </c>
      <c r="I8" s="68"/>
      <c r="J8" s="69"/>
      <c r="K8" s="69"/>
      <c r="L8" s="69" t="s">
        <v>7910</v>
      </c>
      <c r="M8" s="69">
        <f>SUM(2253-L3-K3)</f>
        <v>1123</v>
      </c>
      <c r="N8" s="69" t="s">
        <v>7916</v>
      </c>
      <c r="O8" s="70">
        <f>SUM((J3/(O3+M8))*100)</f>
        <v>61.695517088326682</v>
      </c>
    </row>
    <row r="9" ht="14.25">
      <c r="A9" s="39">
        <v>7</v>
      </c>
      <c r="B9" s="65" t="s">
        <v>6577</v>
      </c>
      <c r="C9" s="40">
        <v>31</v>
      </c>
      <c r="D9" s="40">
        <v>27</v>
      </c>
      <c r="E9" s="40">
        <f t="shared" si="0"/>
        <v>0</v>
      </c>
      <c r="F9" s="40">
        <v>4</v>
      </c>
      <c r="G9" s="72">
        <v>6289037005</v>
      </c>
      <c r="H9" s="67" t="s">
        <v>7925</v>
      </c>
      <c r="I9" s="68"/>
      <c r="J9" s="69"/>
      <c r="K9" s="69"/>
      <c r="L9" s="69"/>
      <c r="M9" s="69"/>
      <c r="N9" s="69" t="s">
        <v>7910</v>
      </c>
      <c r="O9" s="69">
        <f>SUM(100-O8)</f>
        <v>38.304482911673318</v>
      </c>
    </row>
    <row r="10" ht="14.25">
      <c r="A10" s="39">
        <v>8</v>
      </c>
      <c r="B10" s="28" t="s">
        <v>2710</v>
      </c>
      <c r="C10" s="40"/>
      <c r="D10" s="40"/>
      <c r="E10" s="40">
        <f t="shared" ref="E10:E73" si="1">SUM(C10-D10-F10)</f>
        <v>0</v>
      </c>
      <c r="F10" s="40"/>
      <c r="G10" s="72"/>
      <c r="H10" s="67"/>
      <c r="I10" s="68"/>
    </row>
    <row r="11" ht="14.25">
      <c r="A11" s="39">
        <v>9</v>
      </c>
      <c r="B11" s="65" t="s">
        <v>5574</v>
      </c>
      <c r="C11" s="40">
        <v>31</v>
      </c>
      <c r="D11" s="40">
        <v>20</v>
      </c>
      <c r="E11" s="40">
        <f t="shared" si="1"/>
        <v>0</v>
      </c>
      <c r="F11" s="40">
        <v>11</v>
      </c>
      <c r="G11" s="72">
        <v>9064976097</v>
      </c>
      <c r="H11" s="67" t="s">
        <v>7926</v>
      </c>
      <c r="I11" s="68"/>
    </row>
    <row r="12" ht="14.25">
      <c r="A12" s="39">
        <v>10</v>
      </c>
      <c r="B12" s="65" t="s">
        <v>2284</v>
      </c>
      <c r="C12" s="40">
        <v>11</v>
      </c>
      <c r="D12" s="40">
        <v>7</v>
      </c>
      <c r="E12" s="40">
        <f t="shared" si="1"/>
        <v>2</v>
      </c>
      <c r="F12" s="40">
        <v>2</v>
      </c>
      <c r="G12" s="72">
        <v>7003187431</v>
      </c>
      <c r="H12" s="67" t="s">
        <v>7927</v>
      </c>
      <c r="I12" s="68"/>
    </row>
    <row r="13" ht="14.25">
      <c r="A13" s="39">
        <v>11</v>
      </c>
      <c r="B13" s="65" t="s">
        <v>1174</v>
      </c>
      <c r="C13" s="40">
        <v>40</v>
      </c>
      <c r="D13" s="40">
        <v>25</v>
      </c>
      <c r="E13" s="40">
        <f t="shared" si="1"/>
        <v>0</v>
      </c>
      <c r="F13" s="40">
        <v>15</v>
      </c>
      <c r="G13" s="72">
        <v>7003922106</v>
      </c>
      <c r="H13" s="67" t="s">
        <v>7919</v>
      </c>
      <c r="I13" s="68"/>
    </row>
    <row r="14" ht="14.25">
      <c r="A14" s="39">
        <v>13</v>
      </c>
      <c r="B14" s="65" t="s">
        <v>5608</v>
      </c>
      <c r="C14" s="40">
        <v>28</v>
      </c>
      <c r="D14" s="40">
        <v>20</v>
      </c>
      <c r="E14" s="40">
        <f t="shared" si="1"/>
        <v>0</v>
      </c>
      <c r="F14" s="40">
        <v>8</v>
      </c>
      <c r="G14" s="72">
        <v>7864978775</v>
      </c>
      <c r="H14" s="67" t="s">
        <v>7928</v>
      </c>
      <c r="I14" s="68"/>
    </row>
    <row r="15" ht="14.25">
      <c r="A15" s="39">
        <v>14</v>
      </c>
      <c r="B15" s="65" t="s">
        <v>150</v>
      </c>
      <c r="C15" s="40">
        <v>45</v>
      </c>
      <c r="D15" s="40">
        <v>34</v>
      </c>
      <c r="E15" s="40">
        <f t="shared" si="1"/>
        <v>0</v>
      </c>
      <c r="F15" s="40">
        <v>11</v>
      </c>
      <c r="G15" s="72">
        <v>6289903920</v>
      </c>
      <c r="H15" s="67" t="s">
        <v>7929</v>
      </c>
      <c r="I15" s="68"/>
    </row>
    <row r="16" ht="14.25">
      <c r="A16" s="39">
        <v>15</v>
      </c>
      <c r="B16" s="65" t="s">
        <v>6589</v>
      </c>
      <c r="C16" s="40">
        <v>31</v>
      </c>
      <c r="D16" s="40">
        <v>15</v>
      </c>
      <c r="E16" s="40">
        <f t="shared" si="1"/>
        <v>0</v>
      </c>
      <c r="F16" s="40">
        <v>16</v>
      </c>
      <c r="G16" s="72">
        <v>8910125297</v>
      </c>
      <c r="H16" s="67" t="s">
        <v>7930</v>
      </c>
      <c r="I16" s="68"/>
    </row>
    <row r="17" ht="14.25">
      <c r="A17" s="39">
        <v>16</v>
      </c>
      <c r="B17" s="65" t="s">
        <v>117</v>
      </c>
      <c r="C17" s="40">
        <v>36</v>
      </c>
      <c r="D17" s="40">
        <v>22</v>
      </c>
      <c r="E17" s="40">
        <f t="shared" si="1"/>
        <v>0</v>
      </c>
      <c r="F17" s="40">
        <v>14</v>
      </c>
      <c r="G17" s="72">
        <v>8240997295</v>
      </c>
      <c r="H17" s="67" t="s">
        <v>7931</v>
      </c>
      <c r="I17" s="68"/>
    </row>
    <row r="18" ht="14.25">
      <c r="A18" s="39">
        <v>17</v>
      </c>
      <c r="B18" s="65" t="s">
        <v>6718</v>
      </c>
      <c r="C18" s="40">
        <v>50</v>
      </c>
      <c r="D18" s="40">
        <v>34</v>
      </c>
      <c r="E18" s="40">
        <f t="shared" si="1"/>
        <v>0</v>
      </c>
      <c r="F18" s="40">
        <v>16</v>
      </c>
      <c r="G18" s="73">
        <v>8240997306</v>
      </c>
      <c r="H18" s="67" t="s">
        <v>7932</v>
      </c>
      <c r="I18" s="68"/>
    </row>
    <row r="19" ht="14.25">
      <c r="A19" s="39">
        <v>18</v>
      </c>
      <c r="B19" s="65" t="s">
        <v>1375</v>
      </c>
      <c r="C19" s="40">
        <v>44</v>
      </c>
      <c r="D19" s="40">
        <v>31</v>
      </c>
      <c r="E19" s="40">
        <f t="shared" si="1"/>
        <v>0</v>
      </c>
      <c r="F19" s="40">
        <v>13</v>
      </c>
      <c r="G19" s="72">
        <v>8240997305</v>
      </c>
      <c r="H19" s="67" t="s">
        <v>7933</v>
      </c>
      <c r="I19" s="68"/>
    </row>
    <row r="20" ht="14.25">
      <c r="A20" s="39">
        <v>19</v>
      </c>
      <c r="B20" s="28" t="s">
        <v>4038</v>
      </c>
      <c r="C20" s="40"/>
      <c r="D20" s="40"/>
      <c r="E20" s="40">
        <f t="shared" si="1"/>
        <v>0</v>
      </c>
      <c r="F20" s="40"/>
      <c r="G20" s="72"/>
      <c r="H20" s="40"/>
      <c r="I20" s="74"/>
    </row>
    <row r="21" ht="14.25">
      <c r="A21" s="39">
        <v>20</v>
      </c>
      <c r="B21" s="75" t="s">
        <v>103</v>
      </c>
      <c r="C21" s="40">
        <v>73</v>
      </c>
      <c r="D21" s="40">
        <v>11</v>
      </c>
      <c r="E21" s="40">
        <f t="shared" si="1"/>
        <v>49</v>
      </c>
      <c r="F21" s="39">
        <v>13</v>
      </c>
      <c r="G21" s="73">
        <v>7003286846</v>
      </c>
      <c r="H21" s="28" t="s">
        <v>7934</v>
      </c>
    </row>
    <row r="22" ht="14.25">
      <c r="A22" s="28"/>
      <c r="B22" s="65" t="s">
        <v>5633</v>
      </c>
      <c r="C22" s="39">
        <v>18</v>
      </c>
      <c r="D22" s="39">
        <v>17</v>
      </c>
      <c r="E22" s="40">
        <f t="shared" si="1"/>
        <v>0</v>
      </c>
      <c r="F22" s="39">
        <v>1</v>
      </c>
      <c r="G22" s="73">
        <v>8967046045</v>
      </c>
      <c r="H22" s="28" t="s">
        <v>7919</v>
      </c>
    </row>
    <row r="23" ht="14.25">
      <c r="A23" s="28"/>
      <c r="B23" s="65" t="s">
        <v>1579</v>
      </c>
      <c r="C23" s="39">
        <v>26</v>
      </c>
      <c r="D23" s="39">
        <v>17</v>
      </c>
      <c r="E23" s="40">
        <f t="shared" si="1"/>
        <v>0</v>
      </c>
      <c r="F23" s="39">
        <v>9</v>
      </c>
      <c r="G23" s="73">
        <v>7003188299</v>
      </c>
      <c r="H23" s="28" t="s">
        <v>7919</v>
      </c>
    </row>
    <row r="24" ht="14.25">
      <c r="A24" s="39"/>
      <c r="B24" s="76" t="s">
        <v>2695</v>
      </c>
      <c r="C24" s="39">
        <v>60</v>
      </c>
      <c r="D24" s="40"/>
      <c r="E24" s="40">
        <f t="shared" si="1"/>
        <v>60</v>
      </c>
      <c r="F24" s="39"/>
      <c r="G24" s="73">
        <v>6201045379</v>
      </c>
      <c r="H24" s="28" t="s">
        <v>7935</v>
      </c>
    </row>
    <row r="25" ht="14.25">
      <c r="A25" s="28"/>
      <c r="B25" s="75" t="s">
        <v>4210</v>
      </c>
      <c r="C25" s="39">
        <v>38</v>
      </c>
      <c r="D25" s="40">
        <v>17</v>
      </c>
      <c r="E25" s="40">
        <f t="shared" si="1"/>
        <v>10</v>
      </c>
      <c r="F25" s="39">
        <v>11</v>
      </c>
      <c r="G25" s="73">
        <v>7980098242</v>
      </c>
      <c r="H25" s="28" t="s">
        <v>7936</v>
      </c>
    </row>
    <row r="26" ht="14.25">
      <c r="A26" s="28"/>
      <c r="B26" s="65" t="s">
        <v>1201</v>
      </c>
      <c r="C26" s="39">
        <v>16</v>
      </c>
      <c r="D26" s="39">
        <v>16</v>
      </c>
      <c r="E26" s="40">
        <f t="shared" si="1"/>
        <v>0</v>
      </c>
      <c r="F26" s="39">
        <v>0</v>
      </c>
      <c r="G26" s="73">
        <v>6289035354</v>
      </c>
      <c r="H26" s="28"/>
    </row>
    <row r="27" ht="14.25">
      <c r="A27" s="28"/>
      <c r="B27" s="65" t="s">
        <v>166</v>
      </c>
      <c r="C27" s="39">
        <v>38</v>
      </c>
      <c r="D27" s="39">
        <v>25</v>
      </c>
      <c r="E27" s="40">
        <f t="shared" si="1"/>
        <v>0</v>
      </c>
      <c r="F27" s="39">
        <v>13</v>
      </c>
      <c r="G27" s="73">
        <v>9064976019</v>
      </c>
      <c r="H27" s="28"/>
    </row>
    <row r="28" ht="14.25">
      <c r="A28" s="28"/>
      <c r="B28" s="65" t="s">
        <v>4099</v>
      </c>
      <c r="C28" s="39">
        <v>59</v>
      </c>
      <c r="D28" s="39">
        <v>36</v>
      </c>
      <c r="E28" s="40">
        <f t="shared" si="1"/>
        <v>0</v>
      </c>
      <c r="F28" s="39">
        <v>23</v>
      </c>
      <c r="G28" s="73">
        <v>7003921625</v>
      </c>
      <c r="H28" s="28"/>
    </row>
    <row r="29" ht="14.25">
      <c r="A29" s="28"/>
      <c r="B29" s="75" t="s">
        <v>4045</v>
      </c>
      <c r="C29" s="39">
        <v>35</v>
      </c>
      <c r="D29" s="39">
        <v>5</v>
      </c>
      <c r="E29" s="40">
        <f t="shared" si="1"/>
        <v>16</v>
      </c>
      <c r="F29" s="39">
        <v>14</v>
      </c>
      <c r="G29" s="73">
        <v>6290709471</v>
      </c>
      <c r="H29" s="28" t="s">
        <v>7937</v>
      </c>
    </row>
    <row r="30" ht="14.25">
      <c r="A30" s="28"/>
      <c r="B30" s="64" t="s">
        <v>7137</v>
      </c>
      <c r="C30" s="39">
        <v>73</v>
      </c>
      <c r="D30" s="39"/>
      <c r="E30" s="40">
        <f t="shared" si="1"/>
        <v>50</v>
      </c>
      <c r="F30" s="39">
        <v>23</v>
      </c>
      <c r="G30" s="73">
        <v>9064976029</v>
      </c>
      <c r="H30" s="28" t="s">
        <v>7938</v>
      </c>
    </row>
    <row r="31" ht="14.25">
      <c r="A31" s="28"/>
      <c r="B31" s="65" t="s">
        <v>4011</v>
      </c>
      <c r="C31" s="39">
        <v>43</v>
      </c>
      <c r="D31" s="39">
        <v>26</v>
      </c>
      <c r="E31" s="40">
        <f t="shared" si="1"/>
        <v>0</v>
      </c>
      <c r="F31" s="39">
        <v>17</v>
      </c>
      <c r="G31" s="73">
        <v>8240995350</v>
      </c>
      <c r="H31" s="28" t="s">
        <v>7939</v>
      </c>
    </row>
    <row r="32" ht="14.25">
      <c r="A32" s="28"/>
      <c r="B32" s="28" t="s">
        <v>7940</v>
      </c>
      <c r="C32" s="39"/>
      <c r="D32" s="39"/>
      <c r="E32" s="40">
        <f t="shared" si="1"/>
        <v>0</v>
      </c>
      <c r="F32" s="39"/>
      <c r="G32" s="73">
        <v>6382439675</v>
      </c>
      <c r="H32" s="28" t="s">
        <v>7941</v>
      </c>
    </row>
    <row r="33" ht="14.25">
      <c r="A33" s="28"/>
      <c r="B33" s="65" t="s">
        <v>7942</v>
      </c>
      <c r="C33" s="39">
        <v>27</v>
      </c>
      <c r="D33" s="39">
        <v>19</v>
      </c>
      <c r="E33" s="40">
        <f t="shared" si="1"/>
        <v>0</v>
      </c>
      <c r="F33" s="39">
        <v>8</v>
      </c>
      <c r="G33" s="73">
        <v>8420984799</v>
      </c>
      <c r="H33" s="28" t="s">
        <v>7943</v>
      </c>
    </row>
    <row r="34" ht="14.25">
      <c r="A34" s="28"/>
      <c r="B34" s="65" t="s">
        <v>2291</v>
      </c>
      <c r="C34" s="39">
        <v>37</v>
      </c>
      <c r="D34" s="39">
        <v>22</v>
      </c>
      <c r="E34" s="40">
        <f t="shared" si="1"/>
        <v>0</v>
      </c>
      <c r="F34" s="39">
        <v>15</v>
      </c>
      <c r="G34" s="73">
        <v>9933713149</v>
      </c>
      <c r="H34" s="28" t="s">
        <v>7919</v>
      </c>
    </row>
    <row r="35" ht="14.25">
      <c r="A35" s="28"/>
      <c r="B35" s="65" t="s">
        <v>159</v>
      </c>
      <c r="C35" s="39">
        <v>39</v>
      </c>
      <c r="D35" s="39">
        <v>23</v>
      </c>
      <c r="E35" s="40">
        <f t="shared" si="1"/>
        <v>0</v>
      </c>
      <c r="F35" s="39">
        <v>16</v>
      </c>
      <c r="G35" s="73">
        <v>9064976020</v>
      </c>
      <c r="H35" s="28" t="s">
        <v>7933</v>
      </c>
    </row>
    <row r="36" ht="14.25">
      <c r="A36" s="28"/>
      <c r="B36" s="65" t="s">
        <v>296</v>
      </c>
      <c r="C36" s="39">
        <v>29</v>
      </c>
      <c r="D36" s="39">
        <v>17</v>
      </c>
      <c r="E36" s="40">
        <f t="shared" si="1"/>
        <v>0</v>
      </c>
      <c r="F36" s="39">
        <v>12</v>
      </c>
      <c r="G36" s="73"/>
      <c r="H36" s="28"/>
    </row>
    <row r="37" ht="14.25">
      <c r="A37" s="28"/>
      <c r="B37" s="77" t="s">
        <v>5764</v>
      </c>
      <c r="C37" s="39">
        <v>34</v>
      </c>
      <c r="D37" s="39">
        <v>24</v>
      </c>
      <c r="E37" s="40">
        <f t="shared" si="1"/>
        <v>0</v>
      </c>
      <c r="F37" s="39">
        <v>10</v>
      </c>
      <c r="G37" s="73"/>
      <c r="H37" s="28" t="s">
        <v>7944</v>
      </c>
    </row>
    <row r="38" ht="16.5">
      <c r="A38" s="78"/>
      <c r="B38" s="79" t="s">
        <v>2603</v>
      </c>
      <c r="C38" s="80">
        <v>17</v>
      </c>
      <c r="D38" s="39">
        <v>8</v>
      </c>
      <c r="E38" s="40">
        <f t="shared" si="1"/>
        <v>0</v>
      </c>
      <c r="F38" s="39">
        <v>9</v>
      </c>
      <c r="G38" s="73"/>
      <c r="H38" s="28"/>
    </row>
    <row r="39" ht="14.25">
      <c r="A39" s="78"/>
      <c r="B39" s="81" t="s">
        <v>2484</v>
      </c>
      <c r="C39" s="80">
        <v>38</v>
      </c>
      <c r="D39" s="39">
        <v>19</v>
      </c>
      <c r="E39" s="40">
        <f t="shared" si="1"/>
        <v>0</v>
      </c>
      <c r="F39" s="39">
        <v>19</v>
      </c>
      <c r="G39" s="73"/>
      <c r="H39" s="28" t="s">
        <v>7919</v>
      </c>
    </row>
    <row r="40" ht="14.25">
      <c r="A40" s="78"/>
      <c r="B40" s="82" t="s">
        <v>1879</v>
      </c>
      <c r="C40" s="80">
        <v>26</v>
      </c>
      <c r="D40" s="39">
        <v>5</v>
      </c>
      <c r="E40" s="40">
        <f t="shared" si="1"/>
        <v>13</v>
      </c>
      <c r="F40" s="39">
        <v>8</v>
      </c>
      <c r="G40" s="73"/>
      <c r="H40" s="28"/>
    </row>
    <row r="41" ht="14.25">
      <c r="A41" s="28"/>
      <c r="B41" s="83" t="s">
        <v>5723</v>
      </c>
      <c r="C41" s="39">
        <v>18</v>
      </c>
      <c r="D41" s="39"/>
      <c r="E41" s="40">
        <f t="shared" si="1"/>
        <v>16</v>
      </c>
      <c r="F41" s="39">
        <v>2</v>
      </c>
      <c r="G41" s="73"/>
      <c r="H41" s="28" t="s">
        <v>5724</v>
      </c>
    </row>
    <row r="42" ht="14.25">
      <c r="A42" s="78"/>
      <c r="B42" s="84" t="s">
        <v>7485</v>
      </c>
      <c r="C42" s="80">
        <v>39</v>
      </c>
      <c r="D42" s="39">
        <v>10</v>
      </c>
      <c r="E42" s="40">
        <f t="shared" si="1"/>
        <v>17</v>
      </c>
      <c r="F42" s="39">
        <v>12</v>
      </c>
      <c r="G42" s="73"/>
      <c r="H42" s="28"/>
    </row>
    <row r="43" ht="14.25">
      <c r="A43" s="78"/>
      <c r="B43" s="22" t="s">
        <v>3967</v>
      </c>
      <c r="C43" s="80">
        <v>41</v>
      </c>
      <c r="D43" s="39">
        <v>3</v>
      </c>
      <c r="E43" s="40">
        <f t="shared" si="1"/>
        <v>27</v>
      </c>
      <c r="F43" s="39">
        <v>11</v>
      </c>
      <c r="G43" s="73"/>
      <c r="H43" s="28" t="s">
        <v>7945</v>
      </c>
    </row>
    <row r="44" ht="14.25">
      <c r="A44" s="28"/>
      <c r="B44" s="85"/>
      <c r="C44" s="39"/>
      <c r="D44" s="39"/>
      <c r="E44" s="40">
        <f t="shared" si="1"/>
        <v>0</v>
      </c>
      <c r="F44" s="39"/>
      <c r="G44" s="73"/>
      <c r="H44" s="28"/>
    </row>
    <row r="45" ht="14.25">
      <c r="A45" s="28"/>
      <c r="B45" s="28"/>
      <c r="C45" s="39"/>
      <c r="D45" s="39"/>
      <c r="E45" s="40">
        <f t="shared" si="1"/>
        <v>0</v>
      </c>
      <c r="F45" s="39"/>
      <c r="G45" s="73"/>
      <c r="H45" s="28"/>
    </row>
    <row r="46" ht="14.25">
      <c r="A46" s="28"/>
      <c r="B46" s="28"/>
      <c r="C46" s="39"/>
      <c r="D46" s="39"/>
      <c r="E46" s="40">
        <f t="shared" si="1"/>
        <v>0</v>
      </c>
      <c r="F46" s="39"/>
      <c r="G46" s="73"/>
      <c r="H46" s="28"/>
    </row>
    <row r="47" ht="14.25">
      <c r="A47" s="28"/>
      <c r="B47" s="28"/>
      <c r="C47" s="39"/>
      <c r="D47" s="39"/>
      <c r="E47" s="40">
        <f t="shared" si="1"/>
        <v>0</v>
      </c>
      <c r="F47" s="39"/>
      <c r="G47" s="73"/>
      <c r="H47" s="28"/>
    </row>
    <row r="48" ht="14.25">
      <c r="A48" s="28"/>
      <c r="B48" s="28"/>
      <c r="C48" s="39"/>
      <c r="D48" s="39"/>
      <c r="E48" s="40">
        <f t="shared" si="1"/>
        <v>0</v>
      </c>
      <c r="F48" s="39"/>
      <c r="G48" s="73"/>
      <c r="H48" s="28"/>
    </row>
    <row r="49" ht="14.25">
      <c r="A49" s="28"/>
      <c r="B49" s="28"/>
      <c r="C49" s="39"/>
      <c r="D49" s="39"/>
      <c r="E49" s="40">
        <f t="shared" si="1"/>
        <v>0</v>
      </c>
      <c r="F49" s="39"/>
      <c r="G49" s="73"/>
      <c r="H49" s="28"/>
    </row>
    <row r="50" ht="14.25">
      <c r="A50" s="28"/>
      <c r="B50" s="28"/>
      <c r="C50" s="39"/>
      <c r="D50" s="39"/>
      <c r="E50" s="40">
        <f t="shared" si="1"/>
        <v>0</v>
      </c>
      <c r="F50" s="39"/>
      <c r="G50" s="73"/>
      <c r="H50" s="28"/>
    </row>
    <row r="51" ht="14.25">
      <c r="A51" s="28"/>
      <c r="B51" s="28"/>
      <c r="C51" s="39"/>
      <c r="D51" s="39"/>
      <c r="E51" s="40">
        <f t="shared" si="1"/>
        <v>0</v>
      </c>
      <c r="F51" s="39"/>
      <c r="G51" s="73"/>
      <c r="H51" s="28"/>
    </row>
    <row r="52" ht="14.25">
      <c r="A52" s="28"/>
      <c r="B52" s="28"/>
      <c r="C52" s="39"/>
      <c r="D52" s="39"/>
      <c r="E52" s="40">
        <f t="shared" si="1"/>
        <v>0</v>
      </c>
      <c r="F52" s="39"/>
      <c r="G52" s="73"/>
      <c r="H52" s="28"/>
    </row>
    <row r="53" ht="14.25">
      <c r="A53" s="28"/>
      <c r="B53" s="28"/>
      <c r="C53" s="39"/>
      <c r="D53" s="39"/>
      <c r="E53" s="40">
        <f t="shared" si="1"/>
        <v>0</v>
      </c>
      <c r="F53" s="39"/>
      <c r="G53" s="73"/>
      <c r="H53" s="28"/>
    </row>
    <row r="54" ht="14.25">
      <c r="A54" s="28"/>
      <c r="B54" s="28"/>
      <c r="C54" s="39"/>
      <c r="D54" s="39"/>
      <c r="E54" s="40">
        <f t="shared" si="1"/>
        <v>0</v>
      </c>
      <c r="F54" s="39"/>
      <c r="G54" s="73"/>
      <c r="H54" s="28"/>
    </row>
    <row r="55" ht="14.25">
      <c r="A55" s="28"/>
      <c r="B55" s="28"/>
      <c r="C55" s="39"/>
      <c r="D55" s="39"/>
      <c r="E55" s="40">
        <f t="shared" si="1"/>
        <v>0</v>
      </c>
      <c r="F55" s="39"/>
      <c r="G55" s="28"/>
      <c r="H55" s="28"/>
    </row>
    <row r="56" ht="14.25">
      <c r="A56" s="28"/>
      <c r="B56" s="28"/>
      <c r="C56" s="39"/>
      <c r="D56" s="39"/>
      <c r="E56" s="40">
        <f t="shared" si="1"/>
        <v>0</v>
      </c>
      <c r="F56" s="39"/>
      <c r="G56" s="28"/>
      <c r="H56" s="28"/>
    </row>
    <row r="57" ht="14.25">
      <c r="A57" s="28"/>
      <c r="B57" s="28"/>
      <c r="C57" s="39"/>
      <c r="D57" s="39"/>
      <c r="E57" s="40">
        <f t="shared" si="1"/>
        <v>0</v>
      </c>
      <c r="F57" s="39"/>
      <c r="G57" s="28"/>
      <c r="H57" s="28"/>
    </row>
    <row r="58" ht="14.25">
      <c r="A58" s="28"/>
      <c r="B58" s="28"/>
      <c r="C58" s="39"/>
      <c r="D58" s="39"/>
      <c r="E58" s="40">
        <f t="shared" si="1"/>
        <v>0</v>
      </c>
      <c r="F58" s="39"/>
      <c r="G58" s="28"/>
      <c r="H58" s="28"/>
    </row>
    <row r="59" ht="14.25">
      <c r="A59" s="28"/>
      <c r="B59" s="28"/>
      <c r="C59" s="39"/>
      <c r="D59" s="39"/>
      <c r="E59" s="40">
        <f t="shared" si="1"/>
        <v>0</v>
      </c>
      <c r="F59" s="39"/>
      <c r="G59" s="28"/>
      <c r="H59" s="28"/>
    </row>
    <row r="60" ht="14.25">
      <c r="A60" s="28"/>
      <c r="B60" s="28"/>
      <c r="C60" s="39"/>
      <c r="D60" s="39"/>
      <c r="E60" s="40">
        <f t="shared" si="1"/>
        <v>0</v>
      </c>
      <c r="F60" s="39"/>
      <c r="G60" s="28"/>
      <c r="H60" s="28"/>
    </row>
    <row r="61" ht="14.25">
      <c r="A61" s="28"/>
      <c r="B61" s="28"/>
      <c r="C61" s="39"/>
      <c r="D61" s="39"/>
      <c r="E61" s="40">
        <f t="shared" si="1"/>
        <v>0</v>
      </c>
      <c r="F61" s="39"/>
      <c r="G61" s="28"/>
      <c r="H61" s="28"/>
    </row>
    <row r="62" ht="14.25">
      <c r="A62" s="28"/>
      <c r="B62" s="28"/>
      <c r="C62" s="39"/>
      <c r="D62" s="39"/>
      <c r="E62" s="40">
        <f t="shared" si="1"/>
        <v>0</v>
      </c>
      <c r="F62" s="39"/>
      <c r="G62" s="28"/>
      <c r="H62" s="28"/>
    </row>
    <row r="63" ht="14.25">
      <c r="A63" s="28"/>
      <c r="B63" s="28"/>
      <c r="C63" s="39"/>
      <c r="D63" s="39"/>
      <c r="E63" s="40">
        <f t="shared" si="1"/>
        <v>0</v>
      </c>
      <c r="F63" s="39"/>
      <c r="G63" s="28"/>
      <c r="H63" s="28"/>
    </row>
    <row r="64" ht="14.25">
      <c r="A64" s="28"/>
      <c r="B64" s="28"/>
      <c r="C64" s="39"/>
      <c r="D64" s="39"/>
      <c r="E64" s="40">
        <f t="shared" si="1"/>
        <v>0</v>
      </c>
      <c r="F64" s="39"/>
      <c r="G64" s="28"/>
      <c r="H64" s="28"/>
    </row>
    <row r="65" ht="14.25">
      <c r="A65" s="28"/>
      <c r="B65" s="28"/>
      <c r="C65" s="39"/>
      <c r="D65" s="39"/>
      <c r="E65" s="40">
        <f t="shared" si="1"/>
        <v>0</v>
      </c>
      <c r="F65" s="39"/>
      <c r="G65" s="28"/>
      <c r="H65" s="28"/>
    </row>
    <row r="66" ht="14.25">
      <c r="A66" s="28"/>
      <c r="B66" s="28"/>
      <c r="C66" s="39"/>
      <c r="D66" s="39"/>
      <c r="E66" s="40">
        <f t="shared" si="1"/>
        <v>0</v>
      </c>
      <c r="F66" s="39"/>
      <c r="G66" s="28"/>
      <c r="H66" s="28"/>
    </row>
    <row r="67" ht="14.25">
      <c r="A67" s="28"/>
      <c r="B67" s="28"/>
      <c r="C67" s="39"/>
      <c r="D67" s="39"/>
      <c r="E67" s="40">
        <f t="shared" si="1"/>
        <v>0</v>
      </c>
      <c r="F67" s="39"/>
      <c r="G67" s="28"/>
      <c r="H67" s="28"/>
    </row>
    <row r="68" ht="14.25">
      <c r="A68" s="28"/>
      <c r="B68" s="28"/>
      <c r="C68" s="39"/>
      <c r="D68" s="39"/>
      <c r="E68" s="40">
        <f t="shared" si="1"/>
        <v>0</v>
      </c>
      <c r="F68" s="39"/>
      <c r="G68" s="28"/>
      <c r="H68" s="28"/>
    </row>
    <row r="69" ht="14.25">
      <c r="A69" s="28"/>
      <c r="B69" s="28"/>
      <c r="C69" s="39"/>
      <c r="D69" s="39"/>
      <c r="E69" s="40">
        <f t="shared" si="1"/>
        <v>0</v>
      </c>
      <c r="F69" s="39"/>
      <c r="G69" s="28"/>
      <c r="H69" s="28"/>
    </row>
    <row r="70" ht="14.25">
      <c r="A70" s="28"/>
      <c r="B70" s="28"/>
      <c r="C70" s="39"/>
      <c r="D70" s="39"/>
      <c r="E70" s="40">
        <f t="shared" si="1"/>
        <v>0</v>
      </c>
      <c r="F70" s="39"/>
      <c r="G70" s="28"/>
      <c r="H70" s="28"/>
    </row>
    <row r="71" ht="14.25">
      <c r="A71" s="28"/>
      <c r="B71" s="28"/>
      <c r="C71" s="39"/>
      <c r="D71" s="39"/>
      <c r="E71" s="40">
        <f t="shared" si="1"/>
        <v>0</v>
      </c>
      <c r="F71" s="39"/>
      <c r="G71" s="28"/>
      <c r="H71" s="28"/>
    </row>
    <row r="72" ht="14.25">
      <c r="A72" s="28"/>
      <c r="B72" s="28"/>
      <c r="C72" s="39"/>
      <c r="D72" s="39"/>
      <c r="E72" s="40">
        <f t="shared" si="1"/>
        <v>0</v>
      </c>
      <c r="F72" s="39"/>
      <c r="G72" s="28"/>
      <c r="H72" s="28"/>
    </row>
    <row r="73" ht="14.25">
      <c r="A73" s="28"/>
      <c r="B73" s="28"/>
      <c r="C73" s="39"/>
      <c r="D73" s="39"/>
      <c r="E73" s="40">
        <f t="shared" si="1"/>
        <v>0</v>
      </c>
      <c r="F73" s="39"/>
      <c r="G73" s="28"/>
      <c r="H73" s="28"/>
    </row>
    <row r="74" ht="14.25">
      <c r="A74" s="28"/>
      <c r="B74" s="28"/>
      <c r="C74" s="39"/>
      <c r="D74" s="39"/>
      <c r="E74" s="40">
        <f t="shared" ref="E74:E79" si="2">SUM(C74-D74-F74)</f>
        <v>0</v>
      </c>
      <c r="F74" s="39"/>
      <c r="G74" s="28"/>
      <c r="H74" s="28"/>
    </row>
    <row r="75" ht="14.25">
      <c r="A75" s="28"/>
      <c r="B75" s="28"/>
      <c r="C75" s="39"/>
      <c r="D75" s="39"/>
      <c r="E75" s="40">
        <f t="shared" si="2"/>
        <v>0</v>
      </c>
      <c r="F75" s="39"/>
      <c r="G75" s="28"/>
      <c r="H75" s="28"/>
    </row>
    <row r="76" ht="14.25">
      <c r="A76" s="28"/>
      <c r="B76" s="28"/>
      <c r="C76" s="39"/>
      <c r="D76" s="39"/>
      <c r="E76" s="40">
        <f t="shared" si="2"/>
        <v>0</v>
      </c>
      <c r="F76" s="39"/>
      <c r="G76" s="28"/>
      <c r="H76" s="28"/>
    </row>
    <row r="77" ht="14.25">
      <c r="A77" s="28"/>
      <c r="B77" s="28"/>
      <c r="C77" s="39"/>
      <c r="D77" s="39"/>
      <c r="E77" s="40">
        <f t="shared" si="2"/>
        <v>0</v>
      </c>
      <c r="F77" s="39"/>
      <c r="G77" s="28"/>
      <c r="H77" s="28"/>
    </row>
    <row r="78" ht="14.25">
      <c r="A78" s="28"/>
      <c r="B78" s="28"/>
      <c r="C78" s="39"/>
      <c r="D78" s="39"/>
      <c r="E78" s="40">
        <f t="shared" si="2"/>
        <v>0</v>
      </c>
      <c r="F78" s="39"/>
      <c r="G78" s="28"/>
      <c r="H78" s="28"/>
    </row>
    <row r="79" ht="14.25">
      <c r="A79" s="28"/>
      <c r="B79" s="28"/>
      <c r="C79" s="39"/>
      <c r="D79" s="39"/>
      <c r="E79" s="40">
        <f t="shared" si="2"/>
        <v>0</v>
      </c>
      <c r="F79" s="39"/>
      <c r="G79" s="28"/>
      <c r="H79" s="28"/>
    </row>
    <row r="80" ht="14.25">
      <c r="C80" s="86"/>
      <c r="D80" s="86"/>
      <c r="E80" s="86"/>
      <c r="F80" s="86"/>
    </row>
    <row r="81" ht="14.25">
      <c r="C81" s="86"/>
      <c r="D81" s="86"/>
      <c r="E81" s="86"/>
      <c r="F81" s="86"/>
    </row>
    <row r="82" ht="14.25">
      <c r="C82" s="86"/>
      <c r="D82" s="86"/>
      <c r="E82" s="86"/>
      <c r="F82" s="86"/>
    </row>
    <row r="83" ht="14.25">
      <c r="C83" s="86"/>
      <c r="D83" s="86"/>
      <c r="E83" s="86"/>
      <c r="F83" s="86"/>
    </row>
    <row r="84" ht="14.25">
      <c r="C84" s="86"/>
      <c r="D84" s="86"/>
      <c r="E84" s="86"/>
      <c r="F84" s="86"/>
    </row>
    <row r="85" ht="14.25">
      <c r="C85" s="86"/>
      <c r="D85" s="86"/>
      <c r="E85" s="86"/>
      <c r="F85" s="86"/>
    </row>
    <row r="86" ht="14.25">
      <c r="C86" s="86"/>
      <c r="D86" s="86"/>
      <c r="E86" s="86"/>
      <c r="F86" s="86"/>
    </row>
    <row r="87" ht="14.25">
      <c r="C87" s="86"/>
      <c r="D87" s="86"/>
      <c r="E87" s="86"/>
      <c r="F87" s="86"/>
    </row>
    <row r="88" ht="14.25">
      <c r="C88" s="86"/>
      <c r="D88" s="86"/>
      <c r="E88" s="86"/>
      <c r="F88" s="86"/>
    </row>
    <row r="89" ht="14.25">
      <c r="C89" s="86"/>
      <c r="D89" s="86"/>
      <c r="E89" s="86"/>
      <c r="F89" s="86"/>
    </row>
    <row r="90" ht="14.25">
      <c r="C90" s="86"/>
      <c r="D90" s="86"/>
      <c r="E90" s="86"/>
      <c r="F90" s="8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row r="1">
      <c r="A1" s="6" t="s">
        <v>0</v>
      </c>
      <c r="B1" s="6" t="s">
        <v>1</v>
      </c>
      <c r="C1" s="6" t="s">
        <v>2</v>
      </c>
      <c r="D1" s="6" t="s">
        <v>3</v>
      </c>
      <c r="E1" s="3" t="s">
        <v>4</v>
      </c>
      <c r="F1" s="3" t="s">
        <v>5</v>
      </c>
      <c r="G1" s="3" t="s">
        <v>6</v>
      </c>
      <c r="H1" s="3" t="s">
        <v>7</v>
      </c>
      <c r="I1" s="5" t="s">
        <v>8</v>
      </c>
      <c r="J1" s="5" t="s">
        <v>9</v>
      </c>
      <c r="K1" s="5" t="s">
        <v>10</v>
      </c>
      <c r="L1" s="6" t="s">
        <v>11</v>
      </c>
      <c r="M1" s="6" t="s">
        <v>12</v>
      </c>
      <c r="N1" s="6" t="s">
        <v>13</v>
      </c>
      <c r="O1" s="5" t="s">
        <v>14</v>
      </c>
      <c r="P1" s="6" t="s">
        <v>15</v>
      </c>
      <c r="Q1" s="87" t="s">
        <v>16</v>
      </c>
      <c r="R1" s="88"/>
      <c r="S1" s="88"/>
      <c r="T1" s="89"/>
      <c r="U1" s="90" t="s">
        <v>17</v>
      </c>
      <c r="V1" s="91"/>
      <c r="W1" s="91"/>
      <c r="X1" s="91"/>
      <c r="Y1" s="91"/>
      <c r="Z1" s="92"/>
      <c r="AA1" s="93" t="s">
        <v>18</v>
      </c>
      <c r="AB1" s="94"/>
      <c r="AC1" s="94"/>
      <c r="AD1" s="94"/>
      <c r="AE1" s="94"/>
      <c r="AF1" s="95"/>
      <c r="AG1" s="96" t="s">
        <v>19</v>
      </c>
      <c r="AH1" s="97"/>
      <c r="AI1" s="97"/>
      <c r="AJ1" s="97"/>
      <c r="AK1" s="97"/>
      <c r="AL1" s="97"/>
      <c r="AM1" s="97"/>
      <c r="AN1" s="97"/>
      <c r="AO1" s="98"/>
      <c r="AP1" s="90" t="s">
        <v>20</v>
      </c>
      <c r="AQ1" s="91"/>
      <c r="AR1" s="91"/>
      <c r="AS1" s="92"/>
      <c r="AT1" s="99" t="s">
        <v>21</v>
      </c>
      <c r="AU1" s="100" t="s">
        <v>22</v>
      </c>
    </row>
    <row r="2">
      <c r="A2" s="1"/>
      <c r="B2" s="1"/>
      <c r="C2" s="1"/>
      <c r="D2" s="1"/>
      <c r="E2" s="2"/>
      <c r="F2" s="13"/>
      <c r="G2" s="2"/>
      <c r="H2" s="2"/>
      <c r="I2" s="4"/>
      <c r="J2" s="4"/>
      <c r="K2" s="4"/>
      <c r="L2" s="1"/>
      <c r="M2" s="1"/>
      <c r="N2" s="1"/>
      <c r="O2" s="14"/>
      <c r="P2" s="15"/>
      <c r="Q2" s="7" t="s">
        <v>23</v>
      </c>
      <c r="R2" s="7" t="s">
        <v>24</v>
      </c>
      <c r="S2" s="7" t="s">
        <v>25</v>
      </c>
      <c r="T2" s="7" t="s">
        <v>26</v>
      </c>
      <c r="U2" s="8" t="s">
        <v>27</v>
      </c>
      <c r="V2" s="8" t="s">
        <v>28</v>
      </c>
      <c r="W2" s="8" t="s">
        <v>29</v>
      </c>
      <c r="X2" s="8" t="s">
        <v>30</v>
      </c>
      <c r="Y2" s="8" t="s">
        <v>31</v>
      </c>
      <c r="Z2" s="8" t="s">
        <v>32</v>
      </c>
      <c r="AA2" s="9" t="s">
        <v>33</v>
      </c>
      <c r="AB2" s="9" t="s">
        <v>34</v>
      </c>
      <c r="AC2" s="9" t="s">
        <v>35</v>
      </c>
      <c r="AD2" s="9" t="s">
        <v>36</v>
      </c>
      <c r="AE2" s="9" t="s">
        <v>37</v>
      </c>
      <c r="AF2" s="9" t="s">
        <v>38</v>
      </c>
      <c r="AG2" s="16" t="s">
        <v>39</v>
      </c>
      <c r="AH2" s="16" t="s">
        <v>40</v>
      </c>
      <c r="AI2" s="16" t="s">
        <v>41</v>
      </c>
      <c r="AJ2" s="16" t="s">
        <v>42</v>
      </c>
      <c r="AK2" s="16" t="s">
        <v>43</v>
      </c>
      <c r="AL2" s="16" t="s">
        <v>44</v>
      </c>
      <c r="AM2" s="16" t="s">
        <v>45</v>
      </c>
      <c r="AN2" s="16" t="s">
        <v>46</v>
      </c>
      <c r="AO2" s="16" t="s">
        <v>47</v>
      </c>
      <c r="AP2" s="8" t="s">
        <v>48</v>
      </c>
      <c r="AQ2" s="8" t="s">
        <v>49</v>
      </c>
      <c r="AR2" s="8" t="s">
        <v>50</v>
      </c>
      <c r="AS2" s="8" t="s">
        <v>51</v>
      </c>
      <c r="AT2" s="11"/>
      <c r="AU2" s="12"/>
    </row>
  </sheetData>
  <mergeCells count="23">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T1"/>
    <mergeCell ref="U1:Z1"/>
    <mergeCell ref="AA1:AF1"/>
    <mergeCell ref="AG1:AO1"/>
    <mergeCell ref="AP1:AS1"/>
    <mergeCell ref="AT1:AT2"/>
    <mergeCell ref="AU1:AU2"/>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7" activeCellId="0" sqref="B17"/>
    </sheetView>
  </sheetViews>
  <sheetFormatPr defaultRowHeight="14.25"/>
  <cols>
    <col min="1" max="1" style="101" width="8.88671875"/>
    <col bestFit="1" customWidth="1" min="2" max="2" style="101" width="18.5546875"/>
    <col bestFit="1" customWidth="1" min="3" max="3" style="101" width="9.44140625"/>
    <col bestFit="1" customWidth="1" min="4" max="4" style="101" width="7.6640625"/>
    <col bestFit="1" customWidth="1" min="5" max="5" style="101" width="19.77734375"/>
    <col bestFit="1" customWidth="1" min="6" max="6" style="101" width="15.77734375"/>
    <col min="7" max="16384" style="101" width="8.88671875"/>
  </cols>
  <sheetData>
    <row r="1" ht="22.5">
      <c r="A1" s="102" t="s">
        <v>7946</v>
      </c>
      <c r="B1" s="24" t="s">
        <v>7947</v>
      </c>
      <c r="C1" s="24" t="s">
        <v>1</v>
      </c>
      <c r="D1" s="24" t="s">
        <v>7948</v>
      </c>
      <c r="E1" s="24" t="s">
        <v>7907</v>
      </c>
      <c r="F1" s="24" t="s">
        <v>7949</v>
      </c>
    </row>
    <row r="2">
      <c r="A2" s="102">
        <v>1</v>
      </c>
      <c r="B2" s="18" t="s">
        <v>53</v>
      </c>
      <c r="C2" s="19" t="s">
        <v>52</v>
      </c>
      <c r="D2" s="19" t="s">
        <v>54</v>
      </c>
      <c r="E2" s="102"/>
      <c r="F2" s="102"/>
    </row>
    <row r="3">
      <c r="A3" s="102">
        <v>2</v>
      </c>
      <c r="B3" s="19" t="s">
        <v>55</v>
      </c>
      <c r="C3" s="19" t="s">
        <v>52</v>
      </c>
      <c r="D3" s="19" t="s">
        <v>54</v>
      </c>
      <c r="E3" s="102"/>
      <c r="F3" s="102"/>
    </row>
    <row r="4">
      <c r="A4" s="102">
        <v>3</v>
      </c>
      <c r="B4" s="21" t="s">
        <v>56</v>
      </c>
      <c r="C4" s="19" t="s">
        <v>52</v>
      </c>
      <c r="D4" s="19" t="s">
        <v>54</v>
      </c>
      <c r="E4" s="102"/>
      <c r="F4" s="102"/>
    </row>
    <row r="5">
      <c r="A5" s="102">
        <v>4</v>
      </c>
      <c r="B5" s="21" t="s">
        <v>57</v>
      </c>
      <c r="C5" s="19" t="s">
        <v>52</v>
      </c>
      <c r="D5" s="19" t="s">
        <v>54</v>
      </c>
      <c r="E5" s="102"/>
      <c r="F5" s="102"/>
    </row>
    <row r="6">
      <c r="A6" s="102">
        <v>5</v>
      </c>
      <c r="B6" s="19" t="s">
        <v>58</v>
      </c>
      <c r="C6" s="19" t="s">
        <v>52</v>
      </c>
      <c r="D6" s="19" t="s">
        <v>54</v>
      </c>
      <c r="E6" s="19" t="s">
        <v>59</v>
      </c>
      <c r="F6" s="19" t="s">
        <v>7950</v>
      </c>
    </row>
    <row r="7">
      <c r="A7" s="102">
        <v>6</v>
      </c>
      <c r="B7" s="18" t="s">
        <v>60</v>
      </c>
      <c r="C7" s="19" t="s">
        <v>52</v>
      </c>
      <c r="D7" s="19" t="s">
        <v>54</v>
      </c>
      <c r="E7" s="102"/>
      <c r="F7" s="102"/>
    </row>
    <row r="8">
      <c r="A8" s="102">
        <v>7</v>
      </c>
      <c r="B8" s="21" t="s">
        <v>61</v>
      </c>
      <c r="C8" s="19" t="s">
        <v>52</v>
      </c>
      <c r="D8" s="19" t="s">
        <v>54</v>
      </c>
      <c r="E8" s="102"/>
      <c r="F8" s="102"/>
    </row>
    <row r="9">
      <c r="A9" s="102">
        <v>8</v>
      </c>
      <c r="B9" s="19" t="s">
        <v>62</v>
      </c>
      <c r="C9" s="19" t="s">
        <v>52</v>
      </c>
      <c r="D9" s="19" t="s">
        <v>54</v>
      </c>
      <c r="E9" s="102"/>
      <c r="F9" s="102"/>
    </row>
    <row r="10">
      <c r="A10" s="102">
        <v>9</v>
      </c>
      <c r="B10" s="21" t="s">
        <v>63</v>
      </c>
      <c r="C10" s="19" t="s">
        <v>52</v>
      </c>
      <c r="D10" s="19" t="s">
        <v>54</v>
      </c>
      <c r="E10" s="102"/>
      <c r="F10" s="102"/>
    </row>
    <row r="11">
      <c r="A11" s="102">
        <v>10</v>
      </c>
      <c r="B11" s="21" t="s">
        <v>64</v>
      </c>
      <c r="C11" s="19" t="s">
        <v>52</v>
      </c>
      <c r="D11" s="19" t="s">
        <v>54</v>
      </c>
      <c r="E11" s="102"/>
      <c r="F11" s="102"/>
    </row>
    <row r="12">
      <c r="A12" s="102">
        <v>11</v>
      </c>
      <c r="B12" s="21" t="s">
        <v>65</v>
      </c>
      <c r="C12" s="19" t="s">
        <v>52</v>
      </c>
      <c r="D12" s="19" t="s">
        <v>54</v>
      </c>
      <c r="E12" s="102"/>
      <c r="F12" s="102"/>
    </row>
    <row r="13">
      <c r="A13" s="102">
        <v>12</v>
      </c>
      <c r="B13" s="18" t="s">
        <v>66</v>
      </c>
      <c r="C13" s="19" t="s">
        <v>52</v>
      </c>
      <c r="D13" s="19" t="s">
        <v>54</v>
      </c>
      <c r="E13" s="102"/>
      <c r="F13" s="102"/>
    </row>
    <row r="14">
      <c r="A14" s="102">
        <v>13</v>
      </c>
      <c r="B14" s="19" t="s">
        <v>67</v>
      </c>
      <c r="C14" s="19" t="s">
        <v>52</v>
      </c>
      <c r="D14" s="19" t="s">
        <v>54</v>
      </c>
      <c r="E14" s="102"/>
      <c r="F14" s="102"/>
    </row>
    <row r="15">
      <c r="A15" s="102">
        <v>14</v>
      </c>
      <c r="B15" s="18" t="s">
        <v>68</v>
      </c>
      <c r="C15" s="19" t="s">
        <v>52</v>
      </c>
      <c r="D15" s="19" t="s">
        <v>54</v>
      </c>
      <c r="E15" s="102"/>
      <c r="F15" s="102"/>
    </row>
    <row r="16">
      <c r="A16" s="102">
        <v>15</v>
      </c>
      <c r="B16" s="19" t="s">
        <v>69</v>
      </c>
      <c r="C16" s="19" t="s">
        <v>52</v>
      </c>
      <c r="D16" s="19" t="s">
        <v>54</v>
      </c>
      <c r="E16" s="19" t="s">
        <v>72</v>
      </c>
      <c r="F16" s="19" t="s">
        <v>7950</v>
      </c>
    </row>
    <row r="17">
      <c r="A17" s="102">
        <v>16</v>
      </c>
      <c r="B17" s="19" t="s">
        <v>69</v>
      </c>
      <c r="C17" s="19" t="s">
        <v>52</v>
      </c>
      <c r="D17" s="19" t="s">
        <v>54</v>
      </c>
      <c r="E17" s="19" t="s">
        <v>72</v>
      </c>
      <c r="F17" s="19" t="s">
        <v>7950</v>
      </c>
    </row>
    <row r="18">
      <c r="A18" s="102">
        <v>17</v>
      </c>
      <c r="B18" s="18" t="s">
        <v>87</v>
      </c>
      <c r="C18" s="19" t="s">
        <v>52</v>
      </c>
      <c r="D18" s="19" t="s">
        <v>54</v>
      </c>
      <c r="E18" s="102"/>
      <c r="F18" s="102"/>
    </row>
    <row r="19">
      <c r="A19" s="102">
        <v>18</v>
      </c>
      <c r="B19" s="18" t="s">
        <v>88</v>
      </c>
      <c r="C19" s="19" t="s">
        <v>52</v>
      </c>
      <c r="D19" s="19" t="s">
        <v>54</v>
      </c>
      <c r="E19" s="102"/>
      <c r="F19" s="102"/>
    </row>
    <row r="20">
      <c r="A20" s="102">
        <v>19</v>
      </c>
      <c r="B20" s="21" t="s">
        <v>89</v>
      </c>
      <c r="C20" s="19" t="s">
        <v>52</v>
      </c>
      <c r="D20" s="19" t="s">
        <v>54</v>
      </c>
      <c r="E20" s="102"/>
      <c r="F20" s="102"/>
    </row>
    <row r="21">
      <c r="A21" s="102">
        <v>20</v>
      </c>
      <c r="B21" s="18" t="s">
        <v>90</v>
      </c>
      <c r="C21" s="19" t="s">
        <v>52</v>
      </c>
      <c r="D21" s="19" t="s">
        <v>54</v>
      </c>
      <c r="E21" s="102"/>
      <c r="F21" s="102"/>
    </row>
    <row r="22">
      <c r="A22" s="102">
        <v>21</v>
      </c>
      <c r="B22" s="19" t="s">
        <v>91</v>
      </c>
      <c r="C22" s="19" t="s">
        <v>52</v>
      </c>
      <c r="D22" s="19" t="s">
        <v>54</v>
      </c>
      <c r="E22" s="102"/>
      <c r="F22" s="102"/>
    </row>
    <row r="23">
      <c r="A23" s="102">
        <v>22</v>
      </c>
      <c r="B23" s="18" t="s">
        <v>92</v>
      </c>
      <c r="C23" s="19" t="s">
        <v>52</v>
      </c>
      <c r="D23" s="19" t="s">
        <v>54</v>
      </c>
      <c r="E23" s="102"/>
      <c r="F23" s="102"/>
    </row>
    <row r="24">
      <c r="A24" s="102">
        <v>23</v>
      </c>
      <c r="B24" s="21" t="s">
        <v>93</v>
      </c>
      <c r="C24" s="19" t="s">
        <v>52</v>
      </c>
      <c r="D24" s="19" t="s">
        <v>54</v>
      </c>
      <c r="E24" s="102"/>
      <c r="F24" s="102"/>
    </row>
    <row r="25">
      <c r="A25" s="102">
        <v>24</v>
      </c>
      <c r="B25" s="18" t="s">
        <v>94</v>
      </c>
      <c r="C25" s="19" t="s">
        <v>52</v>
      </c>
      <c r="D25" s="19" t="s">
        <v>54</v>
      </c>
      <c r="E25" s="102"/>
      <c r="F25" s="102"/>
    </row>
    <row r="26">
      <c r="A26" s="102">
        <v>25</v>
      </c>
      <c r="B26" s="21" t="s">
        <v>95</v>
      </c>
      <c r="C26" s="19" t="s">
        <v>52</v>
      </c>
      <c r="D26" s="19" t="s">
        <v>54</v>
      </c>
      <c r="E26" s="102"/>
      <c r="F26" s="102"/>
    </row>
    <row r="27">
      <c r="A27" s="102">
        <v>26</v>
      </c>
      <c r="B27" s="18" t="s">
        <v>96</v>
      </c>
      <c r="C27" s="19" t="s">
        <v>52</v>
      </c>
      <c r="D27" s="19" t="s">
        <v>54</v>
      </c>
      <c r="E27" s="102"/>
      <c r="F27" s="102"/>
    </row>
    <row r="28">
      <c r="A28" s="102">
        <v>27</v>
      </c>
      <c r="B28" s="19" t="s">
        <v>97</v>
      </c>
      <c r="C28" s="19" t="s">
        <v>52</v>
      </c>
      <c r="D28" s="19" t="s">
        <v>54</v>
      </c>
      <c r="E28" s="102"/>
      <c r="F28" s="102"/>
    </row>
    <row r="29">
      <c r="A29" s="102">
        <v>28</v>
      </c>
      <c r="B29" s="18" t="s">
        <v>98</v>
      </c>
      <c r="C29" s="19" t="s">
        <v>52</v>
      </c>
      <c r="D29" s="19" t="s">
        <v>54</v>
      </c>
      <c r="E29" s="102"/>
      <c r="F29" s="102"/>
    </row>
    <row r="30">
      <c r="A30" s="102">
        <v>29</v>
      </c>
      <c r="B30" s="18" t="s">
        <v>99</v>
      </c>
      <c r="C30" s="19" t="s">
        <v>52</v>
      </c>
      <c r="D30" s="19" t="s">
        <v>54</v>
      </c>
      <c r="E30" s="102"/>
      <c r="F30" s="102"/>
    </row>
    <row r="31">
      <c r="A31" s="102">
        <v>30</v>
      </c>
      <c r="B31" s="19" t="s">
        <v>100</v>
      </c>
      <c r="C31" s="19" t="s">
        <v>52</v>
      </c>
      <c r="D31" s="19" t="s">
        <v>54</v>
      </c>
      <c r="E31" s="19" t="s">
        <v>103</v>
      </c>
      <c r="F31" s="19" t="s">
        <v>7950</v>
      </c>
    </row>
    <row r="32">
      <c r="A32" s="102">
        <v>31</v>
      </c>
      <c r="B32" s="19" t="s">
        <v>112</v>
      </c>
      <c r="C32" s="19" t="s">
        <v>52</v>
      </c>
      <c r="D32" s="19" t="s">
        <v>54</v>
      </c>
      <c r="E32" s="19" t="s">
        <v>103</v>
      </c>
      <c r="F32" s="19" t="s">
        <v>7951</v>
      </c>
    </row>
    <row r="33">
      <c r="A33" s="102">
        <v>32</v>
      </c>
      <c r="B33" s="19" t="s">
        <v>114</v>
      </c>
      <c r="C33" s="19" t="s">
        <v>52</v>
      </c>
      <c r="D33" s="19" t="s">
        <v>54</v>
      </c>
      <c r="E33" s="19" t="s">
        <v>117</v>
      </c>
      <c r="F33" s="19" t="s">
        <v>7951</v>
      </c>
    </row>
    <row r="34">
      <c r="A34" s="102">
        <v>33</v>
      </c>
      <c r="B34" s="19" t="s">
        <v>119</v>
      </c>
      <c r="C34" s="19" t="s">
        <v>52</v>
      </c>
      <c r="D34" s="19" t="s">
        <v>54</v>
      </c>
      <c r="E34" s="19" t="s">
        <v>122</v>
      </c>
      <c r="F34" s="19" t="s">
        <v>7950</v>
      </c>
    </row>
    <row r="35">
      <c r="A35" s="102">
        <v>34</v>
      </c>
      <c r="B35" s="19" t="s">
        <v>128</v>
      </c>
      <c r="C35" s="19" t="s">
        <v>52</v>
      </c>
      <c r="D35" s="19" t="s">
        <v>54</v>
      </c>
      <c r="E35" s="19" t="s">
        <v>131</v>
      </c>
      <c r="F35" s="19" t="s">
        <v>7950</v>
      </c>
    </row>
    <row r="36">
      <c r="A36" s="102">
        <v>35</v>
      </c>
      <c r="B36" s="20" t="s">
        <v>132</v>
      </c>
      <c r="C36" s="19" t="s">
        <v>52</v>
      </c>
      <c r="D36" s="19" t="s">
        <v>54</v>
      </c>
      <c r="E36" s="102"/>
      <c r="F36" s="102"/>
    </row>
    <row r="37">
      <c r="A37" s="102">
        <v>36</v>
      </c>
      <c r="B37" s="19" t="s">
        <v>133</v>
      </c>
      <c r="C37" s="19" t="s">
        <v>52</v>
      </c>
      <c r="D37" s="19" t="s">
        <v>54</v>
      </c>
      <c r="E37" s="19" t="s">
        <v>72</v>
      </c>
      <c r="F37" s="19" t="s">
        <v>7950</v>
      </c>
    </row>
    <row r="38">
      <c r="A38" s="102">
        <v>37</v>
      </c>
      <c r="B38" s="19" t="s">
        <v>139</v>
      </c>
      <c r="C38" s="19" t="s">
        <v>52</v>
      </c>
      <c r="D38" s="19" t="s">
        <v>54</v>
      </c>
      <c r="E38" s="19" t="s">
        <v>72</v>
      </c>
      <c r="F38" s="19" t="s">
        <v>7950</v>
      </c>
    </row>
    <row r="39">
      <c r="A39" s="102">
        <v>38</v>
      </c>
      <c r="B39" s="19" t="s">
        <v>147</v>
      </c>
      <c r="C39" s="19" t="s">
        <v>52</v>
      </c>
      <c r="D39" s="19" t="s">
        <v>54</v>
      </c>
      <c r="E39" s="19" t="s">
        <v>150</v>
      </c>
      <c r="F39" s="19" t="s">
        <v>7950</v>
      </c>
    </row>
    <row r="40">
      <c r="A40" s="102">
        <v>39</v>
      </c>
      <c r="B40" s="19" t="s">
        <v>156</v>
      </c>
      <c r="C40" s="19" t="s">
        <v>52</v>
      </c>
      <c r="D40" s="19" t="s">
        <v>54</v>
      </c>
      <c r="E40" s="19" t="s">
        <v>159</v>
      </c>
      <c r="F40" s="19" t="s">
        <v>7950</v>
      </c>
    </row>
    <row r="41">
      <c r="A41" s="102">
        <v>40</v>
      </c>
      <c r="B41" s="19" t="s">
        <v>165</v>
      </c>
      <c r="C41" s="19" t="s">
        <v>52</v>
      </c>
      <c r="D41" s="19" t="s">
        <v>54</v>
      </c>
      <c r="E41" s="19" t="s">
        <v>166</v>
      </c>
      <c r="F41" s="19" t="s">
        <v>7951</v>
      </c>
    </row>
    <row r="42">
      <c r="A42" s="102">
        <v>41</v>
      </c>
      <c r="B42" s="19" t="s">
        <v>167</v>
      </c>
      <c r="C42" s="19" t="s">
        <v>52</v>
      </c>
      <c r="D42" s="19" t="s">
        <v>54</v>
      </c>
      <c r="E42" s="19" t="s">
        <v>159</v>
      </c>
      <c r="F42" s="19" t="s">
        <v>7951</v>
      </c>
    </row>
    <row r="43">
      <c r="A43" s="102">
        <v>42</v>
      </c>
      <c r="B43" s="20" t="s">
        <v>170</v>
      </c>
      <c r="C43" s="19" t="s">
        <v>52</v>
      </c>
      <c r="D43" s="19" t="s">
        <v>54</v>
      </c>
      <c r="E43" s="102"/>
      <c r="F43" s="102"/>
    </row>
    <row r="44">
      <c r="A44" s="102">
        <v>43</v>
      </c>
      <c r="B44" s="19" t="s">
        <v>171</v>
      </c>
      <c r="C44" s="19" t="s">
        <v>52</v>
      </c>
      <c r="D44" s="19" t="s">
        <v>54</v>
      </c>
      <c r="E44" s="19" t="s">
        <v>150</v>
      </c>
      <c r="F44" s="19" t="s">
        <v>7950</v>
      </c>
    </row>
    <row r="45">
      <c r="A45" s="102">
        <v>44</v>
      </c>
      <c r="B45" s="19" t="s">
        <v>172</v>
      </c>
      <c r="C45" s="19" t="s">
        <v>52</v>
      </c>
      <c r="D45" s="19" t="s">
        <v>54</v>
      </c>
      <c r="E45" s="19" t="s">
        <v>59</v>
      </c>
      <c r="F45" s="19" t="s">
        <v>7950</v>
      </c>
    </row>
    <row r="46">
      <c r="A46" s="102">
        <v>45</v>
      </c>
      <c r="B46" s="19" t="s">
        <v>175</v>
      </c>
      <c r="C46" s="19" t="s">
        <v>52</v>
      </c>
      <c r="D46" s="19" t="s">
        <v>54</v>
      </c>
      <c r="E46" s="19" t="s">
        <v>59</v>
      </c>
      <c r="F46" s="19" t="s">
        <v>7950</v>
      </c>
    </row>
    <row r="47">
      <c r="A47" s="102">
        <v>46</v>
      </c>
      <c r="B47" s="19" t="s">
        <v>178</v>
      </c>
      <c r="C47" s="19" t="s">
        <v>52</v>
      </c>
      <c r="D47" s="19" t="s">
        <v>54</v>
      </c>
      <c r="E47" s="19" t="s">
        <v>59</v>
      </c>
      <c r="F47" s="19" t="s">
        <v>7950</v>
      </c>
    </row>
    <row r="48">
      <c r="A48" s="102">
        <v>47</v>
      </c>
      <c r="B48" s="19" t="s">
        <v>181</v>
      </c>
      <c r="C48" s="19" t="s">
        <v>52</v>
      </c>
      <c r="D48" s="19" t="s">
        <v>54</v>
      </c>
      <c r="E48" s="19" t="s">
        <v>59</v>
      </c>
      <c r="F48" s="19" t="s">
        <v>7950</v>
      </c>
    </row>
    <row r="49">
      <c r="A49" s="102">
        <v>48</v>
      </c>
      <c r="B49" s="19" t="s">
        <v>184</v>
      </c>
      <c r="C49" s="19" t="s">
        <v>52</v>
      </c>
      <c r="D49" s="19" t="s">
        <v>54</v>
      </c>
      <c r="E49" s="19" t="s">
        <v>150</v>
      </c>
      <c r="F49" s="19" t="s">
        <v>7950</v>
      </c>
    </row>
    <row r="50">
      <c r="A50" s="102">
        <v>49</v>
      </c>
      <c r="B50" s="19" t="s">
        <v>191</v>
      </c>
      <c r="C50" s="19" t="s">
        <v>52</v>
      </c>
      <c r="D50" s="19" t="s">
        <v>54</v>
      </c>
      <c r="E50" s="19" t="s">
        <v>150</v>
      </c>
      <c r="F50" s="19" t="s">
        <v>7950</v>
      </c>
    </row>
    <row r="51">
      <c r="A51" s="102">
        <v>50</v>
      </c>
      <c r="B51" s="19" t="s">
        <v>197</v>
      </c>
      <c r="C51" s="19" t="s">
        <v>52</v>
      </c>
      <c r="D51" s="19" t="s">
        <v>54</v>
      </c>
      <c r="E51" s="19" t="s">
        <v>59</v>
      </c>
      <c r="F51" s="19" t="s">
        <v>7950</v>
      </c>
    </row>
    <row r="52">
      <c r="A52" s="102">
        <v>51</v>
      </c>
      <c r="B52" s="19" t="s">
        <v>200</v>
      </c>
      <c r="C52" s="19" t="s">
        <v>52</v>
      </c>
      <c r="D52" s="19" t="s">
        <v>54</v>
      </c>
      <c r="E52" s="19" t="s">
        <v>59</v>
      </c>
      <c r="F52" s="19" t="s">
        <v>7950</v>
      </c>
    </row>
    <row r="53">
      <c r="A53" s="102">
        <v>52</v>
      </c>
      <c r="B53" s="19" t="s">
        <v>203</v>
      </c>
      <c r="C53" s="19" t="s">
        <v>52</v>
      </c>
      <c r="D53" s="19" t="s">
        <v>54</v>
      </c>
      <c r="E53" s="19" t="s">
        <v>59</v>
      </c>
      <c r="F53" s="19" t="s">
        <v>7950</v>
      </c>
    </row>
    <row r="54">
      <c r="A54" s="102">
        <v>53</v>
      </c>
      <c r="B54" s="19" t="s">
        <v>206</v>
      </c>
      <c r="C54" s="19" t="s">
        <v>52</v>
      </c>
      <c r="D54" s="19" t="s">
        <v>54</v>
      </c>
      <c r="E54" s="19" t="s">
        <v>59</v>
      </c>
      <c r="F54" s="19" t="s">
        <v>7950</v>
      </c>
    </row>
    <row r="55">
      <c r="A55" s="102">
        <v>54</v>
      </c>
      <c r="B55" s="19" t="s">
        <v>209</v>
      </c>
      <c r="C55" s="19" t="s">
        <v>52</v>
      </c>
      <c r="D55" s="19" t="s">
        <v>54</v>
      </c>
      <c r="E55" s="19" t="s">
        <v>59</v>
      </c>
      <c r="F55" s="19" t="s">
        <v>7950</v>
      </c>
    </row>
    <row r="56">
      <c r="A56" s="102">
        <v>55</v>
      </c>
      <c r="B56" s="19" t="s">
        <v>212</v>
      </c>
      <c r="C56" s="19" t="s">
        <v>52</v>
      </c>
      <c r="D56" s="19" t="s">
        <v>54</v>
      </c>
      <c r="E56" s="19" t="s">
        <v>59</v>
      </c>
      <c r="F56" s="19" t="s">
        <v>7950</v>
      </c>
    </row>
    <row r="57">
      <c r="A57" s="102">
        <v>56</v>
      </c>
      <c r="B57" s="19" t="s">
        <v>215</v>
      </c>
      <c r="C57" s="19" t="s">
        <v>52</v>
      </c>
      <c r="D57" s="19" t="s">
        <v>54</v>
      </c>
      <c r="E57" s="19" t="s">
        <v>59</v>
      </c>
      <c r="F57" s="19" t="s">
        <v>7950</v>
      </c>
    </row>
    <row r="58">
      <c r="A58" s="102">
        <v>57</v>
      </c>
      <c r="B58" s="19" t="s">
        <v>218</v>
      </c>
      <c r="C58" s="19" t="s">
        <v>52</v>
      </c>
      <c r="D58" s="19" t="s">
        <v>54</v>
      </c>
      <c r="E58" s="19" t="s">
        <v>150</v>
      </c>
      <c r="F58" s="19" t="s">
        <v>7950</v>
      </c>
    </row>
    <row r="59">
      <c r="A59" s="102">
        <v>58</v>
      </c>
      <c r="B59" s="19" t="s">
        <v>222</v>
      </c>
      <c r="C59" s="19" t="s">
        <v>52</v>
      </c>
      <c r="D59" s="19" t="s">
        <v>54</v>
      </c>
      <c r="E59" s="19" t="s">
        <v>59</v>
      </c>
      <c r="F59" s="19" t="s">
        <v>7950</v>
      </c>
    </row>
    <row r="60">
      <c r="A60" s="102">
        <v>59</v>
      </c>
      <c r="B60" s="19" t="s">
        <v>225</v>
      </c>
      <c r="C60" s="19" t="s">
        <v>52</v>
      </c>
      <c r="D60" s="19" t="s">
        <v>54</v>
      </c>
      <c r="E60" s="19" t="s">
        <v>59</v>
      </c>
      <c r="F60" s="19" t="s">
        <v>7950</v>
      </c>
    </row>
    <row r="61">
      <c r="A61" s="102">
        <v>60</v>
      </c>
      <c r="B61" s="19" t="s">
        <v>228</v>
      </c>
      <c r="C61" s="19" t="s">
        <v>52</v>
      </c>
      <c r="D61" s="19" t="s">
        <v>54</v>
      </c>
      <c r="E61" s="19" t="s">
        <v>59</v>
      </c>
      <c r="F61" s="19" t="s">
        <v>7950</v>
      </c>
    </row>
    <row r="62">
      <c r="A62" s="102">
        <v>61</v>
      </c>
      <c r="B62" s="19" t="s">
        <v>230</v>
      </c>
      <c r="C62" s="19" t="s">
        <v>52</v>
      </c>
      <c r="D62" s="19" t="s">
        <v>54</v>
      </c>
      <c r="E62" s="19" t="s">
        <v>59</v>
      </c>
      <c r="F62" s="19" t="s">
        <v>7950</v>
      </c>
    </row>
    <row r="63">
      <c r="A63" s="102">
        <v>62</v>
      </c>
      <c r="B63" s="19" t="s">
        <v>233</v>
      </c>
      <c r="C63" s="19" t="s">
        <v>52</v>
      </c>
      <c r="D63" s="19" t="s">
        <v>54</v>
      </c>
      <c r="E63" s="19" t="s">
        <v>59</v>
      </c>
      <c r="F63" s="19" t="s">
        <v>7950</v>
      </c>
    </row>
    <row r="64">
      <c r="A64" s="102">
        <v>63</v>
      </c>
      <c r="B64" s="19" t="s">
        <v>236</v>
      </c>
      <c r="C64" s="19" t="s">
        <v>52</v>
      </c>
      <c r="D64" s="19" t="s">
        <v>54</v>
      </c>
      <c r="E64" s="19" t="s">
        <v>150</v>
      </c>
      <c r="F64" s="19" t="s">
        <v>7950</v>
      </c>
    </row>
    <row r="65">
      <c r="A65" s="102">
        <v>64</v>
      </c>
      <c r="B65" s="19" t="s">
        <v>242</v>
      </c>
      <c r="C65" s="19" t="s">
        <v>52</v>
      </c>
      <c r="D65" s="19" t="s">
        <v>54</v>
      </c>
      <c r="E65" s="19" t="s">
        <v>59</v>
      </c>
      <c r="F65" s="19" t="s">
        <v>7950</v>
      </c>
    </row>
    <row r="66">
      <c r="A66" s="102">
        <v>65</v>
      </c>
      <c r="B66" s="19" t="s">
        <v>245</v>
      </c>
      <c r="C66" s="19" t="s">
        <v>52</v>
      </c>
      <c r="D66" s="19" t="s">
        <v>54</v>
      </c>
      <c r="E66" s="19" t="s">
        <v>59</v>
      </c>
      <c r="F66" s="19" t="s">
        <v>7950</v>
      </c>
    </row>
    <row r="67">
      <c r="A67" s="102">
        <v>66</v>
      </c>
      <c r="B67" s="19" t="s">
        <v>248</v>
      </c>
      <c r="C67" s="19" t="s">
        <v>52</v>
      </c>
      <c r="D67" s="19" t="s">
        <v>54</v>
      </c>
      <c r="E67" s="19" t="s">
        <v>150</v>
      </c>
      <c r="F67" s="19" t="s">
        <v>7950</v>
      </c>
    </row>
    <row r="68">
      <c r="A68" s="102">
        <v>67</v>
      </c>
      <c r="B68" s="19" t="s">
        <v>255</v>
      </c>
      <c r="C68" s="19" t="s">
        <v>52</v>
      </c>
      <c r="D68" s="19" t="s">
        <v>54</v>
      </c>
      <c r="E68" s="19" t="s">
        <v>59</v>
      </c>
      <c r="F68" s="19" t="s">
        <v>7950</v>
      </c>
    </row>
    <row r="69">
      <c r="A69" s="102">
        <v>68</v>
      </c>
      <c r="B69" s="19" t="s">
        <v>258</v>
      </c>
      <c r="C69" s="19" t="s">
        <v>52</v>
      </c>
      <c r="D69" s="19" t="s">
        <v>54</v>
      </c>
      <c r="E69" s="19" t="s">
        <v>150</v>
      </c>
      <c r="F69" s="19" t="s">
        <v>7950</v>
      </c>
    </row>
    <row r="70">
      <c r="A70" s="102">
        <v>69</v>
      </c>
      <c r="B70" s="19" t="s">
        <v>262</v>
      </c>
      <c r="C70" s="19" t="s">
        <v>52</v>
      </c>
      <c r="D70" s="19" t="s">
        <v>54</v>
      </c>
      <c r="E70" s="19" t="s">
        <v>59</v>
      </c>
      <c r="F70" s="19" t="s">
        <v>7950</v>
      </c>
    </row>
    <row r="71">
      <c r="A71" s="102">
        <v>70</v>
      </c>
      <c r="B71" s="19" t="s">
        <v>265</v>
      </c>
      <c r="C71" s="19" t="s">
        <v>52</v>
      </c>
      <c r="D71" s="19" t="s">
        <v>54</v>
      </c>
      <c r="E71" s="19" t="s">
        <v>59</v>
      </c>
      <c r="F71" s="19" t="s">
        <v>7950</v>
      </c>
    </row>
    <row r="72">
      <c r="A72" s="102">
        <v>71</v>
      </c>
      <c r="B72" s="19" t="s">
        <v>268</v>
      </c>
      <c r="C72" s="19" t="s">
        <v>52</v>
      </c>
      <c r="D72" s="19" t="s">
        <v>54</v>
      </c>
      <c r="E72" s="19" t="s">
        <v>59</v>
      </c>
      <c r="F72" s="19" t="s">
        <v>7950</v>
      </c>
    </row>
    <row r="73">
      <c r="A73" s="102">
        <v>72</v>
      </c>
      <c r="B73" s="19" t="s">
        <v>271</v>
      </c>
      <c r="C73" s="19" t="s">
        <v>52</v>
      </c>
      <c r="D73" s="19" t="s">
        <v>54</v>
      </c>
      <c r="E73" s="19" t="s">
        <v>59</v>
      </c>
      <c r="F73" s="19" t="s">
        <v>7950</v>
      </c>
    </row>
    <row r="74">
      <c r="A74" s="102">
        <v>73</v>
      </c>
      <c r="B74" s="19" t="s">
        <v>274</v>
      </c>
      <c r="C74" s="19" t="s">
        <v>52</v>
      </c>
      <c r="D74" s="19" t="s">
        <v>54</v>
      </c>
      <c r="E74" s="19" t="s">
        <v>59</v>
      </c>
      <c r="F74" s="19" t="s">
        <v>7950</v>
      </c>
    </row>
    <row r="75">
      <c r="A75" s="102">
        <v>74</v>
      </c>
      <c r="B75" s="19" t="s">
        <v>275</v>
      </c>
      <c r="C75" s="19" t="s">
        <v>52</v>
      </c>
      <c r="D75" s="19" t="s">
        <v>54</v>
      </c>
      <c r="E75" s="19" t="s">
        <v>59</v>
      </c>
      <c r="F75" s="19" t="s">
        <v>7951</v>
      </c>
    </row>
    <row r="76">
      <c r="A76" s="102">
        <v>75</v>
      </c>
      <c r="B76" s="19" t="s">
        <v>278</v>
      </c>
      <c r="C76" s="19" t="s">
        <v>52</v>
      </c>
      <c r="D76" s="19" t="s">
        <v>54</v>
      </c>
      <c r="E76" s="19" t="s">
        <v>59</v>
      </c>
      <c r="F76" s="19" t="s">
        <v>7951</v>
      </c>
    </row>
    <row r="77">
      <c r="A77" s="102">
        <v>76</v>
      </c>
      <c r="B77" s="19" t="s">
        <v>281</v>
      </c>
      <c r="C77" s="19" t="s">
        <v>52</v>
      </c>
      <c r="D77" s="19" t="s">
        <v>54</v>
      </c>
      <c r="E77" s="19" t="s">
        <v>59</v>
      </c>
      <c r="F77" s="19" t="s">
        <v>7951</v>
      </c>
    </row>
    <row r="78">
      <c r="A78" s="102">
        <v>77</v>
      </c>
      <c r="B78" s="19" t="s">
        <v>284</v>
      </c>
      <c r="C78" s="19" t="s">
        <v>52</v>
      </c>
      <c r="D78" s="19" t="s">
        <v>54</v>
      </c>
      <c r="E78" s="19" t="s">
        <v>59</v>
      </c>
      <c r="F78" s="19" t="s">
        <v>7951</v>
      </c>
    </row>
    <row r="79">
      <c r="A79" s="102">
        <v>78</v>
      </c>
      <c r="B79" s="19" t="s">
        <v>287</v>
      </c>
      <c r="C79" s="19" t="s">
        <v>52</v>
      </c>
      <c r="D79" s="19" t="s">
        <v>54</v>
      </c>
      <c r="E79" s="19" t="s">
        <v>59</v>
      </c>
      <c r="F79" s="19" t="s">
        <v>7951</v>
      </c>
    </row>
    <row r="80">
      <c r="A80" s="102">
        <v>79</v>
      </c>
      <c r="B80" s="19" t="s">
        <v>290</v>
      </c>
      <c r="C80" s="19" t="s">
        <v>52</v>
      </c>
      <c r="D80" s="19" t="s">
        <v>54</v>
      </c>
      <c r="E80" s="19" t="s">
        <v>59</v>
      </c>
      <c r="F80" s="19" t="s">
        <v>7951</v>
      </c>
    </row>
    <row r="81">
      <c r="A81" s="102">
        <v>80</v>
      </c>
      <c r="B81" s="19" t="s">
        <v>293</v>
      </c>
      <c r="C81" s="19" t="s">
        <v>52</v>
      </c>
      <c r="D81" s="19" t="s">
        <v>54</v>
      </c>
      <c r="E81" s="19" t="s">
        <v>296</v>
      </c>
      <c r="F81" s="19" t="s">
        <v>7951</v>
      </c>
    </row>
    <row r="82">
      <c r="A82" s="102">
        <v>81</v>
      </c>
      <c r="B82" s="19" t="s">
        <v>297</v>
      </c>
      <c r="C82" s="19" t="s">
        <v>52</v>
      </c>
      <c r="D82" s="19" t="s">
        <v>54</v>
      </c>
      <c r="E82" s="19" t="s">
        <v>59</v>
      </c>
      <c r="F82" s="19" t="s">
        <v>7951</v>
      </c>
    </row>
    <row r="83">
      <c r="A83" s="102">
        <v>82</v>
      </c>
      <c r="B83" s="18" t="s">
        <v>299</v>
      </c>
      <c r="C83" s="19" t="s">
        <v>52</v>
      </c>
      <c r="D83" s="19" t="s">
        <v>54</v>
      </c>
      <c r="E83" s="102"/>
      <c r="F83" s="102"/>
    </row>
    <row r="84">
      <c r="A84" s="102">
        <v>83</v>
      </c>
      <c r="B84" s="20" t="s">
        <v>300</v>
      </c>
      <c r="C84" s="19" t="s">
        <v>52</v>
      </c>
      <c r="D84" s="19" t="s">
        <v>54</v>
      </c>
      <c r="E84" s="102"/>
      <c r="F84" s="102"/>
    </row>
    <row r="85">
      <c r="A85" s="102">
        <v>84</v>
      </c>
      <c r="B85" s="20" t="s">
        <v>301</v>
      </c>
      <c r="C85" s="19" t="s">
        <v>52</v>
      </c>
      <c r="D85" s="19" t="s">
        <v>54</v>
      </c>
      <c r="E85" s="102"/>
      <c r="F85" s="102"/>
    </row>
    <row r="86">
      <c r="A86" s="102">
        <v>85</v>
      </c>
      <c r="B86" s="18" t="s">
        <v>302</v>
      </c>
      <c r="C86" s="19" t="s">
        <v>52</v>
      </c>
      <c r="D86" s="19" t="s">
        <v>54</v>
      </c>
      <c r="E86" s="102"/>
      <c r="F86" s="102"/>
    </row>
    <row r="87">
      <c r="A87" s="102">
        <v>86</v>
      </c>
      <c r="B87" s="19" t="s">
        <v>303</v>
      </c>
      <c r="C87" s="19" t="s">
        <v>52</v>
      </c>
      <c r="D87" s="19" t="s">
        <v>54</v>
      </c>
      <c r="E87" s="19" t="s">
        <v>306</v>
      </c>
      <c r="F87" s="19" t="s">
        <v>7951</v>
      </c>
    </row>
    <row r="88">
      <c r="A88" s="102">
        <v>87</v>
      </c>
      <c r="B88" s="19" t="s">
        <v>307</v>
      </c>
      <c r="C88" s="19" t="s">
        <v>52</v>
      </c>
      <c r="D88" s="19" t="s">
        <v>54</v>
      </c>
      <c r="E88" s="19" t="s">
        <v>306</v>
      </c>
      <c r="F88" s="19" t="s">
        <v>7950</v>
      </c>
    </row>
    <row r="89">
      <c r="A89" s="102">
        <v>88</v>
      </c>
      <c r="B89" s="19" t="s">
        <v>310</v>
      </c>
      <c r="C89" s="19" t="s">
        <v>52</v>
      </c>
      <c r="D89" s="19" t="s">
        <v>54</v>
      </c>
      <c r="E89" s="19" t="s">
        <v>306</v>
      </c>
      <c r="F89" s="19" t="s">
        <v>7950</v>
      </c>
    </row>
    <row r="90">
      <c r="A90" s="102">
        <v>89</v>
      </c>
      <c r="B90" s="19" t="s">
        <v>313</v>
      </c>
      <c r="C90" s="19" t="s">
        <v>52</v>
      </c>
      <c r="D90" s="19" t="s">
        <v>54</v>
      </c>
      <c r="E90" s="19" t="s">
        <v>306</v>
      </c>
      <c r="F90" s="19" t="s">
        <v>7950</v>
      </c>
    </row>
    <row r="91">
      <c r="A91" s="102">
        <v>90</v>
      </c>
      <c r="B91" s="19" t="s">
        <v>316</v>
      </c>
      <c r="C91" s="19" t="s">
        <v>52</v>
      </c>
      <c r="D91" s="19" t="s">
        <v>54</v>
      </c>
      <c r="E91" s="19" t="s">
        <v>306</v>
      </c>
      <c r="F91" s="19" t="s">
        <v>7950</v>
      </c>
    </row>
    <row r="92">
      <c r="A92" s="102">
        <v>91</v>
      </c>
      <c r="B92" s="19" t="s">
        <v>318</v>
      </c>
      <c r="C92" s="19" t="s">
        <v>52</v>
      </c>
      <c r="D92" s="19" t="s">
        <v>54</v>
      </c>
      <c r="E92" s="19" t="s">
        <v>296</v>
      </c>
      <c r="F92" s="19" t="s">
        <v>7950</v>
      </c>
    </row>
    <row r="93">
      <c r="A93" s="102">
        <v>92</v>
      </c>
      <c r="B93" s="19" t="s">
        <v>323</v>
      </c>
      <c r="C93" s="19" t="s">
        <v>52</v>
      </c>
      <c r="D93" s="19" t="s">
        <v>54</v>
      </c>
      <c r="E93" s="19" t="s">
        <v>59</v>
      </c>
      <c r="F93" s="19" t="s">
        <v>7950</v>
      </c>
    </row>
    <row r="94">
      <c r="A94" s="102">
        <v>93</v>
      </c>
      <c r="B94" s="19" t="s">
        <v>326</v>
      </c>
      <c r="C94" s="19" t="s">
        <v>52</v>
      </c>
      <c r="D94" s="19" t="s">
        <v>54</v>
      </c>
      <c r="E94" s="19" t="s">
        <v>72</v>
      </c>
      <c r="F94" s="19" t="s">
        <v>7950</v>
      </c>
    </row>
    <row r="95">
      <c r="A95" s="102">
        <v>94</v>
      </c>
      <c r="B95" s="19" t="s">
        <v>332</v>
      </c>
      <c r="C95" s="19" t="s">
        <v>52</v>
      </c>
      <c r="D95" s="19" t="s">
        <v>54</v>
      </c>
      <c r="E95" s="19" t="s">
        <v>335</v>
      </c>
      <c r="F95" s="19" t="s">
        <v>7951</v>
      </c>
    </row>
    <row r="96">
      <c r="A96" s="102">
        <v>95</v>
      </c>
      <c r="B96" s="19" t="s">
        <v>336</v>
      </c>
      <c r="C96" s="19" t="s">
        <v>52</v>
      </c>
      <c r="D96" s="19" t="s">
        <v>54</v>
      </c>
      <c r="E96" s="19" t="s">
        <v>150</v>
      </c>
      <c r="F96" s="19" t="s">
        <v>7950</v>
      </c>
    </row>
    <row r="97">
      <c r="A97" s="102">
        <v>96</v>
      </c>
      <c r="B97" s="19" t="s">
        <v>342</v>
      </c>
      <c r="C97" s="19" t="s">
        <v>52</v>
      </c>
      <c r="D97" s="19" t="s">
        <v>54</v>
      </c>
      <c r="E97" s="19" t="s">
        <v>306</v>
      </c>
      <c r="F97" s="19" t="s">
        <v>7950</v>
      </c>
    </row>
    <row r="98">
      <c r="A98" s="102">
        <v>97</v>
      </c>
      <c r="B98" s="19" t="s">
        <v>345</v>
      </c>
      <c r="C98" s="19" t="s">
        <v>52</v>
      </c>
      <c r="D98" s="19" t="s">
        <v>54</v>
      </c>
      <c r="E98" s="19" t="s">
        <v>306</v>
      </c>
      <c r="F98" s="19" t="s">
        <v>7950</v>
      </c>
    </row>
    <row r="99">
      <c r="A99" s="102">
        <v>98</v>
      </c>
      <c r="B99" s="19" t="s">
        <v>348</v>
      </c>
      <c r="C99" s="19" t="s">
        <v>52</v>
      </c>
      <c r="D99" s="19" t="s">
        <v>54</v>
      </c>
      <c r="E99" s="19" t="s">
        <v>306</v>
      </c>
      <c r="F99" s="19" t="s">
        <v>7950</v>
      </c>
    </row>
    <row r="100">
      <c r="A100" s="102">
        <v>99</v>
      </c>
      <c r="B100" s="19" t="s">
        <v>351</v>
      </c>
      <c r="C100" s="19" t="s">
        <v>52</v>
      </c>
      <c r="D100" s="19" t="s">
        <v>54</v>
      </c>
      <c r="E100" s="19" t="s">
        <v>306</v>
      </c>
      <c r="F100" s="19" t="s">
        <v>7950</v>
      </c>
    </row>
    <row r="101">
      <c r="A101" s="102">
        <v>100</v>
      </c>
      <c r="B101" s="19" t="s">
        <v>354</v>
      </c>
      <c r="C101" s="19" t="s">
        <v>52</v>
      </c>
      <c r="D101" s="19" t="s">
        <v>54</v>
      </c>
      <c r="E101" s="19" t="s">
        <v>306</v>
      </c>
      <c r="F101" s="19" t="s">
        <v>7950</v>
      </c>
    </row>
    <row r="102">
      <c r="A102" s="102">
        <v>101</v>
      </c>
      <c r="B102" s="19" t="s">
        <v>357</v>
      </c>
      <c r="C102" s="19" t="s">
        <v>52</v>
      </c>
      <c r="D102" s="19" t="s">
        <v>54</v>
      </c>
      <c r="E102" s="19" t="s">
        <v>150</v>
      </c>
      <c r="F102" s="19" t="s">
        <v>7950</v>
      </c>
    </row>
    <row r="103">
      <c r="A103" s="102">
        <v>102</v>
      </c>
      <c r="B103" s="19" t="s">
        <v>360</v>
      </c>
      <c r="C103" s="19" t="s">
        <v>52</v>
      </c>
      <c r="D103" s="19" t="s">
        <v>54</v>
      </c>
      <c r="E103" s="19" t="s">
        <v>306</v>
      </c>
      <c r="F103" s="19" t="s">
        <v>7950</v>
      </c>
    </row>
    <row r="104">
      <c r="A104" s="102">
        <v>103</v>
      </c>
      <c r="B104" s="19" t="s">
        <v>363</v>
      </c>
      <c r="C104" s="19" t="s">
        <v>52</v>
      </c>
      <c r="D104" s="19" t="s">
        <v>54</v>
      </c>
      <c r="E104" s="19" t="s">
        <v>150</v>
      </c>
      <c r="F104" s="19" t="s">
        <v>7950</v>
      </c>
    </row>
    <row r="105">
      <c r="A105" s="102">
        <v>104</v>
      </c>
      <c r="B105" s="19" t="s">
        <v>367</v>
      </c>
      <c r="C105" s="19" t="s">
        <v>52</v>
      </c>
      <c r="D105" s="19" t="s">
        <v>54</v>
      </c>
      <c r="E105" s="19" t="s">
        <v>306</v>
      </c>
      <c r="F105" s="19" t="s">
        <v>7950</v>
      </c>
    </row>
    <row r="106">
      <c r="A106" s="102">
        <v>105</v>
      </c>
      <c r="B106" s="19" t="s">
        <v>370</v>
      </c>
      <c r="C106" s="19" t="s">
        <v>52</v>
      </c>
      <c r="D106" s="19" t="s">
        <v>54</v>
      </c>
      <c r="E106" s="19" t="s">
        <v>306</v>
      </c>
      <c r="F106" s="19" t="s">
        <v>7950</v>
      </c>
    </row>
    <row r="107">
      <c r="A107" s="102">
        <v>106</v>
      </c>
      <c r="B107" s="19" t="s">
        <v>373</v>
      </c>
      <c r="C107" s="19" t="s">
        <v>52</v>
      </c>
      <c r="D107" s="19" t="s">
        <v>54</v>
      </c>
      <c r="E107" s="19" t="s">
        <v>306</v>
      </c>
      <c r="F107" s="19" t="s">
        <v>7950</v>
      </c>
    </row>
    <row r="108">
      <c r="A108" s="102">
        <v>107</v>
      </c>
      <c r="B108" s="19" t="s">
        <v>376</v>
      </c>
      <c r="C108" s="19" t="s">
        <v>52</v>
      </c>
      <c r="D108" s="19" t="s">
        <v>54</v>
      </c>
      <c r="E108" s="19" t="s">
        <v>306</v>
      </c>
      <c r="F108" s="19" t="s">
        <v>7950</v>
      </c>
    </row>
    <row r="109">
      <c r="A109" s="102">
        <v>108</v>
      </c>
      <c r="B109" s="19" t="s">
        <v>379</v>
      </c>
      <c r="C109" s="19" t="s">
        <v>52</v>
      </c>
      <c r="D109" s="19" t="s">
        <v>54</v>
      </c>
      <c r="E109" s="19" t="s">
        <v>150</v>
      </c>
      <c r="F109" s="19" t="s">
        <v>7950</v>
      </c>
    </row>
    <row r="110">
      <c r="A110" s="102">
        <v>109</v>
      </c>
      <c r="B110" s="19" t="s">
        <v>384</v>
      </c>
      <c r="C110" s="19" t="s">
        <v>52</v>
      </c>
      <c r="D110" s="19" t="s">
        <v>54</v>
      </c>
      <c r="E110" s="19" t="s">
        <v>306</v>
      </c>
      <c r="F110" s="19" t="s">
        <v>7950</v>
      </c>
    </row>
    <row r="111">
      <c r="A111" s="102">
        <v>110</v>
      </c>
      <c r="B111" s="19" t="s">
        <v>386</v>
      </c>
      <c r="C111" s="19" t="s">
        <v>52</v>
      </c>
      <c r="D111" s="19" t="s">
        <v>54</v>
      </c>
      <c r="E111" s="19" t="s">
        <v>306</v>
      </c>
      <c r="F111" s="19" t="s">
        <v>7951</v>
      </c>
    </row>
    <row r="112">
      <c r="A112" s="102">
        <v>111</v>
      </c>
      <c r="B112" s="19" t="s">
        <v>388</v>
      </c>
      <c r="C112" s="19" t="s">
        <v>52</v>
      </c>
      <c r="D112" s="19" t="s">
        <v>54</v>
      </c>
      <c r="E112" s="19" t="s">
        <v>306</v>
      </c>
      <c r="F112" s="19" t="s">
        <v>7951</v>
      </c>
    </row>
    <row r="113">
      <c r="A113" s="102">
        <v>112</v>
      </c>
      <c r="B113" s="19" t="s">
        <v>390</v>
      </c>
      <c r="C113" s="19" t="s">
        <v>52</v>
      </c>
      <c r="D113" s="19" t="s">
        <v>54</v>
      </c>
      <c r="E113" s="19" t="s">
        <v>306</v>
      </c>
      <c r="F113" s="19" t="s">
        <v>7950</v>
      </c>
    </row>
    <row r="114">
      <c r="A114" s="102">
        <v>113</v>
      </c>
      <c r="B114" s="19" t="s">
        <v>392</v>
      </c>
      <c r="C114" s="19" t="s">
        <v>52</v>
      </c>
      <c r="D114" s="19" t="s">
        <v>54</v>
      </c>
      <c r="E114" s="19" t="s">
        <v>117</v>
      </c>
      <c r="F114" s="19" t="s">
        <v>7950</v>
      </c>
    </row>
    <row r="115">
      <c r="A115" s="102">
        <v>114</v>
      </c>
      <c r="B115" s="19" t="s">
        <v>396</v>
      </c>
      <c r="C115" s="19" t="s">
        <v>52</v>
      </c>
      <c r="D115" s="19" t="s">
        <v>54</v>
      </c>
      <c r="E115" s="19" t="s">
        <v>306</v>
      </c>
      <c r="F115" s="19" t="s">
        <v>7951</v>
      </c>
    </row>
    <row r="116">
      <c r="A116" s="102">
        <v>115</v>
      </c>
      <c r="B116" s="19" t="s">
        <v>399</v>
      </c>
      <c r="C116" s="19" t="s">
        <v>52</v>
      </c>
      <c r="D116" s="19" t="s">
        <v>54</v>
      </c>
      <c r="E116" s="19" t="s">
        <v>306</v>
      </c>
      <c r="F116" s="19" t="s">
        <v>7951</v>
      </c>
    </row>
    <row r="117">
      <c r="A117" s="102">
        <v>116</v>
      </c>
      <c r="B117" s="19" t="s">
        <v>402</v>
      </c>
      <c r="C117" s="19" t="s">
        <v>52</v>
      </c>
      <c r="D117" s="19" t="s">
        <v>54</v>
      </c>
      <c r="E117" s="19" t="s">
        <v>306</v>
      </c>
      <c r="F117" s="19" t="s">
        <v>7951</v>
      </c>
    </row>
    <row r="118">
      <c r="A118" s="102">
        <v>117</v>
      </c>
      <c r="B118" s="19" t="s">
        <v>403</v>
      </c>
      <c r="C118" s="19" t="s">
        <v>52</v>
      </c>
      <c r="D118" s="19" t="s">
        <v>54</v>
      </c>
      <c r="E118" s="19" t="s">
        <v>306</v>
      </c>
      <c r="F118" s="19" t="s">
        <v>7951</v>
      </c>
    </row>
    <row r="119">
      <c r="A119" s="102">
        <v>118</v>
      </c>
      <c r="B119" s="19" t="s">
        <v>406</v>
      </c>
      <c r="C119" s="19" t="s">
        <v>52</v>
      </c>
      <c r="D119" s="19" t="s">
        <v>54</v>
      </c>
      <c r="E119" s="19" t="s">
        <v>306</v>
      </c>
      <c r="F119" s="19" t="s">
        <v>7951</v>
      </c>
    </row>
    <row r="120">
      <c r="A120" s="102">
        <v>119</v>
      </c>
      <c r="B120" s="20" t="s">
        <v>408</v>
      </c>
      <c r="C120" s="19" t="s">
        <v>52</v>
      </c>
      <c r="D120" s="19" t="s">
        <v>54</v>
      </c>
      <c r="E120" s="102"/>
      <c r="F120" s="102"/>
    </row>
    <row r="121">
      <c r="A121" s="102">
        <v>120</v>
      </c>
      <c r="B121" s="18" t="s">
        <v>409</v>
      </c>
      <c r="C121" s="19" t="s">
        <v>52</v>
      </c>
      <c r="D121" s="19" t="s">
        <v>54</v>
      </c>
      <c r="E121" s="102"/>
      <c r="F121" s="102"/>
    </row>
    <row r="122">
      <c r="A122" s="102">
        <v>121</v>
      </c>
      <c r="B122" s="19" t="s">
        <v>410</v>
      </c>
      <c r="C122" s="19" t="s">
        <v>52</v>
      </c>
      <c r="D122" s="19" t="s">
        <v>54</v>
      </c>
      <c r="E122" s="19" t="s">
        <v>122</v>
      </c>
      <c r="F122" s="19" t="s">
        <v>7950</v>
      </c>
    </row>
    <row r="123">
      <c r="A123" s="102">
        <v>122</v>
      </c>
      <c r="B123" s="19" t="s">
        <v>418</v>
      </c>
      <c r="C123" s="19" t="s">
        <v>52</v>
      </c>
      <c r="D123" s="19" t="s">
        <v>54</v>
      </c>
      <c r="E123" s="19" t="s">
        <v>122</v>
      </c>
      <c r="F123" s="19" t="s">
        <v>7950</v>
      </c>
    </row>
    <row r="124">
      <c r="A124" s="102">
        <v>123</v>
      </c>
      <c r="B124" s="19" t="s">
        <v>421</v>
      </c>
      <c r="C124" s="19" t="s">
        <v>52</v>
      </c>
      <c r="D124" s="19" t="s">
        <v>54</v>
      </c>
      <c r="E124" s="19" t="s">
        <v>122</v>
      </c>
      <c r="F124" s="19" t="s">
        <v>7950</v>
      </c>
    </row>
    <row r="125">
      <c r="A125" s="102">
        <v>124</v>
      </c>
      <c r="B125" s="19" t="s">
        <v>426</v>
      </c>
      <c r="C125" s="19" t="s">
        <v>52</v>
      </c>
      <c r="D125" s="19" t="s">
        <v>54</v>
      </c>
      <c r="E125" s="19" t="s">
        <v>122</v>
      </c>
      <c r="F125" s="19" t="s">
        <v>7950</v>
      </c>
    </row>
    <row r="126">
      <c r="A126" s="102">
        <v>125</v>
      </c>
      <c r="B126" s="19" t="s">
        <v>431</v>
      </c>
      <c r="C126" s="19" t="s">
        <v>52</v>
      </c>
      <c r="D126" s="19" t="s">
        <v>54</v>
      </c>
      <c r="E126" s="19" t="s">
        <v>166</v>
      </c>
      <c r="F126" s="19" t="s">
        <v>7950</v>
      </c>
    </row>
    <row r="127">
      <c r="A127" s="102">
        <v>126</v>
      </c>
      <c r="B127" s="19" t="s">
        <v>434</v>
      </c>
      <c r="C127" s="19" t="s">
        <v>52</v>
      </c>
      <c r="D127" s="19" t="s">
        <v>54</v>
      </c>
      <c r="E127" s="19" t="s">
        <v>166</v>
      </c>
      <c r="F127" s="19" t="s">
        <v>7950</v>
      </c>
    </row>
    <row r="128">
      <c r="A128" s="102">
        <v>127</v>
      </c>
      <c r="B128" s="19" t="s">
        <v>438</v>
      </c>
      <c r="C128" s="19" t="s">
        <v>52</v>
      </c>
      <c r="D128" s="19" t="s">
        <v>54</v>
      </c>
      <c r="E128" s="19" t="s">
        <v>166</v>
      </c>
      <c r="F128" s="19" t="s">
        <v>7950</v>
      </c>
    </row>
    <row r="129">
      <c r="A129" s="102">
        <v>128</v>
      </c>
      <c r="B129" s="19" t="s">
        <v>445</v>
      </c>
      <c r="C129" s="19" t="s">
        <v>52</v>
      </c>
      <c r="D129" s="19" t="s">
        <v>54</v>
      </c>
      <c r="E129" s="19" t="s">
        <v>166</v>
      </c>
      <c r="F129" s="19" t="s">
        <v>7950</v>
      </c>
    </row>
    <row r="130">
      <c r="A130" s="102">
        <v>129</v>
      </c>
      <c r="B130" s="19" t="s">
        <v>451</v>
      </c>
      <c r="C130" s="19" t="s">
        <v>52</v>
      </c>
      <c r="D130" s="19" t="s">
        <v>54</v>
      </c>
      <c r="E130" s="19" t="s">
        <v>166</v>
      </c>
      <c r="F130" s="19" t="s">
        <v>7950</v>
      </c>
    </row>
    <row r="131">
      <c r="A131" s="102">
        <v>130</v>
      </c>
      <c r="B131" s="19" t="s">
        <v>456</v>
      </c>
      <c r="C131" s="19" t="s">
        <v>52</v>
      </c>
      <c r="D131" s="19" t="s">
        <v>54</v>
      </c>
      <c r="E131" s="19" t="s">
        <v>166</v>
      </c>
      <c r="F131" s="19" t="s">
        <v>7950</v>
      </c>
    </row>
    <row r="132">
      <c r="A132" s="102">
        <v>131</v>
      </c>
      <c r="B132" s="19" t="s">
        <v>461</v>
      </c>
      <c r="C132" s="19" t="s">
        <v>52</v>
      </c>
      <c r="D132" s="19" t="s">
        <v>54</v>
      </c>
      <c r="E132" s="19" t="s">
        <v>122</v>
      </c>
      <c r="F132" s="19" t="s">
        <v>7950</v>
      </c>
    </row>
    <row r="133">
      <c r="A133" s="102">
        <v>132</v>
      </c>
      <c r="B133" s="19" t="s">
        <v>466</v>
      </c>
      <c r="C133" s="19" t="s">
        <v>52</v>
      </c>
      <c r="D133" s="19" t="s">
        <v>54</v>
      </c>
      <c r="E133" s="19" t="s">
        <v>166</v>
      </c>
      <c r="F133" s="19" t="s">
        <v>7950</v>
      </c>
    </row>
    <row r="134">
      <c r="A134" s="102">
        <v>133</v>
      </c>
      <c r="B134" s="19" t="s">
        <v>469</v>
      </c>
      <c r="C134" s="19" t="s">
        <v>52</v>
      </c>
      <c r="D134" s="19" t="s">
        <v>54</v>
      </c>
      <c r="E134" s="19" t="s">
        <v>166</v>
      </c>
      <c r="F134" s="19" t="s">
        <v>7950</v>
      </c>
    </row>
    <row r="135">
      <c r="A135" s="102">
        <v>134</v>
      </c>
      <c r="B135" s="19" t="s">
        <v>474</v>
      </c>
      <c r="C135" s="19" t="s">
        <v>52</v>
      </c>
      <c r="D135" s="19" t="s">
        <v>54</v>
      </c>
      <c r="E135" s="19" t="s">
        <v>166</v>
      </c>
      <c r="F135" s="19" t="s">
        <v>7950</v>
      </c>
    </row>
    <row r="136">
      <c r="A136" s="102">
        <v>135</v>
      </c>
      <c r="B136" s="19" t="s">
        <v>478</v>
      </c>
      <c r="C136" s="19" t="s">
        <v>52</v>
      </c>
      <c r="D136" s="19" t="s">
        <v>54</v>
      </c>
      <c r="E136" s="19" t="s">
        <v>166</v>
      </c>
      <c r="F136" s="19" t="s">
        <v>7950</v>
      </c>
    </row>
    <row r="137">
      <c r="A137" s="102">
        <v>136</v>
      </c>
      <c r="B137" s="19" t="s">
        <v>482</v>
      </c>
      <c r="C137" s="19" t="s">
        <v>52</v>
      </c>
      <c r="D137" s="19" t="s">
        <v>54</v>
      </c>
      <c r="E137" s="19" t="s">
        <v>166</v>
      </c>
      <c r="F137" s="19" t="s">
        <v>7950</v>
      </c>
    </row>
    <row r="138">
      <c r="A138" s="102">
        <v>137</v>
      </c>
      <c r="B138" s="19" t="s">
        <v>487</v>
      </c>
      <c r="C138" s="19" t="s">
        <v>52</v>
      </c>
      <c r="D138" s="19" t="s">
        <v>54</v>
      </c>
      <c r="E138" s="19" t="s">
        <v>122</v>
      </c>
      <c r="F138" s="19" t="s">
        <v>7950</v>
      </c>
    </row>
    <row r="139">
      <c r="A139" s="102">
        <v>138</v>
      </c>
      <c r="B139" s="19" t="s">
        <v>490</v>
      </c>
      <c r="C139" s="19" t="s">
        <v>52</v>
      </c>
      <c r="D139" s="19" t="s">
        <v>54</v>
      </c>
      <c r="E139" s="19" t="s">
        <v>166</v>
      </c>
      <c r="F139" s="19" t="s">
        <v>7950</v>
      </c>
    </row>
    <row r="140">
      <c r="A140" s="102">
        <v>139</v>
      </c>
      <c r="B140" s="19" t="s">
        <v>493</v>
      </c>
      <c r="C140" s="19" t="s">
        <v>52</v>
      </c>
      <c r="D140" s="19" t="s">
        <v>54</v>
      </c>
      <c r="E140" s="19" t="s">
        <v>166</v>
      </c>
      <c r="F140" s="19" t="s">
        <v>7950</v>
      </c>
    </row>
    <row r="141">
      <c r="A141" s="102">
        <v>140</v>
      </c>
      <c r="B141" s="19" t="s">
        <v>496</v>
      </c>
      <c r="C141" s="19" t="s">
        <v>52</v>
      </c>
      <c r="D141" s="19" t="s">
        <v>54</v>
      </c>
      <c r="E141" s="19" t="s">
        <v>166</v>
      </c>
      <c r="F141" s="19" t="s">
        <v>7950</v>
      </c>
    </row>
    <row r="142">
      <c r="A142" s="102">
        <v>141</v>
      </c>
      <c r="B142" s="19" t="s">
        <v>500</v>
      </c>
      <c r="C142" s="19" t="s">
        <v>52</v>
      </c>
      <c r="D142" s="19" t="s">
        <v>54</v>
      </c>
      <c r="E142" s="19" t="s">
        <v>166</v>
      </c>
      <c r="F142" s="19" t="s">
        <v>7950</v>
      </c>
    </row>
    <row r="143">
      <c r="A143" s="102">
        <v>142</v>
      </c>
      <c r="B143" s="19" t="s">
        <v>507</v>
      </c>
      <c r="C143" s="19" t="s">
        <v>52</v>
      </c>
      <c r="D143" s="19" t="s">
        <v>54</v>
      </c>
      <c r="E143" s="19" t="s">
        <v>122</v>
      </c>
      <c r="F143" s="19" t="s">
        <v>7951</v>
      </c>
    </row>
    <row r="144">
      <c r="A144" s="102">
        <v>143</v>
      </c>
      <c r="B144" s="19" t="s">
        <v>510</v>
      </c>
      <c r="C144" s="19" t="s">
        <v>52</v>
      </c>
      <c r="D144" s="19" t="s">
        <v>54</v>
      </c>
      <c r="E144" s="19" t="s">
        <v>166</v>
      </c>
      <c r="F144" s="19" t="s">
        <v>7951</v>
      </c>
    </row>
    <row r="145">
      <c r="A145" s="102">
        <v>144</v>
      </c>
      <c r="B145" s="19" t="s">
        <v>513</v>
      </c>
      <c r="C145" s="19" t="s">
        <v>52</v>
      </c>
      <c r="D145" s="19" t="s">
        <v>54</v>
      </c>
      <c r="E145" s="19" t="s">
        <v>166</v>
      </c>
      <c r="F145" s="19" t="s">
        <v>7951</v>
      </c>
    </row>
    <row r="146">
      <c r="A146" s="102">
        <v>145</v>
      </c>
      <c r="B146" s="19" t="s">
        <v>514</v>
      </c>
      <c r="C146" s="19" t="s">
        <v>52</v>
      </c>
      <c r="D146" s="19" t="s">
        <v>54</v>
      </c>
      <c r="E146" s="19" t="s">
        <v>122</v>
      </c>
      <c r="F146" s="19" t="s">
        <v>7951</v>
      </c>
    </row>
    <row r="147">
      <c r="A147" s="102">
        <v>146</v>
      </c>
      <c r="B147" s="18" t="s">
        <v>517</v>
      </c>
      <c r="C147" s="19" t="s">
        <v>52</v>
      </c>
      <c r="D147" s="19" t="s">
        <v>54</v>
      </c>
      <c r="E147" s="102"/>
      <c r="F147" s="102"/>
    </row>
    <row r="148">
      <c r="A148" s="102">
        <v>147</v>
      </c>
      <c r="B148" s="20" t="s">
        <v>518</v>
      </c>
      <c r="C148" s="19" t="s">
        <v>52</v>
      </c>
      <c r="D148" s="19" t="s">
        <v>54</v>
      </c>
      <c r="E148" s="102"/>
      <c r="F148" s="102"/>
    </row>
    <row r="149">
      <c r="A149" s="102">
        <v>148</v>
      </c>
      <c r="B149" s="20" t="s">
        <v>519</v>
      </c>
      <c r="C149" s="19" t="s">
        <v>52</v>
      </c>
      <c r="D149" s="19" t="s">
        <v>54</v>
      </c>
      <c r="E149" s="102"/>
      <c r="F149" s="102"/>
    </row>
    <row r="150">
      <c r="A150" s="102">
        <v>149</v>
      </c>
      <c r="B150" s="18" t="s">
        <v>520</v>
      </c>
      <c r="C150" s="19" t="s">
        <v>52</v>
      </c>
      <c r="D150" s="19" t="s">
        <v>54</v>
      </c>
      <c r="E150" s="102"/>
      <c r="F150" s="102"/>
    </row>
    <row r="151">
      <c r="A151" s="102">
        <v>150</v>
      </c>
      <c r="B151" s="18" t="s">
        <v>521</v>
      </c>
      <c r="C151" s="19" t="s">
        <v>52</v>
      </c>
      <c r="D151" s="19" t="s">
        <v>54</v>
      </c>
      <c r="E151" s="102"/>
      <c r="F151" s="102"/>
    </row>
    <row r="152">
      <c r="A152" s="102">
        <v>151</v>
      </c>
      <c r="B152" s="20" t="s">
        <v>522</v>
      </c>
      <c r="C152" s="19" t="s">
        <v>52</v>
      </c>
      <c r="D152" s="19" t="s">
        <v>54</v>
      </c>
      <c r="E152" s="102"/>
      <c r="F152" s="102"/>
    </row>
    <row r="153">
      <c r="A153" s="102">
        <v>152</v>
      </c>
      <c r="B153" s="19" t="s">
        <v>523</v>
      </c>
      <c r="C153" s="19" t="s">
        <v>52</v>
      </c>
      <c r="D153" s="19" t="s">
        <v>54</v>
      </c>
      <c r="E153" s="19" t="s">
        <v>72</v>
      </c>
      <c r="F153" s="19" t="s">
        <v>7950</v>
      </c>
    </row>
    <row r="154">
      <c r="A154" s="102">
        <v>153</v>
      </c>
      <c r="B154" s="20" t="s">
        <v>527</v>
      </c>
      <c r="C154" s="19" t="s">
        <v>52</v>
      </c>
      <c r="D154" s="19" t="s">
        <v>54</v>
      </c>
      <c r="E154" s="102"/>
      <c r="F154" s="102"/>
    </row>
    <row r="155">
      <c r="A155" s="102">
        <v>154</v>
      </c>
      <c r="B155" s="19" t="s">
        <v>528</v>
      </c>
      <c r="C155" s="19" t="s">
        <v>52</v>
      </c>
      <c r="D155" s="19" t="s">
        <v>54</v>
      </c>
      <c r="E155" s="19" t="s">
        <v>117</v>
      </c>
      <c r="F155" s="19" t="s">
        <v>7950</v>
      </c>
    </row>
    <row r="156">
      <c r="A156" s="102">
        <v>155</v>
      </c>
      <c r="B156" s="19" t="s">
        <v>536</v>
      </c>
      <c r="C156" s="19" t="s">
        <v>52</v>
      </c>
      <c r="D156" s="19" t="s">
        <v>54</v>
      </c>
      <c r="E156" s="19" t="s">
        <v>117</v>
      </c>
      <c r="F156" s="19" t="s">
        <v>7950</v>
      </c>
    </row>
    <row r="157">
      <c r="A157" s="102">
        <v>156</v>
      </c>
      <c r="B157" s="19" t="s">
        <v>540</v>
      </c>
      <c r="C157" s="19" t="s">
        <v>52</v>
      </c>
      <c r="D157" s="19" t="s">
        <v>54</v>
      </c>
      <c r="E157" s="19" t="s">
        <v>117</v>
      </c>
      <c r="F157" s="19" t="s">
        <v>7950</v>
      </c>
    </row>
    <row r="158">
      <c r="A158" s="102">
        <v>157</v>
      </c>
      <c r="B158" s="19" t="s">
        <v>548</v>
      </c>
      <c r="C158" s="19" t="s">
        <v>52</v>
      </c>
      <c r="D158" s="19" t="s">
        <v>54</v>
      </c>
      <c r="E158" s="19" t="s">
        <v>117</v>
      </c>
      <c r="F158" s="19" t="s">
        <v>7950</v>
      </c>
    </row>
    <row r="159">
      <c r="A159" s="102">
        <v>158</v>
      </c>
      <c r="B159" s="19" t="s">
        <v>552</v>
      </c>
      <c r="C159" s="19" t="s">
        <v>52</v>
      </c>
      <c r="D159" s="19" t="s">
        <v>54</v>
      </c>
      <c r="E159" s="19" t="s">
        <v>117</v>
      </c>
      <c r="F159" s="19" t="s">
        <v>7950</v>
      </c>
    </row>
    <row r="160">
      <c r="A160" s="102">
        <v>159</v>
      </c>
      <c r="B160" s="19" t="s">
        <v>560</v>
      </c>
      <c r="C160" s="19" t="s">
        <v>52</v>
      </c>
      <c r="D160" s="19" t="s">
        <v>54</v>
      </c>
      <c r="E160" s="19" t="s">
        <v>117</v>
      </c>
      <c r="F160" s="19" t="s">
        <v>7950</v>
      </c>
    </row>
    <row r="161">
      <c r="A161" s="102">
        <v>160</v>
      </c>
      <c r="B161" s="19" t="s">
        <v>564</v>
      </c>
      <c r="C161" s="19" t="s">
        <v>52</v>
      </c>
      <c r="D161" s="19" t="s">
        <v>54</v>
      </c>
      <c r="E161" s="19" t="s">
        <v>117</v>
      </c>
      <c r="F161" s="19" t="s">
        <v>7950</v>
      </c>
    </row>
    <row r="162">
      <c r="A162" s="102">
        <v>161</v>
      </c>
      <c r="B162" s="19" t="s">
        <v>570</v>
      </c>
      <c r="C162" s="19" t="s">
        <v>52</v>
      </c>
      <c r="D162" s="19" t="s">
        <v>54</v>
      </c>
      <c r="E162" s="19" t="s">
        <v>117</v>
      </c>
      <c r="F162" s="19" t="s">
        <v>7950</v>
      </c>
    </row>
    <row r="163">
      <c r="A163" s="102">
        <v>162</v>
      </c>
      <c r="B163" s="19" t="s">
        <v>575</v>
      </c>
      <c r="C163" s="19" t="s">
        <v>52</v>
      </c>
      <c r="D163" s="19" t="s">
        <v>54</v>
      </c>
      <c r="E163" s="19" t="s">
        <v>117</v>
      </c>
      <c r="F163" s="19" t="s">
        <v>7950</v>
      </c>
    </row>
    <row r="164">
      <c r="A164" s="102">
        <v>163</v>
      </c>
      <c r="B164" s="19" t="s">
        <v>581</v>
      </c>
      <c r="C164" s="19" t="s">
        <v>52</v>
      </c>
      <c r="D164" s="19" t="s">
        <v>54</v>
      </c>
      <c r="E164" s="19" t="s">
        <v>117</v>
      </c>
      <c r="F164" s="19" t="s">
        <v>7950</v>
      </c>
    </row>
    <row r="165">
      <c r="A165" s="102">
        <v>164</v>
      </c>
      <c r="B165" s="19" t="s">
        <v>586</v>
      </c>
      <c r="C165" s="19" t="s">
        <v>52</v>
      </c>
      <c r="D165" s="19" t="s">
        <v>54</v>
      </c>
      <c r="E165" s="19" t="s">
        <v>117</v>
      </c>
      <c r="F165" s="19" t="s">
        <v>7950</v>
      </c>
    </row>
    <row r="166">
      <c r="A166" s="102">
        <v>165</v>
      </c>
      <c r="B166" s="19" t="s">
        <v>590</v>
      </c>
      <c r="C166" s="19" t="s">
        <v>52</v>
      </c>
      <c r="D166" s="19" t="s">
        <v>54</v>
      </c>
      <c r="E166" s="19" t="s">
        <v>117</v>
      </c>
      <c r="F166" s="19" t="s">
        <v>7950</v>
      </c>
    </row>
    <row r="167">
      <c r="A167" s="102">
        <v>166</v>
      </c>
      <c r="B167" s="19" t="s">
        <v>596</v>
      </c>
      <c r="C167" s="19" t="s">
        <v>52</v>
      </c>
      <c r="D167" s="19" t="s">
        <v>54</v>
      </c>
      <c r="E167" s="19" t="s">
        <v>117</v>
      </c>
      <c r="F167" s="19" t="s">
        <v>7950</v>
      </c>
    </row>
    <row r="168">
      <c r="A168" s="102">
        <v>167</v>
      </c>
      <c r="B168" s="19" t="s">
        <v>601</v>
      </c>
      <c r="C168" s="19" t="s">
        <v>52</v>
      </c>
      <c r="D168" s="19" t="s">
        <v>54</v>
      </c>
      <c r="E168" s="19" t="s">
        <v>117</v>
      </c>
      <c r="F168" s="19" t="s">
        <v>7950</v>
      </c>
    </row>
    <row r="169">
      <c r="A169" s="102">
        <v>168</v>
      </c>
      <c r="B169" s="19" t="s">
        <v>603</v>
      </c>
      <c r="C169" s="19" t="s">
        <v>52</v>
      </c>
      <c r="D169" s="19" t="s">
        <v>54</v>
      </c>
      <c r="E169" s="19" t="s">
        <v>117</v>
      </c>
      <c r="F169" s="19" t="s">
        <v>7951</v>
      </c>
    </row>
    <row r="170">
      <c r="A170" s="102">
        <v>169</v>
      </c>
      <c r="B170" s="19" t="s">
        <v>606</v>
      </c>
      <c r="C170" s="19" t="s">
        <v>52</v>
      </c>
      <c r="D170" s="19" t="s">
        <v>54</v>
      </c>
      <c r="E170" s="19" t="s">
        <v>117</v>
      </c>
      <c r="F170" s="19" t="s">
        <v>7950</v>
      </c>
    </row>
    <row r="171">
      <c r="A171" s="102">
        <v>170</v>
      </c>
      <c r="B171" s="19" t="s">
        <v>611</v>
      </c>
      <c r="C171" s="19" t="s">
        <v>52</v>
      </c>
      <c r="D171" s="19" t="s">
        <v>54</v>
      </c>
      <c r="E171" s="19" t="s">
        <v>117</v>
      </c>
      <c r="F171" s="19" t="s">
        <v>7951</v>
      </c>
    </row>
    <row r="172">
      <c r="A172" s="102">
        <v>171</v>
      </c>
      <c r="B172" s="19" t="s">
        <v>614</v>
      </c>
      <c r="C172" s="19" t="s">
        <v>52</v>
      </c>
      <c r="D172" s="19" t="s">
        <v>54</v>
      </c>
      <c r="E172" s="19" t="s">
        <v>117</v>
      </c>
      <c r="F172" s="19" t="s">
        <v>7951</v>
      </c>
    </row>
    <row r="173">
      <c r="A173" s="102">
        <v>172</v>
      </c>
      <c r="B173" s="19" t="s">
        <v>617</v>
      </c>
      <c r="C173" s="19" t="s">
        <v>52</v>
      </c>
      <c r="D173" s="19" t="s">
        <v>54</v>
      </c>
      <c r="E173" s="19" t="s">
        <v>117</v>
      </c>
      <c r="F173" s="19" t="s">
        <v>7951</v>
      </c>
    </row>
    <row r="174">
      <c r="A174" s="102">
        <v>173</v>
      </c>
      <c r="B174" s="19" t="s">
        <v>618</v>
      </c>
      <c r="C174" s="19" t="s">
        <v>52</v>
      </c>
      <c r="D174" s="19" t="s">
        <v>54</v>
      </c>
      <c r="E174" s="19" t="s">
        <v>117</v>
      </c>
      <c r="F174" s="19" t="s">
        <v>7951</v>
      </c>
    </row>
    <row r="175">
      <c r="A175" s="102">
        <v>174</v>
      </c>
      <c r="B175" s="19" t="s">
        <v>621</v>
      </c>
      <c r="C175" s="19" t="s">
        <v>52</v>
      </c>
      <c r="D175" s="19" t="s">
        <v>54</v>
      </c>
      <c r="E175" s="19" t="s">
        <v>117</v>
      </c>
      <c r="F175" s="19" t="s">
        <v>7951</v>
      </c>
    </row>
    <row r="176">
      <c r="A176" s="102">
        <v>175</v>
      </c>
      <c r="B176" s="19" t="s">
        <v>624</v>
      </c>
      <c r="C176" s="19" t="s">
        <v>52</v>
      </c>
      <c r="D176" s="19" t="s">
        <v>54</v>
      </c>
      <c r="E176" s="19" t="s">
        <v>117</v>
      </c>
      <c r="F176" s="19" t="s">
        <v>7951</v>
      </c>
    </row>
    <row r="177">
      <c r="A177" s="102">
        <v>176</v>
      </c>
      <c r="B177" s="19" t="s">
        <v>627</v>
      </c>
      <c r="C177" s="19" t="s">
        <v>52</v>
      </c>
      <c r="D177" s="19" t="s">
        <v>54</v>
      </c>
      <c r="E177" s="19" t="s">
        <v>117</v>
      </c>
      <c r="F177" s="19" t="s">
        <v>7951</v>
      </c>
    </row>
    <row r="178">
      <c r="A178" s="102">
        <v>177</v>
      </c>
      <c r="B178" s="19" t="s">
        <v>630</v>
      </c>
      <c r="C178" s="19" t="s">
        <v>52</v>
      </c>
      <c r="D178" s="19" t="s">
        <v>54</v>
      </c>
      <c r="E178" s="19" t="s">
        <v>117</v>
      </c>
      <c r="F178" s="19" t="s">
        <v>7951</v>
      </c>
    </row>
    <row r="179">
      <c r="A179" s="102">
        <v>178</v>
      </c>
      <c r="B179" s="20" t="s">
        <v>634</v>
      </c>
      <c r="C179" s="19" t="s">
        <v>52</v>
      </c>
      <c r="D179" s="19" t="s">
        <v>54</v>
      </c>
      <c r="E179" s="102"/>
      <c r="F179" s="102"/>
    </row>
    <row r="180">
      <c r="A180" s="102">
        <v>179</v>
      </c>
      <c r="B180" s="18" t="s">
        <v>635</v>
      </c>
      <c r="C180" s="19" t="s">
        <v>52</v>
      </c>
      <c r="D180" s="19" t="s">
        <v>54</v>
      </c>
      <c r="E180" s="102"/>
      <c r="F180" s="102"/>
    </row>
    <row r="181">
      <c r="A181" s="102">
        <v>180</v>
      </c>
      <c r="B181" s="20" t="s">
        <v>636</v>
      </c>
      <c r="C181" s="19" t="s">
        <v>52</v>
      </c>
      <c r="D181" s="19" t="s">
        <v>54</v>
      </c>
      <c r="E181" s="102"/>
      <c r="F181" s="102"/>
    </row>
    <row r="182">
      <c r="A182" s="102">
        <v>181</v>
      </c>
      <c r="B182" s="18" t="s">
        <v>637</v>
      </c>
      <c r="C182" s="19" t="s">
        <v>52</v>
      </c>
      <c r="D182" s="19" t="s">
        <v>54</v>
      </c>
      <c r="E182" s="102"/>
      <c r="F182" s="102"/>
    </row>
    <row r="183">
      <c r="A183" s="102">
        <v>182</v>
      </c>
      <c r="B183" s="18" t="s">
        <v>638</v>
      </c>
      <c r="C183" s="19" t="s">
        <v>52</v>
      </c>
      <c r="D183" s="19" t="s">
        <v>54</v>
      </c>
      <c r="E183" s="102"/>
      <c r="F183" s="102"/>
    </row>
    <row r="184">
      <c r="A184" s="102">
        <v>183</v>
      </c>
      <c r="B184" s="19" t="s">
        <v>639</v>
      </c>
      <c r="C184" s="19" t="s">
        <v>52</v>
      </c>
      <c r="D184" s="19" t="s">
        <v>54</v>
      </c>
      <c r="E184" s="19" t="s">
        <v>131</v>
      </c>
      <c r="F184" s="19" t="s">
        <v>7950</v>
      </c>
    </row>
    <row r="185">
      <c r="A185" s="102">
        <v>184</v>
      </c>
      <c r="B185" s="19" t="s">
        <v>642</v>
      </c>
      <c r="C185" s="19" t="s">
        <v>52</v>
      </c>
      <c r="D185" s="19" t="s">
        <v>54</v>
      </c>
      <c r="E185" s="19" t="s">
        <v>131</v>
      </c>
      <c r="F185" s="19" t="s">
        <v>7950</v>
      </c>
    </row>
    <row r="186">
      <c r="A186" s="102">
        <v>185</v>
      </c>
      <c r="B186" s="19" t="s">
        <v>645</v>
      </c>
      <c r="C186" s="19" t="s">
        <v>52</v>
      </c>
      <c r="D186" s="19" t="s">
        <v>54</v>
      </c>
      <c r="E186" s="19" t="s">
        <v>648</v>
      </c>
      <c r="F186" s="19" t="s">
        <v>7950</v>
      </c>
    </row>
    <row r="187">
      <c r="A187" s="102">
        <v>186</v>
      </c>
      <c r="B187" s="19" t="s">
        <v>649</v>
      </c>
      <c r="C187" s="19" t="s">
        <v>52</v>
      </c>
      <c r="D187" s="19" t="s">
        <v>54</v>
      </c>
      <c r="E187" s="19" t="s">
        <v>117</v>
      </c>
      <c r="F187" s="19" t="s">
        <v>7950</v>
      </c>
    </row>
    <row r="188">
      <c r="A188" s="102">
        <v>187</v>
      </c>
      <c r="B188" s="19" t="s">
        <v>655</v>
      </c>
      <c r="C188" s="19" t="s">
        <v>52</v>
      </c>
      <c r="D188" s="19" t="s">
        <v>54</v>
      </c>
      <c r="E188" s="19" t="s">
        <v>117</v>
      </c>
      <c r="F188" s="19" t="s">
        <v>7950</v>
      </c>
    </row>
    <row r="189">
      <c r="A189" s="102">
        <v>188</v>
      </c>
      <c r="B189" s="19" t="s">
        <v>659</v>
      </c>
      <c r="C189" s="19" t="s">
        <v>52</v>
      </c>
      <c r="D189" s="19" t="s">
        <v>54</v>
      </c>
      <c r="E189" s="19" t="s">
        <v>103</v>
      </c>
      <c r="F189" s="19" t="s">
        <v>7950</v>
      </c>
    </row>
    <row r="190">
      <c r="A190" s="102">
        <v>189</v>
      </c>
      <c r="B190" s="19" t="s">
        <v>663</v>
      </c>
      <c r="C190" s="19" t="s">
        <v>52</v>
      </c>
      <c r="D190" s="19" t="s">
        <v>54</v>
      </c>
      <c r="E190" s="19" t="s">
        <v>103</v>
      </c>
      <c r="F190" s="19" t="s">
        <v>7950</v>
      </c>
    </row>
    <row r="191">
      <c r="A191" s="102">
        <v>190</v>
      </c>
      <c r="B191" s="19" t="s">
        <v>667</v>
      </c>
      <c r="C191" s="19" t="s">
        <v>52</v>
      </c>
      <c r="D191" s="19" t="s">
        <v>54</v>
      </c>
      <c r="E191" s="19" t="s">
        <v>131</v>
      </c>
      <c r="F191" s="19" t="s">
        <v>7950</v>
      </c>
    </row>
    <row r="192">
      <c r="A192" s="102">
        <v>191</v>
      </c>
      <c r="B192" s="19" t="s">
        <v>670</v>
      </c>
      <c r="C192" s="19" t="s">
        <v>52</v>
      </c>
      <c r="D192" s="19" t="s">
        <v>54</v>
      </c>
      <c r="E192" s="19" t="s">
        <v>117</v>
      </c>
      <c r="F192" s="19" t="s">
        <v>7950</v>
      </c>
    </row>
    <row r="193">
      <c r="A193" s="102">
        <v>192</v>
      </c>
      <c r="B193" s="19" t="s">
        <v>674</v>
      </c>
      <c r="C193" s="19" t="s">
        <v>52</v>
      </c>
      <c r="D193" s="19" t="s">
        <v>54</v>
      </c>
      <c r="E193" s="19" t="s">
        <v>117</v>
      </c>
      <c r="F193" s="19" t="s">
        <v>7950</v>
      </c>
    </row>
    <row r="194">
      <c r="A194" s="102">
        <v>193</v>
      </c>
      <c r="B194" s="19" t="s">
        <v>679</v>
      </c>
      <c r="C194" s="19" t="s">
        <v>52</v>
      </c>
      <c r="D194" s="19" t="s">
        <v>54</v>
      </c>
      <c r="E194" s="19" t="s">
        <v>117</v>
      </c>
      <c r="F194" s="19" t="s">
        <v>7950</v>
      </c>
    </row>
    <row r="195">
      <c r="A195" s="102">
        <v>194</v>
      </c>
      <c r="B195" s="19" t="s">
        <v>682</v>
      </c>
      <c r="C195" s="19" t="s">
        <v>52</v>
      </c>
      <c r="D195" s="19" t="s">
        <v>54</v>
      </c>
      <c r="E195" s="19" t="s">
        <v>117</v>
      </c>
      <c r="F195" s="19" t="s">
        <v>7951</v>
      </c>
    </row>
    <row r="196">
      <c r="A196" s="102">
        <v>195</v>
      </c>
      <c r="B196" s="19" t="s">
        <v>685</v>
      </c>
      <c r="C196" s="19" t="s">
        <v>52</v>
      </c>
      <c r="D196" s="19" t="s">
        <v>54</v>
      </c>
      <c r="E196" s="19" t="s">
        <v>117</v>
      </c>
      <c r="F196" s="19" t="s">
        <v>7951</v>
      </c>
    </row>
    <row r="197">
      <c r="A197" s="102">
        <v>196</v>
      </c>
      <c r="B197" s="19" t="s">
        <v>686</v>
      </c>
      <c r="C197" s="19" t="s">
        <v>52</v>
      </c>
      <c r="D197" s="19" t="s">
        <v>54</v>
      </c>
      <c r="E197" s="19" t="s">
        <v>117</v>
      </c>
      <c r="F197" s="19" t="s">
        <v>7951</v>
      </c>
    </row>
    <row r="198">
      <c r="A198" s="102">
        <v>197</v>
      </c>
      <c r="B198" s="18" t="s">
        <v>689</v>
      </c>
      <c r="C198" s="19" t="s">
        <v>52</v>
      </c>
      <c r="D198" s="19" t="s">
        <v>54</v>
      </c>
      <c r="E198" s="102"/>
      <c r="F198" s="102"/>
    </row>
    <row r="199">
      <c r="A199" s="102">
        <v>198</v>
      </c>
      <c r="B199" s="20" t="s">
        <v>690</v>
      </c>
      <c r="C199" s="19" t="s">
        <v>52</v>
      </c>
      <c r="D199" s="19" t="s">
        <v>54</v>
      </c>
      <c r="E199" s="102"/>
      <c r="F199" s="102"/>
    </row>
    <row r="200">
      <c r="A200" s="102">
        <v>199</v>
      </c>
      <c r="B200" s="18" t="s">
        <v>691</v>
      </c>
      <c r="C200" s="19" t="s">
        <v>52</v>
      </c>
      <c r="D200" s="19" t="s">
        <v>54</v>
      </c>
      <c r="E200" s="102"/>
      <c r="F200" s="102"/>
    </row>
    <row r="201">
      <c r="A201" s="102">
        <v>200</v>
      </c>
      <c r="B201" s="20" t="s">
        <v>692</v>
      </c>
      <c r="C201" s="19" t="s">
        <v>52</v>
      </c>
      <c r="D201" s="19" t="s">
        <v>54</v>
      </c>
      <c r="E201" s="102"/>
      <c r="F201" s="102"/>
    </row>
    <row r="202">
      <c r="A202" s="102">
        <v>201</v>
      </c>
      <c r="B202" s="20" t="s">
        <v>693</v>
      </c>
      <c r="C202" s="19" t="s">
        <v>52</v>
      </c>
      <c r="D202" s="19" t="s">
        <v>54</v>
      </c>
      <c r="E202" s="102"/>
      <c r="F202" s="102"/>
    </row>
    <row r="203">
      <c r="A203" s="102">
        <v>202</v>
      </c>
      <c r="B203" s="19" t="s">
        <v>694</v>
      </c>
      <c r="C203" s="19" t="s">
        <v>52</v>
      </c>
      <c r="D203" s="19" t="s">
        <v>54</v>
      </c>
      <c r="E203" s="19" t="s">
        <v>72</v>
      </c>
      <c r="F203" s="19" t="s">
        <v>7950</v>
      </c>
    </row>
    <row r="204">
      <c r="A204" s="102">
        <v>203</v>
      </c>
      <c r="B204" s="19" t="s">
        <v>699</v>
      </c>
      <c r="C204" s="19" t="s">
        <v>52</v>
      </c>
      <c r="D204" s="19" t="s">
        <v>54</v>
      </c>
      <c r="E204" s="19" t="s">
        <v>72</v>
      </c>
      <c r="F204" s="19" t="s">
        <v>7950</v>
      </c>
    </row>
    <row r="205">
      <c r="A205" s="102">
        <v>204</v>
      </c>
      <c r="B205" s="19" t="s">
        <v>703</v>
      </c>
      <c r="C205" s="19" t="s">
        <v>52</v>
      </c>
      <c r="D205" s="19" t="s">
        <v>54</v>
      </c>
      <c r="E205" s="19" t="s">
        <v>72</v>
      </c>
      <c r="F205" s="19" t="s">
        <v>7950</v>
      </c>
    </row>
    <row r="206">
      <c r="A206" s="102">
        <v>205</v>
      </c>
      <c r="B206" s="19" t="s">
        <v>708</v>
      </c>
      <c r="C206" s="19" t="s">
        <v>52</v>
      </c>
      <c r="D206" s="19" t="s">
        <v>54</v>
      </c>
      <c r="E206" s="19" t="s">
        <v>72</v>
      </c>
      <c r="F206" s="19" t="s">
        <v>7950</v>
      </c>
    </row>
    <row r="207">
      <c r="A207" s="102">
        <v>206</v>
      </c>
      <c r="B207" s="19" t="s">
        <v>714</v>
      </c>
      <c r="C207" s="19" t="s">
        <v>52</v>
      </c>
      <c r="D207" s="19" t="s">
        <v>54</v>
      </c>
      <c r="E207" s="19" t="s">
        <v>72</v>
      </c>
      <c r="F207" s="19" t="s">
        <v>7950</v>
      </c>
    </row>
    <row r="208">
      <c r="A208" s="102">
        <v>207</v>
      </c>
      <c r="B208" s="19" t="s">
        <v>717</v>
      </c>
      <c r="C208" s="19" t="s">
        <v>52</v>
      </c>
      <c r="D208" s="19" t="s">
        <v>54</v>
      </c>
      <c r="E208" s="19" t="s">
        <v>72</v>
      </c>
      <c r="F208" s="19" t="s">
        <v>7950</v>
      </c>
    </row>
    <row r="209">
      <c r="A209" s="102">
        <v>208</v>
      </c>
      <c r="B209" s="19" t="s">
        <v>721</v>
      </c>
      <c r="C209" s="19" t="s">
        <v>52</v>
      </c>
      <c r="D209" s="19" t="s">
        <v>54</v>
      </c>
      <c r="E209" s="19" t="s">
        <v>72</v>
      </c>
      <c r="F209" s="19" t="s">
        <v>7950</v>
      </c>
    </row>
    <row r="210">
      <c r="A210" s="102">
        <v>209</v>
      </c>
      <c r="B210" s="19" t="s">
        <v>726</v>
      </c>
      <c r="C210" s="19" t="s">
        <v>52</v>
      </c>
      <c r="D210" s="19" t="s">
        <v>54</v>
      </c>
      <c r="E210" s="19" t="s">
        <v>72</v>
      </c>
      <c r="F210" s="19" t="s">
        <v>7950</v>
      </c>
    </row>
    <row r="211">
      <c r="A211" s="102">
        <v>210</v>
      </c>
      <c r="B211" s="19" t="s">
        <v>731</v>
      </c>
      <c r="C211" s="19" t="s">
        <v>52</v>
      </c>
      <c r="D211" s="19" t="s">
        <v>54</v>
      </c>
      <c r="E211" s="19" t="s">
        <v>335</v>
      </c>
      <c r="F211" s="19" t="s">
        <v>7950</v>
      </c>
    </row>
    <row r="212">
      <c r="A212" s="102">
        <v>211</v>
      </c>
      <c r="B212" s="19" t="s">
        <v>734</v>
      </c>
      <c r="C212" s="19" t="s">
        <v>52</v>
      </c>
      <c r="D212" s="19" t="s">
        <v>54</v>
      </c>
      <c r="E212" s="19" t="s">
        <v>72</v>
      </c>
      <c r="F212" s="19" t="s">
        <v>7950</v>
      </c>
    </row>
    <row r="213">
      <c r="A213" s="102">
        <v>212</v>
      </c>
      <c r="B213" s="19" t="s">
        <v>738</v>
      </c>
      <c r="C213" s="19" t="s">
        <v>52</v>
      </c>
      <c r="D213" s="19" t="s">
        <v>54</v>
      </c>
      <c r="E213" s="19" t="s">
        <v>117</v>
      </c>
      <c r="F213" s="19" t="s">
        <v>7950</v>
      </c>
    </row>
    <row r="214">
      <c r="A214" s="102">
        <v>213</v>
      </c>
      <c r="B214" s="19" t="s">
        <v>743</v>
      </c>
      <c r="C214" s="19" t="s">
        <v>52</v>
      </c>
      <c r="D214" s="19" t="s">
        <v>54</v>
      </c>
      <c r="E214" s="19" t="s">
        <v>72</v>
      </c>
      <c r="F214" s="19" t="s">
        <v>7950</v>
      </c>
    </row>
    <row r="215">
      <c r="A215" s="102">
        <v>214</v>
      </c>
      <c r="B215" s="19" t="s">
        <v>747</v>
      </c>
      <c r="C215" s="19" t="s">
        <v>52</v>
      </c>
      <c r="D215" s="19" t="s">
        <v>54</v>
      </c>
      <c r="E215" s="19" t="s">
        <v>72</v>
      </c>
      <c r="F215" s="19" t="s">
        <v>7950</v>
      </c>
    </row>
    <row r="216">
      <c r="A216" s="102">
        <v>215</v>
      </c>
      <c r="B216" s="19" t="s">
        <v>752</v>
      </c>
      <c r="C216" s="19" t="s">
        <v>52</v>
      </c>
      <c r="D216" s="19" t="s">
        <v>54</v>
      </c>
      <c r="E216" s="19" t="s">
        <v>72</v>
      </c>
      <c r="F216" s="19" t="s">
        <v>7950</v>
      </c>
    </row>
    <row r="217">
      <c r="A217" s="102">
        <v>216</v>
      </c>
      <c r="B217" s="19" t="s">
        <v>756</v>
      </c>
      <c r="C217" s="19" t="s">
        <v>52</v>
      </c>
      <c r="D217" s="19" t="s">
        <v>54</v>
      </c>
      <c r="E217" s="19" t="s">
        <v>72</v>
      </c>
      <c r="F217" s="19" t="s">
        <v>7950</v>
      </c>
    </row>
    <row r="218">
      <c r="A218" s="102">
        <v>217</v>
      </c>
      <c r="B218" s="19" t="s">
        <v>761</v>
      </c>
      <c r="C218" s="19" t="s">
        <v>52</v>
      </c>
      <c r="D218" s="19" t="s">
        <v>54</v>
      </c>
      <c r="E218" s="19" t="s">
        <v>72</v>
      </c>
      <c r="F218" s="19" t="s">
        <v>7950</v>
      </c>
    </row>
    <row r="219">
      <c r="A219" s="102">
        <v>218</v>
      </c>
      <c r="B219" s="19" t="s">
        <v>766</v>
      </c>
      <c r="C219" s="19" t="s">
        <v>52</v>
      </c>
      <c r="D219" s="19" t="s">
        <v>54</v>
      </c>
      <c r="E219" s="19" t="s">
        <v>72</v>
      </c>
      <c r="F219" s="19" t="s">
        <v>7951</v>
      </c>
    </row>
    <row r="220">
      <c r="A220" s="102">
        <v>219</v>
      </c>
      <c r="B220" s="19" t="s">
        <v>769</v>
      </c>
      <c r="C220" s="19" t="s">
        <v>52</v>
      </c>
      <c r="D220" s="19" t="s">
        <v>54</v>
      </c>
      <c r="E220" s="19" t="s">
        <v>335</v>
      </c>
      <c r="F220" s="19" t="s">
        <v>7951</v>
      </c>
    </row>
    <row r="221">
      <c r="A221" s="102">
        <v>220</v>
      </c>
      <c r="B221" s="19" t="s">
        <v>772</v>
      </c>
      <c r="C221" s="19" t="s">
        <v>52</v>
      </c>
      <c r="D221" s="19" t="s">
        <v>54</v>
      </c>
      <c r="E221" s="19" t="s">
        <v>72</v>
      </c>
      <c r="F221" s="19" t="s">
        <v>7951</v>
      </c>
    </row>
    <row r="222">
      <c r="A222" s="102">
        <v>221</v>
      </c>
      <c r="B222" s="24" t="s">
        <v>774</v>
      </c>
      <c r="C222" s="19" t="s">
        <v>52</v>
      </c>
      <c r="D222" s="19" t="s">
        <v>54</v>
      </c>
      <c r="E222" s="19" t="s">
        <v>306</v>
      </c>
      <c r="F222" s="19" t="s">
        <v>7950</v>
      </c>
    </row>
    <row r="223">
      <c r="A223" s="102">
        <v>222</v>
      </c>
      <c r="B223" s="19" t="s">
        <v>775</v>
      </c>
      <c r="C223" s="19" t="s">
        <v>52</v>
      </c>
      <c r="D223" s="19" t="s">
        <v>54</v>
      </c>
      <c r="E223" s="19" t="s">
        <v>122</v>
      </c>
      <c r="F223" s="19" t="s">
        <v>7950</v>
      </c>
    </row>
    <row r="224">
      <c r="A224" s="102">
        <v>223</v>
      </c>
      <c r="B224" s="19" t="s">
        <v>780</v>
      </c>
      <c r="C224" s="19" t="s">
        <v>52</v>
      </c>
      <c r="D224" s="19" t="s">
        <v>54</v>
      </c>
      <c r="E224" s="19" t="s">
        <v>122</v>
      </c>
      <c r="F224" s="19" t="s">
        <v>7950</v>
      </c>
    </row>
    <row r="225">
      <c r="A225" s="102">
        <v>224</v>
      </c>
      <c r="B225" s="19" t="s">
        <v>782</v>
      </c>
      <c r="C225" s="19" t="s">
        <v>52</v>
      </c>
      <c r="D225" s="19" t="s">
        <v>54</v>
      </c>
      <c r="E225" s="19" t="s">
        <v>122</v>
      </c>
      <c r="F225" s="19" t="s">
        <v>7950</v>
      </c>
    </row>
    <row r="226">
      <c r="A226" s="102">
        <v>225</v>
      </c>
      <c r="B226" s="19" t="s">
        <v>786</v>
      </c>
      <c r="C226" s="19" t="s">
        <v>52</v>
      </c>
      <c r="D226" s="19" t="s">
        <v>54</v>
      </c>
      <c r="E226" s="19" t="s">
        <v>131</v>
      </c>
      <c r="F226" s="19" t="s">
        <v>7950</v>
      </c>
    </row>
    <row r="227">
      <c r="A227" s="102">
        <v>226</v>
      </c>
      <c r="B227" s="19" t="s">
        <v>789</v>
      </c>
      <c r="C227" s="19" t="s">
        <v>52</v>
      </c>
      <c r="D227" s="19" t="s">
        <v>54</v>
      </c>
      <c r="E227" s="19" t="s">
        <v>306</v>
      </c>
      <c r="F227" s="19" t="s">
        <v>7950</v>
      </c>
    </row>
    <row r="228">
      <c r="A228" s="102">
        <v>227</v>
      </c>
      <c r="B228" s="19" t="s">
        <v>792</v>
      </c>
      <c r="C228" s="19" t="s">
        <v>52</v>
      </c>
      <c r="D228" s="19" t="s">
        <v>54</v>
      </c>
      <c r="E228" s="19" t="s">
        <v>306</v>
      </c>
      <c r="F228" s="19" t="s">
        <v>7950</v>
      </c>
    </row>
    <row r="229">
      <c r="A229" s="102">
        <v>228</v>
      </c>
      <c r="B229" s="19" t="s">
        <v>795</v>
      </c>
      <c r="C229" s="19" t="s">
        <v>52</v>
      </c>
      <c r="D229" s="19" t="s">
        <v>54</v>
      </c>
      <c r="E229" s="19" t="s">
        <v>122</v>
      </c>
      <c r="F229" s="19" t="s">
        <v>7950</v>
      </c>
    </row>
    <row r="230">
      <c r="A230" s="102">
        <v>229</v>
      </c>
      <c r="B230" s="19" t="s">
        <v>799</v>
      </c>
      <c r="C230" s="19" t="s">
        <v>52</v>
      </c>
      <c r="D230" s="19" t="s">
        <v>54</v>
      </c>
      <c r="E230" s="19" t="s">
        <v>306</v>
      </c>
      <c r="F230" s="19" t="s">
        <v>7950</v>
      </c>
    </row>
    <row r="231">
      <c r="A231" s="102">
        <v>230</v>
      </c>
      <c r="B231" s="19" t="s">
        <v>802</v>
      </c>
      <c r="C231" s="19" t="s">
        <v>52</v>
      </c>
      <c r="D231" s="19" t="s">
        <v>54</v>
      </c>
      <c r="E231" s="19" t="s">
        <v>306</v>
      </c>
      <c r="F231" s="19" t="s">
        <v>7950</v>
      </c>
    </row>
    <row r="232">
      <c r="A232" s="102">
        <v>231</v>
      </c>
      <c r="B232" s="19" t="s">
        <v>805</v>
      </c>
      <c r="C232" s="19" t="s">
        <v>52</v>
      </c>
      <c r="D232" s="19" t="s">
        <v>54</v>
      </c>
      <c r="E232" s="19" t="s">
        <v>296</v>
      </c>
      <c r="F232" s="19" t="s">
        <v>7950</v>
      </c>
    </row>
    <row r="233">
      <c r="A233" s="102">
        <v>232</v>
      </c>
      <c r="B233" s="19" t="s">
        <v>810</v>
      </c>
      <c r="C233" s="19" t="s">
        <v>52</v>
      </c>
      <c r="D233" s="19" t="s">
        <v>54</v>
      </c>
      <c r="E233" s="19" t="s">
        <v>306</v>
      </c>
      <c r="F233" s="19" t="s">
        <v>7950</v>
      </c>
    </row>
    <row r="234">
      <c r="A234" s="102">
        <v>233</v>
      </c>
      <c r="B234" s="19" t="s">
        <v>813</v>
      </c>
      <c r="C234" s="19" t="s">
        <v>52</v>
      </c>
      <c r="D234" s="19" t="s">
        <v>54</v>
      </c>
      <c r="E234" s="19" t="s">
        <v>306</v>
      </c>
      <c r="F234" s="19" t="s">
        <v>7950</v>
      </c>
    </row>
    <row r="235">
      <c r="A235" s="102">
        <v>234</v>
      </c>
      <c r="B235" s="19" t="s">
        <v>816</v>
      </c>
      <c r="C235" s="19" t="s">
        <v>52</v>
      </c>
      <c r="D235" s="19" t="s">
        <v>54</v>
      </c>
      <c r="E235" s="19" t="s">
        <v>306</v>
      </c>
      <c r="F235" s="19" t="s">
        <v>7950</v>
      </c>
    </row>
    <row r="236">
      <c r="A236" s="102">
        <v>235</v>
      </c>
      <c r="B236" s="19" t="s">
        <v>819</v>
      </c>
      <c r="C236" s="19" t="s">
        <v>52</v>
      </c>
      <c r="D236" s="19" t="s">
        <v>54</v>
      </c>
      <c r="E236" s="19" t="s">
        <v>122</v>
      </c>
      <c r="F236" s="19" t="s">
        <v>7950</v>
      </c>
    </row>
    <row r="237">
      <c r="A237" s="102">
        <v>236</v>
      </c>
      <c r="B237" s="19" t="s">
        <v>823</v>
      </c>
      <c r="C237" s="19" t="s">
        <v>52</v>
      </c>
      <c r="D237" s="19" t="s">
        <v>54</v>
      </c>
      <c r="E237" s="19" t="s">
        <v>306</v>
      </c>
      <c r="F237" s="19" t="s">
        <v>7950</v>
      </c>
    </row>
    <row r="238">
      <c r="A238" s="102">
        <v>237</v>
      </c>
      <c r="B238" s="19" t="s">
        <v>826</v>
      </c>
      <c r="C238" s="19" t="s">
        <v>52</v>
      </c>
      <c r="D238" s="19" t="s">
        <v>54</v>
      </c>
      <c r="E238" s="19" t="s">
        <v>306</v>
      </c>
      <c r="F238" s="19" t="s">
        <v>7950</v>
      </c>
    </row>
    <row r="239">
      <c r="A239" s="102">
        <v>238</v>
      </c>
      <c r="B239" s="19" t="s">
        <v>829</v>
      </c>
      <c r="C239" s="19" t="s">
        <v>52</v>
      </c>
      <c r="D239" s="19" t="s">
        <v>54</v>
      </c>
      <c r="E239" s="19" t="s">
        <v>306</v>
      </c>
      <c r="F239" s="19" t="s">
        <v>7950</v>
      </c>
    </row>
    <row r="240">
      <c r="A240" s="102">
        <v>239</v>
      </c>
      <c r="B240" s="19" t="s">
        <v>832</v>
      </c>
      <c r="C240" s="19" t="s">
        <v>52</v>
      </c>
      <c r="D240" s="19" t="s">
        <v>54</v>
      </c>
      <c r="E240" s="19" t="s">
        <v>306</v>
      </c>
      <c r="F240" s="19" t="s">
        <v>7950</v>
      </c>
    </row>
    <row r="241">
      <c r="A241" s="102">
        <v>240</v>
      </c>
      <c r="B241" s="19" t="s">
        <v>835</v>
      </c>
      <c r="C241" s="19" t="s">
        <v>52</v>
      </c>
      <c r="D241" s="19" t="s">
        <v>54</v>
      </c>
      <c r="E241" s="19" t="s">
        <v>306</v>
      </c>
      <c r="F241" s="19" t="s">
        <v>7950</v>
      </c>
    </row>
    <row r="242">
      <c r="A242" s="102">
        <v>241</v>
      </c>
      <c r="B242" s="19" t="s">
        <v>838</v>
      </c>
      <c r="C242" s="19" t="s">
        <v>52</v>
      </c>
      <c r="D242" s="19" t="s">
        <v>54</v>
      </c>
      <c r="E242" s="19" t="s">
        <v>296</v>
      </c>
      <c r="F242" s="19" t="s">
        <v>7950</v>
      </c>
    </row>
    <row r="243">
      <c r="A243" s="102">
        <v>242</v>
      </c>
      <c r="B243" s="19" t="s">
        <v>843</v>
      </c>
      <c r="C243" s="19" t="s">
        <v>52</v>
      </c>
      <c r="D243" s="19" t="s">
        <v>54</v>
      </c>
      <c r="E243" s="19" t="s">
        <v>122</v>
      </c>
      <c r="F243" s="19" t="s">
        <v>7950</v>
      </c>
    </row>
    <row r="244">
      <c r="A244" s="102">
        <v>243</v>
      </c>
      <c r="B244" s="19" t="s">
        <v>846</v>
      </c>
      <c r="C244" s="19" t="s">
        <v>52</v>
      </c>
      <c r="D244" s="19" t="s">
        <v>54</v>
      </c>
      <c r="E244" s="19" t="s">
        <v>306</v>
      </c>
      <c r="F244" s="19" t="s">
        <v>7950</v>
      </c>
    </row>
    <row r="245">
      <c r="A245" s="102">
        <v>244</v>
      </c>
      <c r="B245" s="19" t="s">
        <v>849</v>
      </c>
      <c r="C245" s="19" t="s">
        <v>52</v>
      </c>
      <c r="D245" s="19" t="s">
        <v>54</v>
      </c>
      <c r="E245" s="19" t="s">
        <v>306</v>
      </c>
      <c r="F245" s="19" t="s">
        <v>7950</v>
      </c>
    </row>
    <row r="246">
      <c r="A246" s="102">
        <v>245</v>
      </c>
      <c r="B246" s="19" t="s">
        <v>850</v>
      </c>
      <c r="C246" s="19" t="s">
        <v>52</v>
      </c>
      <c r="D246" s="19" t="s">
        <v>54</v>
      </c>
      <c r="E246" s="19" t="s">
        <v>306</v>
      </c>
      <c r="F246" s="19" t="s">
        <v>7951</v>
      </c>
    </row>
    <row r="247">
      <c r="A247" s="102">
        <v>246</v>
      </c>
      <c r="B247" s="19" t="s">
        <v>852</v>
      </c>
      <c r="C247" s="19" t="s">
        <v>52</v>
      </c>
      <c r="D247" s="19" t="s">
        <v>54</v>
      </c>
      <c r="E247" s="19" t="s">
        <v>306</v>
      </c>
      <c r="F247" s="19" t="s">
        <v>7951</v>
      </c>
    </row>
    <row r="248">
      <c r="A248" s="102">
        <v>247</v>
      </c>
      <c r="B248" s="19" t="s">
        <v>855</v>
      </c>
      <c r="C248" s="19" t="s">
        <v>52</v>
      </c>
      <c r="D248" s="19" t="s">
        <v>54</v>
      </c>
      <c r="E248" s="19" t="s">
        <v>122</v>
      </c>
      <c r="F248" s="19" t="s">
        <v>7951</v>
      </c>
    </row>
    <row r="249">
      <c r="A249" s="102">
        <v>248</v>
      </c>
      <c r="B249" s="19" t="s">
        <v>858</v>
      </c>
      <c r="C249" s="19" t="s">
        <v>52</v>
      </c>
      <c r="D249" s="19" t="s">
        <v>54</v>
      </c>
      <c r="E249" s="19" t="s">
        <v>122</v>
      </c>
      <c r="F249" s="19" t="s">
        <v>7951</v>
      </c>
    </row>
    <row r="250">
      <c r="A250" s="102">
        <v>249</v>
      </c>
      <c r="B250" s="19" t="s">
        <v>861</v>
      </c>
      <c r="C250" s="19" t="s">
        <v>52</v>
      </c>
      <c r="D250" s="19" t="s">
        <v>54</v>
      </c>
      <c r="E250" s="19" t="s">
        <v>306</v>
      </c>
      <c r="F250" s="19" t="s">
        <v>7951</v>
      </c>
    </row>
    <row r="251">
      <c r="A251" s="102">
        <v>250</v>
      </c>
      <c r="B251" s="19" t="s">
        <v>864</v>
      </c>
      <c r="C251" s="19" t="s">
        <v>52</v>
      </c>
      <c r="D251" s="19" t="s">
        <v>54</v>
      </c>
      <c r="E251" s="19" t="s">
        <v>306</v>
      </c>
      <c r="F251" s="19" t="s">
        <v>7951</v>
      </c>
    </row>
    <row r="252">
      <c r="A252" s="102">
        <v>251</v>
      </c>
      <c r="B252" s="19" t="s">
        <v>867</v>
      </c>
      <c r="C252" s="19" t="s">
        <v>52</v>
      </c>
      <c r="D252" s="19" t="s">
        <v>54</v>
      </c>
      <c r="E252" s="19" t="s">
        <v>306</v>
      </c>
      <c r="F252" s="19" t="s">
        <v>7951</v>
      </c>
    </row>
    <row r="253">
      <c r="A253" s="102">
        <v>252</v>
      </c>
      <c r="B253" s="19" t="s">
        <v>870</v>
      </c>
      <c r="C253" s="19" t="s">
        <v>52</v>
      </c>
      <c r="D253" s="19" t="s">
        <v>54</v>
      </c>
      <c r="E253" s="19" t="s">
        <v>306</v>
      </c>
      <c r="F253" s="19" t="s">
        <v>7951</v>
      </c>
    </row>
    <row r="254">
      <c r="A254" s="102">
        <v>253</v>
      </c>
      <c r="B254" s="19" t="s">
        <v>873</v>
      </c>
      <c r="C254" s="19" t="s">
        <v>52</v>
      </c>
      <c r="D254" s="19" t="s">
        <v>54</v>
      </c>
      <c r="E254" s="19" t="s">
        <v>306</v>
      </c>
      <c r="F254" s="19" t="s">
        <v>7951</v>
      </c>
    </row>
    <row r="255">
      <c r="A255" s="102">
        <v>254</v>
      </c>
      <c r="B255" s="19" t="s">
        <v>876</v>
      </c>
      <c r="C255" s="19" t="s">
        <v>52</v>
      </c>
      <c r="D255" s="19" t="s">
        <v>54</v>
      </c>
      <c r="E255" s="19" t="s">
        <v>306</v>
      </c>
      <c r="F255" s="19" t="s">
        <v>7951</v>
      </c>
    </row>
    <row r="256">
      <c r="A256" s="102">
        <v>255</v>
      </c>
      <c r="B256" s="18" t="s">
        <v>878</v>
      </c>
      <c r="C256" s="19" t="s">
        <v>52</v>
      </c>
      <c r="D256" s="19" t="s">
        <v>54</v>
      </c>
      <c r="E256" s="102"/>
      <c r="F256" s="102"/>
    </row>
    <row r="257">
      <c r="A257" s="102">
        <v>256</v>
      </c>
      <c r="B257" s="24" t="s">
        <v>879</v>
      </c>
      <c r="C257" s="19" t="s">
        <v>52</v>
      </c>
      <c r="D257" s="19" t="s">
        <v>54</v>
      </c>
      <c r="E257" s="19" t="s">
        <v>306</v>
      </c>
      <c r="F257" s="19" t="s">
        <v>7950</v>
      </c>
    </row>
    <row r="258">
      <c r="A258" s="102">
        <v>257</v>
      </c>
      <c r="B258" s="19" t="s">
        <v>882</v>
      </c>
      <c r="C258" s="19" t="s">
        <v>52</v>
      </c>
      <c r="D258" s="19" t="s">
        <v>54</v>
      </c>
      <c r="E258" s="19" t="s">
        <v>306</v>
      </c>
      <c r="F258" s="19" t="s">
        <v>7950</v>
      </c>
    </row>
    <row r="259">
      <c r="A259" s="102">
        <v>258</v>
      </c>
      <c r="B259" s="19" t="s">
        <v>883</v>
      </c>
      <c r="C259" s="19" t="s">
        <v>52</v>
      </c>
      <c r="D259" s="19" t="s">
        <v>54</v>
      </c>
      <c r="E259" s="19" t="s">
        <v>117</v>
      </c>
      <c r="F259" s="19" t="s">
        <v>7951</v>
      </c>
    </row>
    <row r="260">
      <c r="A260" s="102">
        <v>259</v>
      </c>
      <c r="B260" s="19" t="s">
        <v>885</v>
      </c>
      <c r="C260" s="19" t="s">
        <v>52</v>
      </c>
      <c r="D260" s="19" t="s">
        <v>54</v>
      </c>
      <c r="E260" s="19" t="s">
        <v>306</v>
      </c>
      <c r="F260" s="19" t="s">
        <v>7950</v>
      </c>
    </row>
    <row r="261">
      <c r="A261" s="102">
        <v>260</v>
      </c>
      <c r="B261" s="19" t="s">
        <v>888</v>
      </c>
      <c r="C261" s="19" t="s">
        <v>52</v>
      </c>
      <c r="D261" s="19" t="s">
        <v>54</v>
      </c>
      <c r="E261" s="19" t="s">
        <v>122</v>
      </c>
      <c r="F261" s="19" t="s">
        <v>7951</v>
      </c>
    </row>
    <row r="262">
      <c r="A262" s="102">
        <v>261</v>
      </c>
      <c r="B262" s="19" t="s">
        <v>891</v>
      </c>
      <c r="C262" s="19" t="s">
        <v>52</v>
      </c>
      <c r="D262" s="19" t="s">
        <v>54</v>
      </c>
      <c r="E262" s="19" t="s">
        <v>894</v>
      </c>
      <c r="F262" s="19" t="s">
        <v>7950</v>
      </c>
    </row>
    <row r="263">
      <c r="A263" s="102">
        <v>262</v>
      </c>
      <c r="B263" s="19" t="s">
        <v>895</v>
      </c>
      <c r="C263" s="19" t="s">
        <v>52</v>
      </c>
      <c r="D263" s="19" t="s">
        <v>54</v>
      </c>
      <c r="E263" s="19" t="s">
        <v>122</v>
      </c>
      <c r="F263" s="19" t="s">
        <v>7950</v>
      </c>
    </row>
    <row r="264">
      <c r="A264" s="102">
        <v>263</v>
      </c>
      <c r="B264" s="19" t="s">
        <v>901</v>
      </c>
      <c r="C264" s="19" t="s">
        <v>52</v>
      </c>
      <c r="D264" s="19" t="s">
        <v>54</v>
      </c>
      <c r="E264" s="19" t="s">
        <v>166</v>
      </c>
      <c r="F264" s="19" t="s">
        <v>7950</v>
      </c>
    </row>
    <row r="265">
      <c r="A265" s="102">
        <v>264</v>
      </c>
      <c r="B265" s="19" t="s">
        <v>905</v>
      </c>
      <c r="C265" s="19" t="s">
        <v>52</v>
      </c>
      <c r="D265" s="19" t="s">
        <v>54</v>
      </c>
      <c r="E265" s="19" t="s">
        <v>59</v>
      </c>
      <c r="F265" s="19" t="s">
        <v>7950</v>
      </c>
    </row>
    <row r="266">
      <c r="A266" s="102">
        <v>265</v>
      </c>
      <c r="B266" s="19" t="s">
        <v>908</v>
      </c>
      <c r="C266" s="19" t="s">
        <v>52</v>
      </c>
      <c r="D266" s="19" t="s">
        <v>54</v>
      </c>
      <c r="E266" s="19" t="s">
        <v>59</v>
      </c>
      <c r="F266" s="19" t="s">
        <v>7950</v>
      </c>
    </row>
    <row r="267">
      <c r="A267" s="102">
        <v>266</v>
      </c>
      <c r="B267" s="19" t="s">
        <v>911</v>
      </c>
      <c r="C267" s="19" t="s">
        <v>52</v>
      </c>
      <c r="D267" s="19" t="s">
        <v>54</v>
      </c>
      <c r="E267" s="19" t="s">
        <v>150</v>
      </c>
      <c r="F267" s="19" t="s">
        <v>7950</v>
      </c>
    </row>
    <row r="268">
      <c r="A268" s="102">
        <v>267</v>
      </c>
      <c r="B268" s="19" t="s">
        <v>916</v>
      </c>
      <c r="C268" s="19" t="s">
        <v>52</v>
      </c>
      <c r="D268" s="19" t="s">
        <v>54</v>
      </c>
      <c r="E268" s="19" t="s">
        <v>150</v>
      </c>
      <c r="F268" s="19" t="s">
        <v>7950</v>
      </c>
    </row>
    <row r="269">
      <c r="A269" s="102">
        <v>268</v>
      </c>
      <c r="B269" s="19" t="s">
        <v>920</v>
      </c>
      <c r="C269" s="19" t="s">
        <v>52</v>
      </c>
      <c r="D269" s="19" t="s">
        <v>54</v>
      </c>
      <c r="E269" s="19" t="s">
        <v>150</v>
      </c>
      <c r="F269" s="19" t="s">
        <v>7950</v>
      </c>
    </row>
    <row r="270">
      <c r="A270" s="102">
        <v>269</v>
      </c>
      <c r="B270" s="19" t="s">
        <v>924</v>
      </c>
      <c r="C270" s="19" t="s">
        <v>52</v>
      </c>
      <c r="D270" s="19" t="s">
        <v>54</v>
      </c>
      <c r="E270" s="19" t="s">
        <v>59</v>
      </c>
      <c r="F270" s="19" t="s">
        <v>7950</v>
      </c>
    </row>
    <row r="271">
      <c r="A271" s="102">
        <v>270</v>
      </c>
      <c r="B271" s="19" t="s">
        <v>927</v>
      </c>
      <c r="C271" s="19" t="s">
        <v>52</v>
      </c>
      <c r="D271" s="19" t="s">
        <v>54</v>
      </c>
      <c r="E271" s="19" t="s">
        <v>150</v>
      </c>
      <c r="F271" s="19" t="s">
        <v>7950</v>
      </c>
    </row>
    <row r="272">
      <c r="A272" s="102">
        <v>271</v>
      </c>
      <c r="B272" s="19" t="s">
        <v>931</v>
      </c>
      <c r="C272" s="19" t="s">
        <v>52</v>
      </c>
      <c r="D272" s="19" t="s">
        <v>54</v>
      </c>
      <c r="E272" s="19" t="s">
        <v>59</v>
      </c>
      <c r="F272" s="19" t="s">
        <v>7950</v>
      </c>
    </row>
    <row r="273">
      <c r="A273" s="102">
        <v>272</v>
      </c>
      <c r="B273" s="19" t="s">
        <v>934</v>
      </c>
      <c r="C273" s="19" t="s">
        <v>52</v>
      </c>
      <c r="D273" s="19" t="s">
        <v>54</v>
      </c>
      <c r="E273" s="19" t="s">
        <v>59</v>
      </c>
      <c r="F273" s="19" t="s">
        <v>7950</v>
      </c>
    </row>
    <row r="274">
      <c r="A274" s="102">
        <v>273</v>
      </c>
      <c r="B274" s="19" t="s">
        <v>937</v>
      </c>
      <c r="C274" s="19" t="s">
        <v>52</v>
      </c>
      <c r="D274" s="19" t="s">
        <v>54</v>
      </c>
      <c r="E274" s="19" t="s">
        <v>150</v>
      </c>
      <c r="F274" s="19" t="s">
        <v>7950</v>
      </c>
    </row>
    <row r="275">
      <c r="A275" s="102">
        <v>274</v>
      </c>
      <c r="B275" s="19" t="s">
        <v>941</v>
      </c>
      <c r="C275" s="19" t="s">
        <v>52</v>
      </c>
      <c r="D275" s="19" t="s">
        <v>54</v>
      </c>
      <c r="E275" s="19" t="s">
        <v>150</v>
      </c>
      <c r="F275" s="19" t="s">
        <v>7950</v>
      </c>
    </row>
    <row r="276">
      <c r="A276" s="102">
        <v>275</v>
      </c>
      <c r="B276" s="19" t="s">
        <v>944</v>
      </c>
      <c r="C276" s="19" t="s">
        <v>52</v>
      </c>
      <c r="D276" s="19" t="s">
        <v>54</v>
      </c>
      <c r="E276" s="19" t="s">
        <v>150</v>
      </c>
      <c r="F276" s="19" t="s">
        <v>7950</v>
      </c>
    </row>
    <row r="277">
      <c r="A277" s="102">
        <v>276</v>
      </c>
      <c r="B277" s="19" t="s">
        <v>948</v>
      </c>
      <c r="C277" s="19" t="s">
        <v>52</v>
      </c>
      <c r="D277" s="19" t="s">
        <v>54</v>
      </c>
      <c r="E277" s="19" t="s">
        <v>150</v>
      </c>
      <c r="F277" s="19" t="s">
        <v>7950</v>
      </c>
    </row>
    <row r="278">
      <c r="A278" s="102">
        <v>277</v>
      </c>
      <c r="B278" s="19" t="s">
        <v>951</v>
      </c>
      <c r="C278" s="19" t="s">
        <v>52</v>
      </c>
      <c r="D278" s="19" t="s">
        <v>54</v>
      </c>
      <c r="E278" s="19" t="s">
        <v>59</v>
      </c>
      <c r="F278" s="19" t="s">
        <v>7950</v>
      </c>
    </row>
    <row r="279">
      <c r="A279" s="102">
        <v>278</v>
      </c>
      <c r="B279" s="19" t="s">
        <v>954</v>
      </c>
      <c r="C279" s="19" t="s">
        <v>52</v>
      </c>
      <c r="D279" s="19" t="s">
        <v>54</v>
      </c>
      <c r="E279" s="19" t="s">
        <v>150</v>
      </c>
      <c r="F279" s="19" t="s">
        <v>7950</v>
      </c>
    </row>
    <row r="280">
      <c r="A280" s="102">
        <v>279</v>
      </c>
      <c r="B280" s="19" t="s">
        <v>957</v>
      </c>
      <c r="C280" s="19" t="s">
        <v>52</v>
      </c>
      <c r="D280" s="19" t="s">
        <v>54</v>
      </c>
      <c r="E280" s="19" t="s">
        <v>59</v>
      </c>
      <c r="F280" s="19" t="s">
        <v>7950</v>
      </c>
    </row>
    <row r="281">
      <c r="A281" s="102">
        <v>280</v>
      </c>
      <c r="B281" s="19" t="s">
        <v>960</v>
      </c>
      <c r="C281" s="19" t="s">
        <v>52</v>
      </c>
      <c r="D281" s="19" t="s">
        <v>54</v>
      </c>
      <c r="E281" s="19" t="s">
        <v>150</v>
      </c>
      <c r="F281" s="19" t="s">
        <v>7951</v>
      </c>
    </row>
    <row r="282">
      <c r="A282" s="102">
        <v>281</v>
      </c>
      <c r="B282" s="19" t="s">
        <v>963</v>
      </c>
      <c r="C282" s="19" t="s">
        <v>52</v>
      </c>
      <c r="D282" s="19" t="s">
        <v>54</v>
      </c>
      <c r="E282" s="19" t="s">
        <v>59</v>
      </c>
      <c r="F282" s="19" t="s">
        <v>7951</v>
      </c>
    </row>
    <row r="283">
      <c r="A283" s="102">
        <v>282</v>
      </c>
      <c r="B283" s="19" t="s">
        <v>966</v>
      </c>
      <c r="C283" s="19" t="s">
        <v>52</v>
      </c>
      <c r="D283" s="19" t="s">
        <v>54</v>
      </c>
      <c r="E283" s="19" t="s">
        <v>150</v>
      </c>
      <c r="F283" s="19" t="s">
        <v>7951</v>
      </c>
    </row>
    <row r="284">
      <c r="A284" s="102">
        <v>283</v>
      </c>
      <c r="B284" s="19" t="s">
        <v>969</v>
      </c>
      <c r="C284" s="19" t="s">
        <v>52</v>
      </c>
      <c r="D284" s="19" t="s">
        <v>54</v>
      </c>
      <c r="E284" s="19" t="s">
        <v>59</v>
      </c>
      <c r="F284" s="19" t="s">
        <v>7951</v>
      </c>
    </row>
    <row r="285">
      <c r="A285" s="102">
        <v>284</v>
      </c>
      <c r="B285" s="19" t="s">
        <v>972</v>
      </c>
      <c r="C285" s="19" t="s">
        <v>52</v>
      </c>
      <c r="D285" s="19" t="s">
        <v>54</v>
      </c>
      <c r="E285" s="19" t="s">
        <v>59</v>
      </c>
      <c r="F285" s="19" t="s">
        <v>7951</v>
      </c>
    </row>
    <row r="286">
      <c r="A286" s="102">
        <v>285</v>
      </c>
      <c r="B286" s="19" t="s">
        <v>975</v>
      </c>
      <c r="C286" s="19" t="s">
        <v>52</v>
      </c>
      <c r="D286" s="19" t="s">
        <v>54</v>
      </c>
      <c r="E286" s="19" t="s">
        <v>59</v>
      </c>
      <c r="F286" s="19" t="s">
        <v>7951</v>
      </c>
    </row>
    <row r="287">
      <c r="A287" s="102">
        <v>286</v>
      </c>
      <c r="B287" s="18" t="s">
        <v>978</v>
      </c>
      <c r="C287" s="19" t="s">
        <v>52</v>
      </c>
      <c r="D287" s="19" t="s">
        <v>54</v>
      </c>
      <c r="E287" s="102"/>
      <c r="F287" s="102"/>
    </row>
    <row r="288">
      <c r="A288" s="102">
        <v>287</v>
      </c>
      <c r="B288" s="20" t="s">
        <v>979</v>
      </c>
      <c r="C288" s="19" t="s">
        <v>52</v>
      </c>
      <c r="D288" s="19" t="s">
        <v>54</v>
      </c>
      <c r="E288" s="102"/>
      <c r="F288" s="102"/>
    </row>
    <row r="289">
      <c r="A289" s="102">
        <v>288</v>
      </c>
      <c r="B289" s="20" t="s">
        <v>980</v>
      </c>
      <c r="C289" s="19" t="s">
        <v>52</v>
      </c>
      <c r="D289" s="19" t="s">
        <v>54</v>
      </c>
      <c r="E289" s="102"/>
      <c r="F289" s="102"/>
    </row>
    <row r="290">
      <c r="A290" s="102">
        <v>289</v>
      </c>
      <c r="B290" s="19" t="s">
        <v>981</v>
      </c>
      <c r="C290" s="19" t="s">
        <v>52</v>
      </c>
      <c r="D290" s="19" t="s">
        <v>54</v>
      </c>
      <c r="E290" s="19" t="s">
        <v>150</v>
      </c>
      <c r="F290" s="19" t="s">
        <v>7950</v>
      </c>
    </row>
    <row r="291">
      <c r="A291" s="102">
        <v>290</v>
      </c>
      <c r="B291" s="19" t="s">
        <v>984</v>
      </c>
      <c r="C291" s="19" t="s">
        <v>52</v>
      </c>
      <c r="D291" s="19" t="s">
        <v>54</v>
      </c>
      <c r="E291" s="19" t="s">
        <v>150</v>
      </c>
      <c r="F291" s="19" t="s">
        <v>7950</v>
      </c>
    </row>
    <row r="292">
      <c r="A292" s="102">
        <v>291</v>
      </c>
      <c r="B292" s="19" t="s">
        <v>987</v>
      </c>
      <c r="C292" s="19" t="s">
        <v>52</v>
      </c>
      <c r="D292" s="19" t="s">
        <v>54</v>
      </c>
      <c r="E292" s="19" t="s">
        <v>150</v>
      </c>
      <c r="F292" s="19" t="s">
        <v>7950</v>
      </c>
    </row>
    <row r="293">
      <c r="A293" s="102">
        <v>292</v>
      </c>
      <c r="B293" s="19" t="s">
        <v>990</v>
      </c>
      <c r="C293" s="19" t="s">
        <v>52</v>
      </c>
      <c r="D293" s="19" t="s">
        <v>54</v>
      </c>
      <c r="E293" s="19" t="s">
        <v>59</v>
      </c>
      <c r="F293" s="19" t="s">
        <v>7950</v>
      </c>
    </row>
    <row r="294">
      <c r="A294" s="102">
        <v>293</v>
      </c>
      <c r="B294" s="19" t="s">
        <v>993</v>
      </c>
      <c r="C294" s="19" t="s">
        <v>52</v>
      </c>
      <c r="D294" s="19" t="s">
        <v>54</v>
      </c>
      <c r="E294" s="19" t="s">
        <v>150</v>
      </c>
      <c r="F294" s="19" t="s">
        <v>7950</v>
      </c>
    </row>
    <row r="295">
      <c r="A295" s="102">
        <v>294</v>
      </c>
      <c r="B295" s="19" t="s">
        <v>996</v>
      </c>
      <c r="C295" s="19" t="s">
        <v>52</v>
      </c>
      <c r="D295" s="19" t="s">
        <v>54</v>
      </c>
      <c r="E295" s="19" t="s">
        <v>150</v>
      </c>
      <c r="F295" s="19" t="s">
        <v>7950</v>
      </c>
    </row>
    <row r="296">
      <c r="A296" s="102">
        <v>295</v>
      </c>
      <c r="B296" s="19" t="s">
        <v>999</v>
      </c>
      <c r="C296" s="19" t="s">
        <v>52</v>
      </c>
      <c r="D296" s="19" t="s">
        <v>54</v>
      </c>
      <c r="E296" s="19" t="s">
        <v>150</v>
      </c>
      <c r="F296" s="19" t="s">
        <v>7950</v>
      </c>
    </row>
    <row r="297">
      <c r="A297" s="102">
        <v>296</v>
      </c>
      <c r="B297" s="19" t="s">
        <v>1002</v>
      </c>
      <c r="C297" s="19" t="s">
        <v>52</v>
      </c>
      <c r="D297" s="19" t="s">
        <v>54</v>
      </c>
      <c r="E297" s="19" t="s">
        <v>150</v>
      </c>
      <c r="F297" s="19" t="s">
        <v>7950</v>
      </c>
    </row>
    <row r="298">
      <c r="A298" s="102">
        <v>297</v>
      </c>
      <c r="B298" s="19" t="s">
        <v>1005</v>
      </c>
      <c r="C298" s="19" t="s">
        <v>52</v>
      </c>
      <c r="D298" s="19" t="s">
        <v>54</v>
      </c>
      <c r="E298" s="19" t="s">
        <v>150</v>
      </c>
      <c r="F298" s="19" t="s">
        <v>7950</v>
      </c>
    </row>
    <row r="299">
      <c r="A299" s="102">
        <v>298</v>
      </c>
      <c r="B299" s="19" t="s">
        <v>1008</v>
      </c>
      <c r="C299" s="19" t="s">
        <v>52</v>
      </c>
      <c r="D299" s="19" t="s">
        <v>54</v>
      </c>
      <c r="E299" s="19" t="s">
        <v>150</v>
      </c>
      <c r="F299" s="19" t="s">
        <v>7950</v>
      </c>
    </row>
    <row r="300">
      <c r="A300" s="102">
        <v>299</v>
      </c>
      <c r="B300" s="19" t="s">
        <v>1011</v>
      </c>
      <c r="C300" s="19" t="s">
        <v>52</v>
      </c>
      <c r="D300" s="19" t="s">
        <v>54</v>
      </c>
      <c r="E300" s="19" t="s">
        <v>150</v>
      </c>
      <c r="F300" s="19" t="s">
        <v>7950</v>
      </c>
    </row>
    <row r="301">
      <c r="A301" s="102">
        <v>300</v>
      </c>
      <c r="B301" s="19" t="s">
        <v>1014</v>
      </c>
      <c r="C301" s="19" t="s">
        <v>52</v>
      </c>
      <c r="D301" s="19" t="s">
        <v>54</v>
      </c>
      <c r="E301" s="19" t="s">
        <v>150</v>
      </c>
      <c r="F301" s="19" t="s">
        <v>7950</v>
      </c>
    </row>
    <row r="302">
      <c r="A302" s="102">
        <v>301</v>
      </c>
      <c r="B302" s="19" t="s">
        <v>1018</v>
      </c>
      <c r="C302" s="19" t="s">
        <v>52</v>
      </c>
      <c r="D302" s="19" t="s">
        <v>54</v>
      </c>
      <c r="E302" s="19" t="s">
        <v>150</v>
      </c>
      <c r="F302" s="19" t="s">
        <v>7950</v>
      </c>
    </row>
    <row r="303">
      <c r="A303" s="102">
        <v>302</v>
      </c>
      <c r="B303" s="19" t="s">
        <v>1020</v>
      </c>
      <c r="C303" s="19" t="s">
        <v>52</v>
      </c>
      <c r="D303" s="19" t="s">
        <v>54</v>
      </c>
      <c r="E303" s="19" t="s">
        <v>150</v>
      </c>
      <c r="F303" s="19" t="s">
        <v>7950</v>
      </c>
    </row>
    <row r="304">
      <c r="A304" s="102">
        <v>303</v>
      </c>
      <c r="B304" s="19" t="s">
        <v>1022</v>
      </c>
      <c r="C304" s="19" t="s">
        <v>52</v>
      </c>
      <c r="D304" s="19" t="s">
        <v>54</v>
      </c>
      <c r="E304" s="19" t="s">
        <v>150</v>
      </c>
      <c r="F304" s="19" t="s">
        <v>7951</v>
      </c>
    </row>
    <row r="305">
      <c r="A305" s="102">
        <v>304</v>
      </c>
      <c r="B305" s="19" t="s">
        <v>1023</v>
      </c>
      <c r="C305" s="19" t="s">
        <v>52</v>
      </c>
      <c r="D305" s="19" t="s">
        <v>54</v>
      </c>
      <c r="E305" s="19" t="s">
        <v>150</v>
      </c>
      <c r="F305" s="19" t="s">
        <v>7951</v>
      </c>
    </row>
    <row r="306">
      <c r="A306" s="102">
        <v>305</v>
      </c>
      <c r="B306" s="19" t="s">
        <v>1026</v>
      </c>
      <c r="C306" s="19" t="s">
        <v>52</v>
      </c>
      <c r="D306" s="19" t="s">
        <v>54</v>
      </c>
      <c r="E306" s="19" t="s">
        <v>150</v>
      </c>
      <c r="F306" s="19" t="s">
        <v>7951</v>
      </c>
    </row>
    <row r="307">
      <c r="A307" s="102">
        <v>306</v>
      </c>
      <c r="B307" s="19" t="s">
        <v>1029</v>
      </c>
      <c r="C307" s="19" t="s">
        <v>52</v>
      </c>
      <c r="D307" s="19" t="s">
        <v>54</v>
      </c>
      <c r="E307" s="19" t="s">
        <v>59</v>
      </c>
      <c r="F307" s="19" t="s">
        <v>7951</v>
      </c>
    </row>
    <row r="308">
      <c r="A308" s="102">
        <v>307</v>
      </c>
      <c r="B308" s="19" t="s">
        <v>1032</v>
      </c>
      <c r="C308" s="19" t="s">
        <v>52</v>
      </c>
      <c r="D308" s="19" t="s">
        <v>54</v>
      </c>
      <c r="E308" s="19" t="s">
        <v>150</v>
      </c>
      <c r="F308" s="19" t="s">
        <v>7951</v>
      </c>
    </row>
    <row r="309">
      <c r="A309" s="102">
        <v>308</v>
      </c>
      <c r="B309" s="19" t="s">
        <v>1035</v>
      </c>
      <c r="C309" s="19" t="s">
        <v>52</v>
      </c>
      <c r="D309" s="19" t="s">
        <v>54</v>
      </c>
      <c r="E309" s="19" t="s">
        <v>150</v>
      </c>
      <c r="F309" s="19" t="s">
        <v>7951</v>
      </c>
    </row>
    <row r="310">
      <c r="A310" s="102">
        <v>309</v>
      </c>
      <c r="B310" s="19" t="s">
        <v>1038</v>
      </c>
      <c r="C310" s="19" t="s">
        <v>52</v>
      </c>
      <c r="D310" s="19" t="s">
        <v>54</v>
      </c>
      <c r="E310" s="19" t="s">
        <v>150</v>
      </c>
      <c r="F310" s="19" t="s">
        <v>7951</v>
      </c>
    </row>
    <row r="311">
      <c r="A311" s="102">
        <v>310</v>
      </c>
      <c r="B311" s="19" t="s">
        <v>1041</v>
      </c>
      <c r="C311" s="19" t="s">
        <v>52</v>
      </c>
      <c r="D311" s="19" t="s">
        <v>54</v>
      </c>
      <c r="E311" s="19" t="s">
        <v>150</v>
      </c>
      <c r="F311" s="19" t="s">
        <v>7951</v>
      </c>
    </row>
    <row r="312">
      <c r="A312" s="102">
        <v>311</v>
      </c>
      <c r="B312" s="19" t="s">
        <v>1043</v>
      </c>
      <c r="C312" s="19" t="s">
        <v>52</v>
      </c>
      <c r="D312" s="19" t="s">
        <v>54</v>
      </c>
      <c r="E312" s="19" t="s">
        <v>150</v>
      </c>
      <c r="F312" s="19" t="s">
        <v>7951</v>
      </c>
    </row>
    <row r="313">
      <c r="A313" s="102">
        <v>312</v>
      </c>
      <c r="B313" s="19" t="s">
        <v>1044</v>
      </c>
      <c r="C313" s="19" t="s">
        <v>52</v>
      </c>
      <c r="D313" s="19" t="s">
        <v>54</v>
      </c>
      <c r="E313" s="19" t="s">
        <v>59</v>
      </c>
      <c r="F313" s="19" t="s">
        <v>7951</v>
      </c>
    </row>
    <row r="314">
      <c r="A314" s="102">
        <v>313</v>
      </c>
      <c r="B314" s="19" t="s">
        <v>1046</v>
      </c>
      <c r="C314" s="19" t="s">
        <v>52</v>
      </c>
      <c r="D314" s="19" t="s">
        <v>54</v>
      </c>
      <c r="E314" s="19" t="s">
        <v>150</v>
      </c>
      <c r="F314" s="19" t="s">
        <v>7951</v>
      </c>
    </row>
    <row r="315">
      <c r="A315" s="102">
        <v>314</v>
      </c>
      <c r="B315" s="18" t="s">
        <v>1048</v>
      </c>
      <c r="C315" s="19" t="s">
        <v>52</v>
      </c>
      <c r="D315" s="19" t="s">
        <v>54</v>
      </c>
      <c r="E315" s="102"/>
      <c r="F315" s="102"/>
    </row>
    <row r="316">
      <c r="A316" s="102">
        <v>315</v>
      </c>
      <c r="B316" s="18" t="s">
        <v>1049</v>
      </c>
      <c r="C316" s="19" t="s">
        <v>52</v>
      </c>
      <c r="D316" s="19" t="s">
        <v>54</v>
      </c>
      <c r="E316" s="102"/>
      <c r="F316" s="102"/>
    </row>
    <row r="317">
      <c r="A317" s="102">
        <v>316</v>
      </c>
      <c r="B317" s="18" t="s">
        <v>1050</v>
      </c>
      <c r="C317" s="19" t="s">
        <v>52</v>
      </c>
      <c r="D317" s="19" t="s">
        <v>54</v>
      </c>
      <c r="E317" s="102"/>
      <c r="F317" s="102"/>
    </row>
    <row r="318">
      <c r="A318" s="102">
        <v>317</v>
      </c>
      <c r="B318" s="20" t="s">
        <v>1051</v>
      </c>
      <c r="C318" s="19" t="s">
        <v>52</v>
      </c>
      <c r="D318" s="19" t="s">
        <v>54</v>
      </c>
      <c r="E318" s="102"/>
      <c r="F318" s="102"/>
    </row>
    <row r="319">
      <c r="A319" s="102">
        <v>318</v>
      </c>
      <c r="B319" s="19" t="s">
        <v>1052</v>
      </c>
      <c r="C319" s="19" t="s">
        <v>52</v>
      </c>
      <c r="D319" s="19" t="s">
        <v>54</v>
      </c>
      <c r="E319" s="19" t="s">
        <v>122</v>
      </c>
      <c r="F319" s="19" t="s">
        <v>7950</v>
      </c>
    </row>
    <row r="320">
      <c r="A320" s="102">
        <v>319</v>
      </c>
      <c r="B320" s="19" t="s">
        <v>1056</v>
      </c>
      <c r="C320" s="19" t="s">
        <v>52</v>
      </c>
      <c r="D320" s="19" t="s">
        <v>54</v>
      </c>
      <c r="E320" s="19" t="s">
        <v>122</v>
      </c>
      <c r="F320" s="19" t="s">
        <v>7950</v>
      </c>
    </row>
    <row r="321">
      <c r="A321" s="102">
        <v>320</v>
      </c>
      <c r="B321" s="19" t="s">
        <v>1062</v>
      </c>
      <c r="C321" s="19" t="s">
        <v>52</v>
      </c>
      <c r="D321" s="19" t="s">
        <v>54</v>
      </c>
      <c r="E321" s="19" t="s">
        <v>122</v>
      </c>
      <c r="F321" s="19" t="s">
        <v>7950</v>
      </c>
    </row>
    <row r="322">
      <c r="A322" s="102">
        <v>321</v>
      </c>
      <c r="B322" s="19" t="s">
        <v>1064</v>
      </c>
      <c r="C322" s="19" t="s">
        <v>52</v>
      </c>
      <c r="D322" s="19" t="s">
        <v>54</v>
      </c>
      <c r="E322" s="19" t="s">
        <v>122</v>
      </c>
      <c r="F322" s="19" t="s">
        <v>7950</v>
      </c>
    </row>
    <row r="323">
      <c r="A323" s="102">
        <v>322</v>
      </c>
      <c r="B323" s="19" t="s">
        <v>1068</v>
      </c>
      <c r="C323" s="19" t="s">
        <v>52</v>
      </c>
      <c r="D323" s="19" t="s">
        <v>54</v>
      </c>
      <c r="E323" s="19" t="s">
        <v>296</v>
      </c>
      <c r="F323" s="19" t="s">
        <v>7950</v>
      </c>
    </row>
    <row r="324">
      <c r="A324" s="102">
        <v>323</v>
      </c>
      <c r="B324" s="19" t="s">
        <v>1072</v>
      </c>
      <c r="C324" s="19" t="s">
        <v>52</v>
      </c>
      <c r="D324" s="19" t="s">
        <v>54</v>
      </c>
      <c r="E324" s="19" t="s">
        <v>296</v>
      </c>
      <c r="F324" s="19" t="s">
        <v>7950</v>
      </c>
    </row>
    <row r="325">
      <c r="A325" s="102">
        <v>324</v>
      </c>
      <c r="B325" s="19" t="s">
        <v>1077</v>
      </c>
      <c r="C325" s="19" t="s">
        <v>52</v>
      </c>
      <c r="D325" s="19" t="s">
        <v>54</v>
      </c>
      <c r="E325" s="19" t="s">
        <v>296</v>
      </c>
      <c r="F325" s="19" t="s">
        <v>7950</v>
      </c>
    </row>
    <row r="326">
      <c r="A326" s="102">
        <v>325</v>
      </c>
      <c r="B326" s="19" t="s">
        <v>1081</v>
      </c>
      <c r="C326" s="19" t="s">
        <v>52</v>
      </c>
      <c r="D326" s="19" t="s">
        <v>54</v>
      </c>
      <c r="E326" s="19" t="s">
        <v>159</v>
      </c>
      <c r="F326" s="19" t="s">
        <v>7950</v>
      </c>
    </row>
    <row r="327">
      <c r="A327" s="102">
        <v>326</v>
      </c>
      <c r="B327" s="19" t="s">
        <v>1084</v>
      </c>
      <c r="C327" s="19" t="s">
        <v>52</v>
      </c>
      <c r="D327" s="19" t="s">
        <v>54</v>
      </c>
      <c r="E327" s="19" t="s">
        <v>122</v>
      </c>
      <c r="F327" s="19" t="s">
        <v>7950</v>
      </c>
    </row>
    <row r="328">
      <c r="A328" s="102">
        <v>327</v>
      </c>
      <c r="B328" s="19" t="s">
        <v>1088</v>
      </c>
      <c r="C328" s="19" t="s">
        <v>52</v>
      </c>
      <c r="D328" s="19" t="s">
        <v>54</v>
      </c>
      <c r="E328" s="19" t="s">
        <v>296</v>
      </c>
      <c r="F328" s="19" t="s">
        <v>7950</v>
      </c>
    </row>
    <row r="329">
      <c r="A329" s="102">
        <v>328</v>
      </c>
      <c r="B329" s="19" t="s">
        <v>1091</v>
      </c>
      <c r="C329" s="19" t="s">
        <v>52</v>
      </c>
      <c r="D329" s="19" t="s">
        <v>54</v>
      </c>
      <c r="E329" s="19" t="s">
        <v>296</v>
      </c>
      <c r="F329" s="19" t="s">
        <v>7950</v>
      </c>
    </row>
    <row r="330">
      <c r="A330" s="102">
        <v>329</v>
      </c>
      <c r="B330" s="19" t="s">
        <v>1096</v>
      </c>
      <c r="C330" s="19" t="s">
        <v>52</v>
      </c>
      <c r="D330" s="19" t="s">
        <v>54</v>
      </c>
      <c r="E330" s="19" t="s">
        <v>296</v>
      </c>
      <c r="F330" s="19" t="s">
        <v>7950</v>
      </c>
    </row>
    <row r="331">
      <c r="A331" s="102">
        <v>330</v>
      </c>
      <c r="B331" s="19" t="s">
        <v>1100</v>
      </c>
      <c r="C331" s="19" t="s">
        <v>52</v>
      </c>
      <c r="D331" s="19" t="s">
        <v>54</v>
      </c>
      <c r="E331" s="19" t="s">
        <v>122</v>
      </c>
      <c r="F331" s="19" t="s">
        <v>7950</v>
      </c>
    </row>
    <row r="332">
      <c r="A332" s="102">
        <v>331</v>
      </c>
      <c r="B332" s="19" t="s">
        <v>1103</v>
      </c>
      <c r="C332" s="19" t="s">
        <v>52</v>
      </c>
      <c r="D332" s="19" t="s">
        <v>54</v>
      </c>
      <c r="E332" s="19" t="s">
        <v>159</v>
      </c>
      <c r="F332" s="19" t="s">
        <v>7950</v>
      </c>
    </row>
    <row r="333">
      <c r="A333" s="102">
        <v>332</v>
      </c>
      <c r="B333" s="19" t="s">
        <v>1107</v>
      </c>
      <c r="C333" s="19" t="s">
        <v>52</v>
      </c>
      <c r="D333" s="19" t="s">
        <v>54</v>
      </c>
      <c r="E333" s="19" t="s">
        <v>296</v>
      </c>
      <c r="F333" s="19" t="s">
        <v>7950</v>
      </c>
    </row>
    <row r="334">
      <c r="A334" s="102">
        <v>333</v>
      </c>
      <c r="B334" s="19" t="s">
        <v>1111</v>
      </c>
      <c r="C334" s="19" t="s">
        <v>52</v>
      </c>
      <c r="D334" s="19" t="s">
        <v>54</v>
      </c>
      <c r="E334" s="19" t="s">
        <v>296</v>
      </c>
      <c r="F334" s="19" t="s">
        <v>7950</v>
      </c>
    </row>
    <row r="335">
      <c r="A335" s="102">
        <v>334</v>
      </c>
      <c r="B335" s="19" t="s">
        <v>1116</v>
      </c>
      <c r="C335" s="19" t="s">
        <v>52</v>
      </c>
      <c r="D335" s="19" t="s">
        <v>54</v>
      </c>
      <c r="E335" s="19" t="s">
        <v>296</v>
      </c>
      <c r="F335" s="19" t="s">
        <v>7950</v>
      </c>
    </row>
    <row r="336">
      <c r="A336" s="102">
        <v>335</v>
      </c>
      <c r="B336" s="19" t="s">
        <v>1120</v>
      </c>
      <c r="C336" s="19" t="s">
        <v>52</v>
      </c>
      <c r="D336" s="19" t="s">
        <v>54</v>
      </c>
      <c r="E336" s="19" t="s">
        <v>296</v>
      </c>
      <c r="F336" s="19" t="s">
        <v>7950</v>
      </c>
    </row>
    <row r="337">
      <c r="A337" s="102">
        <v>336</v>
      </c>
      <c r="B337" s="19" t="s">
        <v>1123</v>
      </c>
      <c r="C337" s="19" t="s">
        <v>52</v>
      </c>
      <c r="D337" s="19" t="s">
        <v>54</v>
      </c>
      <c r="E337" s="19" t="s">
        <v>166</v>
      </c>
      <c r="F337" s="19" t="s">
        <v>7950</v>
      </c>
    </row>
    <row r="338">
      <c r="A338" s="102">
        <v>337</v>
      </c>
      <c r="B338" s="19" t="s">
        <v>1126</v>
      </c>
      <c r="C338" s="19" t="s">
        <v>52</v>
      </c>
      <c r="D338" s="19" t="s">
        <v>54</v>
      </c>
      <c r="E338" s="19" t="s">
        <v>166</v>
      </c>
      <c r="F338" s="19" t="s">
        <v>7950</v>
      </c>
    </row>
    <row r="339">
      <c r="A339" s="102">
        <v>338</v>
      </c>
      <c r="B339" s="19" t="s">
        <v>1129</v>
      </c>
      <c r="C339" s="19" t="s">
        <v>52</v>
      </c>
      <c r="D339" s="19" t="s">
        <v>54</v>
      </c>
      <c r="E339" s="19" t="s">
        <v>296</v>
      </c>
      <c r="F339" s="19" t="s">
        <v>7950</v>
      </c>
    </row>
    <row r="340">
      <c r="A340" s="102">
        <v>339</v>
      </c>
      <c r="B340" s="19" t="s">
        <v>1133</v>
      </c>
      <c r="C340" s="19" t="s">
        <v>52</v>
      </c>
      <c r="D340" s="19" t="s">
        <v>54</v>
      </c>
      <c r="E340" s="19" t="s">
        <v>296</v>
      </c>
      <c r="F340" s="19" t="s">
        <v>7951</v>
      </c>
    </row>
    <row r="341">
      <c r="A341" s="102">
        <v>340</v>
      </c>
      <c r="B341" s="19" t="s">
        <v>1136</v>
      </c>
      <c r="C341" s="19" t="s">
        <v>52</v>
      </c>
      <c r="D341" s="19" t="s">
        <v>54</v>
      </c>
      <c r="E341" s="19" t="s">
        <v>296</v>
      </c>
      <c r="F341" s="19" t="s">
        <v>7950</v>
      </c>
    </row>
    <row r="342">
      <c r="A342" s="102">
        <v>341</v>
      </c>
      <c r="B342" s="19" t="s">
        <v>1139</v>
      </c>
      <c r="C342" s="19" t="s">
        <v>52</v>
      </c>
      <c r="D342" s="19" t="s">
        <v>54</v>
      </c>
      <c r="E342" s="19" t="s">
        <v>296</v>
      </c>
      <c r="F342" s="19" t="s">
        <v>7951</v>
      </c>
    </row>
    <row r="343">
      <c r="A343" s="102">
        <v>342</v>
      </c>
      <c r="B343" s="19" t="s">
        <v>1142</v>
      </c>
      <c r="C343" s="19" t="s">
        <v>52</v>
      </c>
      <c r="D343" s="19" t="s">
        <v>54</v>
      </c>
      <c r="E343" s="19" t="s">
        <v>296</v>
      </c>
      <c r="F343" s="19" t="s">
        <v>7951</v>
      </c>
    </row>
    <row r="344">
      <c r="A344" s="102">
        <v>343</v>
      </c>
      <c r="B344" s="19" t="s">
        <v>1145</v>
      </c>
      <c r="C344" s="19" t="s">
        <v>52</v>
      </c>
      <c r="D344" s="19" t="s">
        <v>54</v>
      </c>
      <c r="E344" s="19" t="s">
        <v>296</v>
      </c>
      <c r="F344" s="19" t="s">
        <v>7951</v>
      </c>
    </row>
    <row r="345">
      <c r="A345" s="102">
        <v>344</v>
      </c>
      <c r="B345" s="19" t="s">
        <v>1148</v>
      </c>
      <c r="C345" s="19" t="s">
        <v>52</v>
      </c>
      <c r="D345" s="19" t="s">
        <v>54</v>
      </c>
      <c r="E345" s="19" t="s">
        <v>296</v>
      </c>
      <c r="F345" s="19" t="s">
        <v>7951</v>
      </c>
    </row>
    <row r="346">
      <c r="A346" s="102">
        <v>345</v>
      </c>
      <c r="B346" s="19" t="s">
        <v>1151</v>
      </c>
      <c r="C346" s="19" t="s">
        <v>52</v>
      </c>
      <c r="D346" s="19" t="s">
        <v>54</v>
      </c>
      <c r="E346" s="19" t="s">
        <v>122</v>
      </c>
      <c r="F346" s="19" t="s">
        <v>7951</v>
      </c>
    </row>
    <row r="347">
      <c r="A347" s="102">
        <v>346</v>
      </c>
      <c r="B347" s="19" t="s">
        <v>1154</v>
      </c>
      <c r="C347" s="19" t="s">
        <v>52</v>
      </c>
      <c r="D347" s="19" t="s">
        <v>54</v>
      </c>
      <c r="E347" s="19" t="s">
        <v>122</v>
      </c>
      <c r="F347" s="19" t="s">
        <v>7951</v>
      </c>
    </row>
    <row r="348">
      <c r="A348" s="102">
        <v>347</v>
      </c>
      <c r="B348" s="19" t="s">
        <v>1155</v>
      </c>
      <c r="C348" s="19" t="s">
        <v>52</v>
      </c>
      <c r="D348" s="19" t="s">
        <v>54</v>
      </c>
      <c r="E348" s="19" t="s">
        <v>296</v>
      </c>
      <c r="F348" s="19" t="s">
        <v>7951</v>
      </c>
    </row>
    <row r="349">
      <c r="A349" s="102">
        <v>348</v>
      </c>
      <c r="B349" s="19" t="s">
        <v>1157</v>
      </c>
      <c r="C349" s="19" t="s">
        <v>52</v>
      </c>
      <c r="D349" s="19" t="s">
        <v>54</v>
      </c>
      <c r="E349" s="19" t="s">
        <v>296</v>
      </c>
      <c r="F349" s="19" t="s">
        <v>7951</v>
      </c>
    </row>
    <row r="350">
      <c r="A350" s="102">
        <v>349</v>
      </c>
      <c r="B350" s="19" t="s">
        <v>1160</v>
      </c>
      <c r="C350" s="19" t="s">
        <v>52</v>
      </c>
      <c r="D350" s="19" t="s">
        <v>54</v>
      </c>
      <c r="E350" s="19" t="s">
        <v>296</v>
      </c>
      <c r="F350" s="19" t="s">
        <v>7951</v>
      </c>
    </row>
    <row r="351">
      <c r="A351" s="102">
        <v>350</v>
      </c>
      <c r="B351" s="19" t="s">
        <v>1163</v>
      </c>
      <c r="C351" s="19" t="s">
        <v>52</v>
      </c>
      <c r="D351" s="19" t="s">
        <v>54</v>
      </c>
      <c r="E351" s="19" t="s">
        <v>296</v>
      </c>
      <c r="F351" s="19" t="s">
        <v>7951</v>
      </c>
    </row>
    <row r="352">
      <c r="A352" s="102">
        <v>351</v>
      </c>
      <c r="B352" s="19" t="s">
        <v>1165</v>
      </c>
      <c r="C352" s="19" t="s">
        <v>52</v>
      </c>
      <c r="D352" s="19" t="s">
        <v>54</v>
      </c>
      <c r="E352" s="19" t="s">
        <v>296</v>
      </c>
      <c r="F352" s="19" t="s">
        <v>7951</v>
      </c>
    </row>
    <row r="353">
      <c r="A353" s="102">
        <v>352</v>
      </c>
      <c r="B353" s="18" t="s">
        <v>1167</v>
      </c>
      <c r="C353" s="19" t="s">
        <v>52</v>
      </c>
      <c r="D353" s="19" t="s">
        <v>54</v>
      </c>
      <c r="E353" s="102"/>
      <c r="F353" s="102"/>
    </row>
    <row r="354">
      <c r="A354" s="102">
        <v>353</v>
      </c>
      <c r="B354" s="20" t="s">
        <v>1168</v>
      </c>
      <c r="C354" s="19" t="s">
        <v>52</v>
      </c>
      <c r="D354" s="19" t="s">
        <v>54</v>
      </c>
      <c r="E354" s="102"/>
      <c r="F354" s="102"/>
    </row>
    <row r="355">
      <c r="A355" s="102">
        <v>354</v>
      </c>
      <c r="B355" s="20" t="s">
        <v>1169</v>
      </c>
      <c r="C355" s="19" t="s">
        <v>52</v>
      </c>
      <c r="D355" s="19" t="s">
        <v>54</v>
      </c>
      <c r="E355" s="102"/>
      <c r="F355" s="102"/>
    </row>
  </sheetData>
  <autoFilter ref="A1:F355"/>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1" activeCellId="0" sqref="C11"/>
    </sheetView>
  </sheetViews>
  <sheetFormatPr defaultRowHeight="14.4"/>
  <cols>
    <col bestFit="1" customWidth="1" min="1" max="1" width="19.6640625"/>
    <col bestFit="1" customWidth="1" min="2" max="2" width="10.44140625"/>
    <col bestFit="1" customWidth="1" min="3" max="3" width="19.6640625"/>
    <col bestFit="1" customWidth="1" min="4" max="4" width="12.44140625"/>
  </cols>
  <sheetData>
    <row r="1">
      <c r="A1" s="103" t="s">
        <v>2</v>
      </c>
      <c r="B1" s="103" t="s">
        <v>7952</v>
      </c>
      <c r="C1" s="104" t="s">
        <v>7953</v>
      </c>
      <c r="D1" s="103" t="s">
        <v>7948</v>
      </c>
    </row>
    <row r="2">
      <c r="A2" s="105" t="s">
        <v>1170</v>
      </c>
      <c r="B2" s="105" t="s">
        <v>7954</v>
      </c>
      <c r="C2" s="105" t="s">
        <v>1174</v>
      </c>
      <c r="D2" s="105" t="s">
        <v>1171</v>
      </c>
    </row>
    <row r="3">
      <c r="A3" s="105" t="s">
        <v>1177</v>
      </c>
      <c r="B3" s="105" t="s">
        <v>7954</v>
      </c>
      <c r="C3" s="105" t="s">
        <v>1174</v>
      </c>
      <c r="D3" s="105" t="s">
        <v>1171</v>
      </c>
    </row>
    <row r="4">
      <c r="A4" s="105" t="s">
        <v>1186</v>
      </c>
      <c r="B4" s="105" t="s">
        <v>7954</v>
      </c>
      <c r="C4" s="105" t="s">
        <v>1174</v>
      </c>
      <c r="D4" s="105" t="s">
        <v>1171</v>
      </c>
    </row>
    <row r="5">
      <c r="A5" s="105" t="s">
        <v>1191</v>
      </c>
      <c r="B5" s="105" t="s">
        <v>7954</v>
      </c>
      <c r="C5" s="105" t="s">
        <v>1174</v>
      </c>
      <c r="D5" s="105" t="s">
        <v>1171</v>
      </c>
    </row>
    <row r="6">
      <c r="A6" s="105" t="s">
        <v>1198</v>
      </c>
      <c r="B6" s="105" t="s">
        <v>7955</v>
      </c>
      <c r="C6" s="105" t="s">
        <v>1201</v>
      </c>
      <c r="D6" s="105" t="s">
        <v>1171</v>
      </c>
    </row>
    <row r="7">
      <c r="A7" s="105" t="s">
        <v>1205</v>
      </c>
      <c r="B7" s="105" t="s">
        <v>7956</v>
      </c>
      <c r="C7" s="105" t="s">
        <v>1174</v>
      </c>
      <c r="D7" s="105" t="s">
        <v>1171</v>
      </c>
    </row>
    <row r="8">
      <c r="A8" s="105" t="s">
        <v>1209</v>
      </c>
      <c r="B8" s="105" t="s">
        <v>7957</v>
      </c>
      <c r="C8" s="105" t="s">
        <v>1174</v>
      </c>
      <c r="D8" s="105" t="s">
        <v>1171</v>
      </c>
    </row>
    <row r="9">
      <c r="A9" s="105" t="s">
        <v>1210</v>
      </c>
      <c r="B9" s="105" t="s">
        <v>7954</v>
      </c>
      <c r="C9" s="105" t="s">
        <v>1174</v>
      </c>
      <c r="D9" s="105" t="s">
        <v>1171</v>
      </c>
    </row>
    <row r="10">
      <c r="A10" s="105" t="s">
        <v>1214</v>
      </c>
      <c r="B10" s="105" t="s">
        <v>7954</v>
      </c>
      <c r="C10" s="105" t="s">
        <v>1174</v>
      </c>
      <c r="D10" s="105" t="s">
        <v>1171</v>
      </c>
    </row>
    <row r="11">
      <c r="A11" s="105" t="s">
        <v>1218</v>
      </c>
      <c r="B11" s="105" t="s">
        <v>7954</v>
      </c>
      <c r="C11" s="105" t="s">
        <v>1174</v>
      </c>
      <c r="D11" s="105" t="s">
        <v>1171</v>
      </c>
    </row>
    <row r="12">
      <c r="A12" s="105" t="s">
        <v>1223</v>
      </c>
      <c r="B12" s="105" t="s">
        <v>7954</v>
      </c>
      <c r="C12" s="105" t="s">
        <v>1174</v>
      </c>
      <c r="D12" s="105" t="s">
        <v>1171</v>
      </c>
    </row>
    <row r="13">
      <c r="A13" s="105" t="s">
        <v>1230</v>
      </c>
      <c r="B13" s="105" t="s">
        <v>7954</v>
      </c>
      <c r="C13" s="105" t="s">
        <v>1174</v>
      </c>
      <c r="D13" s="105" t="s">
        <v>1171</v>
      </c>
    </row>
    <row r="14">
      <c r="A14" s="105" t="s">
        <v>1237</v>
      </c>
      <c r="B14" s="105" t="s">
        <v>7956</v>
      </c>
      <c r="C14" s="105" t="s">
        <v>1174</v>
      </c>
      <c r="D14" s="105" t="s">
        <v>1171</v>
      </c>
    </row>
    <row r="15">
      <c r="A15" s="105" t="s">
        <v>1240</v>
      </c>
      <c r="B15" s="105" t="s">
        <v>7956</v>
      </c>
      <c r="C15" s="105" t="s">
        <v>1174</v>
      </c>
      <c r="D15" s="105" t="s">
        <v>1171</v>
      </c>
    </row>
    <row r="16">
      <c r="A16" s="105" t="s">
        <v>1243</v>
      </c>
      <c r="B16" s="105" t="s">
        <v>7956</v>
      </c>
      <c r="C16" s="105" t="s">
        <v>1174</v>
      </c>
      <c r="D16" s="105" t="s">
        <v>1171</v>
      </c>
    </row>
    <row r="17">
      <c r="A17" s="105" t="s">
        <v>1246</v>
      </c>
      <c r="B17" s="105" t="s">
        <v>7956</v>
      </c>
      <c r="C17" s="105" t="s">
        <v>1174</v>
      </c>
      <c r="D17" s="105" t="s">
        <v>1171</v>
      </c>
    </row>
    <row r="18">
      <c r="A18" s="105" t="s">
        <v>1249</v>
      </c>
      <c r="B18" s="105" t="s">
        <v>7956</v>
      </c>
      <c r="C18" s="105" t="s">
        <v>1174</v>
      </c>
      <c r="D18" s="105" t="s">
        <v>1171</v>
      </c>
    </row>
    <row r="19">
      <c r="A19" s="105" t="s">
        <v>1252</v>
      </c>
      <c r="B19" s="105" t="s">
        <v>7957</v>
      </c>
      <c r="C19" s="105" t="s">
        <v>1174</v>
      </c>
      <c r="D19" s="105" t="s">
        <v>1171</v>
      </c>
    </row>
    <row r="20">
      <c r="A20" s="105" t="s">
        <v>1253</v>
      </c>
      <c r="B20" s="105" t="s">
        <v>7957</v>
      </c>
      <c r="C20" s="105" t="s">
        <v>1174</v>
      </c>
      <c r="D20" s="105" t="s">
        <v>1171</v>
      </c>
    </row>
    <row r="21">
      <c r="A21" s="105" t="s">
        <v>1254</v>
      </c>
      <c r="B21" s="105" t="s">
        <v>7957</v>
      </c>
      <c r="C21" s="105" t="s">
        <v>1174</v>
      </c>
      <c r="D21" s="105" t="s">
        <v>1171</v>
      </c>
    </row>
    <row r="22">
      <c r="A22" s="105" t="s">
        <v>1255</v>
      </c>
      <c r="B22" s="105" t="s">
        <v>7957</v>
      </c>
      <c r="C22" s="105" t="s">
        <v>1174</v>
      </c>
      <c r="D22" s="105" t="s">
        <v>1171</v>
      </c>
    </row>
    <row r="23">
      <c r="A23" s="105" t="s">
        <v>1256</v>
      </c>
      <c r="B23" s="105" t="s">
        <v>7957</v>
      </c>
      <c r="C23" s="105" t="s">
        <v>1174</v>
      </c>
      <c r="D23" s="105" t="s">
        <v>1171</v>
      </c>
    </row>
    <row r="24">
      <c r="A24" s="105" t="s">
        <v>1257</v>
      </c>
      <c r="B24" s="105" t="s">
        <v>7957</v>
      </c>
      <c r="C24" s="105" t="s">
        <v>1174</v>
      </c>
      <c r="D24" s="105" t="s">
        <v>1171</v>
      </c>
    </row>
    <row r="25">
      <c r="A25" s="105" t="s">
        <v>1258</v>
      </c>
      <c r="B25" s="105" t="s">
        <v>7957</v>
      </c>
      <c r="C25" s="105" t="s">
        <v>1174</v>
      </c>
      <c r="D25" s="105" t="s">
        <v>1171</v>
      </c>
    </row>
    <row r="26">
      <c r="A26" s="105" t="s">
        <v>1259</v>
      </c>
      <c r="B26" s="105" t="s">
        <v>7954</v>
      </c>
      <c r="C26" s="105" t="s">
        <v>1174</v>
      </c>
      <c r="D26" s="105" t="s">
        <v>1171</v>
      </c>
    </row>
    <row r="27">
      <c r="A27" s="105" t="s">
        <v>1263</v>
      </c>
      <c r="B27" s="105" t="s">
        <v>7954</v>
      </c>
      <c r="C27" s="105" t="s">
        <v>1174</v>
      </c>
      <c r="D27" s="105" t="s">
        <v>1171</v>
      </c>
    </row>
    <row r="28">
      <c r="A28" s="105" t="s">
        <v>1267</v>
      </c>
      <c r="B28" s="105" t="s">
        <v>7954</v>
      </c>
      <c r="C28" s="105" t="s">
        <v>1174</v>
      </c>
      <c r="D28" s="105" t="s">
        <v>1171</v>
      </c>
    </row>
    <row r="29">
      <c r="A29" s="105" t="s">
        <v>1270</v>
      </c>
      <c r="B29" s="105" t="s">
        <v>7954</v>
      </c>
      <c r="C29" s="105" t="s">
        <v>1174</v>
      </c>
      <c r="D29" s="105" t="s">
        <v>1171</v>
      </c>
    </row>
    <row r="30">
      <c r="A30" s="105" t="s">
        <v>1273</v>
      </c>
      <c r="B30" s="105" t="s">
        <v>7954</v>
      </c>
      <c r="C30" s="105" t="s">
        <v>1174</v>
      </c>
      <c r="D30" s="105" t="s">
        <v>1171</v>
      </c>
    </row>
    <row r="31">
      <c r="A31" s="105" t="s">
        <v>1276</v>
      </c>
      <c r="B31" s="105" t="s">
        <v>7954</v>
      </c>
      <c r="C31" s="105" t="s">
        <v>1174</v>
      </c>
      <c r="D31" s="105" t="s">
        <v>1171</v>
      </c>
    </row>
    <row r="32">
      <c r="A32" s="105" t="s">
        <v>1279</v>
      </c>
      <c r="B32" s="105" t="s">
        <v>7956</v>
      </c>
      <c r="C32" s="105" t="s">
        <v>1174</v>
      </c>
      <c r="D32" s="105" t="s">
        <v>1171</v>
      </c>
    </row>
    <row r="33">
      <c r="A33" s="105" t="s">
        <v>1282</v>
      </c>
      <c r="B33" s="105" t="s">
        <v>7956</v>
      </c>
      <c r="C33" s="105" t="s">
        <v>1174</v>
      </c>
      <c r="D33" s="105" t="s">
        <v>1171</v>
      </c>
    </row>
    <row r="34">
      <c r="A34" s="105" t="s">
        <v>1285</v>
      </c>
      <c r="B34" s="105" t="s">
        <v>7956</v>
      </c>
      <c r="C34" s="105" t="s">
        <v>1174</v>
      </c>
      <c r="D34" s="105" t="s">
        <v>1171</v>
      </c>
    </row>
    <row r="35">
      <c r="A35" s="105" t="s">
        <v>1288</v>
      </c>
      <c r="B35" s="105" t="s">
        <v>7956</v>
      </c>
      <c r="C35" s="105" t="s">
        <v>1174</v>
      </c>
      <c r="D35" s="105" t="s">
        <v>1171</v>
      </c>
    </row>
    <row r="36">
      <c r="A36" s="105" t="s">
        <v>1292</v>
      </c>
      <c r="B36" s="105" t="s">
        <v>7956</v>
      </c>
      <c r="C36" s="105" t="s">
        <v>1174</v>
      </c>
      <c r="D36" s="105" t="s">
        <v>1171</v>
      </c>
    </row>
    <row r="37">
      <c r="A37" s="105" t="s">
        <v>1295</v>
      </c>
      <c r="B37" s="105" t="s">
        <v>7956</v>
      </c>
      <c r="C37" s="105" t="s">
        <v>1174</v>
      </c>
      <c r="D37" s="105" t="s">
        <v>1171</v>
      </c>
    </row>
    <row r="38">
      <c r="A38" s="105" t="s">
        <v>1298</v>
      </c>
      <c r="B38" s="105" t="s">
        <v>7956</v>
      </c>
      <c r="C38" s="105" t="s">
        <v>1174</v>
      </c>
      <c r="D38" s="105" t="s">
        <v>1171</v>
      </c>
    </row>
    <row r="39">
      <c r="A39" s="105" t="s">
        <v>1301</v>
      </c>
      <c r="B39" s="105" t="s">
        <v>7956</v>
      </c>
      <c r="C39" s="105" t="s">
        <v>1174</v>
      </c>
      <c r="D39" s="105" t="s">
        <v>1171</v>
      </c>
    </row>
    <row r="40">
      <c r="A40" s="105" t="s">
        <v>1304</v>
      </c>
      <c r="B40" s="105" t="s">
        <v>7956</v>
      </c>
      <c r="C40" s="105" t="s">
        <v>1174</v>
      </c>
      <c r="D40" s="105" t="s">
        <v>1171</v>
      </c>
    </row>
    <row r="41">
      <c r="A41" s="105" t="s">
        <v>1307</v>
      </c>
      <c r="B41" s="105" t="s">
        <v>7956</v>
      </c>
      <c r="C41" s="105" t="s">
        <v>1174</v>
      </c>
      <c r="D41" s="105" t="s">
        <v>1171</v>
      </c>
    </row>
    <row r="42">
      <c r="A42" s="105" t="s">
        <v>1310</v>
      </c>
      <c r="B42" s="105" t="s">
        <v>7956</v>
      </c>
      <c r="C42" s="105" t="s">
        <v>1174</v>
      </c>
      <c r="D42" s="105" t="s">
        <v>1171</v>
      </c>
    </row>
    <row r="43">
      <c r="A43" s="105" t="s">
        <v>1312</v>
      </c>
      <c r="B43" s="105" t="s">
        <v>7956</v>
      </c>
      <c r="C43" s="105" t="s">
        <v>1174</v>
      </c>
      <c r="D43" s="105" t="s">
        <v>1171</v>
      </c>
    </row>
    <row r="44">
      <c r="A44" s="105" t="s">
        <v>1314</v>
      </c>
      <c r="B44" s="105" t="s">
        <v>7956</v>
      </c>
      <c r="C44" s="105" t="s">
        <v>1174</v>
      </c>
      <c r="D44" s="105" t="s">
        <v>1171</v>
      </c>
    </row>
    <row r="45">
      <c r="A45" s="105" t="s">
        <v>1316</v>
      </c>
      <c r="B45" s="105" t="s">
        <v>7957</v>
      </c>
      <c r="C45" s="105" t="s">
        <v>1174</v>
      </c>
      <c r="D45" s="105" t="s">
        <v>1171</v>
      </c>
    </row>
    <row r="46">
      <c r="A46" s="105" t="s">
        <v>1317</v>
      </c>
      <c r="B46" s="105" t="s">
        <v>7957</v>
      </c>
      <c r="C46" s="105" t="s">
        <v>1174</v>
      </c>
      <c r="D46" s="105" t="s">
        <v>1171</v>
      </c>
    </row>
    <row r="47">
      <c r="A47" s="105" t="s">
        <v>1318</v>
      </c>
      <c r="B47" s="105" t="s">
        <v>7957</v>
      </c>
      <c r="C47" s="105" t="s">
        <v>1174</v>
      </c>
      <c r="D47" s="105" t="s">
        <v>1171</v>
      </c>
    </row>
    <row r="48">
      <c r="A48" s="105" t="s">
        <v>1319</v>
      </c>
      <c r="B48" s="105" t="s">
        <v>7957</v>
      </c>
      <c r="C48" s="105" t="s">
        <v>1174</v>
      </c>
      <c r="D48" s="105" t="s">
        <v>1171</v>
      </c>
    </row>
    <row r="49">
      <c r="A49" s="105" t="s">
        <v>1320</v>
      </c>
      <c r="B49" s="105" t="s">
        <v>7957</v>
      </c>
      <c r="C49" s="105" t="s">
        <v>1174</v>
      </c>
      <c r="D49" s="105" t="s">
        <v>1171</v>
      </c>
    </row>
    <row r="50">
      <c r="A50" s="105" t="s">
        <v>1321</v>
      </c>
      <c r="B50" s="105" t="s">
        <v>7957</v>
      </c>
      <c r="C50" s="105" t="s">
        <v>1174</v>
      </c>
      <c r="D50" s="105" t="s">
        <v>1171</v>
      </c>
    </row>
    <row r="51">
      <c r="A51" s="105" t="s">
        <v>1322</v>
      </c>
      <c r="B51" s="105" t="s">
        <v>7957</v>
      </c>
      <c r="C51" s="105" t="s">
        <v>1174</v>
      </c>
      <c r="D51" s="105" t="s">
        <v>1171</v>
      </c>
    </row>
    <row r="52">
      <c r="A52" s="105" t="s">
        <v>1323</v>
      </c>
      <c r="B52" s="105" t="s">
        <v>7957</v>
      </c>
      <c r="C52" s="105" t="s">
        <v>1174</v>
      </c>
      <c r="D52" s="105" t="s">
        <v>1171</v>
      </c>
    </row>
    <row r="53">
      <c r="A53" s="105" t="s">
        <v>1324</v>
      </c>
      <c r="B53" s="105" t="s">
        <v>7957</v>
      </c>
      <c r="C53" s="105" t="s">
        <v>1174</v>
      </c>
      <c r="D53" s="105" t="s">
        <v>1171</v>
      </c>
    </row>
    <row r="54">
      <c r="A54" s="105" t="s">
        <v>1325</v>
      </c>
      <c r="B54" s="105" t="s">
        <v>7957</v>
      </c>
      <c r="C54" s="105" t="s">
        <v>1174</v>
      </c>
      <c r="D54" s="105" t="s">
        <v>1171</v>
      </c>
    </row>
    <row r="55">
      <c r="A55" s="105" t="s">
        <v>1326</v>
      </c>
      <c r="B55" s="105" t="s">
        <v>7957</v>
      </c>
      <c r="C55" s="105" t="s">
        <v>1174</v>
      </c>
      <c r="D55" s="105" t="s">
        <v>1171</v>
      </c>
    </row>
    <row r="56">
      <c r="A56" s="105" t="s">
        <v>1327</v>
      </c>
      <c r="B56" s="105" t="s">
        <v>7957</v>
      </c>
      <c r="C56" s="105" t="s">
        <v>1174</v>
      </c>
      <c r="D56" s="105" t="s">
        <v>1171</v>
      </c>
    </row>
    <row r="57">
      <c r="A57" s="105" t="s">
        <v>1328</v>
      </c>
      <c r="B57" s="105" t="s">
        <v>7957</v>
      </c>
      <c r="C57" s="105" t="s">
        <v>1174</v>
      </c>
      <c r="D57" s="105" t="s">
        <v>1171</v>
      </c>
    </row>
    <row r="58">
      <c r="A58" s="106" t="s">
        <v>1329</v>
      </c>
      <c r="B58" s="105" t="s">
        <v>7958</v>
      </c>
      <c r="C58" s="105" t="s">
        <v>1174</v>
      </c>
      <c r="D58" s="105" t="s">
        <v>1330</v>
      </c>
    </row>
    <row r="59">
      <c r="A59" s="106" t="s">
        <v>1331</v>
      </c>
      <c r="B59" s="105" t="s">
        <v>7958</v>
      </c>
      <c r="C59" s="105" t="s">
        <v>1174</v>
      </c>
      <c r="D59" s="105" t="s">
        <v>1330</v>
      </c>
    </row>
    <row r="60">
      <c r="A60" s="105" t="s">
        <v>1332</v>
      </c>
      <c r="B60" s="105" t="s">
        <v>7955</v>
      </c>
      <c r="C60" s="105" t="s">
        <v>1201</v>
      </c>
      <c r="D60" s="105" t="s">
        <v>1171</v>
      </c>
    </row>
    <row r="61">
      <c r="A61" s="105" t="s">
        <v>1337</v>
      </c>
      <c r="B61" s="105" t="s">
        <v>7955</v>
      </c>
      <c r="C61" s="105" t="s">
        <v>1201</v>
      </c>
      <c r="D61" s="105" t="s">
        <v>1171</v>
      </c>
    </row>
    <row r="62">
      <c r="A62" s="105" t="s">
        <v>1341</v>
      </c>
      <c r="B62" s="105" t="s">
        <v>7955</v>
      </c>
      <c r="C62" s="105" t="s">
        <v>1201</v>
      </c>
      <c r="D62" s="105" t="s">
        <v>1171</v>
      </c>
    </row>
    <row r="63">
      <c r="A63" s="105" t="s">
        <v>1345</v>
      </c>
      <c r="B63" s="105" t="s">
        <v>7955</v>
      </c>
      <c r="C63" s="105" t="s">
        <v>1201</v>
      </c>
      <c r="D63" s="105" t="s">
        <v>1171</v>
      </c>
    </row>
    <row r="64">
      <c r="A64" s="105" t="s">
        <v>1348</v>
      </c>
      <c r="B64" s="105" t="s">
        <v>7955</v>
      </c>
      <c r="C64" s="105" t="s">
        <v>1201</v>
      </c>
      <c r="D64" s="105" t="s">
        <v>1171</v>
      </c>
    </row>
    <row r="65">
      <c r="A65" s="105" t="s">
        <v>1352</v>
      </c>
      <c r="B65" s="105" t="s">
        <v>7955</v>
      </c>
      <c r="C65" s="105" t="s">
        <v>1201</v>
      </c>
      <c r="D65" s="105" t="s">
        <v>1171</v>
      </c>
    </row>
    <row r="66">
      <c r="A66" s="105" t="s">
        <v>1356</v>
      </c>
      <c r="B66" s="105" t="s">
        <v>7957</v>
      </c>
      <c r="C66" s="105" t="s">
        <v>1201</v>
      </c>
      <c r="D66" s="105" t="s">
        <v>1171</v>
      </c>
    </row>
    <row r="67">
      <c r="A67" s="105" t="s">
        <v>1357</v>
      </c>
      <c r="B67" s="105" t="s">
        <v>7958</v>
      </c>
      <c r="C67" s="105"/>
      <c r="D67" s="105" t="s">
        <v>1330</v>
      </c>
    </row>
    <row r="68">
      <c r="A68" s="106" t="s">
        <v>1358</v>
      </c>
      <c r="B68" s="105" t="s">
        <v>7958</v>
      </c>
      <c r="C68" s="105"/>
      <c r="D68" s="105" t="s">
        <v>1330</v>
      </c>
    </row>
    <row r="69">
      <c r="A69" s="106" t="s">
        <v>1359</v>
      </c>
      <c r="B69" s="105" t="s">
        <v>7958</v>
      </c>
      <c r="C69" s="105"/>
      <c r="D69" s="105" t="s">
        <v>1330</v>
      </c>
    </row>
    <row r="70">
      <c r="A70" s="105" t="s">
        <v>1360</v>
      </c>
      <c r="B70" s="105" t="s">
        <v>7955</v>
      </c>
      <c r="C70" s="105" t="s">
        <v>1201</v>
      </c>
      <c r="D70" s="105" t="s">
        <v>1171</v>
      </c>
    </row>
    <row r="71">
      <c r="A71" s="105" t="s">
        <v>1363</v>
      </c>
      <c r="B71" s="105" t="s">
        <v>7955</v>
      </c>
      <c r="C71" s="105" t="s">
        <v>1201</v>
      </c>
      <c r="D71" s="105" t="s">
        <v>1171</v>
      </c>
    </row>
    <row r="72">
      <c r="A72" s="105" t="s">
        <v>1367</v>
      </c>
      <c r="B72" s="105" t="s">
        <v>7955</v>
      </c>
      <c r="C72" s="105" t="s">
        <v>1201</v>
      </c>
      <c r="D72" s="105" t="s">
        <v>1171</v>
      </c>
    </row>
    <row r="73">
      <c r="A73" s="105" t="s">
        <v>1372</v>
      </c>
      <c r="B73" s="105" t="s">
        <v>7957</v>
      </c>
      <c r="C73" s="105" t="s">
        <v>1201</v>
      </c>
      <c r="D73" s="105" t="s">
        <v>1171</v>
      </c>
    </row>
    <row r="74">
      <c r="A74" s="105" t="s">
        <v>1373</v>
      </c>
      <c r="B74" s="105" t="s">
        <v>7957</v>
      </c>
      <c r="C74" s="105" t="s">
        <v>1201</v>
      </c>
      <c r="D74" s="105" t="s">
        <v>1171</v>
      </c>
    </row>
    <row r="75">
      <c r="A75" s="105" t="s">
        <v>1374</v>
      </c>
      <c r="B75" s="105" t="s">
        <v>7957</v>
      </c>
      <c r="C75" s="105" t="s">
        <v>1375</v>
      </c>
      <c r="D75" s="105" t="s">
        <v>1171</v>
      </c>
    </row>
    <row r="76">
      <c r="A76" s="105" t="s">
        <v>1376</v>
      </c>
      <c r="B76" s="105" t="s">
        <v>7955</v>
      </c>
      <c r="C76" s="105" t="s">
        <v>1201</v>
      </c>
      <c r="D76" s="105" t="s">
        <v>1171</v>
      </c>
    </row>
    <row r="77">
      <c r="A77" s="106" t="s">
        <v>1379</v>
      </c>
      <c r="B77" s="105" t="s">
        <v>7958</v>
      </c>
      <c r="C77" s="105"/>
      <c r="D77" s="105" t="s">
        <v>1330</v>
      </c>
    </row>
    <row r="78">
      <c r="A78" s="106" t="s">
        <v>1380</v>
      </c>
      <c r="B78" s="105" t="s">
        <v>7958</v>
      </c>
      <c r="C78" s="105"/>
      <c r="D78" s="105" t="s">
        <v>1330</v>
      </c>
    </row>
    <row r="79">
      <c r="A79" s="105" t="s">
        <v>1381</v>
      </c>
      <c r="B79" s="105" t="s">
        <v>7955</v>
      </c>
      <c r="C79" s="105" t="s">
        <v>1201</v>
      </c>
      <c r="D79" s="105" t="s">
        <v>1171</v>
      </c>
    </row>
    <row r="80">
      <c r="A80" s="105" t="s">
        <v>1384</v>
      </c>
      <c r="B80" s="105" t="s">
        <v>7955</v>
      </c>
      <c r="C80" s="105" t="s">
        <v>1201</v>
      </c>
      <c r="D80" s="105" t="s">
        <v>1171</v>
      </c>
    </row>
    <row r="81">
      <c r="A81" s="105" t="s">
        <v>1387</v>
      </c>
      <c r="B81" s="105" t="s">
        <v>7955</v>
      </c>
      <c r="C81" s="105" t="s">
        <v>1201</v>
      </c>
      <c r="D81" s="105" t="s">
        <v>1171</v>
      </c>
    </row>
    <row r="82">
      <c r="A82" s="105" t="s">
        <v>1390</v>
      </c>
      <c r="B82" s="105" t="s">
        <v>7955</v>
      </c>
      <c r="C82" s="105" t="s">
        <v>1201</v>
      </c>
      <c r="D82" s="105" t="s">
        <v>1171</v>
      </c>
    </row>
    <row r="83">
      <c r="A83" s="105" t="s">
        <v>1393</v>
      </c>
      <c r="B83" s="105" t="s">
        <v>7955</v>
      </c>
      <c r="C83" s="105" t="s">
        <v>1201</v>
      </c>
      <c r="D83" s="105" t="s">
        <v>1171</v>
      </c>
    </row>
    <row r="84">
      <c r="A84" s="105" t="s">
        <v>1396</v>
      </c>
      <c r="B84" s="105" t="s">
        <v>7957</v>
      </c>
      <c r="C84" s="105" t="s">
        <v>1201</v>
      </c>
      <c r="D84" s="105" t="s">
        <v>1171</v>
      </c>
    </row>
    <row r="85">
      <c r="A85" s="105" t="s">
        <v>1397</v>
      </c>
      <c r="B85" s="105" t="s">
        <v>7957</v>
      </c>
      <c r="C85" s="105" t="s">
        <v>1201</v>
      </c>
      <c r="D85" s="105" t="s">
        <v>1171</v>
      </c>
    </row>
    <row r="86">
      <c r="A86" s="105" t="s">
        <v>1398</v>
      </c>
      <c r="B86" s="105" t="s">
        <v>7956</v>
      </c>
      <c r="C86" s="105" t="s">
        <v>1375</v>
      </c>
      <c r="D86" s="105" t="s">
        <v>1171</v>
      </c>
    </row>
    <row r="87">
      <c r="A87" s="105" t="s">
        <v>1401</v>
      </c>
      <c r="B87" s="105" t="s">
        <v>7954</v>
      </c>
      <c r="C87" s="105" t="s">
        <v>1375</v>
      </c>
      <c r="D87" s="105" t="s">
        <v>1171</v>
      </c>
    </row>
    <row r="88">
      <c r="A88" s="105" t="s">
        <v>1406</v>
      </c>
      <c r="B88" s="105" t="s">
        <v>7954</v>
      </c>
      <c r="C88" s="105" t="s">
        <v>1375</v>
      </c>
      <c r="D88" s="105" t="s">
        <v>1171</v>
      </c>
    </row>
    <row r="89">
      <c r="A89" s="105" t="s">
        <v>1410</v>
      </c>
      <c r="B89" s="105" t="s">
        <v>7954</v>
      </c>
      <c r="C89" s="105" t="s">
        <v>1375</v>
      </c>
      <c r="D89" s="105" t="s">
        <v>1171</v>
      </c>
    </row>
    <row r="90">
      <c r="A90" s="105" t="s">
        <v>1414</v>
      </c>
      <c r="B90" s="105" t="s">
        <v>7954</v>
      </c>
      <c r="C90" s="105" t="s">
        <v>1375</v>
      </c>
      <c r="D90" s="105" t="s">
        <v>1171</v>
      </c>
    </row>
    <row r="91">
      <c r="A91" s="105" t="s">
        <v>1419</v>
      </c>
      <c r="B91" s="105" t="s">
        <v>7956</v>
      </c>
      <c r="C91" s="105" t="s">
        <v>1375</v>
      </c>
      <c r="D91" s="105" t="s">
        <v>1171</v>
      </c>
    </row>
    <row r="92">
      <c r="A92" s="105" t="s">
        <v>1422</v>
      </c>
      <c r="B92" s="105" t="s">
        <v>7956</v>
      </c>
      <c r="C92" s="105" t="s">
        <v>1375</v>
      </c>
      <c r="D92" s="105" t="s">
        <v>1171</v>
      </c>
    </row>
    <row r="93">
      <c r="A93" s="105" t="s">
        <v>1426</v>
      </c>
      <c r="B93" s="105" t="s">
        <v>7956</v>
      </c>
      <c r="C93" s="105" t="s">
        <v>1375</v>
      </c>
      <c r="D93" s="105" t="s">
        <v>1171</v>
      </c>
    </row>
    <row r="94">
      <c r="A94" s="105" t="s">
        <v>1429</v>
      </c>
      <c r="B94" s="105" t="s">
        <v>7956</v>
      </c>
      <c r="C94" s="105" t="s">
        <v>1375</v>
      </c>
      <c r="D94" s="105" t="s">
        <v>1171</v>
      </c>
    </row>
    <row r="95">
      <c r="A95" s="105" t="s">
        <v>1432</v>
      </c>
      <c r="B95" s="105" t="s">
        <v>7956</v>
      </c>
      <c r="C95" s="105" t="s">
        <v>1375</v>
      </c>
      <c r="D95" s="105" t="s">
        <v>1171</v>
      </c>
    </row>
    <row r="96">
      <c r="A96" s="105" t="s">
        <v>1435</v>
      </c>
      <c r="B96" s="105" t="s">
        <v>7957</v>
      </c>
      <c r="C96" s="105" t="s">
        <v>1375</v>
      </c>
      <c r="D96" s="105" t="s">
        <v>1171</v>
      </c>
    </row>
    <row r="97">
      <c r="A97" s="105" t="s">
        <v>1436</v>
      </c>
      <c r="B97" s="105" t="s">
        <v>7957</v>
      </c>
      <c r="C97" s="105" t="s">
        <v>1375</v>
      </c>
      <c r="D97" s="105" t="s">
        <v>1171</v>
      </c>
    </row>
    <row r="98">
      <c r="A98" s="105" t="s">
        <v>1437</v>
      </c>
      <c r="B98" s="105" t="s">
        <v>7957</v>
      </c>
      <c r="C98" s="105" t="s">
        <v>1375</v>
      </c>
      <c r="D98" s="105" t="s">
        <v>1171</v>
      </c>
    </row>
    <row r="99">
      <c r="A99" s="105" t="s">
        <v>1438</v>
      </c>
      <c r="B99" s="105" t="s">
        <v>7957</v>
      </c>
      <c r="C99" s="105" t="s">
        <v>1375</v>
      </c>
      <c r="D99" s="105" t="s">
        <v>1171</v>
      </c>
    </row>
    <row r="100">
      <c r="A100" s="105" t="s">
        <v>1439</v>
      </c>
      <c r="B100" s="105" t="s">
        <v>7954</v>
      </c>
      <c r="C100" s="105" t="s">
        <v>1375</v>
      </c>
      <c r="D100" s="105" t="s">
        <v>1171</v>
      </c>
    </row>
    <row r="101">
      <c r="A101" s="105" t="s">
        <v>1443</v>
      </c>
      <c r="B101" s="105" t="s">
        <v>7956</v>
      </c>
      <c r="C101" s="105" t="s">
        <v>1375</v>
      </c>
      <c r="D101" s="105" t="s">
        <v>1171</v>
      </c>
    </row>
    <row r="102">
      <c r="A102" s="105" t="s">
        <v>1446</v>
      </c>
      <c r="B102" s="105" t="s">
        <v>7956</v>
      </c>
      <c r="C102" s="105" t="s">
        <v>1375</v>
      </c>
      <c r="D102" s="105" t="s">
        <v>1171</v>
      </c>
    </row>
    <row r="103">
      <c r="A103" s="105" t="s">
        <v>1449</v>
      </c>
      <c r="B103" s="105" t="s">
        <v>7957</v>
      </c>
      <c r="C103" s="105" t="s">
        <v>1375</v>
      </c>
      <c r="D103" s="105" t="s">
        <v>1171</v>
      </c>
    </row>
    <row r="104">
      <c r="A104" s="105" t="s">
        <v>1450</v>
      </c>
      <c r="B104" s="105" t="s">
        <v>7954</v>
      </c>
      <c r="C104" s="105" t="s">
        <v>1375</v>
      </c>
      <c r="D104" s="105" t="s">
        <v>1171</v>
      </c>
    </row>
    <row r="105">
      <c r="A105" s="105" t="s">
        <v>1456</v>
      </c>
      <c r="B105" s="105" t="s">
        <v>7954</v>
      </c>
      <c r="C105" s="105" t="s">
        <v>1375</v>
      </c>
      <c r="D105" s="105" t="s">
        <v>1171</v>
      </c>
    </row>
    <row r="106">
      <c r="A106" s="105" t="s">
        <v>1459</v>
      </c>
      <c r="B106" s="105" t="s">
        <v>7956</v>
      </c>
      <c r="C106" s="105" t="s">
        <v>1375</v>
      </c>
      <c r="D106" s="105" t="s">
        <v>1171</v>
      </c>
    </row>
    <row r="107">
      <c r="A107" s="105" t="s">
        <v>1462</v>
      </c>
      <c r="B107" s="105" t="s">
        <v>7954</v>
      </c>
      <c r="C107" s="105" t="s">
        <v>1375</v>
      </c>
      <c r="D107" s="105" t="s">
        <v>1171</v>
      </c>
    </row>
    <row r="108">
      <c r="A108" s="105" t="s">
        <v>1467</v>
      </c>
      <c r="B108" s="105" t="s">
        <v>7954</v>
      </c>
      <c r="C108" s="105" t="s">
        <v>1375</v>
      </c>
      <c r="D108" s="105" t="s">
        <v>1171</v>
      </c>
    </row>
    <row r="109">
      <c r="A109" s="105" t="s">
        <v>1471</v>
      </c>
      <c r="B109" s="105" t="s">
        <v>7956</v>
      </c>
      <c r="C109" s="105" t="s">
        <v>1375</v>
      </c>
      <c r="D109" s="105" t="s">
        <v>1171</v>
      </c>
    </row>
    <row r="110">
      <c r="A110" s="105" t="s">
        <v>1474</v>
      </c>
      <c r="B110" s="105" t="s">
        <v>7957</v>
      </c>
      <c r="C110" s="105" t="s">
        <v>1375</v>
      </c>
      <c r="D110" s="105" t="s">
        <v>1171</v>
      </c>
    </row>
    <row r="111">
      <c r="A111" s="105" t="s">
        <v>1475</v>
      </c>
      <c r="B111" s="105" t="s">
        <v>7957</v>
      </c>
      <c r="C111" s="105" t="s">
        <v>1375</v>
      </c>
      <c r="D111" s="105" t="s">
        <v>1171</v>
      </c>
    </row>
    <row r="112">
      <c r="A112" s="105" t="s">
        <v>1476</v>
      </c>
      <c r="B112" s="105" t="s">
        <v>7956</v>
      </c>
      <c r="C112" s="105" t="s">
        <v>1375</v>
      </c>
      <c r="D112" s="105" t="s">
        <v>1171</v>
      </c>
    </row>
    <row r="113">
      <c r="A113" s="105" t="s">
        <v>1479</v>
      </c>
      <c r="B113" s="105" t="s">
        <v>7957</v>
      </c>
      <c r="C113" s="105" t="s">
        <v>1375</v>
      </c>
      <c r="D113" s="105" t="s">
        <v>1171</v>
      </c>
    </row>
    <row r="114">
      <c r="A114" s="105" t="s">
        <v>1480</v>
      </c>
      <c r="B114" s="107" t="s">
        <v>7959</v>
      </c>
      <c r="C114" s="105" t="s">
        <v>1375</v>
      </c>
      <c r="D114" s="105" t="s">
        <v>1171</v>
      </c>
    </row>
    <row r="115">
      <c r="A115" s="105" t="s">
        <v>1482</v>
      </c>
      <c r="B115" s="105" t="s">
        <v>7954</v>
      </c>
      <c r="C115" s="105" t="s">
        <v>1375</v>
      </c>
      <c r="D115" s="105" t="s">
        <v>1171</v>
      </c>
    </row>
    <row r="116">
      <c r="A116" s="105" t="s">
        <v>1487</v>
      </c>
      <c r="B116" s="105" t="s">
        <v>7956</v>
      </c>
      <c r="C116" s="105" t="s">
        <v>1375</v>
      </c>
      <c r="D116" s="105" t="s">
        <v>1171</v>
      </c>
    </row>
    <row r="117">
      <c r="A117" s="106" t="s">
        <v>1490</v>
      </c>
      <c r="B117" s="105" t="s">
        <v>7958</v>
      </c>
      <c r="C117" s="105" t="s">
        <v>1375</v>
      </c>
      <c r="D117" s="105" t="s">
        <v>1330</v>
      </c>
    </row>
    <row r="118">
      <c r="A118" s="105" t="s">
        <v>1491</v>
      </c>
      <c r="B118" s="105" t="s">
        <v>7957</v>
      </c>
      <c r="C118" s="105" t="s">
        <v>1375</v>
      </c>
      <c r="D118" s="105" t="s">
        <v>1171</v>
      </c>
    </row>
    <row r="119">
      <c r="A119" s="105" t="s">
        <v>1492</v>
      </c>
      <c r="B119" s="105" t="s">
        <v>7957</v>
      </c>
      <c r="C119" s="105" t="s">
        <v>1375</v>
      </c>
      <c r="D119" s="105" t="s">
        <v>1171</v>
      </c>
    </row>
    <row r="120">
      <c r="A120" s="105" t="s">
        <v>1493</v>
      </c>
      <c r="B120" s="105" t="s">
        <v>7954</v>
      </c>
      <c r="C120" s="105" t="s">
        <v>1375</v>
      </c>
      <c r="D120" s="105" t="s">
        <v>1171</v>
      </c>
    </row>
    <row r="121">
      <c r="A121" s="105" t="s">
        <v>1497</v>
      </c>
      <c r="B121" s="105" t="s">
        <v>7956</v>
      </c>
      <c r="C121" s="105" t="s">
        <v>1375</v>
      </c>
      <c r="D121" s="105" t="s">
        <v>1171</v>
      </c>
    </row>
    <row r="122">
      <c r="A122" s="105" t="s">
        <v>1500</v>
      </c>
      <c r="B122" s="105" t="s">
        <v>7956</v>
      </c>
      <c r="C122" s="105" t="s">
        <v>1375</v>
      </c>
      <c r="D122" s="105" t="s">
        <v>1171</v>
      </c>
    </row>
    <row r="123">
      <c r="A123" s="105" t="s">
        <v>1502</v>
      </c>
      <c r="B123" s="105" t="s">
        <v>7957</v>
      </c>
      <c r="C123" s="105" t="s">
        <v>1375</v>
      </c>
      <c r="D123" s="105" t="s">
        <v>1171</v>
      </c>
    </row>
    <row r="124">
      <c r="A124" s="105" t="s">
        <v>1503</v>
      </c>
      <c r="B124" s="105" t="s">
        <v>7954</v>
      </c>
      <c r="C124" s="105" t="s">
        <v>1375</v>
      </c>
      <c r="D124" s="105" t="s">
        <v>1171</v>
      </c>
    </row>
    <row r="125">
      <c r="A125" s="105" t="s">
        <v>1506</v>
      </c>
      <c r="B125" s="105" t="s">
        <v>7954</v>
      </c>
      <c r="C125" s="105" t="s">
        <v>1375</v>
      </c>
      <c r="D125" s="105" t="s">
        <v>1171</v>
      </c>
    </row>
    <row r="126">
      <c r="A126" s="105" t="s">
        <v>1511</v>
      </c>
      <c r="B126" s="105" t="s">
        <v>7954</v>
      </c>
      <c r="C126" s="105" t="s">
        <v>1375</v>
      </c>
      <c r="D126" s="105" t="s">
        <v>1171</v>
      </c>
    </row>
    <row r="127">
      <c r="A127" s="105" t="s">
        <v>1514</v>
      </c>
      <c r="B127" s="105" t="s">
        <v>7954</v>
      </c>
      <c r="C127" s="105" t="s">
        <v>1375</v>
      </c>
      <c r="D127" s="105" t="s">
        <v>1171</v>
      </c>
    </row>
    <row r="128">
      <c r="A128" s="105" t="s">
        <v>1518</v>
      </c>
      <c r="B128" s="105" t="s">
        <v>7956</v>
      </c>
      <c r="C128" s="105" t="s">
        <v>1375</v>
      </c>
      <c r="D128" s="105" t="s">
        <v>1171</v>
      </c>
    </row>
    <row r="129">
      <c r="A129" s="105" t="s">
        <v>1521</v>
      </c>
      <c r="B129" s="105" t="s">
        <v>7957</v>
      </c>
      <c r="C129" s="105" t="s">
        <v>1375</v>
      </c>
      <c r="D129" s="105" t="s">
        <v>1171</v>
      </c>
    </row>
    <row r="130">
      <c r="A130" s="105" t="s">
        <v>1522</v>
      </c>
      <c r="B130" s="105" t="s">
        <v>7954</v>
      </c>
      <c r="C130" s="105" t="s">
        <v>1525</v>
      </c>
      <c r="D130" s="105" t="s">
        <v>1171</v>
      </c>
    </row>
    <row r="131">
      <c r="A131" s="105" t="s">
        <v>1527</v>
      </c>
      <c r="B131" s="105" t="s">
        <v>7954</v>
      </c>
      <c r="C131" s="105" t="s">
        <v>1525</v>
      </c>
      <c r="D131" s="105" t="s">
        <v>1171</v>
      </c>
    </row>
    <row r="132">
      <c r="A132" s="105" t="s">
        <v>1530</v>
      </c>
      <c r="B132" s="105" t="s">
        <v>7954</v>
      </c>
      <c r="C132" s="105" t="s">
        <v>1525</v>
      </c>
      <c r="D132" s="105" t="s">
        <v>1171</v>
      </c>
    </row>
    <row r="133">
      <c r="A133" s="105" t="s">
        <v>1533</v>
      </c>
      <c r="B133" s="105" t="s">
        <v>7954</v>
      </c>
      <c r="C133" s="105" t="s">
        <v>1525</v>
      </c>
      <c r="D133" s="105" t="s">
        <v>1171</v>
      </c>
    </row>
    <row r="134">
      <c r="A134" s="105" t="s">
        <v>1536</v>
      </c>
      <c r="B134" s="105" t="s">
        <v>7956</v>
      </c>
      <c r="C134" s="105" t="s">
        <v>1525</v>
      </c>
      <c r="D134" s="105" t="s">
        <v>1171</v>
      </c>
    </row>
    <row r="135">
      <c r="A135" s="105" t="s">
        <v>1539</v>
      </c>
      <c r="B135" s="105" t="s">
        <v>7956</v>
      </c>
      <c r="C135" s="105" t="s">
        <v>1525</v>
      </c>
      <c r="D135" s="105" t="s">
        <v>1171</v>
      </c>
    </row>
    <row r="136">
      <c r="A136" s="105" t="s">
        <v>1542</v>
      </c>
      <c r="B136" s="105" t="s">
        <v>7957</v>
      </c>
      <c r="C136" s="105" t="s">
        <v>1525</v>
      </c>
      <c r="D136" s="105" t="s">
        <v>1171</v>
      </c>
    </row>
    <row r="137">
      <c r="A137" s="105" t="s">
        <v>1543</v>
      </c>
      <c r="B137" s="105" t="s">
        <v>7957</v>
      </c>
      <c r="C137" s="105" t="s">
        <v>1525</v>
      </c>
      <c r="D137" s="105" t="s">
        <v>1171</v>
      </c>
    </row>
    <row r="138">
      <c r="A138" s="105" t="s">
        <v>1544</v>
      </c>
      <c r="B138" s="107" t="s">
        <v>7960</v>
      </c>
      <c r="C138" s="105" t="s">
        <v>1525</v>
      </c>
      <c r="D138" s="105" t="s">
        <v>1171</v>
      </c>
    </row>
    <row r="139">
      <c r="A139" s="105" t="s">
        <v>1546</v>
      </c>
      <c r="B139" s="105" t="s">
        <v>7954</v>
      </c>
      <c r="C139" s="105" t="s">
        <v>1525</v>
      </c>
      <c r="D139" s="105" t="s">
        <v>1171</v>
      </c>
    </row>
    <row r="140">
      <c r="A140" s="105" t="s">
        <v>1549</v>
      </c>
      <c r="B140" s="105" t="s">
        <v>7956</v>
      </c>
      <c r="C140" s="105" t="s">
        <v>1525</v>
      </c>
      <c r="D140" s="105" t="s">
        <v>1171</v>
      </c>
    </row>
    <row r="141">
      <c r="A141" s="105" t="s">
        <v>1552</v>
      </c>
      <c r="B141" s="105" t="s">
        <v>7957</v>
      </c>
      <c r="C141" s="105" t="s">
        <v>1525</v>
      </c>
      <c r="D141" s="105" t="s">
        <v>1171</v>
      </c>
    </row>
    <row r="142">
      <c r="A142" s="105" t="s">
        <v>1553</v>
      </c>
      <c r="B142" s="105" t="s">
        <v>7957</v>
      </c>
      <c r="C142" s="105" t="s">
        <v>1525</v>
      </c>
      <c r="D142" s="105" t="s">
        <v>1171</v>
      </c>
    </row>
    <row r="143">
      <c r="A143" s="105" t="s">
        <v>1554</v>
      </c>
      <c r="B143" s="105" t="s">
        <v>7957</v>
      </c>
      <c r="C143" s="105" t="s">
        <v>1525</v>
      </c>
      <c r="D143" s="105" t="s">
        <v>1171</v>
      </c>
    </row>
    <row r="144">
      <c r="A144" s="105" t="s">
        <v>1555</v>
      </c>
      <c r="B144" s="105" t="s">
        <v>7957</v>
      </c>
      <c r="C144" s="105" t="s">
        <v>1525</v>
      </c>
      <c r="D144" s="105" t="s">
        <v>1171</v>
      </c>
    </row>
    <row r="145">
      <c r="A145" s="105" t="s">
        <v>1556</v>
      </c>
      <c r="B145" s="105" t="s">
        <v>7957</v>
      </c>
      <c r="C145" s="105" t="s">
        <v>1525</v>
      </c>
      <c r="D145" s="105" t="s">
        <v>1171</v>
      </c>
    </row>
    <row r="146">
      <c r="A146" s="105" t="s">
        <v>1557</v>
      </c>
      <c r="B146" s="105" t="s">
        <v>7954</v>
      </c>
      <c r="C146" s="105" t="s">
        <v>1525</v>
      </c>
      <c r="D146" s="105" t="s">
        <v>1171</v>
      </c>
    </row>
    <row r="147">
      <c r="A147" s="105" t="s">
        <v>1560</v>
      </c>
      <c r="B147" s="105" t="s">
        <v>7954</v>
      </c>
      <c r="C147" s="105" t="s">
        <v>1525</v>
      </c>
      <c r="D147" s="105" t="s">
        <v>1171</v>
      </c>
    </row>
    <row r="148">
      <c r="A148" s="105" t="s">
        <v>1563</v>
      </c>
      <c r="B148" s="105" t="s">
        <v>7956</v>
      </c>
      <c r="C148" s="105" t="s">
        <v>1525</v>
      </c>
      <c r="D148" s="105" t="s">
        <v>1171</v>
      </c>
    </row>
    <row r="149">
      <c r="A149" s="105" t="s">
        <v>1566</v>
      </c>
      <c r="B149" s="105" t="s">
        <v>7955</v>
      </c>
      <c r="C149" s="105" t="s">
        <v>894</v>
      </c>
      <c r="D149" s="105" t="s">
        <v>1171</v>
      </c>
    </row>
    <row r="150">
      <c r="A150" s="105" t="s">
        <v>1569</v>
      </c>
      <c r="B150" s="105" t="s">
        <v>7955</v>
      </c>
      <c r="C150" s="105" t="s">
        <v>894</v>
      </c>
      <c r="D150" s="105" t="s">
        <v>1171</v>
      </c>
    </row>
    <row r="151">
      <c r="A151" s="105" t="s">
        <v>1572</v>
      </c>
      <c r="B151" s="107" t="s">
        <v>7961</v>
      </c>
      <c r="C151" s="105" t="s">
        <v>159</v>
      </c>
      <c r="D151" s="105" t="s">
        <v>1171</v>
      </c>
    </row>
    <row r="152">
      <c r="A152" s="105" t="s">
        <v>1576</v>
      </c>
      <c r="B152" s="105" t="s">
        <v>7955</v>
      </c>
      <c r="C152" s="105" t="s">
        <v>1579</v>
      </c>
      <c r="D152" s="105" t="s">
        <v>1171</v>
      </c>
    </row>
    <row r="153">
      <c r="A153" s="105" t="s">
        <v>1583</v>
      </c>
      <c r="B153" s="105" t="s">
        <v>7955</v>
      </c>
      <c r="C153" s="105" t="s">
        <v>159</v>
      </c>
      <c r="D153" s="105" t="s">
        <v>1171</v>
      </c>
    </row>
    <row r="154">
      <c r="A154" s="105" t="s">
        <v>119</v>
      </c>
      <c r="B154" s="105" t="s">
        <v>7954</v>
      </c>
      <c r="C154" s="105" t="s">
        <v>166</v>
      </c>
      <c r="D154" s="105" t="s">
        <v>1171</v>
      </c>
    </row>
    <row r="155">
      <c r="A155" s="105" t="s">
        <v>1590</v>
      </c>
      <c r="B155" s="105" t="s">
        <v>7954</v>
      </c>
      <c r="C155" s="105" t="s">
        <v>166</v>
      </c>
      <c r="D155" s="105" t="s">
        <v>1171</v>
      </c>
    </row>
    <row r="156">
      <c r="A156" s="105" t="s">
        <v>1593</v>
      </c>
      <c r="B156" s="105" t="s">
        <v>7954</v>
      </c>
      <c r="C156" s="105" t="s">
        <v>166</v>
      </c>
      <c r="D156" s="105" t="s">
        <v>1171</v>
      </c>
    </row>
    <row r="157">
      <c r="A157" s="105" t="s">
        <v>1596</v>
      </c>
      <c r="B157" s="105" t="s">
        <v>7956</v>
      </c>
      <c r="C157" s="105" t="s">
        <v>166</v>
      </c>
      <c r="D157" s="105" t="s">
        <v>1171</v>
      </c>
    </row>
    <row r="158">
      <c r="A158" s="105" t="s">
        <v>1599</v>
      </c>
      <c r="B158" s="105" t="s">
        <v>7956</v>
      </c>
      <c r="C158" s="105" t="s">
        <v>166</v>
      </c>
      <c r="D158" s="105" t="s">
        <v>1171</v>
      </c>
    </row>
    <row r="159">
      <c r="A159" s="105" t="s">
        <v>1602</v>
      </c>
      <c r="B159" s="105" t="s">
        <v>7956</v>
      </c>
      <c r="C159" s="105" t="s">
        <v>166</v>
      </c>
      <c r="D159" s="105" t="s">
        <v>1171</v>
      </c>
    </row>
    <row r="160">
      <c r="A160" s="105" t="s">
        <v>1603</v>
      </c>
      <c r="B160" s="105" t="s">
        <v>7956</v>
      </c>
      <c r="C160" s="105" t="s">
        <v>166</v>
      </c>
      <c r="D160" s="105" t="s">
        <v>1171</v>
      </c>
    </row>
    <row r="161">
      <c r="A161" s="105" t="s">
        <v>1605</v>
      </c>
      <c r="B161" s="105" t="s">
        <v>7957</v>
      </c>
      <c r="C161" s="105" t="s">
        <v>166</v>
      </c>
      <c r="D161" s="105" t="s">
        <v>1171</v>
      </c>
    </row>
    <row r="162">
      <c r="A162" s="105" t="s">
        <v>1606</v>
      </c>
      <c r="B162" s="105" t="s">
        <v>7957</v>
      </c>
      <c r="C162" s="105" t="s">
        <v>166</v>
      </c>
      <c r="D162" s="105" t="s">
        <v>1171</v>
      </c>
    </row>
    <row r="163">
      <c r="A163" s="105" t="s">
        <v>1607</v>
      </c>
      <c r="B163" s="105" t="s">
        <v>7957</v>
      </c>
      <c r="C163" s="105" t="s">
        <v>166</v>
      </c>
      <c r="D163" s="105" t="s">
        <v>1171</v>
      </c>
    </row>
    <row r="164">
      <c r="A164" s="106" t="s">
        <v>1608</v>
      </c>
      <c r="B164" s="105" t="s">
        <v>7958</v>
      </c>
      <c r="C164" s="105" t="s">
        <v>1609</v>
      </c>
      <c r="D164" s="105" t="s">
        <v>1330</v>
      </c>
    </row>
    <row r="165">
      <c r="A165" s="108" t="s">
        <v>1610</v>
      </c>
      <c r="B165" s="109" t="s">
        <v>7955</v>
      </c>
      <c r="C165" s="105" t="s">
        <v>1609</v>
      </c>
      <c r="D165" s="105" t="s">
        <v>1171</v>
      </c>
    </row>
    <row r="166">
      <c r="A166" s="105" t="s">
        <v>1614</v>
      </c>
      <c r="B166" s="110" t="s">
        <v>7955</v>
      </c>
      <c r="C166" s="105" t="s">
        <v>1609</v>
      </c>
      <c r="D166" s="105" t="s">
        <v>1171</v>
      </c>
    </row>
    <row r="167">
      <c r="A167" s="108" t="s">
        <v>1617</v>
      </c>
      <c r="B167" s="109" t="s">
        <v>7955</v>
      </c>
      <c r="C167" s="105" t="s">
        <v>1609</v>
      </c>
      <c r="D167" s="105" t="s">
        <v>1171</v>
      </c>
    </row>
    <row r="168">
      <c r="A168" s="108" t="s">
        <v>1620</v>
      </c>
      <c r="B168" s="109" t="s">
        <v>7955</v>
      </c>
      <c r="C168" s="105" t="s">
        <v>1609</v>
      </c>
      <c r="D168" s="105" t="s">
        <v>1171</v>
      </c>
    </row>
    <row r="169">
      <c r="A169" s="108" t="s">
        <v>1623</v>
      </c>
      <c r="B169" s="107" t="s">
        <v>7955</v>
      </c>
      <c r="C169" s="105" t="s">
        <v>1609</v>
      </c>
      <c r="D169" s="105" t="s">
        <v>1171</v>
      </c>
    </row>
    <row r="170">
      <c r="A170" s="105" t="s">
        <v>1626</v>
      </c>
      <c r="B170" s="105" t="s">
        <v>7956</v>
      </c>
      <c r="C170" s="105" t="s">
        <v>1609</v>
      </c>
      <c r="D170" s="105" t="s">
        <v>1171</v>
      </c>
    </row>
    <row r="171">
      <c r="A171" s="105" t="s">
        <v>1629</v>
      </c>
      <c r="B171" s="105" t="s">
        <v>7956</v>
      </c>
      <c r="C171" s="105" t="s">
        <v>1609</v>
      </c>
      <c r="D171" s="105" t="s">
        <v>1171</v>
      </c>
    </row>
    <row r="172">
      <c r="A172" s="105" t="s">
        <v>1632</v>
      </c>
      <c r="B172" s="105" t="s">
        <v>7956</v>
      </c>
      <c r="C172" s="105" t="s">
        <v>1609</v>
      </c>
      <c r="D172" s="105" t="s">
        <v>1171</v>
      </c>
    </row>
    <row r="173">
      <c r="A173" s="105" t="s">
        <v>1635</v>
      </c>
      <c r="B173" s="105" t="s">
        <v>7956</v>
      </c>
      <c r="C173" s="105" t="s">
        <v>1609</v>
      </c>
      <c r="D173" s="105" t="s">
        <v>1171</v>
      </c>
    </row>
    <row r="174">
      <c r="A174" s="105" t="s">
        <v>1638</v>
      </c>
      <c r="B174" s="105" t="s">
        <v>7956</v>
      </c>
      <c r="C174" s="105" t="s">
        <v>1609</v>
      </c>
      <c r="D174" s="105" t="s">
        <v>1171</v>
      </c>
    </row>
    <row r="175">
      <c r="A175" s="105" t="s">
        <v>1641</v>
      </c>
      <c r="B175" s="105" t="s">
        <v>7956</v>
      </c>
      <c r="C175" s="105" t="s">
        <v>1609</v>
      </c>
      <c r="D175" s="105" t="s">
        <v>1171</v>
      </c>
    </row>
    <row r="176">
      <c r="A176" s="105" t="s">
        <v>1644</v>
      </c>
      <c r="B176" s="105" t="s">
        <v>7956</v>
      </c>
      <c r="C176" s="105" t="s">
        <v>1609</v>
      </c>
      <c r="D176" s="105" t="s">
        <v>1171</v>
      </c>
    </row>
    <row r="177">
      <c r="A177" s="105" t="s">
        <v>1647</v>
      </c>
      <c r="B177" s="105" t="s">
        <v>7956</v>
      </c>
      <c r="C177" s="105" t="s">
        <v>1609</v>
      </c>
      <c r="D177" s="105" t="s">
        <v>1171</v>
      </c>
    </row>
    <row r="178">
      <c r="A178" s="105" t="s">
        <v>1650</v>
      </c>
      <c r="B178" s="105" t="s">
        <v>7956</v>
      </c>
      <c r="C178" s="105" t="s">
        <v>1609</v>
      </c>
      <c r="D178" s="105" t="s">
        <v>1171</v>
      </c>
    </row>
    <row r="179">
      <c r="A179" s="105" t="s">
        <v>1653</v>
      </c>
      <c r="B179" s="105" t="s">
        <v>7956</v>
      </c>
      <c r="C179" s="105" t="s">
        <v>1609</v>
      </c>
      <c r="D179" s="105" t="s">
        <v>1171</v>
      </c>
    </row>
    <row r="180">
      <c r="A180" s="105" t="s">
        <v>1656</v>
      </c>
      <c r="B180" s="105" t="s">
        <v>7956</v>
      </c>
      <c r="C180" s="105" t="s">
        <v>1609</v>
      </c>
      <c r="D180" s="105" t="s">
        <v>1171</v>
      </c>
    </row>
    <row r="181">
      <c r="A181" s="111" t="s">
        <v>1658</v>
      </c>
      <c r="B181" s="105" t="s">
        <v>7957</v>
      </c>
      <c r="C181" s="105" t="s">
        <v>1609</v>
      </c>
      <c r="D181" s="105" t="s">
        <v>1171</v>
      </c>
    </row>
    <row r="182">
      <c r="A182" s="111" t="s">
        <v>1659</v>
      </c>
      <c r="B182" s="105" t="s">
        <v>7957</v>
      </c>
      <c r="C182" s="105" t="s">
        <v>1609</v>
      </c>
      <c r="D182" s="105" t="s">
        <v>1171</v>
      </c>
    </row>
    <row r="183">
      <c r="A183" s="105" t="s">
        <v>1660</v>
      </c>
      <c r="B183" s="105" t="s">
        <v>7957</v>
      </c>
      <c r="C183" s="105" t="s">
        <v>1609</v>
      </c>
      <c r="D183" s="105" t="s">
        <v>1171</v>
      </c>
    </row>
    <row r="184">
      <c r="A184" s="105" t="s">
        <v>1661</v>
      </c>
      <c r="B184" s="105" t="s">
        <v>7957</v>
      </c>
      <c r="C184" s="105" t="s">
        <v>1609</v>
      </c>
      <c r="D184" s="105" t="s">
        <v>1171</v>
      </c>
    </row>
    <row r="185">
      <c r="A185" s="108" t="s">
        <v>1662</v>
      </c>
      <c r="B185" s="107" t="s">
        <v>7955</v>
      </c>
      <c r="C185" s="105" t="s">
        <v>1609</v>
      </c>
      <c r="D185" s="105" t="s">
        <v>1171</v>
      </c>
    </row>
    <row r="186">
      <c r="A186" s="105" t="s">
        <v>1665</v>
      </c>
      <c r="B186" s="109" t="s">
        <v>7955</v>
      </c>
      <c r="C186" s="105" t="s">
        <v>1609</v>
      </c>
      <c r="D186" s="105" t="s">
        <v>1171</v>
      </c>
    </row>
    <row r="187">
      <c r="A187" s="105" t="s">
        <v>1668</v>
      </c>
      <c r="B187" s="109" t="s">
        <v>7955</v>
      </c>
      <c r="C187" s="105" t="s">
        <v>1609</v>
      </c>
      <c r="D187" s="105" t="s">
        <v>1171</v>
      </c>
    </row>
    <row r="188">
      <c r="A188" s="108" t="s">
        <v>1671</v>
      </c>
      <c r="B188" s="110" t="s">
        <v>7955</v>
      </c>
      <c r="C188" s="105" t="s">
        <v>1609</v>
      </c>
      <c r="D188" s="105" t="s">
        <v>1171</v>
      </c>
    </row>
    <row r="189">
      <c r="A189" s="105" t="s">
        <v>1674</v>
      </c>
      <c r="B189" s="105" t="s">
        <v>7954</v>
      </c>
      <c r="C189" s="105" t="s">
        <v>1609</v>
      </c>
      <c r="D189" s="105" t="s">
        <v>1171</v>
      </c>
    </row>
    <row r="190">
      <c r="A190" s="105" t="s">
        <v>1677</v>
      </c>
      <c r="B190" s="105" t="s">
        <v>7954</v>
      </c>
      <c r="C190" s="105" t="s">
        <v>1609</v>
      </c>
      <c r="D190" s="105" t="s">
        <v>1171</v>
      </c>
    </row>
    <row r="191">
      <c r="A191" s="105" t="s">
        <v>1680</v>
      </c>
      <c r="B191" s="105" t="s">
        <v>7956</v>
      </c>
      <c r="C191" s="105" t="s">
        <v>1609</v>
      </c>
      <c r="D191" s="105" t="s">
        <v>1171</v>
      </c>
    </row>
    <row r="192">
      <c r="A192" s="105" t="s">
        <v>1683</v>
      </c>
      <c r="B192" s="105" t="s">
        <v>7957</v>
      </c>
      <c r="C192" s="105" t="s">
        <v>1609</v>
      </c>
      <c r="D192" s="105" t="s">
        <v>1171</v>
      </c>
    </row>
    <row r="193">
      <c r="A193" s="106" t="s">
        <v>1684</v>
      </c>
      <c r="B193" s="105" t="s">
        <v>7958</v>
      </c>
      <c r="C193" s="105" t="s">
        <v>1609</v>
      </c>
      <c r="D193" s="105" t="s">
        <v>1330</v>
      </c>
    </row>
    <row r="194">
      <c r="A194" s="105" t="s">
        <v>1685</v>
      </c>
      <c r="B194" s="105" t="s">
        <v>7957</v>
      </c>
      <c r="C194" s="105" t="s">
        <v>1609</v>
      </c>
      <c r="D194" s="105" t="s">
        <v>1171</v>
      </c>
    </row>
    <row r="195">
      <c r="A195" s="105" t="s">
        <v>1686</v>
      </c>
      <c r="B195" s="105" t="s">
        <v>7954</v>
      </c>
      <c r="C195" s="105" t="s">
        <v>1609</v>
      </c>
      <c r="D195" s="105" t="s">
        <v>1171</v>
      </c>
    </row>
    <row r="196">
      <c r="A196" s="105" t="s">
        <v>1689</v>
      </c>
      <c r="B196" s="105" t="s">
        <v>7956</v>
      </c>
      <c r="C196" s="105" t="s">
        <v>1609</v>
      </c>
      <c r="D196" s="105" t="s">
        <v>1171</v>
      </c>
    </row>
    <row r="197">
      <c r="A197" s="111" t="s">
        <v>1692</v>
      </c>
      <c r="B197" s="105" t="s">
        <v>7957</v>
      </c>
      <c r="C197" s="105" t="s">
        <v>1609</v>
      </c>
      <c r="D197" s="105" t="s">
        <v>1171</v>
      </c>
    </row>
    <row r="198">
      <c r="A198" s="108" t="s">
        <v>1693</v>
      </c>
      <c r="B198" s="107" t="s">
        <v>7955</v>
      </c>
      <c r="C198" s="105" t="s">
        <v>1609</v>
      </c>
      <c r="D198" s="105" t="s">
        <v>1171</v>
      </c>
    </row>
    <row r="199">
      <c r="A199" s="105" t="s">
        <v>1696</v>
      </c>
      <c r="B199" s="105" t="s">
        <v>7955</v>
      </c>
      <c r="C199" s="105" t="s">
        <v>1174</v>
      </c>
      <c r="D199" s="105" t="s">
        <v>1171</v>
      </c>
    </row>
    <row r="200">
      <c r="A200" s="105" t="s">
        <v>1701</v>
      </c>
      <c r="B200" s="105" t="s">
        <v>7955</v>
      </c>
      <c r="C200" s="105" t="s">
        <v>1174</v>
      </c>
      <c r="D200" s="105" t="s">
        <v>1171</v>
      </c>
    </row>
    <row r="201">
      <c r="A201" s="105" t="s">
        <v>1705</v>
      </c>
      <c r="B201" s="105" t="s">
        <v>7955</v>
      </c>
      <c r="C201" s="105" t="s">
        <v>1174</v>
      </c>
      <c r="D201" s="105" t="s">
        <v>1171</v>
      </c>
    </row>
    <row r="202">
      <c r="A202" s="105" t="s">
        <v>1708</v>
      </c>
      <c r="B202" s="105" t="s">
        <v>7955</v>
      </c>
      <c r="C202" s="105" t="s">
        <v>1174</v>
      </c>
      <c r="D202" s="105" t="s">
        <v>1171</v>
      </c>
    </row>
    <row r="203">
      <c r="A203" s="105" t="s">
        <v>1713</v>
      </c>
      <c r="B203" s="105" t="s">
        <v>7955</v>
      </c>
      <c r="C203" s="105" t="s">
        <v>1174</v>
      </c>
      <c r="D203" s="105" t="s">
        <v>1171</v>
      </c>
    </row>
    <row r="204">
      <c r="A204" s="105" t="s">
        <v>1717</v>
      </c>
      <c r="B204" s="105" t="s">
        <v>7955</v>
      </c>
      <c r="C204" s="105" t="s">
        <v>1174</v>
      </c>
      <c r="D204" s="105" t="s">
        <v>1171</v>
      </c>
    </row>
    <row r="205">
      <c r="A205" s="105" t="s">
        <v>156</v>
      </c>
      <c r="B205" s="105" t="s">
        <v>7954</v>
      </c>
      <c r="C205" s="105" t="s">
        <v>159</v>
      </c>
      <c r="D205" s="105" t="s">
        <v>1171</v>
      </c>
    </row>
    <row r="206">
      <c r="A206" s="105" t="s">
        <v>167</v>
      </c>
      <c r="B206" s="105" t="s">
        <v>7956</v>
      </c>
      <c r="C206" s="105" t="s">
        <v>159</v>
      </c>
      <c r="D206" s="105" t="s">
        <v>1171</v>
      </c>
    </row>
    <row r="207">
      <c r="A207" s="105" t="s">
        <v>53</v>
      </c>
      <c r="B207" s="105" t="s">
        <v>7957</v>
      </c>
      <c r="C207" s="105" t="s">
        <v>159</v>
      </c>
      <c r="D207" s="105" t="s">
        <v>1171</v>
      </c>
    </row>
    <row r="208">
      <c r="A208" s="105" t="s">
        <v>1720</v>
      </c>
      <c r="B208" s="105" t="s">
        <v>7954</v>
      </c>
      <c r="C208" s="105" t="s">
        <v>159</v>
      </c>
      <c r="D208" s="105" t="s">
        <v>1171</v>
      </c>
    </row>
    <row r="209">
      <c r="A209" s="105" t="s">
        <v>1724</v>
      </c>
      <c r="B209" s="105" t="s">
        <v>7956</v>
      </c>
      <c r="C209" s="105" t="s">
        <v>159</v>
      </c>
      <c r="D209" s="105" t="s">
        <v>1171</v>
      </c>
    </row>
    <row r="210">
      <c r="A210" s="105" t="s">
        <v>1726</v>
      </c>
      <c r="B210" s="105" t="s">
        <v>7957</v>
      </c>
      <c r="C210" s="105" t="s">
        <v>159</v>
      </c>
      <c r="D210" s="105" t="s">
        <v>1171</v>
      </c>
    </row>
    <row r="211">
      <c r="A211" s="105" t="s">
        <v>1727</v>
      </c>
      <c r="B211" s="105" t="s">
        <v>7958</v>
      </c>
      <c r="C211" s="105" t="s">
        <v>159</v>
      </c>
      <c r="D211" s="105" t="s">
        <v>1330</v>
      </c>
    </row>
    <row r="212">
      <c r="A212" s="106" t="s">
        <v>1728</v>
      </c>
      <c r="B212" s="105" t="s">
        <v>7958</v>
      </c>
      <c r="C212" s="105" t="s">
        <v>159</v>
      </c>
      <c r="D212" s="105" t="s">
        <v>1330</v>
      </c>
    </row>
    <row r="213">
      <c r="A213" s="106" t="s">
        <v>1729</v>
      </c>
      <c r="B213" s="105" t="s">
        <v>7958</v>
      </c>
      <c r="C213" s="105" t="s">
        <v>159</v>
      </c>
      <c r="D213" s="105" t="s">
        <v>1330</v>
      </c>
    </row>
    <row r="214">
      <c r="A214" s="105" t="s">
        <v>1730</v>
      </c>
      <c r="B214" s="105" t="s">
        <v>7954</v>
      </c>
      <c r="C214" s="105" t="s">
        <v>159</v>
      </c>
      <c r="D214" s="105" t="s">
        <v>1171</v>
      </c>
    </row>
    <row r="215">
      <c r="A215" s="105" t="s">
        <v>1734</v>
      </c>
      <c r="B215" s="105" t="s">
        <v>7954</v>
      </c>
      <c r="C215" s="105" t="s">
        <v>159</v>
      </c>
      <c r="D215" s="105" t="s">
        <v>1171</v>
      </c>
    </row>
    <row r="216">
      <c r="A216" s="105" t="s">
        <v>1738</v>
      </c>
      <c r="B216" s="105" t="s">
        <v>7954</v>
      </c>
      <c r="C216" s="105" t="s">
        <v>159</v>
      </c>
      <c r="D216" s="105" t="s">
        <v>1171</v>
      </c>
    </row>
    <row r="217">
      <c r="A217" s="105" t="s">
        <v>1741</v>
      </c>
      <c r="B217" s="105" t="s">
        <v>7956</v>
      </c>
      <c r="C217" s="105" t="s">
        <v>159</v>
      </c>
      <c r="D217" s="105" t="s">
        <v>1171</v>
      </c>
    </row>
    <row r="218">
      <c r="A218" s="105" t="s">
        <v>1744</v>
      </c>
      <c r="B218" s="105" t="s">
        <v>7957</v>
      </c>
      <c r="C218" s="105" t="s">
        <v>159</v>
      </c>
      <c r="D218" s="105" t="s">
        <v>1171</v>
      </c>
    </row>
    <row r="219">
      <c r="A219" s="105" t="s">
        <v>1745</v>
      </c>
      <c r="B219" s="105" t="s">
        <v>7954</v>
      </c>
      <c r="C219" s="105" t="s">
        <v>159</v>
      </c>
      <c r="D219" s="105" t="s">
        <v>1171</v>
      </c>
    </row>
    <row r="220">
      <c r="A220" s="105" t="s">
        <v>1749</v>
      </c>
      <c r="B220" s="105" t="s">
        <v>7954</v>
      </c>
      <c r="C220" s="105" t="s">
        <v>159</v>
      </c>
      <c r="D220" s="105" t="s">
        <v>1171</v>
      </c>
    </row>
    <row r="221">
      <c r="A221" s="105" t="s">
        <v>1753</v>
      </c>
      <c r="B221" s="105" t="s">
        <v>7954</v>
      </c>
      <c r="C221" s="105" t="s">
        <v>159</v>
      </c>
      <c r="D221" s="105" t="s">
        <v>1171</v>
      </c>
    </row>
    <row r="222">
      <c r="A222" s="105" t="s">
        <v>1756</v>
      </c>
      <c r="B222" s="105" t="s">
        <v>7954</v>
      </c>
      <c r="C222" s="105" t="s">
        <v>159</v>
      </c>
      <c r="D222" s="105" t="s">
        <v>1171</v>
      </c>
    </row>
    <row r="223">
      <c r="A223" s="105" t="s">
        <v>1760</v>
      </c>
      <c r="B223" s="105" t="s">
        <v>7954</v>
      </c>
      <c r="C223" s="105" t="s">
        <v>159</v>
      </c>
      <c r="D223" s="105" t="s">
        <v>1171</v>
      </c>
    </row>
    <row r="224">
      <c r="A224" s="105" t="s">
        <v>1764</v>
      </c>
      <c r="B224" s="105" t="s">
        <v>7954</v>
      </c>
      <c r="C224" s="105" t="s">
        <v>159</v>
      </c>
      <c r="D224" s="105" t="s">
        <v>1171</v>
      </c>
    </row>
    <row r="225">
      <c r="A225" s="105" t="s">
        <v>1768</v>
      </c>
      <c r="B225" s="105" t="s">
        <v>7954</v>
      </c>
      <c r="C225" s="105" t="s">
        <v>159</v>
      </c>
      <c r="D225" s="105" t="s">
        <v>1171</v>
      </c>
    </row>
    <row r="226">
      <c r="A226" s="105" t="s">
        <v>1772</v>
      </c>
      <c r="B226" s="105" t="s">
        <v>7954</v>
      </c>
      <c r="C226" s="105" t="s">
        <v>159</v>
      </c>
      <c r="D226" s="105" t="s">
        <v>1171</v>
      </c>
    </row>
    <row r="227">
      <c r="A227" s="105" t="s">
        <v>1775</v>
      </c>
      <c r="B227" s="105" t="s">
        <v>7954</v>
      </c>
      <c r="C227" s="105" t="s">
        <v>159</v>
      </c>
      <c r="D227" s="105" t="s">
        <v>1171</v>
      </c>
    </row>
    <row r="228">
      <c r="A228" s="105" t="s">
        <v>1777</v>
      </c>
      <c r="B228" s="105" t="s">
        <v>7954</v>
      </c>
      <c r="C228" s="105" t="s">
        <v>159</v>
      </c>
      <c r="D228" s="105" t="s">
        <v>1171</v>
      </c>
    </row>
    <row r="229">
      <c r="A229" s="105" t="s">
        <v>1781</v>
      </c>
      <c r="B229" s="105" t="s">
        <v>7954</v>
      </c>
      <c r="C229" s="105" t="s">
        <v>159</v>
      </c>
      <c r="D229" s="105" t="s">
        <v>1171</v>
      </c>
    </row>
    <row r="230">
      <c r="A230" s="105" t="s">
        <v>1785</v>
      </c>
      <c r="B230" s="105" t="s">
        <v>7954</v>
      </c>
      <c r="C230" s="105" t="s">
        <v>159</v>
      </c>
      <c r="D230" s="105" t="s">
        <v>1171</v>
      </c>
    </row>
    <row r="231">
      <c r="A231" s="105" t="s">
        <v>1788</v>
      </c>
      <c r="B231" s="105" t="s">
        <v>7954</v>
      </c>
      <c r="C231" s="105" t="s">
        <v>159</v>
      </c>
      <c r="D231" s="105" t="s">
        <v>1171</v>
      </c>
    </row>
    <row r="232">
      <c r="A232" s="105" t="s">
        <v>1791</v>
      </c>
      <c r="B232" s="105" t="s">
        <v>7956</v>
      </c>
      <c r="C232" s="105" t="s">
        <v>159</v>
      </c>
      <c r="D232" s="105" t="s">
        <v>1171</v>
      </c>
    </row>
    <row r="233">
      <c r="A233" s="105" t="s">
        <v>1794</v>
      </c>
      <c r="B233" s="105" t="s">
        <v>7956</v>
      </c>
      <c r="C233" s="105" t="s">
        <v>159</v>
      </c>
      <c r="D233" s="105" t="s">
        <v>1171</v>
      </c>
    </row>
    <row r="234">
      <c r="A234" s="105" t="s">
        <v>1797</v>
      </c>
      <c r="B234" s="105" t="s">
        <v>7956</v>
      </c>
      <c r="C234" s="105" t="s">
        <v>159</v>
      </c>
      <c r="D234" s="105" t="s">
        <v>1171</v>
      </c>
    </row>
    <row r="235">
      <c r="A235" s="105" t="s">
        <v>1800</v>
      </c>
      <c r="B235" s="105" t="s">
        <v>7956</v>
      </c>
      <c r="C235" s="105" t="s">
        <v>159</v>
      </c>
      <c r="D235" s="105" t="s">
        <v>1171</v>
      </c>
    </row>
    <row r="236">
      <c r="A236" s="105" t="s">
        <v>1803</v>
      </c>
      <c r="B236" s="105" t="s">
        <v>7956</v>
      </c>
      <c r="C236" s="105" t="s">
        <v>159</v>
      </c>
      <c r="D236" s="105" t="s">
        <v>1171</v>
      </c>
    </row>
    <row r="237">
      <c r="A237" s="105" t="s">
        <v>1806</v>
      </c>
      <c r="B237" s="105" t="s">
        <v>7956</v>
      </c>
      <c r="C237" s="105" t="s">
        <v>159</v>
      </c>
      <c r="D237" s="105" t="s">
        <v>1171</v>
      </c>
    </row>
    <row r="238">
      <c r="A238" s="105" t="s">
        <v>1809</v>
      </c>
      <c r="B238" s="105" t="s">
        <v>7956</v>
      </c>
      <c r="C238" s="105" t="s">
        <v>159</v>
      </c>
      <c r="D238" s="105" t="s">
        <v>1171</v>
      </c>
    </row>
    <row r="239">
      <c r="A239" s="105" t="s">
        <v>1812</v>
      </c>
      <c r="B239" s="105" t="s">
        <v>7956</v>
      </c>
      <c r="C239" s="105" t="s">
        <v>159</v>
      </c>
      <c r="D239" s="105" t="s">
        <v>1171</v>
      </c>
    </row>
    <row r="240">
      <c r="A240" s="105" t="s">
        <v>1815</v>
      </c>
      <c r="B240" s="105" t="s">
        <v>7956</v>
      </c>
      <c r="C240" s="105" t="s">
        <v>159</v>
      </c>
      <c r="D240" s="105" t="s">
        <v>1171</v>
      </c>
    </row>
    <row r="241">
      <c r="A241" s="105" t="s">
        <v>1818</v>
      </c>
      <c r="B241" s="105" t="s">
        <v>7956</v>
      </c>
      <c r="C241" s="105" t="s">
        <v>159</v>
      </c>
      <c r="D241" s="105" t="s">
        <v>1171</v>
      </c>
    </row>
    <row r="242">
      <c r="A242" s="105" t="s">
        <v>1821</v>
      </c>
      <c r="B242" s="105" t="s">
        <v>7956</v>
      </c>
      <c r="C242" s="105" t="s">
        <v>159</v>
      </c>
      <c r="D242" s="105" t="s">
        <v>1171</v>
      </c>
    </row>
    <row r="243">
      <c r="A243" s="105" t="s">
        <v>7962</v>
      </c>
      <c r="B243" s="105" t="s">
        <v>7956</v>
      </c>
      <c r="C243" s="105" t="s">
        <v>159</v>
      </c>
      <c r="D243" s="105" t="s">
        <v>1171</v>
      </c>
    </row>
    <row r="244">
      <c r="A244" s="105" t="s">
        <v>1825</v>
      </c>
      <c r="B244" s="105" t="s">
        <v>7957</v>
      </c>
      <c r="C244" s="105" t="s">
        <v>159</v>
      </c>
      <c r="D244" s="105" t="s">
        <v>1171</v>
      </c>
    </row>
    <row r="245">
      <c r="A245" s="105" t="s">
        <v>1826</v>
      </c>
      <c r="B245" s="105" t="s">
        <v>7957</v>
      </c>
      <c r="C245" s="105" t="s">
        <v>159</v>
      </c>
      <c r="D245" s="105" t="s">
        <v>1171</v>
      </c>
    </row>
    <row r="246">
      <c r="A246" s="105" t="s">
        <v>1827</v>
      </c>
      <c r="B246" s="105" t="s">
        <v>7957</v>
      </c>
      <c r="C246" s="105" t="s">
        <v>159</v>
      </c>
      <c r="D246" s="105" t="s">
        <v>1171</v>
      </c>
    </row>
    <row r="247">
      <c r="A247" s="105" t="s">
        <v>1828</v>
      </c>
      <c r="B247" s="105" t="s">
        <v>7957</v>
      </c>
      <c r="C247" s="105" t="s">
        <v>159</v>
      </c>
      <c r="D247" s="105" t="s">
        <v>1171</v>
      </c>
    </row>
    <row r="248">
      <c r="A248" s="105" t="s">
        <v>1829</v>
      </c>
      <c r="B248" s="105" t="s">
        <v>7957</v>
      </c>
      <c r="C248" s="105" t="s">
        <v>159</v>
      </c>
      <c r="D248" s="105" t="s">
        <v>1171</v>
      </c>
    </row>
    <row r="249">
      <c r="A249" s="105" t="s">
        <v>1830</v>
      </c>
      <c r="B249" s="105" t="s">
        <v>7957</v>
      </c>
      <c r="C249" s="105" t="s">
        <v>159</v>
      </c>
      <c r="D249" s="105" t="s">
        <v>1171</v>
      </c>
    </row>
    <row r="250">
      <c r="A250" s="105" t="s">
        <v>1831</v>
      </c>
      <c r="B250" s="105" t="s">
        <v>7957</v>
      </c>
      <c r="C250" s="105" t="s">
        <v>159</v>
      </c>
      <c r="D250" s="105" t="s">
        <v>1171</v>
      </c>
    </row>
    <row r="251">
      <c r="A251" s="105" t="s">
        <v>1832</v>
      </c>
      <c r="B251" s="105" t="s">
        <v>7957</v>
      </c>
      <c r="C251" s="105" t="s">
        <v>159</v>
      </c>
      <c r="D251" s="105" t="s">
        <v>1171</v>
      </c>
    </row>
    <row r="252">
      <c r="A252" s="106" t="s">
        <v>1833</v>
      </c>
      <c r="B252" s="105" t="s">
        <v>7958</v>
      </c>
      <c r="C252" s="105" t="s">
        <v>159</v>
      </c>
      <c r="D252" s="105" t="s">
        <v>1330</v>
      </c>
    </row>
    <row r="253">
      <c r="A253" s="106" t="s">
        <v>1834</v>
      </c>
      <c r="B253" s="105" t="s">
        <v>7958</v>
      </c>
      <c r="C253" s="105" t="s">
        <v>159</v>
      </c>
      <c r="D253" s="105" t="s">
        <v>1330</v>
      </c>
    </row>
    <row r="254">
      <c r="A254" s="105" t="s">
        <v>1835</v>
      </c>
      <c r="B254" s="105" t="s">
        <v>7954</v>
      </c>
      <c r="C254" s="105" t="s">
        <v>296</v>
      </c>
      <c r="D254" s="105" t="s">
        <v>1171</v>
      </c>
    </row>
    <row r="255">
      <c r="A255" s="105" t="s">
        <v>1840</v>
      </c>
      <c r="B255" s="105" t="s">
        <v>7954</v>
      </c>
      <c r="C255" s="105" t="s">
        <v>296</v>
      </c>
      <c r="D255" s="105" t="s">
        <v>1171</v>
      </c>
    </row>
    <row r="256">
      <c r="A256" s="105" t="s">
        <v>1844</v>
      </c>
      <c r="B256" s="105" t="s">
        <v>7954</v>
      </c>
      <c r="C256" s="105" t="s">
        <v>296</v>
      </c>
      <c r="D256" s="105" t="s">
        <v>1171</v>
      </c>
    </row>
    <row r="257">
      <c r="A257" s="105" t="s">
        <v>1847</v>
      </c>
      <c r="B257" s="105" t="s">
        <v>7954</v>
      </c>
      <c r="C257" s="105" t="s">
        <v>1609</v>
      </c>
      <c r="D257" s="105" t="s">
        <v>1171</v>
      </c>
    </row>
    <row r="258">
      <c r="A258" s="105" t="s">
        <v>1850</v>
      </c>
      <c r="B258" s="105" t="s">
        <v>7954</v>
      </c>
      <c r="C258" s="105" t="s">
        <v>1609</v>
      </c>
      <c r="D258" s="105" t="s">
        <v>1171</v>
      </c>
    </row>
    <row r="259">
      <c r="A259" s="105" t="s">
        <v>1853</v>
      </c>
      <c r="B259" s="105" t="s">
        <v>7954</v>
      </c>
      <c r="C259" s="105" t="s">
        <v>1609</v>
      </c>
      <c r="D259" s="105" t="s">
        <v>1171</v>
      </c>
    </row>
    <row r="260">
      <c r="A260" s="105" t="s">
        <v>1856</v>
      </c>
      <c r="B260" s="105" t="s">
        <v>7957</v>
      </c>
      <c r="C260" s="105" t="s">
        <v>1609</v>
      </c>
      <c r="D260" s="105" t="s">
        <v>1171</v>
      </c>
    </row>
    <row r="261">
      <c r="A261" s="105" t="s">
        <v>1857</v>
      </c>
      <c r="B261" s="105" t="s">
        <v>7956</v>
      </c>
      <c r="C261" s="105" t="s">
        <v>1609</v>
      </c>
      <c r="D261" s="105" t="s">
        <v>1171</v>
      </c>
    </row>
    <row r="262">
      <c r="A262" s="105" t="s">
        <v>1860</v>
      </c>
      <c r="B262" s="105" t="s">
        <v>7957</v>
      </c>
      <c r="C262" s="105" t="s">
        <v>1609</v>
      </c>
      <c r="D262" s="105" t="s">
        <v>1171</v>
      </c>
    </row>
    <row r="263">
      <c r="A263" s="105" t="s">
        <v>1861</v>
      </c>
      <c r="B263" s="105" t="s">
        <v>7954</v>
      </c>
      <c r="C263" s="105" t="s">
        <v>1609</v>
      </c>
      <c r="D263" s="105" t="s">
        <v>1171</v>
      </c>
    </row>
    <row r="264">
      <c r="A264" s="105" t="s">
        <v>1864</v>
      </c>
      <c r="B264" s="107" t="s">
        <v>7955</v>
      </c>
      <c r="C264" s="105" t="s">
        <v>1609</v>
      </c>
      <c r="D264" s="105" t="s">
        <v>1171</v>
      </c>
    </row>
    <row r="265">
      <c r="A265" s="105" t="s">
        <v>1867</v>
      </c>
      <c r="B265" s="105" t="s">
        <v>7956</v>
      </c>
      <c r="C265" s="105" t="s">
        <v>1609</v>
      </c>
      <c r="D265" s="105" t="s">
        <v>1171</v>
      </c>
    </row>
    <row r="266">
      <c r="A266" s="105" t="s">
        <v>1870</v>
      </c>
      <c r="B266" s="105" t="s">
        <v>7956</v>
      </c>
      <c r="C266" s="105" t="s">
        <v>1609</v>
      </c>
      <c r="D266" s="105" t="s">
        <v>1171</v>
      </c>
    </row>
    <row r="267">
      <c r="A267" s="111" t="s">
        <v>1873</v>
      </c>
      <c r="B267" s="105" t="s">
        <v>7957</v>
      </c>
      <c r="C267" s="105" t="s">
        <v>1609</v>
      </c>
      <c r="D267" s="105" t="s">
        <v>1171</v>
      </c>
    </row>
    <row r="268">
      <c r="A268" s="111" t="s">
        <v>1874</v>
      </c>
      <c r="B268" s="105" t="s">
        <v>7957</v>
      </c>
      <c r="C268" s="105" t="s">
        <v>1609</v>
      </c>
      <c r="D268" s="105" t="s">
        <v>1171</v>
      </c>
    </row>
    <row r="269">
      <c r="A269" s="105" t="s">
        <v>1875</v>
      </c>
      <c r="B269" s="105" t="s">
        <v>7954</v>
      </c>
      <c r="C269" s="105" t="s">
        <v>1609</v>
      </c>
      <c r="D269" s="105" t="s">
        <v>1171</v>
      </c>
    </row>
    <row r="270">
      <c r="A270" s="105" t="s">
        <v>1878</v>
      </c>
      <c r="B270" s="105" t="s">
        <v>7957</v>
      </c>
      <c r="C270" s="105" t="s">
        <v>1879</v>
      </c>
      <c r="D270" s="105" t="s">
        <v>1171</v>
      </c>
    </row>
    <row r="271">
      <c r="A271" s="105" t="s">
        <v>1880</v>
      </c>
      <c r="B271" s="105" t="s">
        <v>7957</v>
      </c>
      <c r="C271" s="105" t="s">
        <v>1879</v>
      </c>
      <c r="D271" s="105" t="s">
        <v>1171</v>
      </c>
    </row>
    <row r="272">
      <c r="A272" s="106" t="s">
        <v>1881</v>
      </c>
      <c r="B272" s="105" t="s">
        <v>7958</v>
      </c>
      <c r="C272" s="105" t="s">
        <v>1879</v>
      </c>
      <c r="D272" s="105" t="s">
        <v>1330</v>
      </c>
    </row>
    <row r="273">
      <c r="A273" s="105" t="s">
        <v>1882</v>
      </c>
      <c r="B273" s="105" t="s">
        <v>7954</v>
      </c>
      <c r="C273" s="105" t="s">
        <v>1879</v>
      </c>
      <c r="D273" s="105" t="s">
        <v>1171</v>
      </c>
    </row>
    <row r="274">
      <c r="A274" s="105" t="s">
        <v>1886</v>
      </c>
      <c r="B274" s="105" t="s">
        <v>7954</v>
      </c>
      <c r="C274" s="105" t="s">
        <v>1879</v>
      </c>
      <c r="D274" s="105" t="s">
        <v>1171</v>
      </c>
    </row>
    <row r="275">
      <c r="A275" s="105" t="s">
        <v>1890</v>
      </c>
      <c r="B275" s="105" t="s">
        <v>7956</v>
      </c>
      <c r="C275" s="105" t="s">
        <v>1879</v>
      </c>
      <c r="D275" s="105" t="s">
        <v>1171</v>
      </c>
    </row>
    <row r="276">
      <c r="A276" s="105" t="s">
        <v>1893</v>
      </c>
      <c r="B276" s="105" t="s">
        <v>7956</v>
      </c>
      <c r="C276" s="105" t="s">
        <v>1879</v>
      </c>
      <c r="D276" s="105" t="s">
        <v>1171</v>
      </c>
    </row>
    <row r="277">
      <c r="A277" s="105" t="s">
        <v>1896</v>
      </c>
      <c r="B277" s="105" t="s">
        <v>7956</v>
      </c>
      <c r="C277" s="105" t="s">
        <v>1879</v>
      </c>
      <c r="D277" s="105" t="s">
        <v>1171</v>
      </c>
    </row>
    <row r="278">
      <c r="A278" s="105" t="s">
        <v>1899</v>
      </c>
      <c r="B278" s="105" t="s">
        <v>7957</v>
      </c>
      <c r="C278" s="105" t="s">
        <v>1879</v>
      </c>
      <c r="D278" s="105" t="s">
        <v>1171</v>
      </c>
    </row>
    <row r="279">
      <c r="A279" s="105" t="s">
        <v>1900</v>
      </c>
      <c r="B279" s="105" t="s">
        <v>7957</v>
      </c>
      <c r="C279" s="105" t="s">
        <v>1879</v>
      </c>
      <c r="D279" s="105" t="s">
        <v>1171</v>
      </c>
    </row>
    <row r="280">
      <c r="A280" s="105" t="s">
        <v>1901</v>
      </c>
      <c r="B280" s="107" t="s">
        <v>7959</v>
      </c>
      <c r="C280" s="105" t="s">
        <v>1879</v>
      </c>
      <c r="D280" s="105" t="s">
        <v>1171</v>
      </c>
    </row>
    <row r="281">
      <c r="A281" s="105" t="s">
        <v>1906</v>
      </c>
      <c r="B281" s="105" t="s">
        <v>7954</v>
      </c>
      <c r="C281" s="105" t="s">
        <v>1879</v>
      </c>
      <c r="D281" s="105" t="s">
        <v>1171</v>
      </c>
    </row>
    <row r="282">
      <c r="A282" s="105" t="s">
        <v>1909</v>
      </c>
      <c r="B282" s="105" t="s">
        <v>7954</v>
      </c>
      <c r="C282" s="105" t="s">
        <v>1879</v>
      </c>
      <c r="D282" s="105" t="s">
        <v>1171</v>
      </c>
    </row>
    <row r="283">
      <c r="A283" s="105" t="s">
        <v>1912</v>
      </c>
      <c r="B283" s="105" t="s">
        <v>7957</v>
      </c>
      <c r="C283" s="105" t="s">
        <v>1879</v>
      </c>
      <c r="D283" s="105" t="s">
        <v>1171</v>
      </c>
    </row>
    <row r="284">
      <c r="A284" s="105" t="s">
        <v>1913</v>
      </c>
      <c r="B284" s="105" t="s">
        <v>7955</v>
      </c>
      <c r="C284" s="105" t="s">
        <v>1879</v>
      </c>
      <c r="D284" s="105" t="s">
        <v>1171</v>
      </c>
    </row>
    <row r="285">
      <c r="A285" s="105" t="s">
        <v>1916</v>
      </c>
      <c r="B285" s="105" t="s">
        <v>7955</v>
      </c>
      <c r="C285" s="105" t="s">
        <v>1879</v>
      </c>
      <c r="D285" s="105" t="s">
        <v>1171</v>
      </c>
    </row>
    <row r="286">
      <c r="A286" s="105" t="s">
        <v>1919</v>
      </c>
      <c r="B286" s="105" t="s">
        <v>7955</v>
      </c>
      <c r="C286" s="105" t="s">
        <v>1879</v>
      </c>
      <c r="D286" s="105" t="s">
        <v>1171</v>
      </c>
    </row>
    <row r="287">
      <c r="A287" s="105" t="s">
        <v>1922</v>
      </c>
      <c r="B287" s="105" t="s">
        <v>7954</v>
      </c>
      <c r="C287" s="105" t="s">
        <v>1879</v>
      </c>
      <c r="D287" s="105" t="s">
        <v>1171</v>
      </c>
    </row>
    <row r="288">
      <c r="A288" s="105" t="s">
        <v>1925</v>
      </c>
      <c r="B288" s="105" t="s">
        <v>7954</v>
      </c>
      <c r="C288" s="105" t="s">
        <v>1879</v>
      </c>
      <c r="D288" s="105" t="s">
        <v>1171</v>
      </c>
    </row>
    <row r="289">
      <c r="A289" s="105" t="s">
        <v>1928</v>
      </c>
      <c r="B289" s="105" t="s">
        <v>7954</v>
      </c>
      <c r="C289" s="105" t="s">
        <v>1879</v>
      </c>
      <c r="D289" s="105" t="s">
        <v>1171</v>
      </c>
    </row>
    <row r="290">
      <c r="A290" s="105" t="s">
        <v>1931</v>
      </c>
      <c r="B290" s="105" t="s">
        <v>7954</v>
      </c>
      <c r="C290" s="105" t="s">
        <v>1879</v>
      </c>
      <c r="D290" s="105" t="s">
        <v>1171</v>
      </c>
    </row>
    <row r="291">
      <c r="A291" s="105" t="s">
        <v>1934</v>
      </c>
      <c r="B291" s="105" t="s">
        <v>7954</v>
      </c>
      <c r="C291" s="105" t="s">
        <v>1879</v>
      </c>
      <c r="D291" s="105" t="s">
        <v>1171</v>
      </c>
    </row>
    <row r="292">
      <c r="A292" s="105" t="s">
        <v>1937</v>
      </c>
      <c r="B292" s="105" t="s">
        <v>7954</v>
      </c>
      <c r="C292" s="105" t="s">
        <v>1879</v>
      </c>
      <c r="D292" s="105" t="s">
        <v>1171</v>
      </c>
    </row>
    <row r="293">
      <c r="A293" s="105" t="s">
        <v>1940</v>
      </c>
      <c r="B293" s="105" t="s">
        <v>7956</v>
      </c>
      <c r="C293" s="105" t="s">
        <v>1879</v>
      </c>
      <c r="D293" s="105" t="s">
        <v>1171</v>
      </c>
    </row>
    <row r="294">
      <c r="A294" s="105" t="s">
        <v>1943</v>
      </c>
      <c r="B294" s="105" t="s">
        <v>7956</v>
      </c>
      <c r="C294" s="105" t="s">
        <v>1879</v>
      </c>
      <c r="D294" s="105" t="s">
        <v>1171</v>
      </c>
    </row>
    <row r="295">
      <c r="A295" s="105" t="s">
        <v>1946</v>
      </c>
      <c r="B295" s="105" t="s">
        <v>7956</v>
      </c>
      <c r="C295" s="105" t="s">
        <v>1879</v>
      </c>
      <c r="D295" s="105" t="s">
        <v>1171</v>
      </c>
    </row>
    <row r="296">
      <c r="A296" s="105" t="s">
        <v>1949</v>
      </c>
      <c r="B296" s="105" t="s">
        <v>7956</v>
      </c>
      <c r="C296" s="105" t="s">
        <v>1879</v>
      </c>
      <c r="D296" s="105" t="s">
        <v>1171</v>
      </c>
    </row>
    <row r="297">
      <c r="A297" s="105" t="s">
        <v>1952</v>
      </c>
      <c r="B297" s="105" t="s">
        <v>7956</v>
      </c>
      <c r="C297" s="105" t="s">
        <v>1879</v>
      </c>
      <c r="D297" s="105" t="s">
        <v>1171</v>
      </c>
    </row>
    <row r="298">
      <c r="A298" s="105" t="s">
        <v>1955</v>
      </c>
      <c r="B298" s="105" t="s">
        <v>7956</v>
      </c>
      <c r="C298" s="105" t="s">
        <v>1879</v>
      </c>
      <c r="D298" s="105" t="s">
        <v>1171</v>
      </c>
    </row>
    <row r="299">
      <c r="A299" s="105" t="s">
        <v>7963</v>
      </c>
      <c r="B299" s="105" t="s">
        <v>7956</v>
      </c>
      <c r="C299" s="105" t="s">
        <v>1879</v>
      </c>
      <c r="D299" s="105" t="s">
        <v>1171</v>
      </c>
    </row>
    <row r="300">
      <c r="A300" s="105" t="s">
        <v>1960</v>
      </c>
      <c r="B300" s="105" t="s">
        <v>7957</v>
      </c>
      <c r="C300" s="105" t="s">
        <v>1879</v>
      </c>
      <c r="D300" s="105" t="s">
        <v>1171</v>
      </c>
    </row>
    <row r="301">
      <c r="A301" s="105" t="s">
        <v>1961</v>
      </c>
      <c r="B301" s="105" t="s">
        <v>7957</v>
      </c>
      <c r="C301" s="105" t="s">
        <v>1879</v>
      </c>
      <c r="D301" s="105" t="s">
        <v>1171</v>
      </c>
    </row>
    <row r="302">
      <c r="A302" s="105" t="s">
        <v>1962</v>
      </c>
      <c r="B302" s="105" t="s">
        <v>7957</v>
      </c>
      <c r="C302" s="105" t="s">
        <v>1879</v>
      </c>
      <c r="D302" s="105" t="s">
        <v>1171</v>
      </c>
    </row>
    <row r="303">
      <c r="A303" s="105" t="s">
        <v>1963</v>
      </c>
      <c r="B303" s="105" t="s">
        <v>7957</v>
      </c>
      <c r="C303" s="105" t="s">
        <v>1879</v>
      </c>
      <c r="D303" s="105" t="s">
        <v>1171</v>
      </c>
    </row>
    <row r="304">
      <c r="A304" s="105" t="s">
        <v>1964</v>
      </c>
      <c r="B304" s="105" t="s">
        <v>7957</v>
      </c>
      <c r="C304" s="105" t="s">
        <v>1879</v>
      </c>
      <c r="D304" s="105" t="s">
        <v>1171</v>
      </c>
    </row>
    <row r="305">
      <c r="A305" s="105" t="s">
        <v>1965</v>
      </c>
      <c r="B305" s="105" t="s">
        <v>7957</v>
      </c>
      <c r="C305" s="105" t="s">
        <v>1879</v>
      </c>
      <c r="D305" s="105" t="s">
        <v>1171</v>
      </c>
    </row>
    <row r="306">
      <c r="A306" s="105" t="s">
        <v>1966</v>
      </c>
      <c r="B306" s="105" t="s">
        <v>7957</v>
      </c>
      <c r="C306" s="105" t="s">
        <v>1879</v>
      </c>
      <c r="D306" s="105" t="s">
        <v>1171</v>
      </c>
    </row>
    <row r="307">
      <c r="A307" s="106" t="s">
        <v>1967</v>
      </c>
      <c r="B307" s="105" t="s">
        <v>7958</v>
      </c>
      <c r="C307" s="105" t="s">
        <v>1879</v>
      </c>
      <c r="D307" s="105" t="s">
        <v>1330</v>
      </c>
    </row>
    <row r="308">
      <c r="A308" s="105" t="s">
        <v>1968</v>
      </c>
      <c r="B308" s="105" t="s">
        <v>7956</v>
      </c>
      <c r="C308" s="105" t="s">
        <v>894</v>
      </c>
      <c r="D308" s="105" t="s">
        <v>1171</v>
      </c>
    </row>
    <row r="309">
      <c r="A309" s="105" t="s">
        <v>1971</v>
      </c>
      <c r="B309" s="105" t="s">
        <v>7954</v>
      </c>
      <c r="C309" s="105" t="s">
        <v>894</v>
      </c>
      <c r="D309" s="105" t="s">
        <v>1171</v>
      </c>
    </row>
    <row r="310">
      <c r="A310" s="105" t="s">
        <v>1974</v>
      </c>
      <c r="B310" s="105" t="s">
        <v>7956</v>
      </c>
      <c r="C310" s="105" t="s">
        <v>894</v>
      </c>
      <c r="D310" s="105" t="s">
        <v>1171</v>
      </c>
    </row>
    <row r="311">
      <c r="A311" s="105" t="s">
        <v>1977</v>
      </c>
      <c r="B311" s="105" t="s">
        <v>7954</v>
      </c>
      <c r="C311" s="105" t="s">
        <v>894</v>
      </c>
      <c r="D311" s="105" t="s">
        <v>1171</v>
      </c>
    </row>
    <row r="312">
      <c r="A312" s="105" t="s">
        <v>1980</v>
      </c>
      <c r="B312" s="105" t="s">
        <v>7954</v>
      </c>
      <c r="C312" s="105" t="s">
        <v>894</v>
      </c>
      <c r="D312" s="105" t="s">
        <v>1171</v>
      </c>
    </row>
    <row r="313">
      <c r="A313" s="105" t="s">
        <v>1983</v>
      </c>
      <c r="B313" s="105" t="s">
        <v>7956</v>
      </c>
      <c r="C313" s="105" t="s">
        <v>894</v>
      </c>
      <c r="D313" s="105" t="s">
        <v>1171</v>
      </c>
    </row>
    <row r="314">
      <c r="A314" s="105" t="s">
        <v>1986</v>
      </c>
      <c r="B314" s="105" t="s">
        <v>7957</v>
      </c>
      <c r="C314" s="105" t="s">
        <v>894</v>
      </c>
      <c r="D314" s="105" t="s">
        <v>1171</v>
      </c>
    </row>
    <row r="315">
      <c r="A315" s="105" t="s">
        <v>1987</v>
      </c>
      <c r="B315" s="105" t="s">
        <v>7957</v>
      </c>
      <c r="C315" s="105" t="s">
        <v>894</v>
      </c>
      <c r="D315" s="105" t="s">
        <v>1171</v>
      </c>
    </row>
    <row r="316">
      <c r="A316" s="105" t="s">
        <v>1988</v>
      </c>
      <c r="B316" s="105" t="s">
        <v>7958</v>
      </c>
      <c r="C316" s="105" t="s">
        <v>894</v>
      </c>
      <c r="D316" s="105" t="s">
        <v>1171</v>
      </c>
    </row>
    <row r="317">
      <c r="A317" s="106" t="s">
        <v>1989</v>
      </c>
      <c r="B317" s="105" t="s">
        <v>7958</v>
      </c>
      <c r="C317" s="105" t="s">
        <v>894</v>
      </c>
      <c r="D317" s="105" t="s">
        <v>1330</v>
      </c>
    </row>
    <row r="318">
      <c r="A318" s="105" t="s">
        <v>1990</v>
      </c>
      <c r="B318" s="105" t="s">
        <v>7954</v>
      </c>
      <c r="C318" s="105" t="s">
        <v>894</v>
      </c>
      <c r="D318" s="105" t="s">
        <v>1171</v>
      </c>
    </row>
    <row r="319">
      <c r="A319" s="105" t="s">
        <v>1993</v>
      </c>
      <c r="B319" s="105" t="s">
        <v>7954</v>
      </c>
      <c r="C319" s="105" t="s">
        <v>894</v>
      </c>
      <c r="D319" s="105" t="s">
        <v>1171</v>
      </c>
    </row>
    <row r="320">
      <c r="A320" s="105" t="s">
        <v>1996</v>
      </c>
      <c r="B320" s="105" t="s">
        <v>7954</v>
      </c>
      <c r="C320" s="105" t="s">
        <v>894</v>
      </c>
      <c r="D320" s="105" t="s">
        <v>1171</v>
      </c>
    </row>
    <row r="321">
      <c r="A321" s="105" t="s">
        <v>1999</v>
      </c>
      <c r="B321" s="105" t="s">
        <v>7954</v>
      </c>
      <c r="C321" s="105" t="s">
        <v>894</v>
      </c>
      <c r="D321" s="105" t="s">
        <v>1171</v>
      </c>
    </row>
    <row r="322">
      <c r="A322" s="105" t="s">
        <v>2002</v>
      </c>
      <c r="B322" s="105" t="s">
        <v>7954</v>
      </c>
      <c r="C322" s="105" t="s">
        <v>894</v>
      </c>
      <c r="D322" s="105" t="s">
        <v>1171</v>
      </c>
    </row>
    <row r="323">
      <c r="A323" s="105" t="s">
        <v>2005</v>
      </c>
      <c r="B323" s="105" t="s">
        <v>7954</v>
      </c>
      <c r="C323" s="105" t="s">
        <v>894</v>
      </c>
      <c r="D323" s="105" t="s">
        <v>1171</v>
      </c>
    </row>
    <row r="324">
      <c r="A324" s="105" t="s">
        <v>2008</v>
      </c>
      <c r="B324" s="105" t="s">
        <v>7954</v>
      </c>
      <c r="C324" s="105" t="s">
        <v>894</v>
      </c>
      <c r="D324" s="105" t="s">
        <v>1171</v>
      </c>
    </row>
    <row r="325">
      <c r="A325" s="105" t="s">
        <v>2011</v>
      </c>
      <c r="B325" s="105" t="s">
        <v>7956</v>
      </c>
      <c r="C325" s="105" t="s">
        <v>894</v>
      </c>
      <c r="D325" s="105" t="s">
        <v>1171</v>
      </c>
    </row>
    <row r="326">
      <c r="A326" s="105" t="s">
        <v>2014</v>
      </c>
      <c r="B326" s="105" t="s">
        <v>7956</v>
      </c>
      <c r="C326" s="105" t="s">
        <v>894</v>
      </c>
      <c r="D326" s="105" t="s">
        <v>1171</v>
      </c>
    </row>
    <row r="327">
      <c r="A327" s="105" t="s">
        <v>2016</v>
      </c>
      <c r="B327" s="105" t="s">
        <v>7956</v>
      </c>
      <c r="C327" s="105" t="s">
        <v>894</v>
      </c>
      <c r="D327" s="105" t="s">
        <v>1171</v>
      </c>
    </row>
    <row r="328">
      <c r="A328" s="105" t="s">
        <v>2018</v>
      </c>
      <c r="B328" s="105" t="s">
        <v>7956</v>
      </c>
      <c r="C328" s="105" t="s">
        <v>894</v>
      </c>
      <c r="D328" s="105" t="s">
        <v>1171</v>
      </c>
    </row>
    <row r="329">
      <c r="A329" s="105" t="s">
        <v>2020</v>
      </c>
      <c r="B329" s="105" t="s">
        <v>7956</v>
      </c>
      <c r="C329" s="105" t="s">
        <v>894</v>
      </c>
      <c r="D329" s="105" t="s">
        <v>1171</v>
      </c>
    </row>
    <row r="330">
      <c r="A330" s="105" t="s">
        <v>2021</v>
      </c>
      <c r="B330" s="105" t="s">
        <v>7956</v>
      </c>
      <c r="C330" s="105" t="s">
        <v>894</v>
      </c>
      <c r="D330" s="105" t="s">
        <v>1171</v>
      </c>
    </row>
    <row r="331">
      <c r="A331" s="105" t="s">
        <v>2024</v>
      </c>
      <c r="B331" s="105" t="s">
        <v>7956</v>
      </c>
      <c r="C331" s="105" t="s">
        <v>894</v>
      </c>
      <c r="D331" s="105" t="s">
        <v>1171</v>
      </c>
    </row>
    <row r="332">
      <c r="A332" s="105" t="s">
        <v>2027</v>
      </c>
      <c r="B332" s="105" t="s">
        <v>7956</v>
      </c>
      <c r="C332" s="105" t="s">
        <v>894</v>
      </c>
      <c r="D332" s="105" t="s">
        <v>1171</v>
      </c>
    </row>
    <row r="333">
      <c r="A333" s="105" t="s">
        <v>2030</v>
      </c>
      <c r="B333" s="105" t="s">
        <v>7956</v>
      </c>
      <c r="C333" s="105" t="s">
        <v>894</v>
      </c>
      <c r="D333" s="105" t="s">
        <v>1171</v>
      </c>
    </row>
    <row r="334">
      <c r="A334" s="105" t="s">
        <v>2033</v>
      </c>
      <c r="B334" s="105" t="s">
        <v>7956</v>
      </c>
      <c r="C334" s="105" t="s">
        <v>894</v>
      </c>
      <c r="D334" s="105" t="s">
        <v>1171</v>
      </c>
    </row>
    <row r="335">
      <c r="A335" s="105" t="s">
        <v>2036</v>
      </c>
      <c r="B335" s="105" t="s">
        <v>7956</v>
      </c>
      <c r="C335" s="105" t="s">
        <v>894</v>
      </c>
      <c r="D335" s="105" t="s">
        <v>1171</v>
      </c>
    </row>
    <row r="336">
      <c r="A336" s="105" t="s">
        <v>2038</v>
      </c>
      <c r="B336" s="105" t="s">
        <v>7956</v>
      </c>
      <c r="C336" s="105" t="s">
        <v>894</v>
      </c>
      <c r="D336" s="105" t="s">
        <v>1171</v>
      </c>
    </row>
    <row r="337">
      <c r="A337" s="105" t="s">
        <v>2040</v>
      </c>
      <c r="B337" s="105" t="s">
        <v>7956</v>
      </c>
      <c r="C337" s="105" t="s">
        <v>894</v>
      </c>
      <c r="D337" s="105" t="s">
        <v>1171</v>
      </c>
    </row>
    <row r="338">
      <c r="A338" s="105" t="s">
        <v>2043</v>
      </c>
      <c r="B338" s="105" t="s">
        <v>7957</v>
      </c>
      <c r="C338" s="105" t="s">
        <v>894</v>
      </c>
      <c r="D338" s="105" t="s">
        <v>1171</v>
      </c>
    </row>
    <row r="339">
      <c r="A339" s="105" t="s">
        <v>2044</v>
      </c>
      <c r="B339" s="105" t="s">
        <v>7957</v>
      </c>
      <c r="C339" s="105" t="s">
        <v>894</v>
      </c>
      <c r="D339" s="105" t="s">
        <v>1171</v>
      </c>
    </row>
    <row r="340">
      <c r="A340" s="105" t="s">
        <v>2045</v>
      </c>
      <c r="B340" s="105" t="s">
        <v>7957</v>
      </c>
      <c r="C340" s="105" t="s">
        <v>894</v>
      </c>
      <c r="D340" s="105" t="s">
        <v>1171</v>
      </c>
    </row>
    <row r="341">
      <c r="A341" s="105" t="s">
        <v>2046</v>
      </c>
      <c r="B341" s="105" t="s">
        <v>7957</v>
      </c>
      <c r="C341" s="105" t="s">
        <v>894</v>
      </c>
      <c r="D341" s="105" t="s">
        <v>1171</v>
      </c>
    </row>
    <row r="342">
      <c r="A342" s="105" t="s">
        <v>2047</v>
      </c>
      <c r="B342" s="105" t="s">
        <v>7957</v>
      </c>
      <c r="C342" s="105" t="s">
        <v>894</v>
      </c>
      <c r="D342" s="105" t="s">
        <v>1171</v>
      </c>
    </row>
    <row r="343">
      <c r="A343" s="105" t="s">
        <v>2048</v>
      </c>
      <c r="B343" s="105" t="s">
        <v>7957</v>
      </c>
      <c r="C343" s="105" t="s">
        <v>894</v>
      </c>
      <c r="D343" s="105" t="s">
        <v>1171</v>
      </c>
    </row>
    <row r="344">
      <c r="A344" s="105" t="s">
        <v>2049</v>
      </c>
      <c r="B344" s="105" t="s">
        <v>7957</v>
      </c>
      <c r="C344" s="105" t="s">
        <v>894</v>
      </c>
      <c r="D344" s="105" t="s">
        <v>1171</v>
      </c>
    </row>
    <row r="345">
      <c r="A345" s="105" t="s">
        <v>2050</v>
      </c>
      <c r="B345" s="105" t="s">
        <v>7957</v>
      </c>
      <c r="C345" s="105" t="s">
        <v>894</v>
      </c>
      <c r="D345" s="105" t="s">
        <v>1171</v>
      </c>
    </row>
    <row r="346">
      <c r="A346" s="105" t="s">
        <v>2051</v>
      </c>
      <c r="B346" s="105" t="s">
        <v>7957</v>
      </c>
      <c r="C346" s="105" t="s">
        <v>1525</v>
      </c>
      <c r="D346" s="105" t="s">
        <v>1171</v>
      </c>
    </row>
    <row r="347">
      <c r="A347" s="105" t="s">
        <v>2052</v>
      </c>
      <c r="B347" s="105" t="s">
        <v>7957</v>
      </c>
      <c r="C347" s="105" t="s">
        <v>894</v>
      </c>
      <c r="D347" s="105" t="s">
        <v>1171</v>
      </c>
    </row>
    <row r="348">
      <c r="A348" s="105" t="s">
        <v>2053</v>
      </c>
      <c r="B348" s="105" t="s">
        <v>7957</v>
      </c>
      <c r="C348" s="105" t="s">
        <v>894</v>
      </c>
      <c r="D348" s="105" t="s">
        <v>1171</v>
      </c>
    </row>
    <row r="349">
      <c r="A349" s="106" t="s">
        <v>2054</v>
      </c>
      <c r="B349" s="105" t="s">
        <v>7958</v>
      </c>
      <c r="C349" s="105" t="s">
        <v>894</v>
      </c>
      <c r="D349" s="105" t="s">
        <v>1330</v>
      </c>
    </row>
    <row r="350">
      <c r="A350" s="105" t="s">
        <v>2055</v>
      </c>
      <c r="B350" s="105" t="s">
        <v>7954</v>
      </c>
      <c r="C350" s="105" t="s">
        <v>894</v>
      </c>
      <c r="D350" s="105" t="s">
        <v>1171</v>
      </c>
    </row>
    <row r="351">
      <c r="A351" s="105" t="s">
        <v>2058</v>
      </c>
      <c r="B351" s="105" t="s">
        <v>7954</v>
      </c>
      <c r="C351" s="105" t="s">
        <v>894</v>
      </c>
      <c r="D351" s="105" t="s">
        <v>1171</v>
      </c>
    </row>
    <row r="352">
      <c r="A352" s="105" t="s">
        <v>2061</v>
      </c>
      <c r="B352" s="105" t="s">
        <v>7957</v>
      </c>
      <c r="C352" s="105" t="s">
        <v>894</v>
      </c>
      <c r="D352" s="105" t="s">
        <v>1171</v>
      </c>
    </row>
    <row r="353">
      <c r="A353" s="105" t="s">
        <v>2062</v>
      </c>
      <c r="B353" s="105" t="s">
        <v>7954</v>
      </c>
      <c r="C353" s="105" t="s">
        <v>894</v>
      </c>
      <c r="D353" s="105" t="s">
        <v>1171</v>
      </c>
    </row>
    <row r="354">
      <c r="A354" s="105" t="s">
        <v>2065</v>
      </c>
      <c r="B354" s="105" t="s">
        <v>7954</v>
      </c>
      <c r="C354" s="105" t="s">
        <v>894</v>
      </c>
      <c r="D354" s="105" t="s">
        <v>1171</v>
      </c>
    </row>
    <row r="355">
      <c r="A355" s="105" t="s">
        <v>2068</v>
      </c>
      <c r="B355" s="105" t="s">
        <v>7954</v>
      </c>
      <c r="C355" s="105" t="s">
        <v>894</v>
      </c>
      <c r="D355" s="105" t="s">
        <v>1171</v>
      </c>
    </row>
    <row r="356">
      <c r="A356" s="105" t="s">
        <v>2071</v>
      </c>
      <c r="B356" s="105" t="s">
        <v>7954</v>
      </c>
      <c r="C356" s="105" t="s">
        <v>894</v>
      </c>
      <c r="D356" s="105" t="s">
        <v>1171</v>
      </c>
    </row>
    <row r="357">
      <c r="A357" s="105" t="s">
        <v>2074</v>
      </c>
      <c r="B357" s="105" t="s">
        <v>7954</v>
      </c>
      <c r="C357" s="105" t="s">
        <v>894</v>
      </c>
      <c r="D357" s="105" t="s">
        <v>1171</v>
      </c>
    </row>
    <row r="358">
      <c r="A358" s="105" t="s">
        <v>2077</v>
      </c>
      <c r="B358" s="105" t="s">
        <v>7954</v>
      </c>
      <c r="C358" s="105" t="s">
        <v>894</v>
      </c>
      <c r="D358" s="105" t="s">
        <v>1171</v>
      </c>
    </row>
    <row r="359">
      <c r="A359" s="105" t="s">
        <v>891</v>
      </c>
      <c r="B359" s="105" t="s">
        <v>7954</v>
      </c>
      <c r="C359" s="105" t="s">
        <v>894</v>
      </c>
      <c r="D359" s="105" t="s">
        <v>1171</v>
      </c>
    </row>
    <row r="360">
      <c r="A360" s="105" t="s">
        <v>2080</v>
      </c>
      <c r="B360" s="105" t="s">
        <v>7954</v>
      </c>
      <c r="C360" s="105" t="s">
        <v>894</v>
      </c>
      <c r="D360" s="105" t="s">
        <v>1171</v>
      </c>
    </row>
    <row r="361">
      <c r="A361" s="105" t="s">
        <v>2083</v>
      </c>
      <c r="B361" s="105" t="s">
        <v>7957</v>
      </c>
      <c r="C361" s="105" t="s">
        <v>894</v>
      </c>
      <c r="D361" s="105" t="s">
        <v>1171</v>
      </c>
    </row>
    <row r="362">
      <c r="A362" s="105" t="s">
        <v>2084</v>
      </c>
      <c r="B362" s="105" t="s">
        <v>7957</v>
      </c>
      <c r="C362" s="105" t="s">
        <v>894</v>
      </c>
      <c r="D362" s="105" t="s">
        <v>1171</v>
      </c>
    </row>
    <row r="363">
      <c r="A363" s="106" t="s">
        <v>2085</v>
      </c>
      <c r="B363" s="105" t="s">
        <v>7954</v>
      </c>
      <c r="C363" s="105" t="s">
        <v>1879</v>
      </c>
      <c r="D363" s="105" t="s">
        <v>1171</v>
      </c>
    </row>
    <row r="364">
      <c r="A364" s="106" t="s">
        <v>2087</v>
      </c>
      <c r="B364" s="105" t="s">
        <v>7954</v>
      </c>
      <c r="C364" s="105" t="s">
        <v>1879</v>
      </c>
      <c r="D364" s="105" t="s">
        <v>1171</v>
      </c>
    </row>
    <row r="365">
      <c r="A365" s="105" t="s">
        <v>2089</v>
      </c>
      <c r="B365" s="105" t="s">
        <v>7955</v>
      </c>
      <c r="C365" s="105" t="s">
        <v>2092</v>
      </c>
      <c r="D365" s="105" t="s">
        <v>1171</v>
      </c>
    </row>
    <row r="366">
      <c r="A366" s="105" t="s">
        <v>2093</v>
      </c>
      <c r="B366" s="105" t="s">
        <v>7955</v>
      </c>
      <c r="C366" s="105" t="s">
        <v>2092</v>
      </c>
      <c r="D366" s="105" t="s">
        <v>1171</v>
      </c>
    </row>
    <row r="367">
      <c r="A367" s="105" t="s">
        <v>2096</v>
      </c>
      <c r="B367" s="105" t="s">
        <v>7955</v>
      </c>
      <c r="C367" s="105" t="s">
        <v>2092</v>
      </c>
      <c r="D367" s="105" t="s">
        <v>1171</v>
      </c>
    </row>
    <row r="368">
      <c r="A368" s="105" t="s">
        <v>2099</v>
      </c>
      <c r="B368" s="105" t="s">
        <v>7955</v>
      </c>
      <c r="C368" s="105" t="s">
        <v>2092</v>
      </c>
      <c r="D368" s="105" t="s">
        <v>1171</v>
      </c>
    </row>
    <row r="369">
      <c r="A369" s="106" t="s">
        <v>2102</v>
      </c>
      <c r="B369" s="105" t="s">
        <v>7958</v>
      </c>
      <c r="C369" s="105" t="s">
        <v>2092</v>
      </c>
      <c r="D369" s="105" t="s">
        <v>1330</v>
      </c>
    </row>
    <row r="370">
      <c r="A370" s="105" t="s">
        <v>2103</v>
      </c>
      <c r="B370" s="107" t="s">
        <v>7961</v>
      </c>
      <c r="C370" s="105" t="s">
        <v>2092</v>
      </c>
      <c r="D370" s="105" t="s">
        <v>1171</v>
      </c>
    </row>
    <row r="371">
      <c r="A371" s="105" t="s">
        <v>2106</v>
      </c>
      <c r="B371" s="105" t="s">
        <v>7955</v>
      </c>
      <c r="C371" s="105" t="s">
        <v>2092</v>
      </c>
      <c r="D371" s="105" t="s">
        <v>1171</v>
      </c>
    </row>
    <row r="372">
      <c r="A372" s="105" t="s">
        <v>2109</v>
      </c>
      <c r="B372" s="105" t="s">
        <v>7955</v>
      </c>
      <c r="C372" s="105" t="s">
        <v>2092</v>
      </c>
      <c r="D372" s="105" t="s">
        <v>1171</v>
      </c>
    </row>
    <row r="373">
      <c r="A373" s="105" t="s">
        <v>2112</v>
      </c>
      <c r="B373" s="105" t="s">
        <v>7955</v>
      </c>
      <c r="C373" s="105" t="s">
        <v>2092</v>
      </c>
      <c r="D373" s="105" t="s">
        <v>1171</v>
      </c>
    </row>
    <row r="374">
      <c r="A374" s="105" t="s">
        <v>2115</v>
      </c>
      <c r="B374" s="105" t="s">
        <v>7955</v>
      </c>
      <c r="C374" s="105" t="s">
        <v>2092</v>
      </c>
      <c r="D374" s="105" t="s">
        <v>1171</v>
      </c>
    </row>
    <row r="375">
      <c r="A375" s="105" t="s">
        <v>2118</v>
      </c>
      <c r="B375" s="105" t="s">
        <v>7954</v>
      </c>
      <c r="C375" s="105" t="s">
        <v>2092</v>
      </c>
      <c r="D375" s="105" t="s">
        <v>1171</v>
      </c>
    </row>
    <row r="376">
      <c r="A376" s="105" t="s">
        <v>2121</v>
      </c>
      <c r="B376" s="105" t="s">
        <v>7954</v>
      </c>
      <c r="C376" s="105" t="s">
        <v>2092</v>
      </c>
      <c r="D376" s="105" t="s">
        <v>1171</v>
      </c>
    </row>
    <row r="377">
      <c r="A377" s="105" t="s">
        <v>2124</v>
      </c>
      <c r="B377" s="105" t="s">
        <v>7954</v>
      </c>
      <c r="C377" s="105" t="s">
        <v>2092</v>
      </c>
      <c r="D377" s="105" t="s">
        <v>1171</v>
      </c>
    </row>
    <row r="378">
      <c r="A378" s="105" t="s">
        <v>2127</v>
      </c>
      <c r="B378" s="105" t="s">
        <v>7954</v>
      </c>
      <c r="C378" s="105" t="s">
        <v>2092</v>
      </c>
      <c r="D378" s="105" t="s">
        <v>1171</v>
      </c>
    </row>
    <row r="379">
      <c r="A379" s="105" t="s">
        <v>2130</v>
      </c>
      <c r="B379" s="105" t="s">
        <v>7954</v>
      </c>
      <c r="C379" s="105" t="s">
        <v>2092</v>
      </c>
      <c r="D379" s="105" t="s">
        <v>1171</v>
      </c>
    </row>
    <row r="380">
      <c r="A380" s="105" t="s">
        <v>2133</v>
      </c>
      <c r="B380" s="105" t="s">
        <v>7954</v>
      </c>
      <c r="C380" s="105" t="s">
        <v>2092</v>
      </c>
      <c r="D380" s="105" t="s">
        <v>1171</v>
      </c>
    </row>
    <row r="381">
      <c r="A381" s="105" t="s">
        <v>2136</v>
      </c>
      <c r="B381" s="105" t="s">
        <v>7956</v>
      </c>
      <c r="C381" s="105" t="s">
        <v>2092</v>
      </c>
      <c r="D381" s="105" t="s">
        <v>1171</v>
      </c>
    </row>
    <row r="382">
      <c r="A382" s="105" t="s">
        <v>2139</v>
      </c>
      <c r="B382" s="105" t="s">
        <v>7956</v>
      </c>
      <c r="C382" s="105" t="s">
        <v>2092</v>
      </c>
      <c r="D382" s="105" t="s">
        <v>1171</v>
      </c>
    </row>
    <row r="383">
      <c r="A383" s="105" t="s">
        <v>2142</v>
      </c>
      <c r="B383" s="105" t="s">
        <v>7956</v>
      </c>
      <c r="C383" s="105" t="s">
        <v>2092</v>
      </c>
      <c r="D383" s="105" t="s">
        <v>1171</v>
      </c>
    </row>
    <row r="384">
      <c r="A384" s="105" t="s">
        <v>2145</v>
      </c>
      <c r="B384" s="105" t="s">
        <v>7956</v>
      </c>
      <c r="C384" s="105" t="s">
        <v>2092</v>
      </c>
      <c r="D384" s="105" t="s">
        <v>1171</v>
      </c>
    </row>
    <row r="385">
      <c r="A385" s="105" t="s">
        <v>2148</v>
      </c>
      <c r="B385" s="105" t="s">
        <v>7956</v>
      </c>
      <c r="C385" s="105" t="s">
        <v>2092</v>
      </c>
      <c r="D385" s="105" t="s">
        <v>1171</v>
      </c>
    </row>
    <row r="386">
      <c r="A386" s="105" t="s">
        <v>2151</v>
      </c>
      <c r="B386" s="105" t="s">
        <v>7956</v>
      </c>
      <c r="C386" s="105" t="s">
        <v>2092</v>
      </c>
      <c r="D386" s="105" t="s">
        <v>1171</v>
      </c>
    </row>
    <row r="387">
      <c r="A387" s="105" t="s">
        <v>2154</v>
      </c>
      <c r="B387" s="105" t="s">
        <v>7956</v>
      </c>
      <c r="C387" s="105" t="s">
        <v>2092</v>
      </c>
      <c r="D387" s="105" t="s">
        <v>1171</v>
      </c>
    </row>
    <row r="388">
      <c r="A388" s="105" t="s">
        <v>2157</v>
      </c>
      <c r="B388" s="105" t="s">
        <v>7956</v>
      </c>
      <c r="C388" s="105" t="s">
        <v>2092</v>
      </c>
      <c r="D388" s="105" t="s">
        <v>1171</v>
      </c>
    </row>
    <row r="389">
      <c r="A389" s="105" t="s">
        <v>2159</v>
      </c>
      <c r="B389" s="105" t="s">
        <v>7957</v>
      </c>
      <c r="C389" s="105" t="s">
        <v>2092</v>
      </c>
      <c r="D389" s="105" t="s">
        <v>1171</v>
      </c>
    </row>
    <row r="390">
      <c r="A390" s="105" t="s">
        <v>2160</v>
      </c>
      <c r="B390" s="105" t="s">
        <v>7957</v>
      </c>
      <c r="C390" s="105" t="s">
        <v>2092</v>
      </c>
      <c r="D390" s="105" t="s">
        <v>1171</v>
      </c>
    </row>
    <row r="391">
      <c r="A391" s="105" t="s">
        <v>2161</v>
      </c>
      <c r="B391" s="105" t="s">
        <v>7957</v>
      </c>
      <c r="C391" s="105" t="s">
        <v>2092</v>
      </c>
      <c r="D391" s="105" t="s">
        <v>1171</v>
      </c>
    </row>
    <row r="392">
      <c r="A392" s="105" t="s">
        <v>2162</v>
      </c>
      <c r="B392" s="105" t="s">
        <v>7957</v>
      </c>
      <c r="C392" s="105" t="s">
        <v>2092</v>
      </c>
      <c r="D392" s="105" t="s">
        <v>1171</v>
      </c>
    </row>
    <row r="393">
      <c r="A393" s="105" t="s">
        <v>2163</v>
      </c>
      <c r="B393" s="107" t="s">
        <v>7960</v>
      </c>
      <c r="C393" s="105" t="s">
        <v>2092</v>
      </c>
      <c r="D393" s="105" t="s">
        <v>1171</v>
      </c>
    </row>
    <row r="394">
      <c r="A394" s="105" t="s">
        <v>2164</v>
      </c>
      <c r="B394" s="105" t="s">
        <v>7954</v>
      </c>
      <c r="C394" s="105" t="s">
        <v>2092</v>
      </c>
      <c r="D394" s="105" t="s">
        <v>1171</v>
      </c>
    </row>
    <row r="395">
      <c r="A395" s="105" t="s">
        <v>2167</v>
      </c>
      <c r="B395" s="105" t="s">
        <v>7954</v>
      </c>
      <c r="C395" s="105" t="s">
        <v>2092</v>
      </c>
      <c r="D395" s="105" t="s">
        <v>1171</v>
      </c>
    </row>
    <row r="396">
      <c r="A396" s="105" t="s">
        <v>2170</v>
      </c>
      <c r="B396" s="105" t="s">
        <v>7954</v>
      </c>
      <c r="C396" s="105" t="s">
        <v>2092</v>
      </c>
      <c r="D396" s="105" t="s">
        <v>1171</v>
      </c>
    </row>
    <row r="397">
      <c r="A397" s="105" t="s">
        <v>2173</v>
      </c>
      <c r="B397" s="105" t="s">
        <v>7956</v>
      </c>
      <c r="C397" s="105" t="s">
        <v>2092</v>
      </c>
      <c r="D397" s="105" t="s">
        <v>1171</v>
      </c>
    </row>
    <row r="398">
      <c r="A398" s="105" t="s">
        <v>2176</v>
      </c>
      <c r="B398" s="105" t="s">
        <v>7956</v>
      </c>
      <c r="C398" s="105" t="s">
        <v>2092</v>
      </c>
      <c r="D398" s="105" t="s">
        <v>1171</v>
      </c>
    </row>
    <row r="399">
      <c r="A399" s="105" t="s">
        <v>2177</v>
      </c>
      <c r="B399" s="105" t="s">
        <v>7956</v>
      </c>
      <c r="C399" s="105" t="s">
        <v>2092</v>
      </c>
      <c r="D399" s="105" t="s">
        <v>1171</v>
      </c>
    </row>
    <row r="400">
      <c r="A400" s="105" t="s">
        <v>2180</v>
      </c>
      <c r="B400" s="105" t="s">
        <v>7956</v>
      </c>
      <c r="C400" s="105" t="s">
        <v>2092</v>
      </c>
      <c r="D400" s="105" t="s">
        <v>1171</v>
      </c>
    </row>
    <row r="401">
      <c r="A401" s="105" t="s">
        <v>2183</v>
      </c>
      <c r="B401" s="105" t="s">
        <v>7957</v>
      </c>
      <c r="C401" s="105" t="s">
        <v>2092</v>
      </c>
      <c r="D401" s="105" t="s">
        <v>1171</v>
      </c>
    </row>
    <row r="402">
      <c r="A402" s="105" t="s">
        <v>2184</v>
      </c>
      <c r="B402" s="105" t="s">
        <v>7957</v>
      </c>
      <c r="C402" s="105" t="s">
        <v>2092</v>
      </c>
      <c r="D402" s="105" t="s">
        <v>1171</v>
      </c>
    </row>
    <row r="403">
      <c r="A403" s="105" t="s">
        <v>2185</v>
      </c>
      <c r="B403" s="105" t="s">
        <v>7956</v>
      </c>
      <c r="C403" s="105" t="s">
        <v>2092</v>
      </c>
      <c r="D403" s="105" t="s">
        <v>1171</v>
      </c>
    </row>
    <row r="404">
      <c r="A404" s="106" t="s">
        <v>2188</v>
      </c>
      <c r="B404" s="105" t="s">
        <v>7958</v>
      </c>
      <c r="C404" s="105"/>
      <c r="D404" s="105" t="s">
        <v>1330</v>
      </c>
    </row>
    <row r="405">
      <c r="A405" s="105" t="s">
        <v>2189</v>
      </c>
      <c r="B405" s="105" t="s">
        <v>7954</v>
      </c>
      <c r="C405" s="105" t="s">
        <v>2092</v>
      </c>
      <c r="D405" s="105" t="s">
        <v>1171</v>
      </c>
    </row>
    <row r="406">
      <c r="A406" s="105" t="s">
        <v>2192</v>
      </c>
      <c r="B406" s="105" t="s">
        <v>7956</v>
      </c>
      <c r="C406" s="105"/>
      <c r="D406" s="105" t="s">
        <v>1171</v>
      </c>
    </row>
    <row r="407">
      <c r="A407" s="105" t="s">
        <v>2195</v>
      </c>
      <c r="B407" s="105" t="s">
        <v>7956</v>
      </c>
      <c r="C407" s="105" t="s">
        <v>2092</v>
      </c>
      <c r="D407" s="105" t="s">
        <v>1171</v>
      </c>
    </row>
    <row r="408">
      <c r="A408" s="105" t="s">
        <v>2198</v>
      </c>
      <c r="B408" s="105" t="s">
        <v>7956</v>
      </c>
      <c r="C408" s="105" t="s">
        <v>2092</v>
      </c>
      <c r="D408" s="105" t="s">
        <v>1171</v>
      </c>
    </row>
    <row r="409">
      <c r="A409" s="105" t="s">
        <v>2201</v>
      </c>
      <c r="B409" s="105" t="s">
        <v>7954</v>
      </c>
      <c r="C409" s="105" t="s">
        <v>2092</v>
      </c>
      <c r="D409" s="105" t="s">
        <v>1171</v>
      </c>
    </row>
    <row r="410">
      <c r="A410" s="105" t="s">
        <v>2204</v>
      </c>
      <c r="B410" s="105" t="s">
        <v>7956</v>
      </c>
      <c r="C410" s="105" t="s">
        <v>2092</v>
      </c>
      <c r="D410" s="105" t="s">
        <v>1171</v>
      </c>
    </row>
    <row r="411">
      <c r="A411" s="105" t="s">
        <v>2206</v>
      </c>
      <c r="B411" s="105" t="s">
        <v>7956</v>
      </c>
      <c r="C411" s="105" t="s">
        <v>2092</v>
      </c>
      <c r="D411" s="105" t="s">
        <v>1171</v>
      </c>
    </row>
    <row r="412">
      <c r="A412" s="105" t="s">
        <v>2209</v>
      </c>
      <c r="B412" s="105" t="s">
        <v>7957</v>
      </c>
      <c r="C412" s="105" t="s">
        <v>2092</v>
      </c>
      <c r="D412" s="105" t="s">
        <v>1171</v>
      </c>
    </row>
    <row r="413">
      <c r="A413" s="105" t="s">
        <v>2210</v>
      </c>
      <c r="B413" s="105" t="s">
        <v>7956</v>
      </c>
      <c r="C413" s="105" t="s">
        <v>2092</v>
      </c>
      <c r="D413" s="105" t="s">
        <v>1171</v>
      </c>
    </row>
    <row r="414">
      <c r="A414" s="106" t="s">
        <v>2213</v>
      </c>
      <c r="B414" s="105" t="s">
        <v>7957</v>
      </c>
      <c r="C414" s="105" t="s">
        <v>894</v>
      </c>
      <c r="D414" s="105" t="s">
        <v>1171</v>
      </c>
    </row>
    <row r="415">
      <c r="A415" s="105" t="s">
        <v>2214</v>
      </c>
      <c r="B415" s="105" t="s">
        <v>7954</v>
      </c>
      <c r="C415" s="105" t="s">
        <v>894</v>
      </c>
      <c r="D415" s="105" t="s">
        <v>1171</v>
      </c>
    </row>
    <row r="416">
      <c r="A416" s="105" t="s">
        <v>2216</v>
      </c>
      <c r="B416" s="105" t="s">
        <v>7956</v>
      </c>
      <c r="C416" s="105" t="s">
        <v>894</v>
      </c>
      <c r="D416" s="105" t="s">
        <v>1171</v>
      </c>
    </row>
    <row r="417">
      <c r="A417" s="105" t="s">
        <v>2219</v>
      </c>
      <c r="B417" s="105" t="s">
        <v>7956</v>
      </c>
      <c r="C417" s="105" t="s">
        <v>894</v>
      </c>
      <c r="D417" s="105" t="s">
        <v>1171</v>
      </c>
    </row>
  </sheetData>
  <autoFilter ref="A1:D417"/>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 id="{547673D7-3095-4213-8816-85D2D930CEB0}">
            <x14:dxf>
              <font>
                <color rgb="FF9C0006"/>
              </font>
              <fill>
                <patternFill patternType="solid">
                  <fgColor rgb="FFFFC7CE"/>
                  <bgColor rgb="FFFFC7CE"/>
                </patternFill>
              </fill>
            </x14:dxf>
          </x14:cfRule>
          <xm:sqref>A412:A414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zoomScale="100" workbookViewId="0">
      <pane xSplit="11" ySplit="1" topLeftCell="L2" activePane="bottomRight" state="frozen"/>
      <selection activeCell="S167" activeCellId="0" sqref="S167"/>
    </sheetView>
  </sheetViews>
  <sheetFormatPr defaultRowHeight="14.25"/>
  <cols>
    <col bestFit="1" customWidth="1" min="1" max="1" width="5.21875"/>
    <col customWidth="1" hidden="1" min="2" max="2" width="7.21875"/>
    <col bestFit="1" customWidth="1" min="3" max="3" width="14.6640625"/>
    <col customWidth="1" min="4" max="4" width="8.33203125"/>
    <col customWidth="1" hidden="1" min="5" max="6" width="7.77734375"/>
    <col bestFit="1" customWidth="1" min="7" max="7" width="5.33203125"/>
    <col bestFit="1" customWidth="1" min="8" max="8" width="14"/>
    <col bestFit="1" customWidth="1" min="9" max="9" width="18.21875"/>
    <col bestFit="1" customWidth="1" min="10" max="10" width="11.57421875"/>
    <col customWidth="1" min="11" max="11" width="14.33203125"/>
    <col customWidth="1" min="12" max="13" width="11.5546875"/>
    <col bestFit="1" customWidth="1" min="24" max="24" width="13.33203125"/>
  </cols>
  <sheetData>
    <row r="1" ht="27">
      <c r="A1" s="112" t="s">
        <v>7964</v>
      </c>
      <c r="B1" s="108" t="s">
        <v>7965</v>
      </c>
      <c r="C1" s="108" t="s">
        <v>2</v>
      </c>
      <c r="D1" s="108" t="s">
        <v>4</v>
      </c>
      <c r="E1" s="108" t="s">
        <v>6</v>
      </c>
      <c r="F1" s="108" t="s">
        <v>7</v>
      </c>
      <c r="G1" s="112" t="s">
        <v>7966</v>
      </c>
      <c r="H1" s="112" t="s">
        <v>7967</v>
      </c>
      <c r="I1" s="108" t="s">
        <v>7968</v>
      </c>
      <c r="J1" s="108" t="s">
        <v>7969</v>
      </c>
      <c r="K1" s="108" t="s">
        <v>7970</v>
      </c>
      <c r="L1" s="108" t="s">
        <v>7971</v>
      </c>
      <c r="M1" s="108" t="s">
        <v>7972</v>
      </c>
      <c r="N1" s="113" t="s">
        <v>7973</v>
      </c>
      <c r="O1" s="113" t="s">
        <v>26</v>
      </c>
      <c r="P1" s="114" t="s">
        <v>7974</v>
      </c>
      <c r="Q1" s="115" t="s">
        <v>16</v>
      </c>
      <c r="R1" s="115" t="s">
        <v>23</v>
      </c>
      <c r="S1" s="115" t="s">
        <v>26</v>
      </c>
      <c r="T1" s="116" t="s">
        <v>18</v>
      </c>
      <c r="U1" s="116" t="s">
        <v>7975</v>
      </c>
      <c r="V1" s="117" t="s">
        <v>7976</v>
      </c>
      <c r="W1" s="117" t="s">
        <v>7977</v>
      </c>
      <c r="X1" s="117" t="s">
        <v>7978</v>
      </c>
      <c r="Y1" s="118" t="s">
        <v>19</v>
      </c>
      <c r="Z1" s="118" t="s">
        <v>39</v>
      </c>
      <c r="AA1" s="118" t="s">
        <v>7979</v>
      </c>
      <c r="AB1" s="118" t="s">
        <v>7980</v>
      </c>
      <c r="AC1" s="118" t="s">
        <v>26</v>
      </c>
      <c r="AD1" s="10" t="s">
        <v>7981</v>
      </c>
      <c r="AE1" s="119" t="s">
        <v>7982</v>
      </c>
      <c r="AF1" s="120" t="s">
        <v>7983</v>
      </c>
      <c r="AG1" s="121" t="s">
        <v>26</v>
      </c>
      <c r="AH1" s="121" t="s">
        <v>7984</v>
      </c>
      <c r="AI1" s="42" t="s">
        <v>7985</v>
      </c>
    </row>
    <row r="2" hidden="1">
      <c r="A2" s="34">
        <v>1</v>
      </c>
      <c r="B2" s="35" t="s">
        <v>52</v>
      </c>
      <c r="C2" s="34" t="s">
        <v>2222</v>
      </c>
      <c r="D2" s="34" t="s">
        <v>7986</v>
      </c>
      <c r="E2" s="34">
        <v>22.06887</v>
      </c>
      <c r="F2" s="34">
        <v>87.338840000000005</v>
      </c>
      <c r="G2" s="34" t="s">
        <v>7959</v>
      </c>
      <c r="H2" s="34" t="s">
        <v>7987</v>
      </c>
      <c r="I2" s="35" t="s">
        <v>2223</v>
      </c>
      <c r="J2" s="35">
        <v>9734686679</v>
      </c>
      <c r="K2" s="35" t="s">
        <v>2223</v>
      </c>
      <c r="L2" s="35">
        <v>9734686679</v>
      </c>
      <c r="M2" s="35"/>
      <c r="N2" s="17"/>
      <c r="O2" s="17"/>
      <c r="P2" s="17"/>
      <c r="Q2" s="17"/>
      <c r="R2" s="17"/>
      <c r="S2" s="17"/>
      <c r="T2" s="17"/>
      <c r="U2" s="17"/>
      <c r="V2" s="17"/>
      <c r="W2" s="17"/>
      <c r="X2" s="17"/>
      <c r="Y2" s="17"/>
      <c r="Z2" s="17"/>
      <c r="AA2" s="17"/>
      <c r="AB2" s="17"/>
      <c r="AC2" s="17"/>
      <c r="AD2" s="17"/>
      <c r="AE2" s="17"/>
      <c r="AF2" s="17"/>
      <c r="AG2" s="17"/>
      <c r="AH2" s="17"/>
      <c r="AI2" s="17"/>
    </row>
    <row r="3" hidden="1">
      <c r="A3" s="34">
        <f t="shared" ref="A3:A66" si="3">A2+1</f>
        <v>2</v>
      </c>
      <c r="B3" s="35" t="s">
        <v>52</v>
      </c>
      <c r="C3" s="34" t="s">
        <v>2224</v>
      </c>
      <c r="D3" s="34" t="s">
        <v>7988</v>
      </c>
      <c r="E3" s="34">
        <v>22.072423000000001</v>
      </c>
      <c r="F3" s="34">
        <v>87.341914000000003</v>
      </c>
      <c r="G3" s="34" t="s">
        <v>7955</v>
      </c>
      <c r="H3" s="34" t="s">
        <v>7987</v>
      </c>
      <c r="I3" s="35" t="s">
        <v>2223</v>
      </c>
      <c r="J3" s="35">
        <v>9734686680</v>
      </c>
      <c r="K3" s="35" t="s">
        <v>2223</v>
      </c>
      <c r="L3" s="35">
        <v>9734686680</v>
      </c>
      <c r="M3" s="35"/>
      <c r="N3" s="17"/>
      <c r="O3" s="17"/>
      <c r="P3" s="17"/>
      <c r="Q3" s="17"/>
      <c r="R3" s="17"/>
      <c r="S3" s="17"/>
      <c r="T3" s="17"/>
      <c r="U3" s="17"/>
      <c r="V3" s="17"/>
      <c r="W3" s="17"/>
      <c r="X3" s="17"/>
      <c r="Y3" s="17"/>
      <c r="Z3" s="17"/>
      <c r="AA3" s="17"/>
      <c r="AB3" s="17"/>
      <c r="AC3" s="17"/>
      <c r="AD3" s="17"/>
      <c r="AE3" s="17"/>
      <c r="AF3" s="17"/>
      <c r="AG3" s="17"/>
      <c r="AH3" s="17"/>
      <c r="AI3" s="17"/>
    </row>
    <row r="4" hidden="1">
      <c r="A4" s="34">
        <f t="shared" si="3"/>
        <v>3</v>
      </c>
      <c r="B4" s="35" t="s">
        <v>52</v>
      </c>
      <c r="C4" s="34" t="s">
        <v>2232</v>
      </c>
      <c r="D4" s="34" t="s">
        <v>1286</v>
      </c>
      <c r="E4" s="34">
        <v>22.079694</v>
      </c>
      <c r="F4" s="34">
        <v>87.336484999999996</v>
      </c>
      <c r="G4" s="34" t="s">
        <v>7956</v>
      </c>
      <c r="H4" s="34" t="s">
        <v>7987</v>
      </c>
      <c r="I4" s="35" t="s">
        <v>2223</v>
      </c>
      <c r="J4" s="35">
        <v>9734686681</v>
      </c>
      <c r="K4" s="35" t="s">
        <v>2223</v>
      </c>
      <c r="L4" s="35">
        <v>9734686681</v>
      </c>
      <c r="M4" s="35"/>
      <c r="N4" s="17"/>
      <c r="O4" s="17"/>
      <c r="P4" s="17"/>
      <c r="Q4" s="17"/>
      <c r="R4" s="17"/>
      <c r="S4" s="17"/>
      <c r="T4" s="17"/>
      <c r="U4" s="17"/>
      <c r="V4" s="17"/>
      <c r="W4" s="17"/>
      <c r="X4" s="17"/>
      <c r="Y4" s="17"/>
      <c r="Z4" s="17"/>
      <c r="AA4" s="17"/>
      <c r="AB4" s="17"/>
      <c r="AC4" s="17"/>
      <c r="AD4" s="17"/>
      <c r="AE4" s="17"/>
      <c r="AF4" s="17"/>
      <c r="AG4" s="17"/>
      <c r="AH4" s="17"/>
      <c r="AI4" s="17"/>
    </row>
    <row r="5" hidden="1">
      <c r="A5" s="34">
        <f t="shared" si="3"/>
        <v>4</v>
      </c>
      <c r="B5" s="35" t="s">
        <v>52</v>
      </c>
      <c r="C5" s="34" t="s">
        <v>2235</v>
      </c>
      <c r="D5" s="34" t="s">
        <v>7989</v>
      </c>
      <c r="E5" s="34">
        <v>22.345206000000001</v>
      </c>
      <c r="F5" s="34">
        <v>87.557126999999994</v>
      </c>
      <c r="G5" s="34" t="s">
        <v>7954</v>
      </c>
      <c r="H5" s="34" t="s">
        <v>7987</v>
      </c>
      <c r="I5" s="35" t="s">
        <v>1579</v>
      </c>
      <c r="J5" s="35">
        <v>7003188299</v>
      </c>
      <c r="K5" s="34" t="s">
        <v>1579</v>
      </c>
      <c r="L5" s="34">
        <v>7003188299</v>
      </c>
      <c r="M5" s="34"/>
      <c r="N5" s="17"/>
      <c r="O5" s="17"/>
      <c r="P5" s="17"/>
      <c r="Q5" s="17"/>
      <c r="R5" s="17"/>
      <c r="S5" s="17"/>
      <c r="T5" s="17"/>
      <c r="U5" s="17"/>
      <c r="V5" s="17"/>
      <c r="W5" s="17"/>
      <c r="X5" s="17"/>
      <c r="Y5" s="17"/>
      <c r="Z5" s="17"/>
      <c r="AA5" s="17"/>
      <c r="AB5" s="17"/>
      <c r="AC5" s="17"/>
      <c r="AD5" s="17"/>
      <c r="AE5" s="17"/>
      <c r="AF5" s="17"/>
      <c r="AG5" s="17"/>
      <c r="AH5" s="17"/>
      <c r="AI5" s="17"/>
    </row>
    <row r="6" hidden="1">
      <c r="A6" s="34">
        <f t="shared" si="3"/>
        <v>5</v>
      </c>
      <c r="B6" s="35" t="s">
        <v>52</v>
      </c>
      <c r="C6" s="34" t="s">
        <v>2239</v>
      </c>
      <c r="D6" s="34" t="s">
        <v>7990</v>
      </c>
      <c r="E6" s="34">
        <v>21.939888</v>
      </c>
      <c r="F6" s="34">
        <v>87.289608999999999</v>
      </c>
      <c r="G6" s="34" t="s">
        <v>7954</v>
      </c>
      <c r="H6" s="34" t="s">
        <v>7987</v>
      </c>
      <c r="I6" s="35" t="s">
        <v>2242</v>
      </c>
      <c r="J6" s="35">
        <v>7797496299</v>
      </c>
      <c r="K6" s="34" t="s">
        <v>2242</v>
      </c>
      <c r="L6" s="34">
        <v>7797496299</v>
      </c>
      <c r="M6" s="34"/>
      <c r="N6" s="17"/>
      <c r="O6" s="17"/>
      <c r="P6" s="17"/>
      <c r="Q6" s="17"/>
      <c r="R6" s="17"/>
      <c r="S6" s="17"/>
      <c r="T6" s="17"/>
      <c r="U6" s="17"/>
      <c r="V6" s="17" t="s">
        <v>7991</v>
      </c>
      <c r="W6" s="17" t="s">
        <v>7992</v>
      </c>
      <c r="X6" s="17">
        <v>3</v>
      </c>
      <c r="Y6" s="17"/>
      <c r="Z6" s="17"/>
      <c r="AA6" s="17"/>
      <c r="AB6" s="17"/>
      <c r="AC6" s="17"/>
      <c r="AD6" s="17"/>
      <c r="AE6" s="17"/>
      <c r="AF6" s="17"/>
      <c r="AG6" s="17"/>
      <c r="AH6" s="17"/>
      <c r="AI6" s="17"/>
    </row>
    <row r="7" hidden="1">
      <c r="A7" s="34">
        <f t="shared" si="3"/>
        <v>6</v>
      </c>
      <c r="B7" s="35" t="s">
        <v>52</v>
      </c>
      <c r="C7" s="34" t="s">
        <v>2245</v>
      </c>
      <c r="D7" s="34" t="s">
        <v>7993</v>
      </c>
      <c r="E7" s="34">
        <v>22.125473</v>
      </c>
      <c r="F7" s="34">
        <v>87.532548000000006</v>
      </c>
      <c r="G7" s="34" t="s">
        <v>7954</v>
      </c>
      <c r="H7" s="34" t="s">
        <v>7987</v>
      </c>
      <c r="I7" s="35" t="s">
        <v>2248</v>
      </c>
      <c r="J7" s="35">
        <v>9635120146</v>
      </c>
      <c r="K7" s="35" t="s">
        <v>2248</v>
      </c>
      <c r="L7" s="35">
        <v>8100154683</v>
      </c>
      <c r="M7" s="35"/>
      <c r="N7" s="17"/>
      <c r="O7" s="17"/>
      <c r="P7" s="17"/>
      <c r="Q7" s="17"/>
      <c r="R7" s="17"/>
      <c r="S7" s="17"/>
      <c r="T7" s="17"/>
      <c r="U7" s="17"/>
      <c r="V7" s="17"/>
      <c r="W7" s="17"/>
      <c r="X7" s="17"/>
      <c r="Y7" s="17"/>
      <c r="Z7" s="17"/>
      <c r="AA7" s="17"/>
      <c r="AB7" s="17"/>
      <c r="AC7" s="17"/>
      <c r="AD7" s="17"/>
      <c r="AE7" s="17"/>
      <c r="AF7" s="17"/>
      <c r="AG7" s="17"/>
      <c r="AH7" s="17"/>
      <c r="AI7" s="17"/>
    </row>
    <row r="8" hidden="1">
      <c r="A8" s="34">
        <f t="shared" si="3"/>
        <v>7</v>
      </c>
      <c r="B8" s="35" t="s">
        <v>52</v>
      </c>
      <c r="C8" s="34" t="s">
        <v>2251</v>
      </c>
      <c r="D8" s="34" t="s">
        <v>7994</v>
      </c>
      <c r="E8" s="34">
        <v>22.392189999999999</v>
      </c>
      <c r="F8" s="34">
        <v>87.561130000000006</v>
      </c>
      <c r="G8" s="34" t="s">
        <v>7959</v>
      </c>
      <c r="H8" s="34" t="s">
        <v>7987</v>
      </c>
      <c r="I8" s="35" t="s">
        <v>1579</v>
      </c>
      <c r="J8" s="35">
        <v>7003188299</v>
      </c>
      <c r="K8" s="35" t="s">
        <v>1579</v>
      </c>
      <c r="L8" s="35">
        <v>7003188299</v>
      </c>
      <c r="M8" s="35">
        <v>155</v>
      </c>
      <c r="N8" s="17"/>
      <c r="O8" s="17"/>
      <c r="P8" s="17"/>
      <c r="Q8" s="17"/>
      <c r="R8" s="17"/>
      <c r="S8" s="17"/>
      <c r="T8" s="17" t="s">
        <v>7995</v>
      </c>
      <c r="U8" s="17">
        <v>2</v>
      </c>
      <c r="V8" s="17"/>
      <c r="W8" s="17" t="s">
        <v>7996</v>
      </c>
      <c r="X8" s="17">
        <v>5</v>
      </c>
      <c r="Y8" s="17"/>
      <c r="Z8" s="17"/>
      <c r="AA8" s="17"/>
      <c r="AB8" s="17"/>
      <c r="AC8" s="17"/>
      <c r="AD8" s="17"/>
      <c r="AE8" s="17"/>
      <c r="AF8" s="17"/>
      <c r="AG8" s="17" t="s">
        <v>7997</v>
      </c>
      <c r="AH8" s="17"/>
      <c r="AI8" s="17"/>
    </row>
    <row r="9" hidden="1">
      <c r="A9" s="34">
        <f t="shared" si="3"/>
        <v>8</v>
      </c>
      <c r="B9" s="35" t="s">
        <v>52</v>
      </c>
      <c r="C9" s="34" t="s">
        <v>2252</v>
      </c>
      <c r="D9" s="34" t="s">
        <v>7998</v>
      </c>
      <c r="E9" s="34">
        <v>22.362318999999999</v>
      </c>
      <c r="F9" s="34">
        <v>87.558048999999997</v>
      </c>
      <c r="G9" s="34" t="s">
        <v>7961</v>
      </c>
      <c r="H9" s="34" t="s">
        <v>7987</v>
      </c>
      <c r="I9" s="35" t="s">
        <v>1579</v>
      </c>
      <c r="J9" s="35">
        <v>7003188299</v>
      </c>
      <c r="K9" s="34" t="s">
        <v>1579</v>
      </c>
      <c r="L9" s="34">
        <v>7003188299</v>
      </c>
      <c r="M9" s="34">
        <v>130</v>
      </c>
      <c r="N9" s="17"/>
      <c r="O9" s="17"/>
      <c r="P9" s="17"/>
      <c r="Q9" s="17"/>
      <c r="R9" s="17"/>
      <c r="S9" s="17"/>
      <c r="T9" s="17"/>
      <c r="U9" s="17"/>
      <c r="V9" s="17" t="s">
        <v>7991</v>
      </c>
      <c r="W9" s="17" t="s">
        <v>7999</v>
      </c>
      <c r="X9" s="17">
        <v>1</v>
      </c>
      <c r="Y9" s="17" t="s">
        <v>7991</v>
      </c>
      <c r="Z9" s="17" t="s">
        <v>8000</v>
      </c>
      <c r="AA9" s="17" t="s">
        <v>8001</v>
      </c>
      <c r="AB9" s="17" t="s">
        <v>8002</v>
      </c>
      <c r="AC9" s="17"/>
      <c r="AD9" s="17" t="s">
        <v>8003</v>
      </c>
      <c r="AE9" s="17"/>
      <c r="AF9" s="17"/>
      <c r="AG9" s="17"/>
      <c r="AH9" s="17"/>
      <c r="AI9" s="17"/>
    </row>
    <row r="10" hidden="1">
      <c r="A10" s="34">
        <f t="shared" si="3"/>
        <v>9</v>
      </c>
      <c r="B10" s="35" t="s">
        <v>52</v>
      </c>
      <c r="C10" s="34" t="s">
        <v>2257</v>
      </c>
      <c r="D10" s="34" t="s">
        <v>2258</v>
      </c>
      <c r="E10" s="34">
        <v>22.472248</v>
      </c>
      <c r="F10" s="34">
        <v>87.634096999999997</v>
      </c>
      <c r="G10" s="34" t="s">
        <v>7955</v>
      </c>
      <c r="H10" s="34" t="s">
        <v>7987</v>
      </c>
      <c r="I10" s="35" t="s">
        <v>1579</v>
      </c>
      <c r="J10" s="35">
        <v>7003188299</v>
      </c>
      <c r="K10" s="34" t="s">
        <v>1579</v>
      </c>
      <c r="L10" s="34">
        <v>7003188299</v>
      </c>
      <c r="M10" s="34"/>
      <c r="N10" s="17"/>
      <c r="O10" s="17"/>
      <c r="P10" s="17"/>
      <c r="Q10" s="17"/>
      <c r="R10" s="17"/>
      <c r="S10" s="17"/>
      <c r="T10" s="17"/>
      <c r="U10" s="17"/>
      <c r="V10" s="17"/>
      <c r="W10" s="17"/>
      <c r="X10" s="17"/>
      <c r="Y10" s="17"/>
      <c r="Z10" s="17"/>
      <c r="AA10" s="17"/>
      <c r="AB10" s="17"/>
      <c r="AC10" s="17"/>
      <c r="AD10" s="17"/>
      <c r="AE10" s="17"/>
      <c r="AF10" s="17"/>
      <c r="AG10" s="17"/>
      <c r="AH10" s="17"/>
      <c r="AI10" s="17"/>
    </row>
    <row r="11" hidden="1">
      <c r="A11" s="34">
        <f t="shared" si="3"/>
        <v>10</v>
      </c>
      <c r="B11" s="35" t="s">
        <v>52</v>
      </c>
      <c r="C11" s="34" t="s">
        <v>2262</v>
      </c>
      <c r="D11" s="34" t="s">
        <v>8004</v>
      </c>
      <c r="E11" s="34">
        <v>22.392196999999999</v>
      </c>
      <c r="F11" s="34">
        <v>87.561139999999995</v>
      </c>
      <c r="G11" s="34" t="s">
        <v>7959</v>
      </c>
      <c r="H11" s="34" t="s">
        <v>7987</v>
      </c>
      <c r="I11" s="35" t="s">
        <v>1579</v>
      </c>
      <c r="J11" s="35">
        <v>7003188299</v>
      </c>
      <c r="K11" s="34" t="s">
        <v>1579</v>
      </c>
      <c r="L11" s="34">
        <v>7003188299</v>
      </c>
      <c r="M11" s="34"/>
      <c r="N11" s="17"/>
      <c r="O11" s="17"/>
      <c r="P11" s="17"/>
      <c r="Q11" s="17"/>
      <c r="R11" s="17"/>
      <c r="S11" s="17"/>
      <c r="T11" s="17"/>
      <c r="U11" s="17"/>
      <c r="V11" s="17"/>
      <c r="W11" s="17"/>
      <c r="X11" s="17"/>
      <c r="Y11" s="17"/>
      <c r="Z11" s="17"/>
      <c r="AA11" s="17"/>
      <c r="AB11" s="17"/>
      <c r="AC11" s="17"/>
      <c r="AD11" s="17"/>
      <c r="AE11" s="17"/>
      <c r="AF11" s="17"/>
      <c r="AG11" s="17"/>
      <c r="AH11" s="17"/>
      <c r="AI11" s="17"/>
    </row>
    <row r="12" hidden="1">
      <c r="A12" s="34">
        <f t="shared" si="3"/>
        <v>11</v>
      </c>
      <c r="B12" s="35" t="s">
        <v>52</v>
      </c>
      <c r="C12" s="34" t="s">
        <v>2268</v>
      </c>
      <c r="D12" s="34" t="s">
        <v>2269</v>
      </c>
      <c r="E12" s="34">
        <v>22.543696000000001</v>
      </c>
      <c r="F12" s="34">
        <v>87.642981000000006</v>
      </c>
      <c r="G12" s="34" t="s">
        <v>7955</v>
      </c>
      <c r="H12" s="34" t="s">
        <v>7987</v>
      </c>
      <c r="I12" s="35" t="s">
        <v>1579</v>
      </c>
      <c r="J12" s="35">
        <v>7003188299</v>
      </c>
      <c r="K12" s="34" t="s">
        <v>1579</v>
      </c>
      <c r="L12" s="34">
        <v>7003188299</v>
      </c>
      <c r="M12" s="34">
        <v>55</v>
      </c>
      <c r="N12" s="17"/>
      <c r="O12" s="17"/>
      <c r="P12" s="17"/>
      <c r="Q12" s="17" t="s">
        <v>7991</v>
      </c>
      <c r="R12" s="17" t="s">
        <v>7995</v>
      </c>
      <c r="S12" s="17" t="s">
        <v>8005</v>
      </c>
      <c r="T12" s="17" t="s">
        <v>7995</v>
      </c>
      <c r="U12" s="17">
        <v>1</v>
      </c>
      <c r="V12" s="17" t="s">
        <v>7991</v>
      </c>
      <c r="W12" s="17" t="s">
        <v>8006</v>
      </c>
      <c r="X12" s="17">
        <v>3</v>
      </c>
      <c r="Y12" s="17"/>
      <c r="Z12" s="17"/>
      <c r="AA12" s="17"/>
      <c r="AB12" s="17"/>
      <c r="AC12" s="17"/>
      <c r="AD12" s="17"/>
      <c r="AE12" s="17"/>
      <c r="AF12" s="17"/>
      <c r="AG12" s="17" t="s">
        <v>8007</v>
      </c>
      <c r="AH12" s="17"/>
      <c r="AI12" s="17"/>
    </row>
    <row r="13" hidden="1">
      <c r="A13" s="34">
        <f t="shared" si="3"/>
        <v>12</v>
      </c>
      <c r="B13" s="35" t="s">
        <v>52</v>
      </c>
      <c r="C13" s="34" t="s">
        <v>2273</v>
      </c>
      <c r="D13" s="34" t="s">
        <v>8008</v>
      </c>
      <c r="E13" s="34">
        <v>22.356383000000001</v>
      </c>
      <c r="F13" s="34">
        <v>87.619885999999994</v>
      </c>
      <c r="G13" s="34" t="s">
        <v>7955</v>
      </c>
      <c r="H13" s="34" t="s">
        <v>8009</v>
      </c>
      <c r="I13" s="35" t="s">
        <v>1579</v>
      </c>
      <c r="J13" s="35">
        <v>7003188299</v>
      </c>
      <c r="K13" s="34" t="s">
        <v>1579</v>
      </c>
      <c r="L13" s="34">
        <v>7003188299</v>
      </c>
      <c r="M13" s="34"/>
      <c r="N13" s="17"/>
      <c r="O13" s="17"/>
      <c r="P13" s="17"/>
      <c r="Q13" s="17"/>
      <c r="R13" s="17"/>
      <c r="S13" s="17"/>
      <c r="T13" s="17"/>
      <c r="U13" s="17"/>
      <c r="V13" s="17"/>
      <c r="W13" s="17"/>
      <c r="X13" s="17"/>
      <c r="Y13" s="17"/>
      <c r="Z13" s="17"/>
      <c r="AA13" s="17"/>
      <c r="AB13" s="17"/>
      <c r="AC13" s="17"/>
      <c r="AD13" s="17"/>
      <c r="AE13" s="17"/>
      <c r="AF13" s="17"/>
      <c r="AG13" s="17"/>
      <c r="AH13" s="17"/>
      <c r="AI13" s="17"/>
    </row>
    <row r="14" hidden="1">
      <c r="A14" s="34">
        <f t="shared" si="3"/>
        <v>13</v>
      </c>
      <c r="B14" s="35" t="s">
        <v>52</v>
      </c>
      <c r="C14" s="34" t="s">
        <v>2277</v>
      </c>
      <c r="D14" s="34" t="s">
        <v>2278</v>
      </c>
      <c r="E14" s="34">
        <v>22.360104</v>
      </c>
      <c r="F14" s="34">
        <v>87.581798000000006</v>
      </c>
      <c r="G14" s="34" t="s">
        <v>7954</v>
      </c>
      <c r="H14" s="34" t="s">
        <v>7987</v>
      </c>
      <c r="I14" s="35" t="s">
        <v>1579</v>
      </c>
      <c r="J14" s="35">
        <v>7003188299</v>
      </c>
      <c r="K14" s="34" t="s">
        <v>1579</v>
      </c>
      <c r="L14" s="34">
        <v>7003188299</v>
      </c>
      <c r="M14" s="34"/>
      <c r="N14" s="17"/>
      <c r="O14" s="17"/>
      <c r="P14" s="17"/>
      <c r="Q14" s="17"/>
      <c r="R14" s="17"/>
      <c r="S14" s="17"/>
      <c r="T14" s="17"/>
      <c r="U14" s="17"/>
      <c r="V14" s="17"/>
      <c r="W14" s="17"/>
      <c r="X14" s="17"/>
      <c r="Y14" s="17"/>
      <c r="Z14" s="17"/>
      <c r="AA14" s="17"/>
      <c r="AB14" s="17"/>
      <c r="AC14" s="17"/>
      <c r="AD14" s="17"/>
      <c r="AE14" s="17"/>
      <c r="AF14" s="17"/>
      <c r="AG14" s="17"/>
      <c r="AH14" s="17"/>
      <c r="AI14" s="17"/>
    </row>
    <row r="15" hidden="1">
      <c r="A15" s="34">
        <f t="shared" si="3"/>
        <v>14</v>
      </c>
      <c r="B15" s="35" t="s">
        <v>52</v>
      </c>
      <c r="C15" s="34" t="s">
        <v>2281</v>
      </c>
      <c r="D15" s="34" t="s">
        <v>2282</v>
      </c>
      <c r="E15" s="34">
        <v>22.362871999999999</v>
      </c>
      <c r="F15" s="34">
        <v>87.515474999999995</v>
      </c>
      <c r="G15" s="34" t="s">
        <v>7954</v>
      </c>
      <c r="H15" s="34" t="s">
        <v>7987</v>
      </c>
      <c r="I15" s="35" t="s">
        <v>2284</v>
      </c>
      <c r="J15" s="35">
        <v>6382439675</v>
      </c>
      <c r="K15" s="34" t="s">
        <v>2284</v>
      </c>
      <c r="L15" s="34">
        <v>6382439675</v>
      </c>
      <c r="M15" s="34"/>
      <c r="N15" s="17"/>
      <c r="O15" s="17"/>
      <c r="P15" s="17"/>
      <c r="Q15" s="17"/>
      <c r="R15" s="17"/>
      <c r="S15" s="17"/>
      <c r="T15" s="17"/>
      <c r="U15" s="17"/>
      <c r="V15" s="17"/>
      <c r="W15" s="17"/>
      <c r="X15" s="17"/>
      <c r="Y15" s="17"/>
      <c r="Z15" s="17"/>
      <c r="AA15" s="17"/>
      <c r="AB15" s="17"/>
      <c r="AC15" s="17"/>
      <c r="AD15" s="17"/>
      <c r="AE15" s="17"/>
      <c r="AF15" s="17"/>
      <c r="AG15" s="17"/>
      <c r="AH15" s="17"/>
      <c r="AI15" s="17"/>
    </row>
    <row r="16" hidden="1">
      <c r="A16" s="34">
        <f t="shared" si="3"/>
        <v>15</v>
      </c>
      <c r="B16" s="35" t="s">
        <v>52</v>
      </c>
      <c r="C16" s="34" t="s">
        <v>2288</v>
      </c>
      <c r="D16" s="34" t="s">
        <v>8010</v>
      </c>
      <c r="E16" s="34">
        <v>22.404423999999999</v>
      </c>
      <c r="F16" s="34">
        <v>87.629823999999999</v>
      </c>
      <c r="G16" s="34" t="s">
        <v>7954</v>
      </c>
      <c r="H16" s="34" t="s">
        <v>7987</v>
      </c>
      <c r="I16" s="35" t="s">
        <v>2291</v>
      </c>
      <c r="J16" s="35">
        <v>9933713149</v>
      </c>
      <c r="K16" s="34" t="s">
        <v>2291</v>
      </c>
      <c r="L16" s="42">
        <v>9933713149</v>
      </c>
      <c r="M16" s="42"/>
      <c r="N16" s="17"/>
      <c r="O16" s="17"/>
      <c r="P16" s="17"/>
      <c r="Q16" s="17"/>
      <c r="R16" s="17"/>
      <c r="S16" s="17"/>
      <c r="T16" s="17"/>
      <c r="U16" s="17"/>
      <c r="V16" s="17"/>
      <c r="W16" s="17"/>
      <c r="X16" s="17"/>
      <c r="Y16" s="17"/>
      <c r="Z16" s="17"/>
      <c r="AA16" s="17"/>
      <c r="AB16" s="17"/>
      <c r="AC16" s="17"/>
      <c r="AD16" s="17"/>
      <c r="AE16" s="17"/>
      <c r="AF16" s="17"/>
      <c r="AG16" s="17"/>
      <c r="AH16" s="17"/>
      <c r="AI16" s="17"/>
    </row>
    <row r="17" hidden="1">
      <c r="A17" s="34">
        <f t="shared" si="3"/>
        <v>16</v>
      </c>
      <c r="B17" s="35" t="s">
        <v>52</v>
      </c>
      <c r="C17" s="34" t="s">
        <v>2294</v>
      </c>
      <c r="D17" s="34" t="s">
        <v>8011</v>
      </c>
      <c r="E17" s="34">
        <v>22.467288</v>
      </c>
      <c r="F17" s="34">
        <v>87.574933999999999</v>
      </c>
      <c r="G17" s="34" t="s">
        <v>7954</v>
      </c>
      <c r="H17" s="34" t="s">
        <v>7987</v>
      </c>
      <c r="I17" s="35" t="s">
        <v>2291</v>
      </c>
      <c r="J17" s="35">
        <v>9933713149</v>
      </c>
      <c r="K17" s="34" t="s">
        <v>2291</v>
      </c>
      <c r="L17" s="42">
        <v>9933713149</v>
      </c>
      <c r="M17" s="42"/>
      <c r="N17" s="17"/>
      <c r="O17" s="17"/>
      <c r="P17" s="17"/>
      <c r="Q17" s="17"/>
      <c r="R17" s="17"/>
      <c r="S17" s="17"/>
      <c r="T17" s="17"/>
      <c r="U17" s="17"/>
      <c r="V17" s="17"/>
      <c r="W17" s="17"/>
      <c r="X17" s="17"/>
      <c r="Y17" s="17"/>
      <c r="Z17" s="17"/>
      <c r="AA17" s="17"/>
      <c r="AB17" s="17"/>
      <c r="AC17" s="17"/>
      <c r="AD17" s="17"/>
      <c r="AE17" s="17"/>
      <c r="AF17" s="17"/>
      <c r="AG17" s="17"/>
      <c r="AH17" s="17"/>
      <c r="AI17" s="17"/>
    </row>
    <row r="18" hidden="1">
      <c r="A18" s="34">
        <f t="shared" si="3"/>
        <v>17</v>
      </c>
      <c r="B18" s="35" t="s">
        <v>52</v>
      </c>
      <c r="C18" s="34" t="s">
        <v>2297</v>
      </c>
      <c r="D18" s="34" t="s">
        <v>8012</v>
      </c>
      <c r="E18" s="34">
        <v>22.414207999999999</v>
      </c>
      <c r="F18" s="34">
        <v>87.568363000000005</v>
      </c>
      <c r="G18" s="34" t="s">
        <v>7954</v>
      </c>
      <c r="H18" s="34" t="s">
        <v>7987</v>
      </c>
      <c r="I18" s="35" t="s">
        <v>2291</v>
      </c>
      <c r="J18" s="35">
        <v>9933713149</v>
      </c>
      <c r="K18" s="34" t="s">
        <v>2291</v>
      </c>
      <c r="L18" s="42">
        <v>9933713149</v>
      </c>
      <c r="M18" s="42"/>
      <c r="N18" s="17"/>
      <c r="O18" s="17"/>
      <c r="P18" s="17"/>
      <c r="Q18" s="17"/>
      <c r="R18" s="17"/>
      <c r="S18" s="17"/>
      <c r="T18" s="17"/>
      <c r="U18" s="17"/>
      <c r="V18" s="17"/>
      <c r="W18" s="17"/>
      <c r="X18" s="17"/>
      <c r="Y18" s="17"/>
      <c r="Z18" s="17"/>
      <c r="AA18" s="17"/>
      <c r="AB18" s="17"/>
      <c r="AC18" s="17"/>
      <c r="AD18" s="17"/>
      <c r="AE18" s="17"/>
      <c r="AF18" s="17"/>
      <c r="AG18" s="17"/>
      <c r="AH18" s="17"/>
      <c r="AI18" s="17"/>
    </row>
    <row r="19" hidden="1">
      <c r="A19" s="34">
        <f t="shared" si="3"/>
        <v>18</v>
      </c>
      <c r="B19" s="35" t="s">
        <v>52</v>
      </c>
      <c r="C19" s="34" t="s">
        <v>2302</v>
      </c>
      <c r="D19" s="34" t="s">
        <v>8013</v>
      </c>
      <c r="E19" s="34">
        <v>22.333970999999998</v>
      </c>
      <c r="F19" s="34">
        <v>87.601412999999994</v>
      </c>
      <c r="G19" s="34" t="s">
        <v>7954</v>
      </c>
      <c r="H19" s="34" t="s">
        <v>7987</v>
      </c>
      <c r="I19" s="35" t="s">
        <v>1579</v>
      </c>
      <c r="J19" s="35">
        <v>7003188299</v>
      </c>
      <c r="K19" s="34" t="s">
        <v>1579</v>
      </c>
      <c r="L19" s="34">
        <v>7003188299</v>
      </c>
      <c r="M19" s="34">
        <v>60</v>
      </c>
      <c r="N19" s="17"/>
      <c r="O19" s="17"/>
      <c r="P19" s="17"/>
      <c r="Q19" s="17"/>
      <c r="R19" s="17"/>
      <c r="S19" s="17"/>
      <c r="T19" s="17" t="s">
        <v>7995</v>
      </c>
      <c r="U19" s="17">
        <v>1</v>
      </c>
      <c r="V19" s="17"/>
      <c r="W19" s="17" t="s">
        <v>8014</v>
      </c>
      <c r="X19" s="17">
        <v>3</v>
      </c>
      <c r="Y19" s="17"/>
      <c r="Z19" s="17"/>
      <c r="AA19" s="17"/>
      <c r="AB19" s="17"/>
      <c r="AC19" s="17"/>
      <c r="AD19" s="17"/>
      <c r="AE19" s="17"/>
      <c r="AF19" s="17"/>
      <c r="AG19" s="17" t="s">
        <v>8007</v>
      </c>
      <c r="AH19" s="17"/>
      <c r="AI19" s="17"/>
    </row>
    <row r="20" hidden="1">
      <c r="A20" s="34">
        <f t="shared" si="3"/>
        <v>19</v>
      </c>
      <c r="B20" s="35" t="s">
        <v>52</v>
      </c>
      <c r="C20" s="34" t="s">
        <v>2307</v>
      </c>
      <c r="D20" s="34" t="s">
        <v>8015</v>
      </c>
      <c r="E20" s="34">
        <v>22.349398999999998</v>
      </c>
      <c r="F20" s="34">
        <v>87.533612000000005</v>
      </c>
      <c r="G20" s="34" t="s">
        <v>7954</v>
      </c>
      <c r="H20" s="34" t="s">
        <v>7987</v>
      </c>
      <c r="I20" s="35" t="s">
        <v>1579</v>
      </c>
      <c r="J20" s="35">
        <v>7003188299</v>
      </c>
      <c r="K20" s="34" t="s">
        <v>1579</v>
      </c>
      <c r="L20" s="34">
        <v>7003188299</v>
      </c>
      <c r="M20" s="34">
        <v>50</v>
      </c>
      <c r="N20" s="17"/>
      <c r="O20" s="17"/>
      <c r="P20" s="17"/>
      <c r="Q20" s="17"/>
      <c r="R20" s="17"/>
      <c r="S20" s="17"/>
      <c r="T20" s="17"/>
      <c r="U20" s="17"/>
      <c r="V20" s="17" t="s">
        <v>7991</v>
      </c>
      <c r="W20" s="17" t="s">
        <v>8016</v>
      </c>
      <c r="X20" s="17">
        <v>2</v>
      </c>
      <c r="Y20" s="17"/>
      <c r="Z20" s="17"/>
      <c r="AA20" s="17"/>
      <c r="AB20" s="17"/>
      <c r="AC20" s="17"/>
      <c r="AD20" s="17" t="s">
        <v>8003</v>
      </c>
      <c r="AE20" s="17"/>
      <c r="AF20" s="17"/>
      <c r="AG20" s="17"/>
      <c r="AH20" s="17"/>
      <c r="AI20" s="17"/>
    </row>
    <row r="21" hidden="1">
      <c r="A21" s="34">
        <f t="shared" si="3"/>
        <v>20</v>
      </c>
      <c r="B21" s="35" t="s">
        <v>52</v>
      </c>
      <c r="C21" s="34" t="s">
        <v>2311</v>
      </c>
      <c r="D21" s="34" t="s">
        <v>8017</v>
      </c>
      <c r="E21" s="34">
        <v>22.382739999999998</v>
      </c>
      <c r="F21" s="34">
        <v>87.528846000000001</v>
      </c>
      <c r="G21" s="34" t="s">
        <v>7954</v>
      </c>
      <c r="H21" s="34" t="s">
        <v>7987</v>
      </c>
      <c r="I21" s="35" t="s">
        <v>2291</v>
      </c>
      <c r="J21" s="35">
        <v>9933713149</v>
      </c>
      <c r="K21" s="34" t="s">
        <v>2291</v>
      </c>
      <c r="L21" s="42">
        <v>9933713149</v>
      </c>
      <c r="M21" s="42"/>
      <c r="N21" s="17"/>
      <c r="O21" s="17"/>
      <c r="P21" s="17"/>
      <c r="Q21" s="17"/>
      <c r="R21" s="17"/>
      <c r="S21" s="17"/>
      <c r="T21" s="17"/>
      <c r="U21" s="17"/>
      <c r="V21" s="17"/>
      <c r="W21" s="17"/>
      <c r="X21" s="17"/>
      <c r="Y21" s="17"/>
      <c r="Z21" s="17"/>
      <c r="AA21" s="17"/>
      <c r="AB21" s="17"/>
      <c r="AC21" s="17"/>
      <c r="AD21" s="17"/>
      <c r="AE21" s="17"/>
      <c r="AF21" s="17"/>
      <c r="AG21" s="17"/>
      <c r="AH21" s="17"/>
      <c r="AI21" s="17"/>
    </row>
    <row r="22" hidden="1">
      <c r="A22" s="34">
        <f t="shared" si="3"/>
        <v>21</v>
      </c>
      <c r="B22" s="35" t="s">
        <v>52</v>
      </c>
      <c r="C22" s="34" t="s">
        <v>2315</v>
      </c>
      <c r="D22" s="34" t="s">
        <v>8018</v>
      </c>
      <c r="E22" s="34">
        <v>22.546151999999999</v>
      </c>
      <c r="F22" s="34">
        <v>87.624858000000003</v>
      </c>
      <c r="G22" s="34" t="s">
        <v>7954</v>
      </c>
      <c r="H22" s="34" t="s">
        <v>7987</v>
      </c>
      <c r="I22" s="35" t="s">
        <v>2291</v>
      </c>
      <c r="J22" s="35">
        <v>9933713149</v>
      </c>
      <c r="K22" s="34" t="s">
        <v>2291</v>
      </c>
      <c r="L22" s="42">
        <v>9933713149</v>
      </c>
      <c r="M22" s="42"/>
      <c r="N22" s="17"/>
      <c r="O22" s="17"/>
      <c r="P22" s="17"/>
      <c r="Q22" s="17"/>
      <c r="R22" s="17"/>
      <c r="S22" s="17"/>
      <c r="T22" s="17"/>
      <c r="U22" s="17"/>
      <c r="V22" s="17"/>
      <c r="W22" s="17"/>
      <c r="X22" s="17"/>
      <c r="Y22" s="17"/>
      <c r="Z22" s="17"/>
      <c r="AA22" s="17"/>
      <c r="AB22" s="17"/>
      <c r="AC22" s="17"/>
      <c r="AD22" s="17"/>
      <c r="AE22" s="17"/>
      <c r="AF22" s="17"/>
      <c r="AG22" s="17"/>
      <c r="AH22" s="17"/>
      <c r="AI22" s="17"/>
    </row>
    <row r="23" hidden="1">
      <c r="A23" s="34">
        <f t="shared" si="3"/>
        <v>22</v>
      </c>
      <c r="B23" s="35" t="s">
        <v>52</v>
      </c>
      <c r="C23" s="34" t="s">
        <v>2318</v>
      </c>
      <c r="D23" s="34" t="s">
        <v>8019</v>
      </c>
      <c r="E23" s="34">
        <v>22.333756000000001</v>
      </c>
      <c r="F23" s="34">
        <v>87.635437999999994</v>
      </c>
      <c r="G23" s="34" t="s">
        <v>7954</v>
      </c>
      <c r="H23" s="34" t="s">
        <v>7987</v>
      </c>
      <c r="I23" s="35" t="s">
        <v>1579</v>
      </c>
      <c r="J23" s="35">
        <v>7003188299</v>
      </c>
      <c r="K23" s="34" t="s">
        <v>1579</v>
      </c>
      <c r="L23" s="34">
        <v>7003188299</v>
      </c>
      <c r="M23" s="34">
        <v>50</v>
      </c>
      <c r="N23" s="17"/>
      <c r="O23" s="17"/>
      <c r="P23" s="17"/>
      <c r="Q23" s="17"/>
      <c r="R23" s="17"/>
      <c r="S23" s="17"/>
      <c r="T23" s="17" t="s">
        <v>7995</v>
      </c>
      <c r="U23" s="17">
        <v>1</v>
      </c>
      <c r="V23" s="17"/>
      <c r="W23" s="17" t="s">
        <v>8020</v>
      </c>
      <c r="X23" s="17">
        <v>3</v>
      </c>
      <c r="Y23" s="17"/>
      <c r="Z23" s="17"/>
      <c r="AA23" s="17"/>
      <c r="AB23" s="17"/>
      <c r="AC23" s="17"/>
      <c r="AD23" s="17"/>
      <c r="AE23" s="17"/>
      <c r="AF23" s="17"/>
      <c r="AG23" s="17" t="s">
        <v>8007</v>
      </c>
      <c r="AH23" s="17"/>
      <c r="AI23" s="17"/>
    </row>
    <row r="24" hidden="1">
      <c r="A24" s="34">
        <f t="shared" si="3"/>
        <v>23</v>
      </c>
      <c r="B24" s="35" t="s">
        <v>52</v>
      </c>
      <c r="C24" s="34" t="s">
        <v>2322</v>
      </c>
      <c r="D24" s="34" t="s">
        <v>8021</v>
      </c>
      <c r="E24" s="34">
        <v>22.360672000000001</v>
      </c>
      <c r="F24" s="34">
        <v>87.498508999999999</v>
      </c>
      <c r="G24" s="34" t="s">
        <v>7954</v>
      </c>
      <c r="H24" s="34" t="s">
        <v>7987</v>
      </c>
      <c r="I24" s="35" t="s">
        <v>2284</v>
      </c>
      <c r="J24" s="35">
        <v>6382439675</v>
      </c>
      <c r="K24" s="34" t="s">
        <v>2284</v>
      </c>
      <c r="L24" s="34">
        <v>6382439675</v>
      </c>
      <c r="M24" s="34"/>
      <c r="N24" s="17"/>
      <c r="O24" s="17"/>
      <c r="P24" s="17"/>
      <c r="Q24" s="17"/>
      <c r="R24" s="17"/>
      <c r="S24" s="17"/>
      <c r="T24" s="17"/>
      <c r="U24" s="17"/>
      <c r="V24" s="17"/>
      <c r="W24" s="17"/>
      <c r="X24" s="17"/>
      <c r="Y24" s="17"/>
      <c r="Z24" s="17"/>
      <c r="AA24" s="17"/>
      <c r="AB24" s="17"/>
      <c r="AC24" s="17"/>
      <c r="AD24" s="17"/>
      <c r="AE24" s="17"/>
      <c r="AF24" s="17"/>
      <c r="AG24" s="17"/>
      <c r="AH24" s="17"/>
      <c r="AI24" s="17"/>
    </row>
    <row r="25" hidden="1">
      <c r="A25" s="34">
        <f t="shared" si="3"/>
        <v>24</v>
      </c>
      <c r="B25" s="35" t="s">
        <v>52</v>
      </c>
      <c r="C25" s="34" t="s">
        <v>2327</v>
      </c>
      <c r="D25" s="34" t="s">
        <v>8022</v>
      </c>
      <c r="E25" s="34">
        <v>22.553961999999999</v>
      </c>
      <c r="F25" s="34">
        <v>87.601905000000002</v>
      </c>
      <c r="G25" s="34" t="s">
        <v>7954</v>
      </c>
      <c r="H25" s="34" t="s">
        <v>7987</v>
      </c>
      <c r="I25" s="35" t="s">
        <v>2291</v>
      </c>
      <c r="J25" s="35">
        <v>9933713149</v>
      </c>
      <c r="K25" s="34" t="s">
        <v>2291</v>
      </c>
      <c r="L25" s="42">
        <v>9933713149</v>
      </c>
      <c r="M25" s="42"/>
      <c r="N25" s="17"/>
      <c r="O25" s="17"/>
      <c r="P25" s="17"/>
      <c r="Q25" s="17"/>
      <c r="R25" s="17"/>
      <c r="S25" s="17"/>
      <c r="T25" s="17"/>
      <c r="U25" s="17"/>
      <c r="V25" s="17"/>
      <c r="W25" s="17"/>
      <c r="X25" s="17"/>
      <c r="Y25" s="17"/>
      <c r="Z25" s="17"/>
      <c r="AA25" s="17"/>
      <c r="AB25" s="17"/>
      <c r="AC25" s="17"/>
      <c r="AD25" s="17"/>
      <c r="AE25" s="17"/>
      <c r="AF25" s="17"/>
      <c r="AG25" s="17"/>
      <c r="AH25" s="17"/>
      <c r="AI25" s="17"/>
    </row>
    <row r="26" hidden="1">
      <c r="A26" s="34">
        <f t="shared" si="3"/>
        <v>25</v>
      </c>
      <c r="B26" s="35" t="s">
        <v>52</v>
      </c>
      <c r="C26" s="34" t="s">
        <v>2330</v>
      </c>
      <c r="D26" s="34" t="s">
        <v>8023</v>
      </c>
      <c r="E26" s="34">
        <v>22.458418000000002</v>
      </c>
      <c r="F26" s="34">
        <v>87.613812999999993</v>
      </c>
      <c r="G26" s="34" t="s">
        <v>7954</v>
      </c>
      <c r="H26" s="34" t="s">
        <v>7987</v>
      </c>
      <c r="I26" s="35" t="s">
        <v>2291</v>
      </c>
      <c r="J26" s="35">
        <v>9933713149</v>
      </c>
      <c r="K26" s="34" t="s">
        <v>2291</v>
      </c>
      <c r="L26" s="42">
        <v>9933713149</v>
      </c>
      <c r="M26" s="42"/>
      <c r="N26" s="17"/>
      <c r="O26" s="17"/>
      <c r="P26" s="17"/>
      <c r="Q26" s="17"/>
      <c r="R26" s="17"/>
      <c r="S26" s="17"/>
      <c r="T26" s="17"/>
      <c r="U26" s="17"/>
      <c r="V26" s="17"/>
      <c r="W26" s="17"/>
      <c r="X26" s="17"/>
      <c r="Y26" s="17"/>
      <c r="Z26" s="17"/>
      <c r="AA26" s="17"/>
      <c r="AB26" s="17"/>
      <c r="AC26" s="17"/>
      <c r="AD26" s="17"/>
      <c r="AE26" s="17"/>
      <c r="AF26" s="17"/>
      <c r="AG26" s="17"/>
      <c r="AH26" s="17"/>
      <c r="AI26" s="17"/>
    </row>
    <row r="27" hidden="1">
      <c r="A27" s="34">
        <f t="shared" si="3"/>
        <v>26</v>
      </c>
      <c r="B27" s="35" t="s">
        <v>52</v>
      </c>
      <c r="C27" s="34" t="s">
        <v>2333</v>
      </c>
      <c r="D27" s="34" t="s">
        <v>8024</v>
      </c>
      <c r="E27" s="34">
        <v>22.395377</v>
      </c>
      <c r="F27" s="34">
        <v>87.527897999999993</v>
      </c>
      <c r="G27" s="34" t="s">
        <v>7954</v>
      </c>
      <c r="H27" s="34" t="s">
        <v>7987</v>
      </c>
      <c r="I27" s="35" t="s">
        <v>2291</v>
      </c>
      <c r="J27" s="35">
        <v>9933713149</v>
      </c>
      <c r="K27" s="34" t="s">
        <v>2291</v>
      </c>
      <c r="L27" s="42">
        <v>9933713149</v>
      </c>
      <c r="M27" s="42"/>
      <c r="N27" s="17"/>
      <c r="O27" s="17"/>
      <c r="P27" s="17"/>
      <c r="Q27" s="17"/>
      <c r="R27" s="17"/>
      <c r="S27" s="17"/>
      <c r="T27" s="17"/>
      <c r="U27" s="17"/>
      <c r="V27" s="17"/>
      <c r="W27" s="17"/>
      <c r="X27" s="17"/>
      <c r="Y27" s="17"/>
      <c r="Z27" s="17"/>
      <c r="AA27" s="17"/>
      <c r="AB27" s="17"/>
      <c r="AC27" s="17"/>
      <c r="AD27" s="17"/>
      <c r="AE27" s="17"/>
      <c r="AF27" s="17"/>
      <c r="AG27" s="17"/>
      <c r="AH27" s="17"/>
      <c r="AI27" s="17"/>
    </row>
    <row r="28" hidden="1">
      <c r="A28" s="34">
        <f t="shared" si="3"/>
        <v>27</v>
      </c>
      <c r="B28" s="35" t="s">
        <v>52</v>
      </c>
      <c r="C28" s="34" t="s">
        <v>2336</v>
      </c>
      <c r="D28" s="34" t="s">
        <v>8025</v>
      </c>
      <c r="E28" s="34">
        <v>22.460609999999999</v>
      </c>
      <c r="F28" s="34">
        <v>87.651369000000003</v>
      </c>
      <c r="G28" s="34" t="s">
        <v>7954</v>
      </c>
      <c r="H28" s="34" t="s">
        <v>7987</v>
      </c>
      <c r="I28" s="35" t="s">
        <v>2291</v>
      </c>
      <c r="J28" s="35">
        <v>9933713149</v>
      </c>
      <c r="K28" s="34" t="s">
        <v>2291</v>
      </c>
      <c r="L28" s="42">
        <v>9933713149</v>
      </c>
      <c r="M28" s="42"/>
      <c r="N28" s="17"/>
      <c r="O28" s="17"/>
      <c r="P28" s="17"/>
      <c r="Q28" s="17"/>
      <c r="R28" s="17"/>
      <c r="S28" s="17"/>
      <c r="T28" s="17"/>
      <c r="U28" s="17"/>
      <c r="V28" s="17"/>
      <c r="W28" s="17"/>
      <c r="X28" s="17"/>
      <c r="Y28" s="17"/>
      <c r="Z28" s="17"/>
      <c r="AA28" s="17"/>
      <c r="AB28" s="17"/>
      <c r="AC28" s="17"/>
      <c r="AD28" s="17"/>
      <c r="AE28" s="17"/>
      <c r="AF28" s="17"/>
      <c r="AG28" s="17"/>
      <c r="AH28" s="17"/>
      <c r="AI28" s="17"/>
    </row>
    <row r="29" hidden="1">
      <c r="A29" s="34">
        <f t="shared" si="3"/>
        <v>28</v>
      </c>
      <c r="B29" s="35" t="s">
        <v>52</v>
      </c>
      <c r="C29" s="34" t="s">
        <v>2339</v>
      </c>
      <c r="D29" s="34" t="s">
        <v>8026</v>
      </c>
      <c r="E29" s="34">
        <v>22.422585000000002</v>
      </c>
      <c r="F29" s="34">
        <v>87.631403000000006</v>
      </c>
      <c r="G29" s="34" t="s">
        <v>7954</v>
      </c>
      <c r="H29" s="34" t="s">
        <v>8027</v>
      </c>
      <c r="I29" s="35" t="s">
        <v>2291</v>
      </c>
      <c r="J29" s="35">
        <v>9933713149</v>
      </c>
      <c r="K29" s="34" t="s">
        <v>2291</v>
      </c>
      <c r="L29" s="42">
        <v>9933713149</v>
      </c>
      <c r="M29" s="42"/>
      <c r="N29" s="17"/>
      <c r="O29" s="17"/>
      <c r="P29" s="17"/>
      <c r="Q29" s="17"/>
      <c r="R29" s="17"/>
      <c r="S29" s="17"/>
      <c r="T29" s="17"/>
      <c r="U29" s="17"/>
      <c r="V29" s="17"/>
      <c r="W29" s="17"/>
      <c r="X29" s="17"/>
      <c r="Y29" s="17"/>
      <c r="Z29" s="17"/>
      <c r="AA29" s="17"/>
      <c r="AB29" s="17"/>
      <c r="AC29" s="17"/>
      <c r="AD29" s="17"/>
      <c r="AE29" s="17"/>
      <c r="AF29" s="17"/>
      <c r="AG29" s="17"/>
      <c r="AH29" s="17"/>
      <c r="AI29" s="17"/>
    </row>
    <row r="30" hidden="1">
      <c r="A30" s="34">
        <f t="shared" si="3"/>
        <v>29</v>
      </c>
      <c r="B30" s="35" t="s">
        <v>52</v>
      </c>
      <c r="C30" s="34" t="s">
        <v>2345</v>
      </c>
      <c r="D30" s="34" t="s">
        <v>8028</v>
      </c>
      <c r="E30" s="34">
        <v>22.498888999999998</v>
      </c>
      <c r="F30" s="34">
        <v>87.628349</v>
      </c>
      <c r="G30" s="34" t="s">
        <v>7954</v>
      </c>
      <c r="H30" s="34" t="s">
        <v>7987</v>
      </c>
      <c r="I30" s="35" t="s">
        <v>2291</v>
      </c>
      <c r="J30" s="35">
        <v>9933713149</v>
      </c>
      <c r="K30" s="34" t="s">
        <v>2291</v>
      </c>
      <c r="L30" s="42">
        <v>9933713149</v>
      </c>
      <c r="M30" s="42"/>
      <c r="N30" s="17"/>
      <c r="O30" s="17"/>
      <c r="P30" s="17"/>
      <c r="Q30" s="17"/>
      <c r="R30" s="17"/>
      <c r="S30" s="17"/>
      <c r="T30" s="17"/>
      <c r="U30" s="17"/>
      <c r="V30" s="17"/>
      <c r="W30" s="17"/>
      <c r="X30" s="17"/>
      <c r="Y30" s="17"/>
      <c r="Z30" s="17"/>
      <c r="AA30" s="17"/>
      <c r="AB30" s="17"/>
      <c r="AC30" s="17"/>
      <c r="AD30" s="17"/>
      <c r="AE30" s="17"/>
      <c r="AF30" s="17"/>
      <c r="AG30" s="17"/>
      <c r="AH30" s="17"/>
      <c r="AI30" s="17"/>
    </row>
    <row r="31" hidden="1">
      <c r="A31" s="34">
        <f t="shared" si="3"/>
        <v>30</v>
      </c>
      <c r="B31" s="35" t="s">
        <v>52</v>
      </c>
      <c r="C31" s="34" t="s">
        <v>2349</v>
      </c>
      <c r="D31" s="34" t="s">
        <v>8029</v>
      </c>
      <c r="E31" s="34">
        <v>22.482445999999999</v>
      </c>
      <c r="F31" s="34">
        <v>87.612365999999994</v>
      </c>
      <c r="G31" s="34" t="s">
        <v>7954</v>
      </c>
      <c r="H31" s="34" t="s">
        <v>7987</v>
      </c>
      <c r="I31" s="35" t="s">
        <v>2291</v>
      </c>
      <c r="J31" s="35">
        <v>9933713149</v>
      </c>
      <c r="K31" s="34" t="s">
        <v>2291</v>
      </c>
      <c r="L31" s="42">
        <v>9933713149</v>
      </c>
      <c r="M31" s="42"/>
      <c r="N31" s="17"/>
      <c r="O31" s="17"/>
      <c r="P31" s="17"/>
      <c r="Q31" s="17"/>
      <c r="R31" s="17"/>
      <c r="S31" s="17"/>
      <c r="T31" s="17"/>
      <c r="U31" s="17"/>
      <c r="V31" s="17"/>
      <c r="W31" s="17"/>
      <c r="X31" s="17"/>
      <c r="Y31" s="17"/>
      <c r="Z31" s="17"/>
      <c r="AA31" s="17"/>
      <c r="AB31" s="17"/>
      <c r="AC31" s="17"/>
      <c r="AD31" s="17"/>
      <c r="AE31" s="17"/>
      <c r="AF31" s="17"/>
      <c r="AG31" s="17"/>
      <c r="AH31" s="17"/>
      <c r="AI31" s="17"/>
    </row>
    <row r="32" hidden="1">
      <c r="A32" s="34">
        <f t="shared" si="3"/>
        <v>31</v>
      </c>
      <c r="B32" s="35" t="s">
        <v>52</v>
      </c>
      <c r="C32" s="34" t="s">
        <v>2352</v>
      </c>
      <c r="D32" s="34" t="s">
        <v>8030</v>
      </c>
      <c r="E32" s="34">
        <v>22.402820999999999</v>
      </c>
      <c r="F32" s="34">
        <v>87.587142</v>
      </c>
      <c r="G32" s="34" t="s">
        <v>7954</v>
      </c>
      <c r="H32" s="34" t="s">
        <v>7987</v>
      </c>
      <c r="I32" s="35" t="s">
        <v>2291</v>
      </c>
      <c r="J32" s="35">
        <v>9933713149</v>
      </c>
      <c r="K32" s="34" t="s">
        <v>2291</v>
      </c>
      <c r="L32" s="42">
        <v>9933713149</v>
      </c>
      <c r="M32" s="42"/>
      <c r="N32" s="17"/>
      <c r="O32" s="17"/>
      <c r="P32" s="17"/>
      <c r="Q32" s="17"/>
      <c r="R32" s="17"/>
      <c r="S32" s="17"/>
      <c r="T32" s="17"/>
      <c r="U32" s="17"/>
      <c r="V32" s="17"/>
      <c r="W32" s="17"/>
      <c r="X32" s="17"/>
      <c r="Y32" s="17"/>
      <c r="Z32" s="17"/>
      <c r="AA32" s="17"/>
      <c r="AB32" s="17"/>
      <c r="AC32" s="17"/>
      <c r="AD32" s="17"/>
      <c r="AE32" s="17"/>
      <c r="AF32" s="17"/>
      <c r="AG32" s="17"/>
      <c r="AH32" s="17"/>
      <c r="AI32" s="17"/>
    </row>
    <row r="33" hidden="1">
      <c r="A33" s="34">
        <f t="shared" si="3"/>
        <v>32</v>
      </c>
      <c r="B33" s="35" t="s">
        <v>52</v>
      </c>
      <c r="C33" s="34" t="s">
        <v>2356</v>
      </c>
      <c r="D33" s="34" t="s">
        <v>8031</v>
      </c>
      <c r="E33" s="34">
        <v>22.431272</v>
      </c>
      <c r="F33" s="34">
        <v>87.541471999999999</v>
      </c>
      <c r="G33" s="34" t="s">
        <v>7954</v>
      </c>
      <c r="H33" s="34" t="s">
        <v>7987</v>
      </c>
      <c r="I33" s="35" t="s">
        <v>2291</v>
      </c>
      <c r="J33" s="35">
        <v>9933713149</v>
      </c>
      <c r="K33" s="35" t="s">
        <v>2291</v>
      </c>
      <c r="L33" s="42">
        <v>9933713149</v>
      </c>
      <c r="M33" s="42"/>
      <c r="N33" s="17"/>
      <c r="O33" s="17"/>
      <c r="P33" s="17"/>
      <c r="Q33" s="17"/>
      <c r="R33" s="17"/>
      <c r="S33" s="17"/>
      <c r="T33" s="17"/>
      <c r="U33" s="17"/>
      <c r="V33" s="17"/>
      <c r="W33" s="17"/>
      <c r="X33" s="17"/>
      <c r="Y33" s="17"/>
      <c r="Z33" s="17"/>
      <c r="AA33" s="17"/>
      <c r="AB33" s="17"/>
      <c r="AC33" s="17"/>
      <c r="AD33" s="17"/>
      <c r="AE33" s="17"/>
      <c r="AF33" s="17"/>
      <c r="AG33" s="17"/>
      <c r="AH33" s="17"/>
      <c r="AI33" s="17"/>
    </row>
    <row r="34" hidden="1">
      <c r="A34" s="34">
        <f t="shared" si="3"/>
        <v>33</v>
      </c>
      <c r="B34" s="35" t="s">
        <v>52</v>
      </c>
      <c r="C34" s="34" t="s">
        <v>2360</v>
      </c>
      <c r="D34" s="34" t="s">
        <v>8032</v>
      </c>
      <c r="E34" s="34">
        <v>22.401754</v>
      </c>
      <c r="F34" s="34">
        <v>87.560283999999996</v>
      </c>
      <c r="G34" s="34" t="s">
        <v>7954</v>
      </c>
      <c r="H34" s="34" t="s">
        <v>7987</v>
      </c>
      <c r="I34" s="35" t="s">
        <v>2291</v>
      </c>
      <c r="J34" s="35">
        <v>9933713149</v>
      </c>
      <c r="K34" s="34" t="s">
        <v>2291</v>
      </c>
      <c r="L34" s="42">
        <v>9933713149</v>
      </c>
      <c r="M34" s="42"/>
      <c r="N34" s="17"/>
      <c r="O34" s="17"/>
      <c r="P34" s="17"/>
      <c r="Q34" s="17"/>
      <c r="R34" s="17"/>
      <c r="S34" s="17"/>
      <c r="T34" s="17"/>
      <c r="U34" s="17"/>
      <c r="V34" s="17"/>
      <c r="W34" s="17"/>
      <c r="X34" s="17"/>
      <c r="Y34" s="17"/>
      <c r="Z34" s="17"/>
      <c r="AA34" s="17"/>
      <c r="AB34" s="17"/>
      <c r="AC34" s="17"/>
      <c r="AD34" s="17"/>
      <c r="AE34" s="17"/>
      <c r="AF34" s="17"/>
      <c r="AG34" s="17"/>
      <c r="AH34" s="17"/>
      <c r="AI34" s="17"/>
    </row>
    <row r="35" hidden="1">
      <c r="A35" s="34">
        <f t="shared" si="3"/>
        <v>34</v>
      </c>
      <c r="B35" s="35" t="s">
        <v>52</v>
      </c>
      <c r="C35" s="34" t="s">
        <v>2364</v>
      </c>
      <c r="D35" s="34" t="s">
        <v>8033</v>
      </c>
      <c r="E35" s="34">
        <v>22.333410000000001</v>
      </c>
      <c r="F35" s="34">
        <v>87.554919999999996</v>
      </c>
      <c r="G35" s="34" t="s">
        <v>7954</v>
      </c>
      <c r="H35" s="34" t="s">
        <v>7987</v>
      </c>
      <c r="I35" s="35" t="s">
        <v>1579</v>
      </c>
      <c r="J35" s="35">
        <v>7003188299</v>
      </c>
      <c r="K35" s="34" t="s">
        <v>1579</v>
      </c>
      <c r="L35" s="34">
        <v>7003188299</v>
      </c>
      <c r="M35" s="34">
        <v>55</v>
      </c>
      <c r="N35" s="17"/>
      <c r="O35" s="17"/>
      <c r="P35" s="17"/>
      <c r="Q35" s="17"/>
      <c r="R35" s="17"/>
      <c r="S35" s="17"/>
      <c r="T35" s="17" t="s">
        <v>7995</v>
      </c>
      <c r="U35" s="17">
        <v>1</v>
      </c>
      <c r="V35" s="17"/>
      <c r="W35" s="17" t="s">
        <v>8014</v>
      </c>
      <c r="X35" s="17">
        <v>3</v>
      </c>
      <c r="Y35" s="17" t="s">
        <v>7991</v>
      </c>
      <c r="Z35" s="17" t="s">
        <v>8034</v>
      </c>
      <c r="AA35" s="17" t="s">
        <v>8001</v>
      </c>
      <c r="AB35" s="17" t="s">
        <v>8035</v>
      </c>
      <c r="AC35" s="17"/>
      <c r="AD35" s="17"/>
      <c r="AE35" s="17"/>
      <c r="AF35" s="17"/>
      <c r="AG35" s="17" t="s">
        <v>7997</v>
      </c>
      <c r="AH35" s="17"/>
      <c r="AI35" s="17"/>
    </row>
    <row r="36" hidden="1">
      <c r="A36" s="34">
        <f t="shared" si="3"/>
        <v>35</v>
      </c>
      <c r="B36" s="35" t="s">
        <v>52</v>
      </c>
      <c r="C36" s="34" t="s">
        <v>2369</v>
      </c>
      <c r="D36" s="34" t="s">
        <v>8036</v>
      </c>
      <c r="E36" s="34">
        <v>22.362130000000001</v>
      </c>
      <c r="F36" s="34">
        <v>87.611135000000004</v>
      </c>
      <c r="G36" s="34" t="s">
        <v>7954</v>
      </c>
      <c r="H36" s="34" t="s">
        <v>7987</v>
      </c>
      <c r="I36" s="35" t="s">
        <v>1579</v>
      </c>
      <c r="J36" s="35">
        <v>7003188299</v>
      </c>
      <c r="K36" s="34" t="s">
        <v>1579</v>
      </c>
      <c r="L36" s="34">
        <v>7003188299</v>
      </c>
      <c r="M36" s="34"/>
      <c r="N36" s="17"/>
      <c r="O36" s="17"/>
      <c r="P36" s="17"/>
      <c r="Q36" s="17"/>
      <c r="R36" s="17"/>
      <c r="S36" s="17"/>
      <c r="T36" s="17"/>
      <c r="U36" s="17"/>
      <c r="V36" s="17"/>
      <c r="W36" s="17"/>
      <c r="X36" s="17"/>
      <c r="Y36" s="17"/>
      <c r="Z36" s="17"/>
      <c r="AA36" s="17"/>
      <c r="AB36" s="17"/>
      <c r="AC36" s="17"/>
      <c r="AD36" s="17"/>
      <c r="AE36" s="17"/>
      <c r="AF36" s="17"/>
      <c r="AG36" s="17"/>
      <c r="AH36" s="17"/>
      <c r="AI36" s="17"/>
    </row>
    <row r="37" hidden="1">
      <c r="A37" s="34">
        <f t="shared" si="3"/>
        <v>36</v>
      </c>
      <c r="B37" s="35" t="s">
        <v>52</v>
      </c>
      <c r="C37" s="34" t="s">
        <v>2374</v>
      </c>
      <c r="D37" s="34" t="s">
        <v>8037</v>
      </c>
      <c r="E37" s="34">
        <v>22.323685000000001</v>
      </c>
      <c r="F37" s="34">
        <v>87.52431</v>
      </c>
      <c r="G37" s="34" t="s">
        <v>7954</v>
      </c>
      <c r="H37" s="34" t="s">
        <v>7987</v>
      </c>
      <c r="I37" s="35" t="s">
        <v>1579</v>
      </c>
      <c r="J37" s="35">
        <v>7003188299</v>
      </c>
      <c r="K37" s="34" t="s">
        <v>1579</v>
      </c>
      <c r="L37" s="34">
        <v>7003188299</v>
      </c>
      <c r="M37" s="34">
        <v>160</v>
      </c>
      <c r="N37" s="17"/>
      <c r="O37" s="17"/>
      <c r="P37" s="17"/>
      <c r="Q37" s="17"/>
      <c r="R37" s="17"/>
      <c r="S37" s="17"/>
      <c r="T37" s="17" t="s">
        <v>7995</v>
      </c>
      <c r="U37" s="17">
        <v>1</v>
      </c>
      <c r="V37" s="17"/>
      <c r="W37" s="17" t="s">
        <v>8038</v>
      </c>
      <c r="X37" s="17">
        <v>3</v>
      </c>
      <c r="Y37" s="17"/>
      <c r="Z37" s="17"/>
      <c r="AA37" s="17"/>
      <c r="AB37" s="17"/>
      <c r="AC37" s="17"/>
      <c r="AD37" s="17"/>
      <c r="AE37" s="17"/>
      <c r="AF37" s="17"/>
      <c r="AG37" s="17" t="s">
        <v>7997</v>
      </c>
      <c r="AH37" s="17"/>
      <c r="AI37" s="17"/>
    </row>
    <row r="38" hidden="1">
      <c r="A38" s="34">
        <f t="shared" si="3"/>
        <v>37</v>
      </c>
      <c r="B38" s="35" t="s">
        <v>52</v>
      </c>
      <c r="C38" s="34" t="s">
        <v>2379</v>
      </c>
      <c r="D38" s="34" t="s">
        <v>8039</v>
      </c>
      <c r="E38" s="34">
        <v>22.36655</v>
      </c>
      <c r="F38" s="34">
        <v>87.53546</v>
      </c>
      <c r="G38" s="34" t="s">
        <v>7954</v>
      </c>
      <c r="H38" s="34" t="s">
        <v>7987</v>
      </c>
      <c r="I38" s="35" t="s">
        <v>2291</v>
      </c>
      <c r="J38" s="35">
        <v>9933713149</v>
      </c>
      <c r="K38" s="34" t="s">
        <v>2291</v>
      </c>
      <c r="L38" s="42">
        <v>9933713149</v>
      </c>
      <c r="M38" s="42"/>
      <c r="N38" s="17"/>
      <c r="O38" s="17"/>
      <c r="P38" s="17"/>
      <c r="Q38" s="17"/>
      <c r="R38" s="17"/>
      <c r="S38" s="17"/>
      <c r="T38" s="17"/>
      <c r="U38" s="17"/>
      <c r="V38" s="17"/>
      <c r="W38" s="17"/>
      <c r="X38" s="17"/>
      <c r="Y38" s="17"/>
      <c r="Z38" s="17"/>
      <c r="AA38" s="17"/>
      <c r="AB38" s="17"/>
      <c r="AC38" s="17"/>
      <c r="AD38" s="17"/>
      <c r="AE38" s="17"/>
      <c r="AF38" s="17"/>
      <c r="AG38" s="17"/>
      <c r="AH38" s="17"/>
      <c r="AI38" s="17"/>
    </row>
    <row r="39" hidden="1">
      <c r="A39" s="34">
        <f t="shared" si="3"/>
        <v>38</v>
      </c>
      <c r="B39" s="35" t="s">
        <v>52</v>
      </c>
      <c r="C39" s="34" t="s">
        <v>2383</v>
      </c>
      <c r="D39" s="34" t="s">
        <v>8040</v>
      </c>
      <c r="E39" s="34">
        <v>22.312760000000001</v>
      </c>
      <c r="F39" s="34">
        <v>87.574437000000003</v>
      </c>
      <c r="G39" s="34" t="s">
        <v>7954</v>
      </c>
      <c r="H39" s="34" t="s">
        <v>7987</v>
      </c>
      <c r="I39" s="35" t="s">
        <v>1579</v>
      </c>
      <c r="J39" s="35">
        <v>7003188299</v>
      </c>
      <c r="K39" s="34" t="s">
        <v>1579</v>
      </c>
      <c r="L39" s="34">
        <v>7003188299</v>
      </c>
      <c r="M39" s="34"/>
      <c r="N39" s="17"/>
      <c r="O39" s="17"/>
      <c r="P39" s="17"/>
      <c r="Q39" s="17"/>
      <c r="R39" s="17"/>
      <c r="S39" s="17"/>
      <c r="T39" s="17"/>
      <c r="U39" s="17"/>
      <c r="V39" s="17"/>
      <c r="W39" s="17"/>
      <c r="X39" s="17"/>
      <c r="Y39" s="17"/>
      <c r="Z39" s="17"/>
      <c r="AA39" s="17"/>
      <c r="AB39" s="17"/>
      <c r="AC39" s="17"/>
      <c r="AD39" s="17"/>
      <c r="AE39" s="17"/>
      <c r="AF39" s="17"/>
      <c r="AG39" s="17"/>
      <c r="AH39" s="17"/>
      <c r="AI39" s="17"/>
    </row>
    <row r="40" hidden="1">
      <c r="A40" s="34">
        <f t="shared" si="3"/>
        <v>39</v>
      </c>
      <c r="B40" s="35" t="s">
        <v>52</v>
      </c>
      <c r="C40" s="34" t="s">
        <v>2388</v>
      </c>
      <c r="D40" s="34" t="s">
        <v>8041</v>
      </c>
      <c r="E40" s="34">
        <v>22.33521</v>
      </c>
      <c r="F40" s="34">
        <v>87.577439999999996</v>
      </c>
      <c r="G40" s="34" t="s">
        <v>7954</v>
      </c>
      <c r="H40" s="34" t="s">
        <v>7987</v>
      </c>
      <c r="I40" s="35" t="s">
        <v>1579</v>
      </c>
      <c r="J40" s="35">
        <v>7003188299</v>
      </c>
      <c r="K40" s="34" t="s">
        <v>1579</v>
      </c>
      <c r="L40" s="34">
        <v>7003188299</v>
      </c>
      <c r="M40" s="34"/>
      <c r="N40" s="17"/>
      <c r="O40" s="17"/>
      <c r="P40" s="17"/>
      <c r="Q40" s="17"/>
      <c r="R40" s="17"/>
      <c r="S40" s="17"/>
      <c r="T40" s="17"/>
      <c r="U40" s="17"/>
      <c r="V40" s="17"/>
      <c r="W40" s="17"/>
      <c r="X40" s="17"/>
      <c r="Y40" s="17"/>
      <c r="Z40" s="17"/>
      <c r="AA40" s="17"/>
      <c r="AB40" s="17"/>
      <c r="AC40" s="17"/>
      <c r="AD40" s="17"/>
      <c r="AE40" s="17"/>
      <c r="AF40" s="17"/>
      <c r="AG40" s="17"/>
      <c r="AH40" s="17"/>
      <c r="AI40" s="17"/>
    </row>
    <row r="41" hidden="1">
      <c r="A41" s="34">
        <f t="shared" si="3"/>
        <v>40</v>
      </c>
      <c r="B41" s="35" t="s">
        <v>52</v>
      </c>
      <c r="C41" s="34" t="s">
        <v>2392</v>
      </c>
      <c r="D41" s="34" t="s">
        <v>8042</v>
      </c>
      <c r="E41" s="34">
        <v>22.51652</v>
      </c>
      <c r="F41" s="34">
        <v>87.601560000000006</v>
      </c>
      <c r="G41" s="34" t="s">
        <v>7954</v>
      </c>
      <c r="H41" s="34" t="s">
        <v>7987</v>
      </c>
      <c r="I41" s="35" t="s">
        <v>2291</v>
      </c>
      <c r="J41" s="35">
        <v>9933713149</v>
      </c>
      <c r="K41" s="34" t="s">
        <v>2291</v>
      </c>
      <c r="L41" s="42">
        <v>9933713149</v>
      </c>
      <c r="M41" s="42"/>
      <c r="N41" s="17"/>
      <c r="O41" s="17"/>
      <c r="P41" s="17"/>
      <c r="Q41" s="17"/>
      <c r="R41" s="17"/>
      <c r="S41" s="17"/>
      <c r="T41" s="17"/>
      <c r="U41" s="17"/>
      <c r="V41" s="17"/>
      <c r="W41" s="17"/>
      <c r="X41" s="17"/>
      <c r="Y41" s="17"/>
      <c r="Z41" s="17"/>
      <c r="AA41" s="17"/>
      <c r="AB41" s="17"/>
      <c r="AC41" s="17"/>
      <c r="AD41" s="17"/>
      <c r="AE41" s="17"/>
      <c r="AF41" s="17"/>
      <c r="AG41" s="17"/>
      <c r="AH41" s="17"/>
      <c r="AI41" s="17"/>
    </row>
    <row r="42" hidden="1">
      <c r="A42" s="34">
        <f t="shared" si="3"/>
        <v>41</v>
      </c>
      <c r="B42" s="35" t="s">
        <v>52</v>
      </c>
      <c r="C42" s="34" t="s">
        <v>2396</v>
      </c>
      <c r="D42" s="34" t="s">
        <v>8043</v>
      </c>
      <c r="E42" s="34">
        <v>22.40802</v>
      </c>
      <c r="F42" s="34">
        <v>87.611959999999996</v>
      </c>
      <c r="G42" s="34" t="s">
        <v>7954</v>
      </c>
      <c r="H42" s="34" t="s">
        <v>7987</v>
      </c>
      <c r="I42" s="35" t="s">
        <v>2291</v>
      </c>
      <c r="J42" s="35">
        <v>9933713149</v>
      </c>
      <c r="K42" s="34" t="s">
        <v>2291</v>
      </c>
      <c r="L42" s="42">
        <v>9933713149</v>
      </c>
      <c r="M42" s="42"/>
      <c r="N42" s="17"/>
      <c r="O42" s="17"/>
      <c r="P42" s="17"/>
      <c r="Q42" s="17"/>
      <c r="R42" s="17"/>
      <c r="S42" s="17"/>
      <c r="T42" s="17"/>
      <c r="U42" s="17"/>
      <c r="V42" s="17"/>
      <c r="W42" s="17"/>
      <c r="X42" s="17"/>
      <c r="Y42" s="17"/>
      <c r="Z42" s="17"/>
      <c r="AA42" s="17"/>
      <c r="AB42" s="17"/>
      <c r="AC42" s="17"/>
      <c r="AD42" s="17"/>
      <c r="AE42" s="17"/>
      <c r="AF42" s="17"/>
      <c r="AG42" s="17"/>
      <c r="AH42" s="17"/>
      <c r="AI42" s="17"/>
    </row>
    <row r="43" hidden="1">
      <c r="A43" s="34">
        <f t="shared" si="3"/>
        <v>42</v>
      </c>
      <c r="B43" s="35" t="s">
        <v>52</v>
      </c>
      <c r="C43" s="34" t="s">
        <v>2399</v>
      </c>
      <c r="D43" s="34" t="s">
        <v>8044</v>
      </c>
      <c r="E43" s="34">
        <v>22.391169999999999</v>
      </c>
      <c r="F43" s="34">
        <v>87.63485</v>
      </c>
      <c r="G43" s="34" t="s">
        <v>7954</v>
      </c>
      <c r="H43" s="34" t="s">
        <v>7987</v>
      </c>
      <c r="I43" s="35" t="s">
        <v>2291</v>
      </c>
      <c r="J43" s="35">
        <v>9933713149</v>
      </c>
      <c r="K43" s="34" t="s">
        <v>2291</v>
      </c>
      <c r="L43" s="42">
        <v>9933713149</v>
      </c>
      <c r="M43" s="42"/>
      <c r="N43" s="17"/>
      <c r="O43" s="17"/>
      <c r="P43" s="17"/>
      <c r="Q43" s="17"/>
      <c r="R43" s="17"/>
      <c r="S43" s="17"/>
      <c r="T43" s="17"/>
      <c r="U43" s="17"/>
      <c r="V43" s="17"/>
      <c r="W43" s="17"/>
      <c r="X43" s="17"/>
      <c r="Y43" s="17"/>
      <c r="Z43" s="17"/>
      <c r="AA43" s="17"/>
      <c r="AB43" s="17"/>
      <c r="AC43" s="17"/>
      <c r="AD43" s="17"/>
      <c r="AE43" s="17"/>
      <c r="AF43" s="17"/>
      <c r="AG43" s="17"/>
      <c r="AH43" s="17"/>
      <c r="AI43" s="17"/>
    </row>
    <row r="44" hidden="1">
      <c r="A44" s="34">
        <f t="shared" si="3"/>
        <v>43</v>
      </c>
      <c r="B44" s="35" t="s">
        <v>52</v>
      </c>
      <c r="C44" s="34" t="s">
        <v>2402</v>
      </c>
      <c r="D44" s="34" t="s">
        <v>2403</v>
      </c>
      <c r="E44" s="34">
        <v>22.506982000000001</v>
      </c>
      <c r="F44" s="34">
        <v>87.666685999999999</v>
      </c>
      <c r="G44" s="34" t="s">
        <v>7956</v>
      </c>
      <c r="H44" s="34" t="s">
        <v>7987</v>
      </c>
      <c r="I44" s="35" t="s">
        <v>2291</v>
      </c>
      <c r="J44" s="35">
        <v>9933713149</v>
      </c>
      <c r="K44" s="34" t="s">
        <v>2291</v>
      </c>
      <c r="L44" s="42">
        <v>9933713149</v>
      </c>
      <c r="M44" s="42"/>
      <c r="N44" s="17"/>
      <c r="O44" s="17"/>
      <c r="P44" s="17"/>
      <c r="Q44" s="17"/>
      <c r="R44" s="17"/>
      <c r="S44" s="17"/>
      <c r="T44" s="17"/>
      <c r="U44" s="17"/>
      <c r="V44" s="17"/>
      <c r="W44" s="17"/>
      <c r="X44" s="17"/>
      <c r="Y44" s="17"/>
      <c r="Z44" s="17"/>
      <c r="AA44" s="17"/>
      <c r="AB44" s="17"/>
      <c r="AC44" s="17"/>
      <c r="AD44" s="17"/>
      <c r="AE44" s="17"/>
      <c r="AF44" s="17"/>
      <c r="AG44" s="17"/>
      <c r="AH44" s="17"/>
      <c r="AI44" s="17"/>
    </row>
    <row r="45" hidden="1">
      <c r="A45" s="34">
        <f t="shared" si="3"/>
        <v>44</v>
      </c>
      <c r="B45" s="35" t="s">
        <v>52</v>
      </c>
      <c r="C45" s="34" t="s">
        <v>2405</v>
      </c>
      <c r="D45" s="34" t="s">
        <v>8045</v>
      </c>
      <c r="E45" s="34">
        <v>22.518675999999999</v>
      </c>
      <c r="F45" s="34">
        <v>87.630090999999993</v>
      </c>
      <c r="G45" s="34" t="s">
        <v>7956</v>
      </c>
      <c r="H45" s="34" t="s">
        <v>7987</v>
      </c>
      <c r="I45" s="35" t="s">
        <v>2291</v>
      </c>
      <c r="J45" s="35">
        <v>9933713149</v>
      </c>
      <c r="K45" s="34" t="s">
        <v>2291</v>
      </c>
      <c r="L45" s="42">
        <v>9933713149</v>
      </c>
      <c r="M45" s="42"/>
      <c r="N45" s="17"/>
      <c r="O45" s="17"/>
      <c r="P45" s="17"/>
      <c r="Q45" s="17"/>
      <c r="R45" s="17"/>
      <c r="S45" s="17"/>
      <c r="T45" s="17"/>
      <c r="U45" s="17"/>
      <c r="V45" s="17"/>
      <c r="W45" s="17"/>
      <c r="X45" s="17"/>
      <c r="Y45" s="17"/>
      <c r="Z45" s="17"/>
      <c r="AA45" s="17"/>
      <c r="AB45" s="17"/>
      <c r="AC45" s="17"/>
      <c r="AD45" s="17"/>
      <c r="AE45" s="17"/>
      <c r="AF45" s="17"/>
      <c r="AG45" s="17"/>
      <c r="AH45" s="17"/>
      <c r="AI45" s="17"/>
    </row>
    <row r="46" hidden="1">
      <c r="A46" s="34">
        <f t="shared" si="3"/>
        <v>45</v>
      </c>
      <c r="B46" s="35" t="s">
        <v>52</v>
      </c>
      <c r="C46" s="34" t="s">
        <v>2408</v>
      </c>
      <c r="D46" s="34" t="s">
        <v>8046</v>
      </c>
      <c r="E46" s="34">
        <v>22.310362999999999</v>
      </c>
      <c r="F46" s="34">
        <v>87.591368000000003</v>
      </c>
      <c r="G46" s="34" t="s">
        <v>7956</v>
      </c>
      <c r="H46" s="34" t="s">
        <v>7987</v>
      </c>
      <c r="I46" s="35" t="s">
        <v>1579</v>
      </c>
      <c r="J46" s="35">
        <v>7003188299</v>
      </c>
      <c r="K46" s="34" t="s">
        <v>1579</v>
      </c>
      <c r="L46" s="34">
        <v>7003188299</v>
      </c>
      <c r="M46" s="34"/>
      <c r="N46" s="17"/>
      <c r="O46" s="17"/>
      <c r="P46" s="17"/>
      <c r="Q46" s="17"/>
      <c r="R46" s="17"/>
      <c r="S46" s="17"/>
      <c r="T46" s="17"/>
      <c r="U46" s="17"/>
      <c r="V46" s="17"/>
      <c r="W46" s="17"/>
      <c r="X46" s="17"/>
      <c r="Y46" s="17"/>
      <c r="Z46" s="17"/>
      <c r="AA46" s="17"/>
      <c r="AB46" s="17"/>
      <c r="AC46" s="17"/>
      <c r="AD46" s="17"/>
      <c r="AE46" s="17"/>
      <c r="AF46" s="17"/>
      <c r="AG46" s="17"/>
      <c r="AH46" s="17"/>
      <c r="AI46" s="17"/>
    </row>
    <row r="47" hidden="1">
      <c r="A47" s="34">
        <f t="shared" si="3"/>
        <v>46</v>
      </c>
      <c r="B47" s="35" t="s">
        <v>52</v>
      </c>
      <c r="C47" s="34" t="s">
        <v>2411</v>
      </c>
      <c r="D47" s="34" t="s">
        <v>8047</v>
      </c>
      <c r="E47" s="34">
        <v>22.489656</v>
      </c>
      <c r="F47" s="34">
        <v>87.659576000000001</v>
      </c>
      <c r="G47" s="34" t="s">
        <v>7956</v>
      </c>
      <c r="H47" s="34" t="s">
        <v>8009</v>
      </c>
      <c r="I47" s="35" t="s">
        <v>2291</v>
      </c>
      <c r="J47" s="35">
        <v>9933713149</v>
      </c>
      <c r="K47" s="34" t="s">
        <v>2291</v>
      </c>
      <c r="L47" s="42">
        <v>9933713149</v>
      </c>
      <c r="M47" s="42"/>
      <c r="N47" s="17"/>
      <c r="O47" s="17"/>
      <c r="P47" s="17"/>
      <c r="Q47" s="17"/>
      <c r="R47" s="17"/>
      <c r="S47" s="17"/>
      <c r="T47" s="17"/>
      <c r="U47" s="17"/>
      <c r="V47" s="17"/>
      <c r="W47" s="17"/>
      <c r="X47" s="17"/>
      <c r="Y47" s="17"/>
      <c r="Z47" s="17"/>
      <c r="AA47" s="17"/>
      <c r="AB47" s="17"/>
      <c r="AC47" s="17"/>
      <c r="AD47" s="17"/>
      <c r="AE47" s="17"/>
      <c r="AF47" s="17"/>
      <c r="AG47" s="17"/>
      <c r="AH47" s="17"/>
      <c r="AI47" s="17"/>
    </row>
    <row r="48" hidden="1">
      <c r="A48" s="34">
        <f t="shared" si="3"/>
        <v>47</v>
      </c>
      <c r="B48" s="35" t="s">
        <v>52</v>
      </c>
      <c r="C48" s="34" t="s">
        <v>2415</v>
      </c>
      <c r="D48" s="34" t="s">
        <v>8048</v>
      </c>
      <c r="E48" s="34">
        <v>22.465527000000002</v>
      </c>
      <c r="F48" s="34">
        <v>87.598178000000004</v>
      </c>
      <c r="G48" s="34" t="s">
        <v>7956</v>
      </c>
      <c r="H48" s="34" t="s">
        <v>7987</v>
      </c>
      <c r="I48" s="35" t="s">
        <v>2291</v>
      </c>
      <c r="J48" s="35">
        <v>9933713149</v>
      </c>
      <c r="K48" s="34" t="s">
        <v>2291</v>
      </c>
      <c r="L48" s="42">
        <v>9933713149</v>
      </c>
      <c r="M48" s="42"/>
      <c r="N48" s="17"/>
      <c r="O48" s="17"/>
      <c r="P48" s="17"/>
      <c r="Q48" s="17"/>
      <c r="R48" s="17"/>
      <c r="S48" s="17"/>
      <c r="T48" s="17"/>
      <c r="U48" s="17"/>
      <c r="V48" s="17"/>
      <c r="W48" s="17"/>
      <c r="X48" s="17"/>
      <c r="Y48" s="17"/>
      <c r="Z48" s="17"/>
      <c r="AA48" s="17"/>
      <c r="AB48" s="17"/>
      <c r="AC48" s="17"/>
      <c r="AD48" s="17"/>
      <c r="AE48" s="17"/>
      <c r="AF48" s="17"/>
      <c r="AG48" s="17"/>
      <c r="AH48" s="17"/>
      <c r="AI48" s="17"/>
    </row>
    <row r="49" hidden="1">
      <c r="A49" s="34">
        <f t="shared" si="3"/>
        <v>48</v>
      </c>
      <c r="B49" s="35" t="s">
        <v>52</v>
      </c>
      <c r="C49" s="34" t="s">
        <v>2418</v>
      </c>
      <c r="D49" s="34" t="s">
        <v>8049</v>
      </c>
      <c r="E49" s="34">
        <v>22.440408000000001</v>
      </c>
      <c r="F49" s="34">
        <v>87.629127999999994</v>
      </c>
      <c r="G49" s="34" t="s">
        <v>7956</v>
      </c>
      <c r="H49" s="34" t="s">
        <v>7987</v>
      </c>
      <c r="I49" s="35" t="s">
        <v>2291</v>
      </c>
      <c r="J49" s="35">
        <v>9933713149</v>
      </c>
      <c r="K49" s="34" t="s">
        <v>2291</v>
      </c>
      <c r="L49" s="42">
        <v>9933713149</v>
      </c>
      <c r="M49" s="42"/>
      <c r="N49" s="17"/>
      <c r="O49" s="17"/>
      <c r="P49" s="17"/>
      <c r="Q49" s="17"/>
      <c r="R49" s="17"/>
      <c r="S49" s="17"/>
      <c r="T49" s="17"/>
      <c r="U49" s="17"/>
      <c r="V49" s="17"/>
      <c r="W49" s="17"/>
      <c r="X49" s="17"/>
      <c r="Y49" s="17"/>
      <c r="Z49" s="17"/>
      <c r="AA49" s="17"/>
      <c r="AB49" s="17"/>
      <c r="AC49" s="17"/>
      <c r="AD49" s="17"/>
      <c r="AE49" s="17"/>
      <c r="AF49" s="17"/>
      <c r="AG49" s="17"/>
      <c r="AH49" s="17"/>
      <c r="AI49" s="17"/>
    </row>
    <row r="50" hidden="1">
      <c r="A50" s="34">
        <f t="shared" si="3"/>
        <v>49</v>
      </c>
      <c r="B50" s="35" t="s">
        <v>52</v>
      </c>
      <c r="C50" s="34" t="s">
        <v>2421</v>
      </c>
      <c r="D50" s="34" t="s">
        <v>8050</v>
      </c>
      <c r="E50" s="34">
        <v>22.315852</v>
      </c>
      <c r="F50" s="34">
        <v>87.554067000000003</v>
      </c>
      <c r="G50" s="34" t="s">
        <v>7956</v>
      </c>
      <c r="H50" s="34" t="s">
        <v>7987</v>
      </c>
      <c r="I50" s="35" t="s">
        <v>1579</v>
      </c>
      <c r="J50" s="35">
        <v>7003188299</v>
      </c>
      <c r="K50" s="34" t="s">
        <v>1579</v>
      </c>
      <c r="L50" s="34">
        <v>7003188299</v>
      </c>
      <c r="M50" s="34"/>
      <c r="N50" s="17"/>
      <c r="O50" s="17"/>
      <c r="P50" s="17"/>
      <c r="Q50" s="17"/>
      <c r="R50" s="17"/>
      <c r="S50" s="17"/>
      <c r="T50" s="17"/>
      <c r="U50" s="17"/>
      <c r="V50" s="17"/>
      <c r="W50" s="17"/>
      <c r="X50" s="17"/>
      <c r="Y50" s="17"/>
      <c r="Z50" s="17"/>
      <c r="AA50" s="17"/>
      <c r="AB50" s="17"/>
      <c r="AC50" s="17"/>
      <c r="AD50" s="17"/>
      <c r="AE50" s="17"/>
      <c r="AF50" s="17"/>
      <c r="AG50" s="17"/>
      <c r="AH50" s="17"/>
      <c r="AI50" s="17"/>
    </row>
    <row r="51" hidden="1">
      <c r="A51" s="34">
        <f t="shared" si="3"/>
        <v>50</v>
      </c>
      <c r="B51" s="35" t="s">
        <v>52</v>
      </c>
      <c r="C51" s="34" t="s">
        <v>2424</v>
      </c>
      <c r="D51" s="34" t="s">
        <v>8051</v>
      </c>
      <c r="E51" s="34">
        <v>22.531806</v>
      </c>
      <c r="F51" s="34">
        <v>87.586320999999998</v>
      </c>
      <c r="G51" s="34" t="s">
        <v>7956</v>
      </c>
      <c r="H51" s="34" t="s">
        <v>7987</v>
      </c>
      <c r="I51" s="35" t="s">
        <v>2291</v>
      </c>
      <c r="J51" s="35">
        <v>9933713149</v>
      </c>
      <c r="K51" s="34" t="s">
        <v>2291</v>
      </c>
      <c r="L51" s="42">
        <v>9933713149</v>
      </c>
      <c r="M51" s="42"/>
      <c r="N51" s="17"/>
      <c r="O51" s="17"/>
      <c r="P51" s="17"/>
      <c r="Q51" s="17"/>
      <c r="R51" s="17"/>
      <c r="S51" s="17"/>
      <c r="T51" s="17"/>
      <c r="U51" s="17"/>
      <c r="V51" s="17"/>
      <c r="W51" s="17"/>
      <c r="X51" s="17"/>
      <c r="Y51" s="17"/>
      <c r="Z51" s="17"/>
      <c r="AA51" s="17"/>
      <c r="AB51" s="17"/>
      <c r="AC51" s="17"/>
      <c r="AD51" s="17"/>
      <c r="AE51" s="17"/>
      <c r="AF51" s="17"/>
      <c r="AG51" s="17"/>
      <c r="AH51" s="17"/>
      <c r="AI51" s="17"/>
    </row>
    <row r="52" hidden="1">
      <c r="A52" s="34">
        <f t="shared" si="3"/>
        <v>51</v>
      </c>
      <c r="B52" s="35" t="s">
        <v>52</v>
      </c>
      <c r="C52" s="34" t="s">
        <v>2427</v>
      </c>
      <c r="D52" s="34" t="s">
        <v>2428</v>
      </c>
      <c r="E52" s="34">
        <v>22.433105000000001</v>
      </c>
      <c r="F52" s="34">
        <v>87.568164999999993</v>
      </c>
      <c r="G52" s="34" t="s">
        <v>7956</v>
      </c>
      <c r="H52" s="34" t="s">
        <v>7987</v>
      </c>
      <c r="I52" s="35" t="s">
        <v>2291</v>
      </c>
      <c r="J52" s="35">
        <v>9933713149</v>
      </c>
      <c r="K52" s="34" t="s">
        <v>2291</v>
      </c>
      <c r="L52" s="42">
        <v>9933713149</v>
      </c>
      <c r="M52" s="42"/>
      <c r="N52" s="17"/>
      <c r="O52" s="17"/>
      <c r="P52" s="17"/>
      <c r="Q52" s="17"/>
      <c r="R52" s="17"/>
      <c r="S52" s="17"/>
      <c r="T52" s="17"/>
      <c r="U52" s="17"/>
      <c r="V52" s="17"/>
      <c r="W52" s="17"/>
      <c r="X52" s="17"/>
      <c r="Y52" s="17"/>
      <c r="Z52" s="17"/>
      <c r="AA52" s="17"/>
      <c r="AB52" s="17"/>
      <c r="AC52" s="17"/>
      <c r="AD52" s="17"/>
      <c r="AE52" s="17"/>
      <c r="AF52" s="17"/>
      <c r="AG52" s="17"/>
      <c r="AH52" s="17"/>
      <c r="AI52" s="17"/>
    </row>
    <row r="53" hidden="1">
      <c r="A53" s="34">
        <f t="shared" si="3"/>
        <v>52</v>
      </c>
      <c r="B53" s="35" t="s">
        <v>52</v>
      </c>
      <c r="C53" s="34" t="s">
        <v>2430</v>
      </c>
      <c r="D53" s="34" t="s">
        <v>2431</v>
      </c>
      <c r="E53" s="34">
        <v>22.330235999999999</v>
      </c>
      <c r="F53" s="34">
        <v>87.499521000000001</v>
      </c>
      <c r="G53" s="34" t="s">
        <v>7956</v>
      </c>
      <c r="H53" s="34" t="s">
        <v>7987</v>
      </c>
      <c r="I53" s="35" t="s">
        <v>1579</v>
      </c>
      <c r="J53" s="35">
        <v>7003188299</v>
      </c>
      <c r="K53" s="34" t="s">
        <v>1579</v>
      </c>
      <c r="L53" s="34">
        <v>7003188299</v>
      </c>
      <c r="M53" s="34"/>
      <c r="N53" s="17"/>
      <c r="O53" s="17"/>
      <c r="P53" s="17"/>
      <c r="Q53" s="17"/>
      <c r="R53" s="17"/>
      <c r="S53" s="17"/>
      <c r="T53" s="17"/>
      <c r="U53" s="17"/>
      <c r="V53" s="17"/>
      <c r="W53" s="17"/>
      <c r="X53" s="17"/>
      <c r="Y53" s="17"/>
      <c r="Z53" s="17"/>
      <c r="AA53" s="17"/>
      <c r="AB53" s="17"/>
      <c r="AC53" s="17"/>
      <c r="AD53" s="17"/>
      <c r="AE53" s="17"/>
      <c r="AF53" s="17"/>
      <c r="AG53" s="17"/>
      <c r="AH53" s="17"/>
      <c r="AI53" s="17"/>
    </row>
    <row r="54" hidden="1">
      <c r="A54" s="34">
        <f t="shared" si="3"/>
        <v>53</v>
      </c>
      <c r="B54" s="35" t="s">
        <v>52</v>
      </c>
      <c r="C54" s="34" t="s">
        <v>2433</v>
      </c>
      <c r="D54" s="34" t="s">
        <v>8052</v>
      </c>
      <c r="E54" s="34">
        <v>22.37642</v>
      </c>
      <c r="F54" s="34">
        <v>87.559467999999995</v>
      </c>
      <c r="G54" s="34" t="s">
        <v>7956</v>
      </c>
      <c r="H54" s="34" t="s">
        <v>7987</v>
      </c>
      <c r="I54" s="35" t="s">
        <v>1579</v>
      </c>
      <c r="J54" s="35">
        <v>7003188299</v>
      </c>
      <c r="K54" s="34" t="s">
        <v>1579</v>
      </c>
      <c r="L54" s="34">
        <v>7003188299</v>
      </c>
      <c r="M54" s="34"/>
      <c r="N54" s="17"/>
      <c r="O54" s="17"/>
      <c r="P54" s="17"/>
      <c r="Q54" s="17"/>
      <c r="R54" s="17"/>
      <c r="S54" s="17"/>
      <c r="T54" s="17"/>
      <c r="U54" s="17"/>
      <c r="V54" s="17"/>
      <c r="W54" s="17"/>
      <c r="X54" s="17"/>
      <c r="Y54" s="17"/>
      <c r="Z54" s="17"/>
      <c r="AA54" s="17"/>
      <c r="AB54" s="17"/>
      <c r="AC54" s="17"/>
      <c r="AD54" s="17"/>
      <c r="AE54" s="17"/>
      <c r="AF54" s="17"/>
      <c r="AG54" s="17"/>
      <c r="AH54" s="17"/>
      <c r="AI54" s="17"/>
    </row>
    <row r="55" hidden="1">
      <c r="A55" s="34">
        <f t="shared" si="3"/>
        <v>54</v>
      </c>
      <c r="B55" s="35" t="s">
        <v>52</v>
      </c>
      <c r="C55" s="34" t="s">
        <v>2436</v>
      </c>
      <c r="D55" s="34" t="s">
        <v>2437</v>
      </c>
      <c r="E55" s="34">
        <v>22.416008999999999</v>
      </c>
      <c r="F55" s="34">
        <v>87.532157999999995</v>
      </c>
      <c r="G55" s="34" t="s">
        <v>7956</v>
      </c>
      <c r="H55" s="34" t="s">
        <v>7987</v>
      </c>
      <c r="I55" s="35" t="s">
        <v>2291</v>
      </c>
      <c r="J55" s="35">
        <v>9933713149</v>
      </c>
      <c r="K55" s="34" t="s">
        <v>2291</v>
      </c>
      <c r="L55" s="42">
        <v>9933713149</v>
      </c>
      <c r="M55" s="42"/>
      <c r="N55" s="17"/>
      <c r="O55" s="17"/>
      <c r="P55" s="17"/>
      <c r="Q55" s="17"/>
      <c r="R55" s="17"/>
      <c r="S55" s="17"/>
      <c r="T55" s="17"/>
      <c r="U55" s="17"/>
      <c r="V55" s="17"/>
      <c r="W55" s="17"/>
      <c r="X55" s="17"/>
      <c r="Y55" s="17"/>
      <c r="Z55" s="17"/>
      <c r="AA55" s="17"/>
      <c r="AB55" s="17"/>
      <c r="AC55" s="17"/>
      <c r="AD55" s="17"/>
      <c r="AE55" s="17"/>
      <c r="AF55" s="17"/>
      <c r="AG55" s="17"/>
      <c r="AH55" s="17"/>
      <c r="AI55" s="17"/>
    </row>
    <row r="56" hidden="1">
      <c r="A56" s="34">
        <f t="shared" si="3"/>
        <v>55</v>
      </c>
      <c r="B56" s="35" t="s">
        <v>52</v>
      </c>
      <c r="C56" s="34" t="s">
        <v>2439</v>
      </c>
      <c r="D56" s="34" t="s">
        <v>2440</v>
      </c>
      <c r="E56" s="34">
        <v>22.506789000000001</v>
      </c>
      <c r="F56" s="34">
        <v>87.586044999999999</v>
      </c>
      <c r="G56" s="34" t="s">
        <v>7956</v>
      </c>
      <c r="H56" s="34" t="s">
        <v>7987</v>
      </c>
      <c r="I56" s="35" t="s">
        <v>2291</v>
      </c>
      <c r="J56" s="35">
        <v>9933713149</v>
      </c>
      <c r="K56" s="34" t="s">
        <v>2291</v>
      </c>
      <c r="L56" s="42">
        <v>9933713149</v>
      </c>
      <c r="M56" s="42"/>
      <c r="N56" s="17"/>
      <c r="O56" s="17"/>
      <c r="P56" s="17"/>
      <c r="Q56" s="17"/>
      <c r="R56" s="17"/>
      <c r="S56" s="17"/>
      <c r="T56" s="17"/>
      <c r="U56" s="17"/>
      <c r="V56" s="17"/>
      <c r="W56" s="17"/>
      <c r="X56" s="17"/>
      <c r="Y56" s="17"/>
      <c r="Z56" s="17"/>
      <c r="AA56" s="17"/>
      <c r="AB56" s="17"/>
      <c r="AC56" s="17"/>
      <c r="AD56" s="17"/>
      <c r="AE56" s="17"/>
      <c r="AF56" s="17"/>
      <c r="AG56" s="17"/>
      <c r="AH56" s="17"/>
      <c r="AI56" s="17"/>
    </row>
    <row r="57" hidden="1">
      <c r="A57" s="34">
        <f t="shared" si="3"/>
        <v>56</v>
      </c>
      <c r="B57" s="35" t="s">
        <v>52</v>
      </c>
      <c r="C57" s="34" t="s">
        <v>2442</v>
      </c>
      <c r="D57" s="34" t="s">
        <v>2443</v>
      </c>
      <c r="E57" s="34">
        <v>22.534362999999999</v>
      </c>
      <c r="F57" s="34">
        <v>87.610242</v>
      </c>
      <c r="G57" s="34" t="s">
        <v>7956</v>
      </c>
      <c r="H57" s="34" t="s">
        <v>7987</v>
      </c>
      <c r="I57" s="35" t="s">
        <v>2291</v>
      </c>
      <c r="J57" s="35">
        <v>9933713149</v>
      </c>
      <c r="K57" s="34" t="s">
        <v>2291</v>
      </c>
      <c r="L57" s="42">
        <v>9933713149</v>
      </c>
      <c r="M57" s="42"/>
      <c r="N57" s="17"/>
      <c r="O57" s="17"/>
      <c r="P57" s="17"/>
      <c r="Q57" s="17"/>
      <c r="R57" s="17"/>
      <c r="S57" s="17"/>
      <c r="T57" s="17"/>
      <c r="U57" s="17"/>
      <c r="V57" s="17"/>
      <c r="W57" s="17"/>
      <c r="X57" s="17"/>
      <c r="Y57" s="17"/>
      <c r="Z57" s="17"/>
      <c r="AA57" s="17"/>
      <c r="AB57" s="17"/>
      <c r="AC57" s="17"/>
      <c r="AD57" s="17"/>
      <c r="AE57" s="17"/>
      <c r="AF57" s="17"/>
      <c r="AG57" s="17"/>
      <c r="AH57" s="17"/>
      <c r="AI57" s="17"/>
    </row>
    <row r="58" hidden="1">
      <c r="A58" s="34">
        <f t="shared" si="3"/>
        <v>57</v>
      </c>
      <c r="B58" s="35" t="s">
        <v>52</v>
      </c>
      <c r="C58" s="34" t="s">
        <v>2445</v>
      </c>
      <c r="D58" s="34" t="s">
        <v>2446</v>
      </c>
      <c r="E58" s="34">
        <v>22.468741999999999</v>
      </c>
      <c r="F58" s="34">
        <v>87.551321999999999</v>
      </c>
      <c r="G58" s="34" t="s">
        <v>7956</v>
      </c>
      <c r="H58" s="34" t="s">
        <v>7987</v>
      </c>
      <c r="I58" s="35" t="s">
        <v>2291</v>
      </c>
      <c r="J58" s="35">
        <v>9933713149</v>
      </c>
      <c r="K58" s="34" t="s">
        <v>2291</v>
      </c>
      <c r="L58" s="42">
        <v>9933713149</v>
      </c>
      <c r="M58" s="42"/>
      <c r="N58" s="17"/>
      <c r="O58" s="17"/>
      <c r="P58" s="17"/>
      <c r="Q58" s="17"/>
      <c r="R58" s="17"/>
      <c r="S58" s="17"/>
      <c r="T58" s="17"/>
      <c r="U58" s="17"/>
      <c r="V58" s="17"/>
      <c r="W58" s="17"/>
      <c r="X58" s="17"/>
      <c r="Y58" s="17"/>
      <c r="Z58" s="17"/>
      <c r="AA58" s="17"/>
      <c r="AB58" s="17"/>
      <c r="AC58" s="17"/>
      <c r="AD58" s="17"/>
      <c r="AE58" s="17"/>
      <c r="AF58" s="17"/>
      <c r="AG58" s="17"/>
      <c r="AH58" s="17"/>
      <c r="AI58" s="17"/>
    </row>
    <row r="59" hidden="1">
      <c r="A59" s="34">
        <f t="shared" si="3"/>
        <v>58</v>
      </c>
      <c r="B59" s="35" t="s">
        <v>52</v>
      </c>
      <c r="C59" s="34" t="s">
        <v>2448</v>
      </c>
      <c r="D59" s="34" t="s">
        <v>2450</v>
      </c>
      <c r="E59" s="34">
        <v>22.370308000000001</v>
      </c>
      <c r="F59" s="34">
        <v>87.621594000000002</v>
      </c>
      <c r="G59" s="34" t="s">
        <v>7956</v>
      </c>
      <c r="H59" s="34" t="s">
        <v>7987</v>
      </c>
      <c r="I59" s="35" t="s">
        <v>1579</v>
      </c>
      <c r="J59" s="35">
        <v>7003188299</v>
      </c>
      <c r="K59" s="34" t="s">
        <v>1579</v>
      </c>
      <c r="L59" s="34">
        <v>7003188299</v>
      </c>
      <c r="M59" s="34"/>
      <c r="N59" s="17"/>
      <c r="O59" s="17"/>
      <c r="P59" s="17"/>
      <c r="Q59" s="17"/>
      <c r="R59" s="17"/>
      <c r="S59" s="17"/>
      <c r="T59" s="17"/>
      <c r="U59" s="17"/>
      <c r="V59" s="17"/>
      <c r="W59" s="17"/>
      <c r="X59" s="17"/>
      <c r="Y59" s="17"/>
      <c r="Z59" s="17"/>
      <c r="AA59" s="17"/>
      <c r="AB59" s="17"/>
      <c r="AC59" s="17"/>
      <c r="AD59" s="17"/>
      <c r="AE59" s="17"/>
      <c r="AF59" s="17"/>
      <c r="AG59" s="17"/>
      <c r="AH59" s="17"/>
      <c r="AI59" s="17"/>
    </row>
    <row r="60" hidden="1">
      <c r="A60" s="34">
        <f t="shared" si="3"/>
        <v>59</v>
      </c>
      <c r="B60" s="35" t="s">
        <v>52</v>
      </c>
      <c r="C60" s="34" t="s">
        <v>2451</v>
      </c>
      <c r="D60" s="34" t="s">
        <v>8053</v>
      </c>
      <c r="E60" s="34">
        <v>22.395156</v>
      </c>
      <c r="F60" s="34">
        <v>87.596168000000006</v>
      </c>
      <c r="G60" s="34" t="s">
        <v>7956</v>
      </c>
      <c r="H60" s="34" t="s">
        <v>7987</v>
      </c>
      <c r="I60" s="35" t="s">
        <v>2291</v>
      </c>
      <c r="J60" s="35">
        <v>9933713149</v>
      </c>
      <c r="K60" s="35" t="s">
        <v>2291</v>
      </c>
      <c r="L60" s="42">
        <v>9933713149</v>
      </c>
      <c r="M60" s="42"/>
      <c r="N60" s="17"/>
      <c r="O60" s="17"/>
      <c r="P60" s="17"/>
      <c r="Q60" s="17"/>
      <c r="R60" s="17"/>
      <c r="S60" s="17"/>
      <c r="T60" s="17"/>
      <c r="U60" s="17"/>
      <c r="V60" s="17"/>
      <c r="W60" s="17"/>
      <c r="X60" s="17"/>
      <c r="Y60" s="17"/>
      <c r="Z60" s="17"/>
      <c r="AA60" s="17"/>
      <c r="AB60" s="17"/>
      <c r="AC60" s="17"/>
      <c r="AD60" s="17"/>
      <c r="AE60" s="17"/>
      <c r="AF60" s="17"/>
      <c r="AG60" s="17"/>
      <c r="AH60" s="17"/>
      <c r="AI60" s="17"/>
    </row>
    <row r="61" hidden="1">
      <c r="A61" s="34">
        <f t="shared" si="3"/>
        <v>60</v>
      </c>
      <c r="B61" s="35" t="s">
        <v>52</v>
      </c>
      <c r="C61" s="34" t="s">
        <v>2454</v>
      </c>
      <c r="D61" s="34" t="s">
        <v>8054</v>
      </c>
      <c r="E61" s="34">
        <v>22.354057999999998</v>
      </c>
      <c r="F61" s="34">
        <v>87.593924999999999</v>
      </c>
      <c r="G61" s="34" t="s">
        <v>7956</v>
      </c>
      <c r="H61" s="34" t="s">
        <v>7987</v>
      </c>
      <c r="I61" s="35" t="s">
        <v>1579</v>
      </c>
      <c r="J61" s="35">
        <v>7003188299</v>
      </c>
      <c r="K61" s="34" t="s">
        <v>1579</v>
      </c>
      <c r="L61" s="34">
        <v>7003188299</v>
      </c>
      <c r="M61" s="34"/>
      <c r="N61" s="17"/>
      <c r="O61" s="17"/>
      <c r="P61" s="17"/>
      <c r="Q61" s="17"/>
      <c r="R61" s="17"/>
      <c r="S61" s="17"/>
      <c r="T61" s="17"/>
      <c r="U61" s="17"/>
      <c r="V61" s="17"/>
      <c r="W61" s="17"/>
      <c r="X61" s="17"/>
      <c r="Y61" s="17"/>
      <c r="Z61" s="17"/>
      <c r="AA61" s="17"/>
      <c r="AB61" s="17"/>
      <c r="AC61" s="17"/>
      <c r="AD61" s="17"/>
      <c r="AE61" s="17"/>
      <c r="AF61" s="17"/>
      <c r="AG61" s="17"/>
      <c r="AH61" s="17"/>
      <c r="AI61" s="17"/>
    </row>
    <row r="62" hidden="1">
      <c r="A62" s="34">
        <f t="shared" si="3"/>
        <v>61</v>
      </c>
      <c r="B62" s="35" t="s">
        <v>52</v>
      </c>
      <c r="C62" s="34" t="s">
        <v>2457</v>
      </c>
      <c r="D62" s="34" t="s">
        <v>8055</v>
      </c>
      <c r="E62" s="34">
        <v>22.447416</v>
      </c>
      <c r="F62" s="34">
        <v>87.602410000000006</v>
      </c>
      <c r="G62" s="34" t="s">
        <v>7956</v>
      </c>
      <c r="H62" s="34" t="s">
        <v>7987</v>
      </c>
      <c r="I62" s="35" t="s">
        <v>2291</v>
      </c>
      <c r="J62" s="35">
        <v>9933713149</v>
      </c>
      <c r="K62" s="34" t="s">
        <v>2291</v>
      </c>
      <c r="L62" s="42">
        <v>9933713149</v>
      </c>
      <c r="M62" s="42"/>
      <c r="N62" s="17"/>
      <c r="O62" s="17"/>
      <c r="P62" s="17"/>
      <c r="Q62" s="17"/>
      <c r="R62" s="17"/>
      <c r="S62" s="17"/>
      <c r="T62" s="17"/>
      <c r="U62" s="17"/>
      <c r="V62" s="17"/>
      <c r="W62" s="17"/>
      <c r="X62" s="17"/>
      <c r="Y62" s="17"/>
      <c r="Z62" s="17"/>
      <c r="AA62" s="17"/>
      <c r="AB62" s="17"/>
      <c r="AC62" s="17"/>
      <c r="AD62" s="17"/>
      <c r="AE62" s="17"/>
      <c r="AF62" s="17"/>
      <c r="AG62" s="17"/>
      <c r="AH62" s="17"/>
      <c r="AI62" s="17"/>
    </row>
    <row r="63" hidden="1">
      <c r="A63" s="34">
        <f t="shared" si="3"/>
        <v>62</v>
      </c>
      <c r="B63" s="35" t="s">
        <v>52</v>
      </c>
      <c r="C63" s="34" t="s">
        <v>2460</v>
      </c>
      <c r="D63" s="34" t="s">
        <v>8056</v>
      </c>
      <c r="E63" s="34">
        <v>21.934805000000001</v>
      </c>
      <c r="F63" s="34">
        <v>87.275913000000003</v>
      </c>
      <c r="G63" s="34" t="s">
        <v>7955</v>
      </c>
      <c r="H63" s="34" t="s">
        <v>7987</v>
      </c>
      <c r="I63" s="35" t="s">
        <v>2242</v>
      </c>
      <c r="J63" s="35">
        <v>7797496299</v>
      </c>
      <c r="K63" s="34" t="s">
        <v>2242</v>
      </c>
      <c r="L63" s="34">
        <v>7797496299</v>
      </c>
      <c r="M63" s="34"/>
      <c r="N63" s="17"/>
      <c r="O63" s="17"/>
      <c r="P63" s="17"/>
      <c r="Q63" s="17"/>
      <c r="R63" s="17"/>
      <c r="S63" s="17"/>
      <c r="T63" s="17"/>
      <c r="U63" s="17"/>
      <c r="V63" s="17" t="s">
        <v>7991</v>
      </c>
      <c r="W63" s="17" t="s">
        <v>8057</v>
      </c>
      <c r="X63" s="17">
        <v>1</v>
      </c>
      <c r="Y63" s="17" t="s">
        <v>7991</v>
      </c>
      <c r="Z63" s="17" t="s">
        <v>8058</v>
      </c>
      <c r="AA63" s="17" t="s">
        <v>8059</v>
      </c>
      <c r="AB63" s="17" t="s">
        <v>8060</v>
      </c>
      <c r="AC63" s="17"/>
      <c r="AD63" s="17"/>
      <c r="AE63" s="17"/>
      <c r="AF63" s="17"/>
      <c r="AG63" s="17"/>
      <c r="AH63" s="17"/>
      <c r="AI63" s="17"/>
    </row>
    <row r="64" hidden="1">
      <c r="A64" s="34">
        <f t="shared" si="3"/>
        <v>63</v>
      </c>
      <c r="B64" s="35" t="s">
        <v>52</v>
      </c>
      <c r="C64" s="34" t="s">
        <v>2464</v>
      </c>
      <c r="D64" s="34" t="s">
        <v>7864</v>
      </c>
      <c r="E64" s="34">
        <v>21.964727</v>
      </c>
      <c r="F64" s="34">
        <v>87.295787000000004</v>
      </c>
      <c r="G64" s="34" t="s">
        <v>7954</v>
      </c>
      <c r="H64" s="34" t="s">
        <v>8027</v>
      </c>
      <c r="I64" s="35" t="s">
        <v>2242</v>
      </c>
      <c r="J64" s="35">
        <v>7797496299</v>
      </c>
      <c r="K64" s="34" t="s">
        <v>2242</v>
      </c>
      <c r="L64" s="34">
        <v>7797496299</v>
      </c>
      <c r="M64" s="34"/>
      <c r="N64" s="17"/>
      <c r="O64" s="17"/>
      <c r="P64" s="17"/>
      <c r="Q64" s="17" t="s">
        <v>7991</v>
      </c>
      <c r="R64" s="17" t="s">
        <v>7995</v>
      </c>
      <c r="S64" s="17" t="s">
        <v>8061</v>
      </c>
      <c r="T64" s="17"/>
      <c r="U64" s="17"/>
      <c r="V64" s="17" t="s">
        <v>7991</v>
      </c>
      <c r="W64" s="17" t="s">
        <v>7992</v>
      </c>
      <c r="X64" s="17">
        <v>3</v>
      </c>
      <c r="Y64" s="17"/>
      <c r="Z64" s="17"/>
      <c r="AA64" s="17"/>
      <c r="AB64" s="17"/>
      <c r="AC64" s="17"/>
      <c r="AD64" s="17"/>
      <c r="AE64" s="17"/>
      <c r="AF64" s="17"/>
      <c r="AG64" s="17"/>
      <c r="AH64" s="17"/>
      <c r="AI64" s="17"/>
    </row>
    <row r="65" hidden="1">
      <c r="A65" s="34">
        <f t="shared" si="3"/>
        <v>64</v>
      </c>
      <c r="B65" s="35" t="s">
        <v>52</v>
      </c>
      <c r="C65" s="34" t="s">
        <v>2471</v>
      </c>
      <c r="D65" s="34" t="s">
        <v>2472</v>
      </c>
      <c r="E65" s="34">
        <v>21.862131000000002</v>
      </c>
      <c r="F65" s="34">
        <v>87.256388999999999</v>
      </c>
      <c r="G65" s="34" t="s">
        <v>7954</v>
      </c>
      <c r="H65" s="34" t="s">
        <v>8027</v>
      </c>
      <c r="I65" s="35" t="s">
        <v>2242</v>
      </c>
      <c r="J65" s="35">
        <v>7797496299</v>
      </c>
      <c r="K65" s="34" t="s">
        <v>2242</v>
      </c>
      <c r="L65" s="34">
        <v>7797496299</v>
      </c>
      <c r="M65" s="34"/>
      <c r="N65" s="17"/>
      <c r="O65" s="17"/>
      <c r="P65" s="17"/>
      <c r="Q65" s="17" t="s">
        <v>7991</v>
      </c>
      <c r="R65" s="17" t="s">
        <v>8062</v>
      </c>
      <c r="S65" s="17" t="s">
        <v>6479</v>
      </c>
      <c r="T65" s="17"/>
      <c r="U65" s="17"/>
      <c r="V65" s="17"/>
      <c r="W65" s="17"/>
      <c r="X65" s="17"/>
      <c r="Y65" s="17"/>
      <c r="Z65" s="17"/>
      <c r="AA65" s="17"/>
      <c r="AB65" s="17"/>
      <c r="AC65" s="17"/>
      <c r="AD65" s="17" t="s">
        <v>8003</v>
      </c>
      <c r="AE65" s="17"/>
      <c r="AF65" s="17"/>
      <c r="AG65" s="17"/>
      <c r="AH65" s="17"/>
      <c r="AI65" s="17"/>
    </row>
    <row r="66" hidden="1">
      <c r="A66" s="34">
        <f t="shared" si="3"/>
        <v>65</v>
      </c>
      <c r="B66" s="35" t="s">
        <v>52</v>
      </c>
      <c r="C66" s="34" t="s">
        <v>2476</v>
      </c>
      <c r="D66" s="34" t="s">
        <v>2477</v>
      </c>
      <c r="E66" s="34">
        <v>21.896328</v>
      </c>
      <c r="F66" s="34">
        <v>87.266664000000006</v>
      </c>
      <c r="G66" s="34" t="s">
        <v>7954</v>
      </c>
      <c r="H66" s="34" t="s">
        <v>7987</v>
      </c>
      <c r="I66" s="35" t="s">
        <v>2242</v>
      </c>
      <c r="J66" s="35">
        <v>7797496299</v>
      </c>
      <c r="K66" s="34" t="s">
        <v>2242</v>
      </c>
      <c r="L66" s="34">
        <v>7797496299</v>
      </c>
      <c r="M66" s="34"/>
      <c r="N66" s="17"/>
      <c r="O66" s="17"/>
      <c r="P66" s="17"/>
      <c r="Q66" s="17" t="s">
        <v>7991</v>
      </c>
      <c r="R66" s="17" t="s">
        <v>7995</v>
      </c>
      <c r="S66" s="17" t="s">
        <v>8063</v>
      </c>
      <c r="T66" s="17"/>
      <c r="U66" s="17"/>
      <c r="V66" s="17"/>
      <c r="W66" s="17"/>
      <c r="X66" s="17"/>
      <c r="Y66" s="17"/>
      <c r="Z66" s="17"/>
      <c r="AA66" s="17"/>
      <c r="AB66" s="17"/>
      <c r="AC66" s="17"/>
      <c r="AD66" s="17"/>
      <c r="AE66" s="17"/>
      <c r="AF66" s="17"/>
      <c r="AG66" s="17"/>
      <c r="AH66" s="17"/>
      <c r="AI66" s="17"/>
    </row>
    <row r="67" hidden="1">
      <c r="A67" s="34">
        <f t="shared" ref="A67:A130" si="4">A66+1</f>
        <v>66</v>
      </c>
      <c r="B67" s="35" t="s">
        <v>52</v>
      </c>
      <c r="C67" s="34" t="s">
        <v>2481</v>
      </c>
      <c r="D67" s="34" t="s">
        <v>8064</v>
      </c>
      <c r="E67" s="34">
        <v>21.941299999999998</v>
      </c>
      <c r="F67" s="34">
        <v>87.353610000000003</v>
      </c>
      <c r="G67" s="34" t="s">
        <v>7954</v>
      </c>
      <c r="H67" s="34" t="s">
        <v>7987</v>
      </c>
      <c r="I67" s="35" t="s">
        <v>2484</v>
      </c>
      <c r="J67" s="35">
        <v>7003158683</v>
      </c>
      <c r="K67" s="35" t="s">
        <v>2484</v>
      </c>
      <c r="L67" s="35">
        <v>7003158683</v>
      </c>
      <c r="M67" s="35"/>
      <c r="N67" s="17"/>
      <c r="O67" s="17"/>
      <c r="P67" s="17"/>
      <c r="Q67" s="17"/>
      <c r="R67" s="17"/>
      <c r="S67" s="17"/>
      <c r="T67" s="17"/>
      <c r="U67" s="17"/>
      <c r="V67" s="17"/>
      <c r="W67" s="17"/>
      <c r="X67" s="17"/>
      <c r="Y67" s="17"/>
      <c r="Z67" s="17"/>
      <c r="AA67" s="17"/>
      <c r="AB67" s="17"/>
      <c r="AC67" s="17"/>
      <c r="AD67" s="17"/>
      <c r="AE67" s="17"/>
      <c r="AF67" s="17"/>
      <c r="AG67" s="17"/>
      <c r="AH67" s="17"/>
      <c r="AI67" s="17"/>
    </row>
    <row r="68" hidden="1">
      <c r="A68" s="34">
        <f t="shared" si="4"/>
        <v>67</v>
      </c>
      <c r="B68" s="35" t="s">
        <v>52</v>
      </c>
      <c r="C68" s="34" t="s">
        <v>2486</v>
      </c>
      <c r="D68" s="34" t="s">
        <v>2487</v>
      </c>
      <c r="E68" s="34">
        <v>21.9208</v>
      </c>
      <c r="F68" s="34">
        <v>87.274387000000004</v>
      </c>
      <c r="G68" s="34" t="s">
        <v>7954</v>
      </c>
      <c r="H68" s="34" t="s">
        <v>7987</v>
      </c>
      <c r="I68" s="35" t="s">
        <v>2242</v>
      </c>
      <c r="J68" s="35">
        <v>7797496299</v>
      </c>
      <c r="K68" s="34" t="s">
        <v>2242</v>
      </c>
      <c r="L68" s="34">
        <v>7797496299</v>
      </c>
      <c r="M68" s="34"/>
      <c r="N68" s="17"/>
      <c r="O68" s="17"/>
      <c r="P68" s="17"/>
      <c r="Q68" s="17"/>
      <c r="R68" s="17"/>
      <c r="S68" s="17"/>
      <c r="T68" s="17"/>
      <c r="U68" s="17"/>
      <c r="V68" s="17"/>
      <c r="W68" s="17"/>
      <c r="X68" s="17"/>
      <c r="Y68" s="17"/>
      <c r="Z68" s="17"/>
      <c r="AA68" s="17"/>
      <c r="AB68" s="17"/>
      <c r="AC68" s="17"/>
      <c r="AD68" s="17" t="s">
        <v>8003</v>
      </c>
      <c r="AE68" s="17"/>
      <c r="AF68" s="17"/>
      <c r="AG68" s="17"/>
      <c r="AH68" s="17"/>
      <c r="AI68" s="17"/>
    </row>
    <row r="69" hidden="1">
      <c r="A69" s="34">
        <f t="shared" si="4"/>
        <v>68</v>
      </c>
      <c r="B69" s="35" t="s">
        <v>52</v>
      </c>
      <c r="C69" s="34" t="s">
        <v>2491</v>
      </c>
      <c r="D69" s="34" t="s">
        <v>2492</v>
      </c>
      <c r="E69" s="34">
        <v>22.032326999999999</v>
      </c>
      <c r="F69" s="34">
        <v>87.215672999999995</v>
      </c>
      <c r="G69" s="34" t="s">
        <v>7954</v>
      </c>
      <c r="H69" s="34" t="s">
        <v>7987</v>
      </c>
      <c r="I69" s="35" t="s">
        <v>2242</v>
      </c>
      <c r="J69" s="35">
        <v>7797496299</v>
      </c>
      <c r="K69" s="34" t="s">
        <v>2242</v>
      </c>
      <c r="L69" s="34">
        <v>7797496299</v>
      </c>
      <c r="M69" s="34"/>
      <c r="N69" s="17"/>
      <c r="O69" s="17"/>
      <c r="P69" s="17"/>
      <c r="Q69" s="17" t="s">
        <v>7991</v>
      </c>
      <c r="R69" s="17" t="s">
        <v>8065</v>
      </c>
      <c r="S69" s="17" t="s">
        <v>8066</v>
      </c>
      <c r="T69" s="17"/>
      <c r="U69" s="17"/>
      <c r="V69" s="17" t="s">
        <v>7991</v>
      </c>
      <c r="W69" s="17" t="s">
        <v>8014</v>
      </c>
      <c r="X69" s="17">
        <v>5</v>
      </c>
      <c r="Y69" s="17" t="s">
        <v>7991</v>
      </c>
      <c r="Z69" s="17" t="s">
        <v>8034</v>
      </c>
      <c r="AA69" s="17" t="s">
        <v>8067</v>
      </c>
      <c r="AB69" s="17" t="s">
        <v>8068</v>
      </c>
      <c r="AC69" s="17"/>
      <c r="AD69" s="17"/>
      <c r="AE69" s="17"/>
      <c r="AF69" s="17"/>
      <c r="AG69" s="17" t="s">
        <v>8069</v>
      </c>
      <c r="AH69" s="17"/>
      <c r="AI69" s="17"/>
    </row>
    <row r="70" hidden="1">
      <c r="A70" s="34">
        <f t="shared" si="4"/>
        <v>69</v>
      </c>
      <c r="B70" s="35" t="s">
        <v>52</v>
      </c>
      <c r="C70" s="34" t="s">
        <v>2497</v>
      </c>
      <c r="D70" s="34" t="s">
        <v>8070</v>
      </c>
      <c r="E70" s="34">
        <v>21.891864999999999</v>
      </c>
      <c r="F70" s="34">
        <v>87.299160000000001</v>
      </c>
      <c r="G70" s="34" t="s">
        <v>7954</v>
      </c>
      <c r="H70" s="34" t="s">
        <v>7987</v>
      </c>
      <c r="I70" s="35" t="s">
        <v>2484</v>
      </c>
      <c r="J70" s="35">
        <v>7003158683</v>
      </c>
      <c r="K70" s="35" t="s">
        <v>2484</v>
      </c>
      <c r="L70" s="35">
        <v>7003158683</v>
      </c>
      <c r="M70" s="35"/>
      <c r="N70" s="17"/>
      <c r="O70" s="17"/>
      <c r="P70" s="17"/>
      <c r="Q70" s="17"/>
      <c r="R70" s="17"/>
      <c r="S70" s="17"/>
      <c r="T70" s="17"/>
      <c r="U70" s="17"/>
      <c r="V70" s="17" t="s">
        <v>7991</v>
      </c>
      <c r="W70" s="17" t="s">
        <v>7992</v>
      </c>
      <c r="X70" s="17">
        <v>2</v>
      </c>
      <c r="Y70" s="17"/>
      <c r="Z70" s="17"/>
      <c r="AA70" s="17"/>
      <c r="AB70" s="17"/>
      <c r="AC70" s="17"/>
      <c r="AD70" s="17"/>
      <c r="AE70" s="17"/>
      <c r="AF70" s="17"/>
      <c r="AG70" s="17"/>
      <c r="AH70" s="17"/>
      <c r="AI70" s="17"/>
    </row>
    <row r="71" hidden="1">
      <c r="A71" s="34">
        <f t="shared" si="4"/>
        <v>70</v>
      </c>
      <c r="B71" s="35" t="s">
        <v>52</v>
      </c>
      <c r="C71" s="34" t="s">
        <v>2502</v>
      </c>
      <c r="D71" s="34" t="s">
        <v>2503</v>
      </c>
      <c r="E71" s="34">
        <v>21.997702</v>
      </c>
      <c r="F71" s="34">
        <v>87.274214999999998</v>
      </c>
      <c r="G71" s="34" t="s">
        <v>7954</v>
      </c>
      <c r="H71" s="34" t="s">
        <v>7987</v>
      </c>
      <c r="I71" s="35" t="s">
        <v>2242</v>
      </c>
      <c r="J71" s="35">
        <v>7797496299</v>
      </c>
      <c r="K71" s="34" t="s">
        <v>2242</v>
      </c>
      <c r="L71" s="34">
        <v>7797496299</v>
      </c>
      <c r="M71" s="34"/>
      <c r="N71" s="17"/>
      <c r="O71" s="17"/>
      <c r="P71" s="17"/>
      <c r="Q71" s="17"/>
      <c r="R71" s="17"/>
      <c r="S71" s="17"/>
      <c r="T71" s="17"/>
      <c r="U71" s="17"/>
      <c r="V71" s="17"/>
      <c r="W71" s="17"/>
      <c r="X71" s="17"/>
      <c r="Y71" s="17"/>
      <c r="Z71" s="17"/>
      <c r="AA71" s="17"/>
      <c r="AB71" s="17"/>
      <c r="AC71" s="17"/>
      <c r="AD71" s="17"/>
      <c r="AE71" s="17"/>
      <c r="AF71" s="17"/>
      <c r="AG71" s="17"/>
      <c r="AH71" s="17"/>
      <c r="AI71" s="17"/>
    </row>
    <row r="72" hidden="1">
      <c r="A72" s="34">
        <f t="shared" si="4"/>
        <v>71</v>
      </c>
      <c r="B72" s="35" t="s">
        <v>52</v>
      </c>
      <c r="C72" s="34" t="s">
        <v>2505</v>
      </c>
      <c r="D72" s="34" t="s">
        <v>8071</v>
      </c>
      <c r="E72" s="34">
        <v>22.016566000000001</v>
      </c>
      <c r="F72" s="34">
        <v>87.247451999999996</v>
      </c>
      <c r="G72" s="34" t="s">
        <v>7954</v>
      </c>
      <c r="H72" s="34" t="s">
        <v>7987</v>
      </c>
      <c r="I72" s="35" t="s">
        <v>2242</v>
      </c>
      <c r="J72" s="35">
        <v>7797496299</v>
      </c>
      <c r="K72" s="34" t="s">
        <v>2242</v>
      </c>
      <c r="L72" s="34">
        <v>7797496299</v>
      </c>
      <c r="M72" s="34"/>
      <c r="N72" s="17"/>
      <c r="O72" s="17"/>
      <c r="P72" s="17"/>
      <c r="Q72" s="17"/>
      <c r="R72" s="17"/>
      <c r="S72" s="17"/>
      <c r="T72" s="17"/>
      <c r="U72" s="17"/>
      <c r="V72" s="17"/>
      <c r="W72" s="17"/>
      <c r="X72" s="17"/>
      <c r="Y72" s="17"/>
      <c r="Z72" s="17"/>
      <c r="AA72" s="17"/>
      <c r="AB72" s="17"/>
      <c r="AC72" s="17"/>
      <c r="AD72" s="17"/>
      <c r="AE72" s="17"/>
      <c r="AF72" s="17"/>
      <c r="AG72" s="17"/>
      <c r="AH72" s="17"/>
      <c r="AI72" s="17"/>
    </row>
    <row r="73" hidden="1">
      <c r="A73" s="34">
        <f t="shared" si="4"/>
        <v>72</v>
      </c>
      <c r="B73" s="35" t="s">
        <v>52</v>
      </c>
      <c r="C73" s="34" t="s">
        <v>2508</v>
      </c>
      <c r="D73" s="34" t="s">
        <v>8072</v>
      </c>
      <c r="E73" s="34">
        <v>21.880116999999998</v>
      </c>
      <c r="F73" s="34">
        <v>87.258296000000001</v>
      </c>
      <c r="G73" s="34" t="s">
        <v>7954</v>
      </c>
      <c r="H73" s="34" t="s">
        <v>7987</v>
      </c>
      <c r="I73" s="35" t="s">
        <v>2242</v>
      </c>
      <c r="J73" s="35">
        <v>7797496299</v>
      </c>
      <c r="K73" s="34" t="s">
        <v>2242</v>
      </c>
      <c r="L73" s="34">
        <v>7797496299</v>
      </c>
      <c r="M73" s="34"/>
      <c r="N73" s="17"/>
      <c r="O73" s="17"/>
      <c r="P73" s="17"/>
      <c r="Q73" s="17" t="s">
        <v>7991</v>
      </c>
      <c r="R73" s="17" t="s">
        <v>73</v>
      </c>
      <c r="S73" s="17" t="s">
        <v>8061</v>
      </c>
      <c r="T73" s="17"/>
      <c r="U73" s="17"/>
      <c r="V73" s="17" t="s">
        <v>7991</v>
      </c>
      <c r="W73" s="17" t="s">
        <v>8020</v>
      </c>
      <c r="X73" s="17">
        <v>1</v>
      </c>
      <c r="Y73" s="17"/>
      <c r="Z73" s="17"/>
      <c r="AA73" s="17"/>
      <c r="AB73" s="17"/>
      <c r="AC73" s="17"/>
      <c r="AD73" s="17"/>
      <c r="AE73" s="17"/>
      <c r="AF73" s="17"/>
      <c r="AG73" s="17"/>
      <c r="AH73" s="17"/>
      <c r="AI73" s="17"/>
    </row>
    <row r="74" hidden="1">
      <c r="A74" s="34">
        <f t="shared" si="4"/>
        <v>73</v>
      </c>
      <c r="B74" s="35" t="s">
        <v>52</v>
      </c>
      <c r="C74" s="34" t="s">
        <v>2514</v>
      </c>
      <c r="D74" s="34" t="s">
        <v>8073</v>
      </c>
      <c r="E74" s="34">
        <v>21.994388000000001</v>
      </c>
      <c r="F74" s="34">
        <v>87.298974999999999</v>
      </c>
      <c r="G74" s="34" t="s">
        <v>7954</v>
      </c>
      <c r="H74" s="34" t="s">
        <v>7987</v>
      </c>
      <c r="I74" s="35" t="s">
        <v>2223</v>
      </c>
      <c r="J74" s="35">
        <v>9734686684</v>
      </c>
      <c r="K74" s="35" t="s">
        <v>2223</v>
      </c>
      <c r="L74" s="35">
        <v>9734686684</v>
      </c>
      <c r="M74" s="35"/>
      <c r="N74" s="17"/>
      <c r="O74" s="17"/>
      <c r="P74" s="17"/>
      <c r="Q74" s="17"/>
      <c r="R74" s="17"/>
      <c r="S74" s="17"/>
      <c r="T74" s="17"/>
      <c r="U74" s="17"/>
      <c r="V74" s="17"/>
      <c r="W74" s="17"/>
      <c r="X74" s="17"/>
      <c r="Y74" s="17"/>
      <c r="Z74" s="17"/>
      <c r="AA74" s="17"/>
      <c r="AB74" s="17"/>
      <c r="AC74" s="17"/>
      <c r="AD74" s="17"/>
      <c r="AE74" s="17"/>
      <c r="AF74" s="17"/>
      <c r="AG74" s="17"/>
      <c r="AH74" s="17"/>
      <c r="AI74" s="17"/>
    </row>
    <row r="75" hidden="1">
      <c r="A75" s="34">
        <f t="shared" si="4"/>
        <v>74</v>
      </c>
      <c r="B75" s="35" t="s">
        <v>52</v>
      </c>
      <c r="C75" s="34" t="s">
        <v>2521</v>
      </c>
      <c r="D75" s="34" t="s">
        <v>8074</v>
      </c>
      <c r="E75" s="34">
        <v>21.930914000000001</v>
      </c>
      <c r="F75" s="34">
        <v>87.351423999999994</v>
      </c>
      <c r="G75" s="34" t="s">
        <v>7954</v>
      </c>
      <c r="H75" s="34" t="s">
        <v>7987</v>
      </c>
      <c r="I75" s="35" t="s">
        <v>2484</v>
      </c>
      <c r="J75" s="35">
        <v>7003158683</v>
      </c>
      <c r="K75" s="35" t="s">
        <v>2484</v>
      </c>
      <c r="L75" s="35">
        <v>7003158683</v>
      </c>
      <c r="M75" s="35"/>
      <c r="N75" s="17"/>
      <c r="O75" s="17"/>
      <c r="P75" s="17"/>
      <c r="Q75" s="17" t="s">
        <v>7991</v>
      </c>
      <c r="R75" s="17" t="s">
        <v>7995</v>
      </c>
      <c r="S75" s="17" t="s">
        <v>8063</v>
      </c>
      <c r="T75" s="17"/>
      <c r="U75" s="17"/>
      <c r="V75" s="17"/>
      <c r="W75" s="17"/>
      <c r="X75" s="17"/>
      <c r="Y75" s="17"/>
      <c r="Z75" s="17"/>
      <c r="AA75" s="17"/>
      <c r="AB75" s="17"/>
      <c r="AC75" s="17"/>
      <c r="AD75" s="17" t="s">
        <v>8075</v>
      </c>
      <c r="AE75" s="17"/>
      <c r="AF75" s="17"/>
      <c r="AG75" s="17"/>
      <c r="AH75" s="17"/>
      <c r="AI75" s="17"/>
    </row>
    <row r="76" hidden="1">
      <c r="A76" s="34">
        <f t="shared" si="4"/>
        <v>75</v>
      </c>
      <c r="B76" s="35" t="s">
        <v>52</v>
      </c>
      <c r="C76" s="34" t="s">
        <v>2527</v>
      </c>
      <c r="D76" s="34" t="s">
        <v>8076</v>
      </c>
      <c r="E76" s="34">
        <v>21.949400000000001</v>
      </c>
      <c r="F76" s="34">
        <v>87.336861999999996</v>
      </c>
      <c r="G76" s="34" t="s">
        <v>7954</v>
      </c>
      <c r="H76" s="34" t="s">
        <v>7987</v>
      </c>
      <c r="I76" s="35" t="s">
        <v>2484</v>
      </c>
      <c r="J76" s="35">
        <v>7003158683</v>
      </c>
      <c r="K76" s="35" t="s">
        <v>2484</v>
      </c>
      <c r="L76" s="35">
        <v>7003158683</v>
      </c>
      <c r="M76" s="35"/>
      <c r="N76" s="17"/>
      <c r="O76" s="17"/>
      <c r="P76" s="17"/>
      <c r="Q76" s="17"/>
      <c r="R76" s="17"/>
      <c r="S76" s="17"/>
      <c r="T76" s="17"/>
      <c r="U76" s="17"/>
      <c r="V76" s="17"/>
      <c r="W76" s="17"/>
      <c r="X76" s="17"/>
      <c r="Y76" s="17"/>
      <c r="Z76" s="17"/>
      <c r="AA76" s="17"/>
      <c r="AB76" s="17"/>
      <c r="AC76" s="17"/>
      <c r="AD76" s="17"/>
      <c r="AE76" s="17"/>
      <c r="AF76" s="17"/>
      <c r="AG76" s="17"/>
      <c r="AH76" s="17"/>
      <c r="AI76" s="17"/>
    </row>
    <row r="77" hidden="1">
      <c r="A77" s="34">
        <f t="shared" si="4"/>
        <v>76</v>
      </c>
      <c r="B77" s="35" t="s">
        <v>52</v>
      </c>
      <c r="C77" s="34" t="s">
        <v>2532</v>
      </c>
      <c r="D77" s="34" t="s">
        <v>8077</v>
      </c>
      <c r="E77" s="34">
        <v>21.990524000000001</v>
      </c>
      <c r="F77" s="34">
        <v>87.318894</v>
      </c>
      <c r="G77" s="34" t="s">
        <v>7954</v>
      </c>
      <c r="H77" s="34" t="s">
        <v>7987</v>
      </c>
      <c r="I77" s="35" t="s">
        <v>2223</v>
      </c>
      <c r="J77" s="35">
        <v>9734686685</v>
      </c>
      <c r="K77" s="35" t="s">
        <v>2223</v>
      </c>
      <c r="L77" s="35">
        <v>9734686685</v>
      </c>
      <c r="M77" s="35"/>
      <c r="N77" s="17"/>
      <c r="O77" s="17"/>
      <c r="P77" s="17"/>
      <c r="Q77" s="17"/>
      <c r="R77" s="17"/>
      <c r="S77" s="17"/>
      <c r="T77" s="17"/>
      <c r="U77" s="17"/>
      <c r="V77" s="17"/>
      <c r="W77" s="17"/>
      <c r="X77" s="17"/>
      <c r="Y77" s="17"/>
      <c r="Z77" s="17"/>
      <c r="AA77" s="17"/>
      <c r="AB77" s="17"/>
      <c r="AC77" s="17"/>
      <c r="AD77" s="17"/>
      <c r="AE77" s="17"/>
      <c r="AF77" s="17"/>
      <c r="AG77" s="17"/>
      <c r="AH77" s="17"/>
      <c r="AI77" s="17"/>
    </row>
    <row r="78" hidden="1">
      <c r="A78" s="34">
        <f t="shared" si="4"/>
        <v>77</v>
      </c>
      <c r="B78" s="35" t="s">
        <v>52</v>
      </c>
      <c r="C78" s="34" t="s">
        <v>2537</v>
      </c>
      <c r="D78" s="34" t="s">
        <v>8078</v>
      </c>
      <c r="E78" s="34">
        <v>21.930475999999999</v>
      </c>
      <c r="F78" s="34">
        <v>87.272115999999997</v>
      </c>
      <c r="G78" s="34" t="s">
        <v>7954</v>
      </c>
      <c r="H78" s="34" t="s">
        <v>7987</v>
      </c>
      <c r="I78" s="35" t="s">
        <v>2242</v>
      </c>
      <c r="J78" s="35">
        <v>7797496299</v>
      </c>
      <c r="K78" s="34" t="s">
        <v>2242</v>
      </c>
      <c r="L78" s="34">
        <v>7797496299</v>
      </c>
      <c r="M78" s="34"/>
      <c r="N78" s="17"/>
      <c r="O78" s="17"/>
      <c r="P78" s="17"/>
      <c r="Q78" s="17"/>
      <c r="R78" s="17"/>
      <c r="S78" s="17"/>
      <c r="T78" s="17"/>
      <c r="U78" s="17"/>
      <c r="V78" s="17"/>
      <c r="W78" s="17"/>
      <c r="X78" s="17"/>
      <c r="Y78" s="17"/>
      <c r="Z78" s="17"/>
      <c r="AA78" s="17"/>
      <c r="AB78" s="17"/>
      <c r="AC78" s="17"/>
      <c r="AD78" s="17"/>
      <c r="AE78" s="17"/>
      <c r="AF78" s="17"/>
      <c r="AG78" s="17"/>
      <c r="AH78" s="17"/>
      <c r="AI78" s="17"/>
    </row>
    <row r="79" hidden="1">
      <c r="A79" s="34">
        <f t="shared" si="4"/>
        <v>78</v>
      </c>
      <c r="B79" s="35" t="s">
        <v>52</v>
      </c>
      <c r="C79" s="34" t="s">
        <v>2541</v>
      </c>
      <c r="D79" s="34" t="s">
        <v>8079</v>
      </c>
      <c r="E79" s="34">
        <v>21.839227000000001</v>
      </c>
      <c r="F79" s="34">
        <v>87.322058999999996</v>
      </c>
      <c r="G79" s="34" t="s">
        <v>7954</v>
      </c>
      <c r="H79" s="34" t="s">
        <v>7987</v>
      </c>
      <c r="I79" s="35" t="s">
        <v>2484</v>
      </c>
      <c r="J79" s="35">
        <v>7003158683</v>
      </c>
      <c r="K79" s="35" t="s">
        <v>2484</v>
      </c>
      <c r="L79" s="35">
        <v>7003158683</v>
      </c>
      <c r="M79" s="35"/>
      <c r="N79" s="17"/>
      <c r="O79" s="17"/>
      <c r="P79" s="17"/>
      <c r="Q79" s="17"/>
      <c r="R79" s="17"/>
      <c r="S79" s="17"/>
      <c r="T79" s="17"/>
      <c r="U79" s="17"/>
      <c r="V79" s="17"/>
      <c r="W79" s="17"/>
      <c r="X79" s="17"/>
      <c r="Y79" s="17"/>
      <c r="Z79" s="17"/>
      <c r="AA79" s="17"/>
      <c r="AB79" s="17"/>
      <c r="AC79" s="17"/>
      <c r="AD79" s="17" t="s">
        <v>8003</v>
      </c>
      <c r="AE79" s="17"/>
      <c r="AF79" s="17"/>
      <c r="AG79" s="17"/>
      <c r="AH79" s="17"/>
      <c r="AI79" s="17"/>
    </row>
    <row r="80" hidden="1">
      <c r="A80" s="34">
        <f t="shared" si="4"/>
        <v>79</v>
      </c>
      <c r="B80" s="35" t="s">
        <v>52</v>
      </c>
      <c r="C80" s="34" t="s">
        <v>2545</v>
      </c>
      <c r="D80" s="34" t="s">
        <v>3111</v>
      </c>
      <c r="E80" s="34">
        <v>21.808679000000001</v>
      </c>
      <c r="F80" s="34">
        <v>87.306926000000004</v>
      </c>
      <c r="G80" s="34" t="s">
        <v>7954</v>
      </c>
      <c r="H80" s="34" t="s">
        <v>7987</v>
      </c>
      <c r="I80" s="35" t="s">
        <v>2484</v>
      </c>
      <c r="J80" s="35">
        <v>7003158683</v>
      </c>
      <c r="K80" s="35" t="s">
        <v>2484</v>
      </c>
      <c r="L80" s="35">
        <v>7003158683</v>
      </c>
      <c r="M80" s="35"/>
      <c r="N80" s="17"/>
      <c r="O80" s="17"/>
      <c r="P80" s="17"/>
      <c r="Q80" s="17"/>
      <c r="R80" s="17"/>
      <c r="S80" s="17"/>
      <c r="T80" s="17"/>
      <c r="U80" s="17"/>
      <c r="V80" s="17"/>
      <c r="W80" s="17"/>
      <c r="X80" s="17"/>
      <c r="Y80" s="17"/>
      <c r="Z80" s="17"/>
      <c r="AA80" s="17"/>
      <c r="AB80" s="17"/>
      <c r="AC80" s="17"/>
      <c r="AD80" s="17"/>
      <c r="AE80" s="17"/>
      <c r="AF80" s="17"/>
      <c r="AG80" s="17"/>
      <c r="AH80" s="17"/>
      <c r="AI80" s="17"/>
    </row>
    <row r="81" hidden="1">
      <c r="A81" s="34">
        <f t="shared" si="4"/>
        <v>80</v>
      </c>
      <c r="B81" s="35" t="s">
        <v>52</v>
      </c>
      <c r="C81" s="34" t="s">
        <v>2551</v>
      </c>
      <c r="D81" s="34" t="s">
        <v>8080</v>
      </c>
      <c r="E81" s="34">
        <v>21.957930000000001</v>
      </c>
      <c r="F81" s="34">
        <v>87.252920000000003</v>
      </c>
      <c r="G81" s="34" t="s">
        <v>7954</v>
      </c>
      <c r="H81" s="34" t="s">
        <v>7987</v>
      </c>
      <c r="I81" s="35" t="s">
        <v>2242</v>
      </c>
      <c r="J81" s="35">
        <v>7797496299</v>
      </c>
      <c r="K81" s="34" t="s">
        <v>2242</v>
      </c>
      <c r="L81" s="34">
        <v>7797496299</v>
      </c>
      <c r="M81" s="34"/>
      <c r="N81" s="17"/>
      <c r="O81" s="17"/>
      <c r="P81" s="17"/>
      <c r="Q81" s="17"/>
      <c r="R81" s="17"/>
      <c r="S81" s="17"/>
      <c r="T81" s="17"/>
      <c r="U81" s="17"/>
      <c r="V81" s="17"/>
      <c r="W81" s="17"/>
      <c r="X81" s="17"/>
      <c r="Y81" s="17"/>
      <c r="Z81" s="17"/>
      <c r="AA81" s="17"/>
      <c r="AB81" s="17"/>
      <c r="AC81" s="17"/>
      <c r="AD81" s="17"/>
      <c r="AE81" s="17"/>
      <c r="AF81" s="17"/>
      <c r="AG81" s="17"/>
      <c r="AH81" s="17"/>
      <c r="AI81" s="17"/>
    </row>
    <row r="82" hidden="1">
      <c r="A82" s="34">
        <f t="shared" si="4"/>
        <v>81</v>
      </c>
      <c r="B82" s="35" t="s">
        <v>52</v>
      </c>
      <c r="C82" s="34" t="s">
        <v>2556</v>
      </c>
      <c r="D82" s="34" t="s">
        <v>8081</v>
      </c>
      <c r="E82" s="34">
        <v>21.853739999999998</v>
      </c>
      <c r="F82" s="34">
        <v>87.266739999999999</v>
      </c>
      <c r="G82" s="34" t="s">
        <v>7954</v>
      </c>
      <c r="H82" s="34" t="s">
        <v>7987</v>
      </c>
      <c r="I82" s="35" t="s">
        <v>2484</v>
      </c>
      <c r="J82" s="35">
        <v>7003158683</v>
      </c>
      <c r="K82" s="35" t="s">
        <v>2484</v>
      </c>
      <c r="L82" s="35">
        <v>7003158683</v>
      </c>
      <c r="M82" s="35"/>
      <c r="N82" s="17"/>
      <c r="O82" s="17"/>
      <c r="P82" s="17"/>
      <c r="Q82" s="17"/>
      <c r="R82" s="17"/>
      <c r="S82" s="17"/>
      <c r="T82" s="17"/>
      <c r="U82" s="17"/>
      <c r="V82" s="17"/>
      <c r="W82" s="17"/>
      <c r="X82" s="17"/>
      <c r="Y82" s="17"/>
      <c r="Z82" s="17"/>
      <c r="AA82" s="17"/>
      <c r="AB82" s="17"/>
      <c r="AC82" s="17"/>
      <c r="AD82" s="17"/>
      <c r="AE82" s="17"/>
      <c r="AF82" s="17"/>
      <c r="AG82" s="17"/>
      <c r="AH82" s="17"/>
      <c r="AI82" s="17"/>
    </row>
    <row r="83" hidden="1">
      <c r="A83" s="34">
        <f t="shared" si="4"/>
        <v>82</v>
      </c>
      <c r="B83" s="35" t="s">
        <v>52</v>
      </c>
      <c r="C83" s="34" t="s">
        <v>2560</v>
      </c>
      <c r="D83" s="34" t="s">
        <v>8082</v>
      </c>
      <c r="E83" s="34">
        <v>21.868278</v>
      </c>
      <c r="F83" s="34">
        <v>87.285844999999995</v>
      </c>
      <c r="G83" s="34" t="s">
        <v>7956</v>
      </c>
      <c r="H83" s="34" t="s">
        <v>7987</v>
      </c>
      <c r="I83" s="35" t="s">
        <v>2484</v>
      </c>
      <c r="J83" s="35">
        <v>7003158683</v>
      </c>
      <c r="K83" s="35" t="s">
        <v>2484</v>
      </c>
      <c r="L83" s="35">
        <v>7003158683</v>
      </c>
      <c r="M83" s="35"/>
      <c r="N83" s="17"/>
      <c r="O83" s="17"/>
      <c r="P83" s="17"/>
      <c r="Q83" s="17"/>
      <c r="R83" s="17"/>
      <c r="S83" s="17"/>
      <c r="T83" s="17"/>
      <c r="U83" s="17"/>
      <c r="V83" s="17"/>
      <c r="W83" s="17"/>
      <c r="X83" s="17"/>
      <c r="Y83" s="17"/>
      <c r="Z83" s="17"/>
      <c r="AA83" s="17"/>
      <c r="AB83" s="17"/>
      <c r="AC83" s="17"/>
      <c r="AD83" s="17"/>
      <c r="AE83" s="17"/>
      <c r="AF83" s="17"/>
      <c r="AG83" s="17"/>
      <c r="AH83" s="17"/>
      <c r="AI83" s="17"/>
    </row>
    <row r="84" hidden="1">
      <c r="A84" s="34">
        <f t="shared" si="4"/>
        <v>83</v>
      </c>
      <c r="B84" s="35" t="s">
        <v>52</v>
      </c>
      <c r="C84" s="34" t="s">
        <v>2563</v>
      </c>
      <c r="D84" s="34" t="s">
        <v>8083</v>
      </c>
      <c r="E84" s="34">
        <v>22.030352000000001</v>
      </c>
      <c r="F84" s="34">
        <v>87.269155999999995</v>
      </c>
      <c r="G84" s="34" t="s">
        <v>7956</v>
      </c>
      <c r="H84" s="34" t="s">
        <v>7987</v>
      </c>
      <c r="I84" s="35" t="s">
        <v>2242</v>
      </c>
      <c r="J84" s="35">
        <v>7797496299</v>
      </c>
      <c r="K84" s="34" t="s">
        <v>2242</v>
      </c>
      <c r="L84" s="34">
        <v>7797496299</v>
      </c>
      <c r="M84" s="34"/>
      <c r="N84" s="17"/>
      <c r="O84" s="17"/>
      <c r="P84" s="17"/>
      <c r="Q84" s="17"/>
      <c r="R84" s="17"/>
      <c r="S84" s="17"/>
      <c r="T84" s="17"/>
      <c r="U84" s="17"/>
      <c r="V84" s="17"/>
      <c r="W84" s="17"/>
      <c r="X84" s="17"/>
      <c r="Y84" s="17"/>
      <c r="Z84" s="17"/>
      <c r="AA84" s="17"/>
      <c r="AB84" s="17"/>
      <c r="AC84" s="17"/>
      <c r="AD84" s="17"/>
      <c r="AE84" s="17"/>
      <c r="AF84" s="17"/>
      <c r="AG84" s="17"/>
      <c r="AH84" s="17"/>
      <c r="AI84" s="17"/>
    </row>
    <row r="85" hidden="1">
      <c r="A85" s="34">
        <f t="shared" si="4"/>
        <v>84</v>
      </c>
      <c r="B85" s="35" t="s">
        <v>52</v>
      </c>
      <c r="C85" s="34" t="s">
        <v>2566</v>
      </c>
      <c r="D85" s="34" t="s">
        <v>8084</v>
      </c>
      <c r="E85" s="34">
        <v>21.833759000000001</v>
      </c>
      <c r="F85" s="34">
        <v>87.292053999999993</v>
      </c>
      <c r="G85" s="34" t="s">
        <v>7956</v>
      </c>
      <c r="H85" s="34" t="s">
        <v>7987</v>
      </c>
      <c r="I85" s="35" t="s">
        <v>2484</v>
      </c>
      <c r="J85" s="35">
        <v>7003158683</v>
      </c>
      <c r="K85" s="35" t="s">
        <v>2484</v>
      </c>
      <c r="L85" s="35">
        <v>7003158683</v>
      </c>
      <c r="M85" s="35"/>
      <c r="N85" s="17"/>
      <c r="O85" s="17"/>
      <c r="P85" s="17"/>
      <c r="Q85" s="17"/>
      <c r="R85" s="17"/>
      <c r="S85" s="17"/>
      <c r="T85" s="17"/>
      <c r="U85" s="17"/>
      <c r="V85" s="17"/>
      <c r="W85" s="17"/>
      <c r="X85" s="17"/>
      <c r="Y85" s="17"/>
      <c r="Z85" s="17"/>
      <c r="AA85" s="17"/>
      <c r="AB85" s="17"/>
      <c r="AC85" s="17"/>
      <c r="AD85" s="17"/>
      <c r="AE85" s="17"/>
      <c r="AF85" s="17"/>
      <c r="AG85" s="17"/>
      <c r="AH85" s="17"/>
      <c r="AI85" s="17"/>
    </row>
    <row r="86" hidden="1">
      <c r="A86" s="34">
        <f t="shared" si="4"/>
        <v>85</v>
      </c>
      <c r="B86" s="35" t="s">
        <v>52</v>
      </c>
      <c r="C86" s="34" t="s">
        <v>2569</v>
      </c>
      <c r="D86" s="34" t="s">
        <v>8085</v>
      </c>
      <c r="E86" s="34">
        <v>21.850019</v>
      </c>
      <c r="F86" s="34">
        <v>87.323616000000001</v>
      </c>
      <c r="G86" s="34" t="s">
        <v>7956</v>
      </c>
      <c r="H86" s="34" t="s">
        <v>7987</v>
      </c>
      <c r="I86" s="35" t="s">
        <v>2484</v>
      </c>
      <c r="J86" s="35">
        <v>7003158683</v>
      </c>
      <c r="K86" s="35" t="s">
        <v>2484</v>
      </c>
      <c r="L86" s="35">
        <v>7003158683</v>
      </c>
      <c r="M86" s="35"/>
      <c r="N86" s="17"/>
      <c r="O86" s="17"/>
      <c r="P86" s="17"/>
      <c r="Q86" s="17"/>
      <c r="R86" s="17"/>
      <c r="S86" s="17"/>
      <c r="T86" s="17"/>
      <c r="U86" s="17"/>
      <c r="V86" s="17"/>
      <c r="W86" s="17"/>
      <c r="X86" s="17"/>
      <c r="Y86" s="17"/>
      <c r="Z86" s="17"/>
      <c r="AA86" s="17"/>
      <c r="AB86" s="17"/>
      <c r="AC86" s="17"/>
      <c r="AD86" s="17"/>
      <c r="AE86" s="17"/>
      <c r="AF86" s="17"/>
      <c r="AG86" s="17"/>
      <c r="AH86" s="17"/>
      <c r="AI86" s="17"/>
    </row>
    <row r="87" hidden="1">
      <c r="A87" s="34">
        <f t="shared" si="4"/>
        <v>86</v>
      </c>
      <c r="B87" s="35" t="s">
        <v>52</v>
      </c>
      <c r="C87" s="34" t="s">
        <v>2572</v>
      </c>
      <c r="D87" s="34" t="s">
        <v>8086</v>
      </c>
      <c r="E87" s="34">
        <v>21.981396</v>
      </c>
      <c r="F87" s="34">
        <v>87.248797999999994</v>
      </c>
      <c r="G87" s="34" t="s">
        <v>7956</v>
      </c>
      <c r="H87" s="34" t="s">
        <v>7987</v>
      </c>
      <c r="I87" s="35" t="s">
        <v>2242</v>
      </c>
      <c r="J87" s="35">
        <v>7797496299</v>
      </c>
      <c r="K87" s="34" t="s">
        <v>2242</v>
      </c>
      <c r="L87" s="34">
        <v>7797496299</v>
      </c>
      <c r="M87" s="34"/>
      <c r="N87" s="17"/>
      <c r="O87" s="17"/>
      <c r="P87" s="17"/>
      <c r="Q87" s="17"/>
      <c r="R87" s="17"/>
      <c r="S87" s="17"/>
      <c r="T87" s="17"/>
      <c r="U87" s="17"/>
      <c r="V87" s="17"/>
      <c r="W87" s="17"/>
      <c r="X87" s="17"/>
      <c r="Y87" s="17"/>
      <c r="Z87" s="17"/>
      <c r="AA87" s="17"/>
      <c r="AB87" s="17"/>
      <c r="AC87" s="17"/>
      <c r="AD87" s="17"/>
      <c r="AE87" s="17"/>
      <c r="AF87" s="17"/>
      <c r="AG87" s="17"/>
      <c r="AH87" s="17"/>
      <c r="AI87" s="17"/>
    </row>
    <row r="88" hidden="1">
      <c r="A88" s="34">
        <f t="shared" si="4"/>
        <v>87</v>
      </c>
      <c r="B88" s="35" t="s">
        <v>52</v>
      </c>
      <c r="C88" s="34" t="s">
        <v>2575</v>
      </c>
      <c r="D88" s="34" t="s">
        <v>8087</v>
      </c>
      <c r="E88" s="34">
        <v>21.949846000000001</v>
      </c>
      <c r="F88" s="34">
        <v>87.276584</v>
      </c>
      <c r="G88" s="34" t="s">
        <v>7956</v>
      </c>
      <c r="H88" s="34" t="s">
        <v>7987</v>
      </c>
      <c r="I88" s="35" t="s">
        <v>2242</v>
      </c>
      <c r="J88" s="35">
        <v>7797496299</v>
      </c>
      <c r="K88" s="34" t="s">
        <v>2242</v>
      </c>
      <c r="L88" s="34">
        <v>7797496299</v>
      </c>
      <c r="M88" s="34"/>
      <c r="N88" s="17"/>
      <c r="O88" s="17"/>
      <c r="P88" s="17"/>
      <c r="Q88" s="17"/>
      <c r="R88" s="17"/>
      <c r="S88" s="17"/>
      <c r="T88" s="17"/>
      <c r="U88" s="17"/>
      <c r="V88" s="17"/>
      <c r="W88" s="17"/>
      <c r="X88" s="17"/>
      <c r="Y88" s="17"/>
      <c r="Z88" s="17"/>
      <c r="AA88" s="17"/>
      <c r="AB88" s="17"/>
      <c r="AC88" s="17"/>
      <c r="AD88" s="17"/>
      <c r="AE88" s="17"/>
      <c r="AF88" s="17"/>
      <c r="AG88" s="17"/>
      <c r="AH88" s="17"/>
      <c r="AI88" s="17"/>
    </row>
    <row r="89" hidden="1">
      <c r="A89" s="34">
        <f t="shared" si="4"/>
        <v>88</v>
      </c>
      <c r="B89" s="35" t="s">
        <v>52</v>
      </c>
      <c r="C89" s="34" t="s">
        <v>2578</v>
      </c>
      <c r="D89" s="34" t="s">
        <v>597</v>
      </c>
      <c r="E89" s="34">
        <v>22.013615000000001</v>
      </c>
      <c r="F89" s="34">
        <v>87.22354</v>
      </c>
      <c r="G89" s="34" t="s">
        <v>7956</v>
      </c>
      <c r="H89" s="34" t="s">
        <v>7987</v>
      </c>
      <c r="I89" s="35" t="s">
        <v>2484</v>
      </c>
      <c r="J89" s="35">
        <v>7003158683</v>
      </c>
      <c r="K89" s="35" t="s">
        <v>2484</v>
      </c>
      <c r="L89" s="35">
        <v>7003158683</v>
      </c>
      <c r="M89" s="35"/>
      <c r="N89" s="17"/>
      <c r="O89" s="17"/>
      <c r="P89" s="17"/>
      <c r="Q89" s="17"/>
      <c r="R89" s="17"/>
      <c r="S89" s="17"/>
      <c r="T89" s="17"/>
      <c r="U89" s="17"/>
      <c r="V89" s="17"/>
      <c r="W89" s="17"/>
      <c r="X89" s="17"/>
      <c r="Y89" s="17"/>
      <c r="Z89" s="17"/>
      <c r="AA89" s="17"/>
      <c r="AB89" s="17"/>
      <c r="AC89" s="17"/>
      <c r="AD89" s="17"/>
      <c r="AE89" s="17"/>
      <c r="AF89" s="17"/>
      <c r="AG89" s="17"/>
      <c r="AH89" s="17"/>
      <c r="AI89" s="17"/>
    </row>
    <row r="90" hidden="1">
      <c r="A90" s="34">
        <f t="shared" si="4"/>
        <v>89</v>
      </c>
      <c r="B90" s="35" t="s">
        <v>52</v>
      </c>
      <c r="C90" s="34" t="s">
        <v>2580</v>
      </c>
      <c r="D90" s="34" t="s">
        <v>8088</v>
      </c>
      <c r="E90" s="34">
        <v>21.91742</v>
      </c>
      <c r="F90" s="34">
        <v>87.344109000000003</v>
      </c>
      <c r="G90" s="34" t="s">
        <v>7956</v>
      </c>
      <c r="H90" s="34" t="s">
        <v>7987</v>
      </c>
      <c r="I90" s="35" t="s">
        <v>2484</v>
      </c>
      <c r="J90" s="35">
        <v>7003158683</v>
      </c>
      <c r="K90" s="35" t="s">
        <v>2484</v>
      </c>
      <c r="L90" s="35">
        <v>7003158683</v>
      </c>
      <c r="M90" s="35"/>
      <c r="N90" s="17"/>
      <c r="O90" s="17"/>
      <c r="P90" s="17"/>
      <c r="Q90" s="17"/>
      <c r="R90" s="17"/>
      <c r="S90" s="17"/>
      <c r="T90" s="17"/>
      <c r="U90" s="17"/>
      <c r="V90" s="17"/>
      <c r="W90" s="17"/>
      <c r="X90" s="17"/>
      <c r="Y90" s="17"/>
      <c r="Z90" s="17"/>
      <c r="AA90" s="17"/>
      <c r="AB90" s="17"/>
      <c r="AC90" s="17"/>
      <c r="AD90" s="17"/>
      <c r="AE90" s="17"/>
      <c r="AF90" s="17"/>
      <c r="AG90" s="17"/>
      <c r="AH90" s="17"/>
      <c r="AI90" s="17"/>
    </row>
    <row r="91" hidden="1">
      <c r="A91" s="34">
        <f t="shared" si="4"/>
        <v>90</v>
      </c>
      <c r="B91" s="35" t="s">
        <v>52</v>
      </c>
      <c r="C91" s="34" t="s">
        <v>2583</v>
      </c>
      <c r="D91" s="34" t="s">
        <v>2584</v>
      </c>
      <c r="E91" s="34">
        <v>21.813444</v>
      </c>
      <c r="F91" s="34">
        <v>87.282819000000003</v>
      </c>
      <c r="G91" s="34" t="s">
        <v>7956</v>
      </c>
      <c r="H91" s="34" t="s">
        <v>7987</v>
      </c>
      <c r="I91" s="35" t="s">
        <v>2484</v>
      </c>
      <c r="J91" s="35">
        <v>7003158683</v>
      </c>
      <c r="K91" s="35" t="s">
        <v>2484</v>
      </c>
      <c r="L91" s="35">
        <v>7003158683</v>
      </c>
      <c r="M91" s="35"/>
      <c r="N91" s="17"/>
      <c r="O91" s="17"/>
      <c r="P91" s="17"/>
      <c r="Q91" s="17"/>
      <c r="R91" s="17"/>
      <c r="S91" s="17"/>
      <c r="T91" s="17"/>
      <c r="U91" s="17"/>
      <c r="V91" s="17"/>
      <c r="W91" s="17"/>
      <c r="X91" s="17"/>
      <c r="Y91" s="17"/>
      <c r="Z91" s="17"/>
      <c r="AA91" s="17"/>
      <c r="AB91" s="17"/>
      <c r="AC91" s="17"/>
      <c r="AD91" s="17"/>
      <c r="AE91" s="17"/>
      <c r="AF91" s="17"/>
      <c r="AG91" s="17"/>
      <c r="AH91" s="17"/>
      <c r="AI91" s="17"/>
    </row>
    <row r="92" hidden="1">
      <c r="A92" s="34">
        <f t="shared" si="4"/>
        <v>91</v>
      </c>
      <c r="B92" s="35" t="s">
        <v>52</v>
      </c>
      <c r="C92" s="34" t="s">
        <v>2586</v>
      </c>
      <c r="D92" s="34" t="s">
        <v>2587</v>
      </c>
      <c r="E92" s="34">
        <v>21.934235999999999</v>
      </c>
      <c r="F92" s="34">
        <v>87.313534000000004</v>
      </c>
      <c r="G92" s="34" t="s">
        <v>7956</v>
      </c>
      <c r="H92" s="34" t="s">
        <v>7987</v>
      </c>
      <c r="I92" s="35" t="s">
        <v>2484</v>
      </c>
      <c r="J92" s="35">
        <v>7003158683</v>
      </c>
      <c r="K92" s="35" t="s">
        <v>2484</v>
      </c>
      <c r="L92" s="35">
        <v>7003158683</v>
      </c>
      <c r="M92" s="35"/>
      <c r="N92" s="17"/>
      <c r="O92" s="17"/>
      <c r="P92" s="17"/>
      <c r="Q92" s="17"/>
      <c r="R92" s="17"/>
      <c r="S92" s="17"/>
      <c r="T92" s="17"/>
      <c r="U92" s="17"/>
      <c r="V92" s="17"/>
      <c r="W92" s="17"/>
      <c r="X92" s="17"/>
      <c r="Y92" s="17"/>
      <c r="Z92" s="17"/>
      <c r="AA92" s="17"/>
      <c r="AB92" s="17"/>
      <c r="AC92" s="17"/>
      <c r="AD92" s="17"/>
      <c r="AE92" s="17"/>
      <c r="AF92" s="17"/>
      <c r="AG92" s="17"/>
      <c r="AH92" s="17"/>
      <c r="AI92" s="17"/>
    </row>
    <row r="93" hidden="1">
      <c r="A93" s="34">
        <f t="shared" si="4"/>
        <v>92</v>
      </c>
      <c r="B93" s="35" t="s">
        <v>52</v>
      </c>
      <c r="C93" s="34" t="s">
        <v>2589</v>
      </c>
      <c r="D93" s="34" t="s">
        <v>2590</v>
      </c>
      <c r="E93" s="34">
        <v>21.979614999999999</v>
      </c>
      <c r="F93" s="34">
        <v>87.317312999999999</v>
      </c>
      <c r="G93" s="34" t="s">
        <v>7956</v>
      </c>
      <c r="H93" s="34" t="s">
        <v>7987</v>
      </c>
      <c r="I93" s="35" t="s">
        <v>2484</v>
      </c>
      <c r="J93" s="35">
        <v>7003158683</v>
      </c>
      <c r="K93" s="35" t="s">
        <v>2484</v>
      </c>
      <c r="L93" s="35">
        <v>7003158683</v>
      </c>
      <c r="M93" s="35"/>
      <c r="N93" s="17"/>
      <c r="O93" s="17"/>
      <c r="P93" s="17"/>
      <c r="Q93" s="17"/>
      <c r="R93" s="17"/>
      <c r="S93" s="17"/>
      <c r="T93" s="17"/>
      <c r="U93" s="17"/>
      <c r="V93" s="17"/>
      <c r="W93" s="17"/>
      <c r="X93" s="17"/>
      <c r="Y93" s="17"/>
      <c r="Z93" s="17"/>
      <c r="AA93" s="17"/>
      <c r="AB93" s="17"/>
      <c r="AC93" s="17"/>
      <c r="AD93" s="17"/>
      <c r="AE93" s="17"/>
      <c r="AF93" s="17"/>
      <c r="AG93" s="17"/>
      <c r="AH93" s="17"/>
      <c r="AI93" s="17"/>
    </row>
    <row r="94" hidden="1">
      <c r="A94" s="34">
        <f t="shared" si="4"/>
        <v>93</v>
      </c>
      <c r="B94" s="35" t="s">
        <v>52</v>
      </c>
      <c r="C94" s="34" t="s">
        <v>2591</v>
      </c>
      <c r="D94" s="34" t="s">
        <v>2592</v>
      </c>
      <c r="E94" s="34">
        <v>21.818635</v>
      </c>
      <c r="F94" s="34">
        <v>87.313773999999995</v>
      </c>
      <c r="G94" s="34" t="s">
        <v>7956</v>
      </c>
      <c r="H94" s="34" t="s">
        <v>7987</v>
      </c>
      <c r="I94" s="35" t="s">
        <v>2484</v>
      </c>
      <c r="J94" s="35">
        <v>7003158683</v>
      </c>
      <c r="K94" s="35" t="s">
        <v>2484</v>
      </c>
      <c r="L94" s="35">
        <v>7003158683</v>
      </c>
      <c r="M94" s="35"/>
      <c r="N94" s="17"/>
      <c r="O94" s="17"/>
      <c r="P94" s="17"/>
      <c r="Q94" s="17"/>
      <c r="R94" s="17"/>
      <c r="S94" s="17"/>
      <c r="T94" s="17"/>
      <c r="U94" s="17"/>
      <c r="V94" s="17"/>
      <c r="W94" s="17"/>
      <c r="X94" s="17"/>
      <c r="Y94" s="17"/>
      <c r="Z94" s="17"/>
      <c r="AA94" s="17"/>
      <c r="AB94" s="17"/>
      <c r="AC94" s="17"/>
      <c r="AD94" s="17"/>
      <c r="AE94" s="17"/>
      <c r="AF94" s="17"/>
      <c r="AG94" s="17"/>
      <c r="AH94" s="17"/>
      <c r="AI94" s="17"/>
    </row>
    <row r="95" hidden="1">
      <c r="A95" s="34">
        <f t="shared" si="4"/>
        <v>94</v>
      </c>
      <c r="B95" s="35" t="s">
        <v>52</v>
      </c>
      <c r="C95" s="34" t="s">
        <v>2594</v>
      </c>
      <c r="D95" s="34" t="s">
        <v>2596</v>
      </c>
      <c r="E95" s="34">
        <v>21.984656000000001</v>
      </c>
      <c r="F95" s="34">
        <v>87.292264000000003</v>
      </c>
      <c r="G95" s="34" t="s">
        <v>7956</v>
      </c>
      <c r="H95" s="34" t="s">
        <v>7987</v>
      </c>
      <c r="I95" s="35" t="s">
        <v>2484</v>
      </c>
      <c r="J95" s="35">
        <v>7003158683</v>
      </c>
      <c r="K95" s="35" t="s">
        <v>2484</v>
      </c>
      <c r="L95" s="35">
        <v>7003158683</v>
      </c>
      <c r="M95" s="35"/>
      <c r="N95" s="17"/>
      <c r="O95" s="17"/>
      <c r="P95" s="17"/>
      <c r="Q95" s="17"/>
      <c r="R95" s="17"/>
      <c r="S95" s="17"/>
      <c r="T95" s="17"/>
      <c r="U95" s="17"/>
      <c r="V95" s="17"/>
      <c r="W95" s="17"/>
      <c r="X95" s="17"/>
      <c r="Y95" s="17"/>
      <c r="Z95" s="17"/>
      <c r="AA95" s="17"/>
      <c r="AB95" s="17"/>
      <c r="AC95" s="17"/>
      <c r="AD95" s="17"/>
      <c r="AE95" s="17"/>
      <c r="AF95" s="17"/>
      <c r="AG95" s="17"/>
      <c r="AH95" s="17"/>
      <c r="AI95" s="17"/>
    </row>
    <row r="96" hidden="1">
      <c r="A96" s="34">
        <f t="shared" si="4"/>
        <v>95</v>
      </c>
      <c r="B96" s="35" t="s">
        <v>52</v>
      </c>
      <c r="C96" s="34" t="s">
        <v>2597</v>
      </c>
      <c r="D96" s="34" t="s">
        <v>8089</v>
      </c>
      <c r="E96" s="34">
        <v>21.879588999999999</v>
      </c>
      <c r="F96" s="34">
        <v>87.319541999999998</v>
      </c>
      <c r="G96" s="34" t="s">
        <v>7956</v>
      </c>
      <c r="H96" s="34" t="s">
        <v>7987</v>
      </c>
      <c r="I96" s="35" t="s">
        <v>2484</v>
      </c>
      <c r="J96" s="35">
        <v>7003158683</v>
      </c>
      <c r="K96" s="35" t="s">
        <v>2484</v>
      </c>
      <c r="L96" s="35">
        <v>7003158683</v>
      </c>
      <c r="M96" s="35"/>
      <c r="N96" s="17"/>
      <c r="O96" s="17"/>
      <c r="P96" s="17"/>
      <c r="Q96" s="17"/>
      <c r="R96" s="17"/>
      <c r="S96" s="17"/>
      <c r="T96" s="17"/>
      <c r="U96" s="17"/>
      <c r="V96" s="17"/>
      <c r="W96" s="17"/>
      <c r="X96" s="17"/>
      <c r="Y96" s="17"/>
      <c r="Z96" s="17"/>
      <c r="AA96" s="17"/>
      <c r="AB96" s="17"/>
      <c r="AC96" s="17"/>
      <c r="AD96" s="17"/>
      <c r="AE96" s="17"/>
      <c r="AF96" s="17"/>
      <c r="AG96" s="17"/>
      <c r="AH96" s="17"/>
      <c r="AI96" s="17"/>
    </row>
    <row r="97" hidden="1">
      <c r="A97" s="34">
        <f t="shared" si="4"/>
        <v>96</v>
      </c>
      <c r="B97" s="35" t="s">
        <v>52</v>
      </c>
      <c r="C97" s="34" t="s">
        <v>2600</v>
      </c>
      <c r="D97" s="34" t="s">
        <v>8090</v>
      </c>
      <c r="E97" s="34">
        <v>21.903835000000001</v>
      </c>
      <c r="F97" s="34">
        <v>87.443308000000002</v>
      </c>
      <c r="G97" s="34" t="s">
        <v>7954</v>
      </c>
      <c r="H97" s="34" t="s">
        <v>7987</v>
      </c>
      <c r="I97" s="35" t="s">
        <v>2603</v>
      </c>
      <c r="J97" s="35">
        <v>8348990602</v>
      </c>
      <c r="K97" s="42" t="s">
        <v>2603</v>
      </c>
      <c r="L97" s="42">
        <v>8348990602</v>
      </c>
      <c r="M97" s="42"/>
      <c r="N97" s="17"/>
      <c r="O97" s="17"/>
      <c r="P97" s="17"/>
      <c r="Q97" s="17"/>
      <c r="R97" s="17"/>
      <c r="S97" s="17"/>
      <c r="T97" s="17"/>
      <c r="U97" s="17"/>
      <c r="V97" s="17" t="s">
        <v>7991</v>
      </c>
      <c r="W97" s="17" t="s">
        <v>7992</v>
      </c>
      <c r="X97" s="17">
        <v>1</v>
      </c>
      <c r="Y97" s="17"/>
      <c r="Z97" s="17"/>
      <c r="AA97" s="17"/>
      <c r="AB97" s="17"/>
      <c r="AC97" s="17"/>
      <c r="AD97" s="17"/>
      <c r="AE97" s="17"/>
      <c r="AF97" s="17"/>
      <c r="AG97" s="17"/>
      <c r="AH97" s="17"/>
      <c r="AI97" s="17"/>
    </row>
    <row r="98" hidden="1">
      <c r="A98" s="34">
        <f t="shared" si="4"/>
        <v>97</v>
      </c>
      <c r="B98" s="35" t="s">
        <v>52</v>
      </c>
      <c r="C98" s="34" t="s">
        <v>2605</v>
      </c>
      <c r="D98" s="34" t="s">
        <v>2606</v>
      </c>
      <c r="E98" s="34">
        <v>21.878166</v>
      </c>
      <c r="F98" s="34">
        <v>87.378004000000004</v>
      </c>
      <c r="G98" s="34" t="s">
        <v>7954</v>
      </c>
      <c r="H98" s="34" t="s">
        <v>7987</v>
      </c>
      <c r="I98" s="35" t="s">
        <v>2484</v>
      </c>
      <c r="J98" s="35">
        <v>7003158683</v>
      </c>
      <c r="K98" s="35" t="s">
        <v>2484</v>
      </c>
      <c r="L98" s="35">
        <v>7003158683</v>
      </c>
      <c r="M98" s="35"/>
      <c r="N98" s="17"/>
      <c r="O98" s="17"/>
      <c r="P98" s="17"/>
      <c r="Q98" s="17"/>
      <c r="R98" s="17"/>
      <c r="S98" s="17"/>
      <c r="T98" s="17"/>
      <c r="U98" s="17"/>
      <c r="V98" s="17"/>
      <c r="W98" s="17"/>
      <c r="X98" s="17"/>
      <c r="Y98" s="17"/>
      <c r="Z98" s="17"/>
      <c r="AA98" s="17"/>
      <c r="AB98" s="17"/>
      <c r="AC98" s="17"/>
      <c r="AD98" s="17"/>
      <c r="AE98" s="17"/>
      <c r="AF98" s="17"/>
      <c r="AG98" s="17"/>
      <c r="AH98" s="17"/>
      <c r="AI98" s="17"/>
    </row>
    <row r="99" hidden="1">
      <c r="A99" s="34">
        <f t="shared" si="4"/>
        <v>98</v>
      </c>
      <c r="B99" s="35" t="s">
        <v>52</v>
      </c>
      <c r="C99" s="34" t="s">
        <v>2610</v>
      </c>
      <c r="D99" s="34" t="s">
        <v>2611</v>
      </c>
      <c r="E99" s="34">
        <v>21.914771999999999</v>
      </c>
      <c r="F99" s="34">
        <v>87.413239000000004</v>
      </c>
      <c r="G99" s="34" t="s">
        <v>7954</v>
      </c>
      <c r="H99" s="34" t="s">
        <v>7987</v>
      </c>
      <c r="I99" s="35" t="s">
        <v>2603</v>
      </c>
      <c r="J99" s="35">
        <v>8348990602</v>
      </c>
      <c r="K99" s="42" t="s">
        <v>2603</v>
      </c>
      <c r="L99" s="42">
        <v>8348990602</v>
      </c>
      <c r="M99" s="42"/>
      <c r="N99" s="17"/>
      <c r="O99" s="17"/>
      <c r="P99" s="17"/>
      <c r="Q99" s="17"/>
      <c r="R99" s="17"/>
      <c r="S99" s="17"/>
      <c r="T99" s="17"/>
      <c r="U99" s="17"/>
      <c r="V99" s="17"/>
      <c r="W99" s="17"/>
      <c r="X99" s="17"/>
      <c r="Y99" s="17"/>
      <c r="Z99" s="17"/>
      <c r="AA99" s="17"/>
      <c r="AB99" s="17"/>
      <c r="AC99" s="17"/>
      <c r="AD99" s="17"/>
      <c r="AE99" s="17"/>
      <c r="AF99" s="17"/>
      <c r="AG99" s="17"/>
      <c r="AH99" s="17"/>
      <c r="AI99" s="17"/>
    </row>
    <row r="100" hidden="1">
      <c r="A100" s="34">
        <f t="shared" si="4"/>
        <v>99</v>
      </c>
      <c r="B100" s="35" t="s">
        <v>52</v>
      </c>
      <c r="C100" s="34" t="s">
        <v>2616</v>
      </c>
      <c r="D100" s="34" t="s">
        <v>8091</v>
      </c>
      <c r="E100" s="34">
        <v>21.983924999999999</v>
      </c>
      <c r="F100" s="34">
        <v>87.469381999999996</v>
      </c>
      <c r="G100" s="34" t="s">
        <v>7954</v>
      </c>
      <c r="H100" s="34" t="s">
        <v>7987</v>
      </c>
      <c r="I100" s="35" t="s">
        <v>2603</v>
      </c>
      <c r="J100" s="35">
        <v>8348990602</v>
      </c>
      <c r="K100" s="42" t="s">
        <v>2603</v>
      </c>
      <c r="L100" s="42">
        <v>8348990602</v>
      </c>
      <c r="M100" s="42"/>
      <c r="N100" s="17"/>
      <c r="O100" s="17"/>
      <c r="P100" s="17"/>
      <c r="Q100" s="17"/>
      <c r="R100" s="17"/>
      <c r="S100" s="17"/>
      <c r="T100" s="17"/>
      <c r="U100" s="17"/>
      <c r="V100" s="17" t="s">
        <v>7991</v>
      </c>
      <c r="W100" s="17" t="s">
        <v>7992</v>
      </c>
      <c r="X100" s="17">
        <v>1</v>
      </c>
      <c r="Y100" s="17"/>
      <c r="Z100" s="17"/>
      <c r="AA100" s="17"/>
      <c r="AB100" s="17"/>
      <c r="AC100" s="17"/>
      <c r="AD100" s="17"/>
      <c r="AE100" s="17"/>
      <c r="AF100" s="17"/>
      <c r="AG100" s="17"/>
      <c r="AH100" s="17"/>
      <c r="AI100" s="17"/>
    </row>
    <row r="101" hidden="1">
      <c r="A101" s="34">
        <f t="shared" si="4"/>
        <v>100</v>
      </c>
      <c r="B101" s="35" t="s">
        <v>52</v>
      </c>
      <c r="C101" s="34" t="s">
        <v>2620</v>
      </c>
      <c r="D101" s="34" t="s">
        <v>8092</v>
      </c>
      <c r="E101" s="34">
        <v>21.957173999999998</v>
      </c>
      <c r="F101" s="34">
        <v>87.362893</v>
      </c>
      <c r="G101" s="34" t="s">
        <v>7954</v>
      </c>
      <c r="H101" s="34" t="s">
        <v>7987</v>
      </c>
      <c r="I101" s="35" t="s">
        <v>2603</v>
      </c>
      <c r="J101" s="35">
        <v>8348990602</v>
      </c>
      <c r="K101" s="42" t="s">
        <v>2603</v>
      </c>
      <c r="L101" s="42">
        <v>8348990602</v>
      </c>
      <c r="M101" s="42"/>
      <c r="N101" s="17"/>
      <c r="O101" s="17"/>
      <c r="P101" s="17"/>
      <c r="Q101" s="17"/>
      <c r="R101" s="17"/>
      <c r="S101" s="17"/>
      <c r="T101" s="17"/>
      <c r="U101" s="17"/>
      <c r="V101" s="17"/>
      <c r="W101" s="17"/>
      <c r="X101" s="17"/>
      <c r="Y101" s="17" t="s">
        <v>7991</v>
      </c>
      <c r="Z101" s="17" t="s">
        <v>8034</v>
      </c>
      <c r="AA101" s="17" t="s">
        <v>8093</v>
      </c>
      <c r="AB101" s="17" t="s">
        <v>8094</v>
      </c>
      <c r="AC101" s="17"/>
      <c r="AD101" s="17" t="s">
        <v>8075</v>
      </c>
      <c r="AE101" s="17"/>
      <c r="AF101" s="17"/>
      <c r="AG101" s="17"/>
      <c r="AH101" s="17"/>
      <c r="AI101" s="17"/>
    </row>
    <row r="102" hidden="1">
      <c r="A102" s="34">
        <f t="shared" si="4"/>
        <v>101</v>
      </c>
      <c r="B102" s="35" t="s">
        <v>52</v>
      </c>
      <c r="C102" s="34" t="s">
        <v>2626</v>
      </c>
      <c r="D102" s="34" t="s">
        <v>8095</v>
      </c>
      <c r="E102" s="34">
        <v>21.889707000000001</v>
      </c>
      <c r="F102" s="34">
        <v>87.338131000000004</v>
      </c>
      <c r="G102" s="34" t="s">
        <v>7954</v>
      </c>
      <c r="H102" s="34" t="s">
        <v>7987</v>
      </c>
      <c r="I102" s="35" t="s">
        <v>2484</v>
      </c>
      <c r="J102" s="35">
        <v>7003158683</v>
      </c>
      <c r="K102" s="35" t="s">
        <v>2484</v>
      </c>
      <c r="L102" s="35">
        <v>7003158683</v>
      </c>
      <c r="M102" s="35"/>
      <c r="N102" s="17"/>
      <c r="O102" s="17"/>
      <c r="P102" s="17"/>
      <c r="Q102" s="17"/>
      <c r="R102" s="17"/>
      <c r="S102" s="17"/>
      <c r="T102" s="17"/>
      <c r="U102" s="17"/>
      <c r="V102" s="17" t="s">
        <v>7991</v>
      </c>
      <c r="W102" s="17" t="s">
        <v>8057</v>
      </c>
      <c r="X102" s="17">
        <v>2</v>
      </c>
      <c r="Y102" s="17"/>
      <c r="Z102" s="17"/>
      <c r="AA102" s="17"/>
      <c r="AB102" s="17"/>
      <c r="AC102" s="17"/>
      <c r="AD102" s="17"/>
      <c r="AE102" s="17"/>
      <c r="AF102" s="17"/>
      <c r="AG102" s="17"/>
      <c r="AH102" s="17"/>
      <c r="AI102" s="17"/>
    </row>
    <row r="103" hidden="1">
      <c r="A103" s="34">
        <f t="shared" si="4"/>
        <v>102</v>
      </c>
      <c r="B103" s="35" t="s">
        <v>52</v>
      </c>
      <c r="C103" s="34" t="s">
        <v>2630</v>
      </c>
      <c r="D103" s="34" t="s">
        <v>8096</v>
      </c>
      <c r="E103" s="34">
        <v>21.925000000000001</v>
      </c>
      <c r="F103" s="34">
        <v>87.442250000000001</v>
      </c>
      <c r="G103" s="34" t="s">
        <v>7954</v>
      </c>
      <c r="H103" s="34" t="s">
        <v>7987</v>
      </c>
      <c r="I103" s="35" t="s">
        <v>2603</v>
      </c>
      <c r="J103" s="35">
        <v>8348990602</v>
      </c>
      <c r="K103" s="42" t="s">
        <v>2603</v>
      </c>
      <c r="L103" s="42">
        <v>8348990602</v>
      </c>
      <c r="M103" s="42"/>
      <c r="N103" s="17"/>
      <c r="O103" s="17"/>
      <c r="P103" s="17"/>
      <c r="Q103" s="17"/>
      <c r="R103" s="17"/>
      <c r="S103" s="17"/>
      <c r="T103" s="17"/>
      <c r="U103" s="17"/>
      <c r="V103" s="17" t="s">
        <v>7991</v>
      </c>
      <c r="W103" s="17" t="s">
        <v>7992</v>
      </c>
      <c r="X103" s="17">
        <v>1</v>
      </c>
      <c r="Y103" s="17"/>
      <c r="Z103" s="17"/>
      <c r="AA103" s="17"/>
      <c r="AB103" s="17"/>
      <c r="AC103" s="17"/>
      <c r="AD103" s="17"/>
      <c r="AE103" s="17"/>
      <c r="AF103" s="17"/>
      <c r="AG103" s="17"/>
      <c r="AH103" s="17"/>
      <c r="AI103" s="17"/>
    </row>
    <row r="104" hidden="1">
      <c r="A104" s="34">
        <f t="shared" si="4"/>
        <v>103</v>
      </c>
      <c r="B104" s="35" t="s">
        <v>52</v>
      </c>
      <c r="C104" s="34" t="s">
        <v>2634</v>
      </c>
      <c r="D104" s="34" t="s">
        <v>8097</v>
      </c>
      <c r="E104" s="34">
        <v>21.926600000000001</v>
      </c>
      <c r="F104" s="34">
        <v>87.463099999999997</v>
      </c>
      <c r="G104" s="34" t="s">
        <v>7954</v>
      </c>
      <c r="H104" s="34" t="s">
        <v>7987</v>
      </c>
      <c r="I104" s="35" t="s">
        <v>2603</v>
      </c>
      <c r="J104" s="35">
        <v>8348990602</v>
      </c>
      <c r="K104" s="42" t="s">
        <v>2603</v>
      </c>
      <c r="L104" s="42">
        <v>8348990602</v>
      </c>
      <c r="M104" s="42"/>
      <c r="N104" s="17"/>
      <c r="O104" s="17"/>
      <c r="P104" s="17"/>
      <c r="Q104" s="17"/>
      <c r="R104" s="17"/>
      <c r="S104" s="17"/>
      <c r="T104" s="17"/>
      <c r="U104" s="17"/>
      <c r="V104" s="17"/>
      <c r="W104" s="17"/>
      <c r="X104" s="17"/>
      <c r="Y104" s="17"/>
      <c r="Z104" s="17"/>
      <c r="AA104" s="17"/>
      <c r="AB104" s="17"/>
      <c r="AC104" s="17"/>
      <c r="AD104" s="17"/>
      <c r="AE104" s="17"/>
      <c r="AF104" s="17"/>
      <c r="AG104" s="17"/>
      <c r="AH104" s="17"/>
      <c r="AI104" s="17"/>
    </row>
    <row r="105" hidden="1">
      <c r="A105" s="34">
        <f t="shared" si="4"/>
        <v>104</v>
      </c>
      <c r="B105" s="35" t="s">
        <v>52</v>
      </c>
      <c r="C105" s="34" t="s">
        <v>2637</v>
      </c>
      <c r="D105" s="34" t="s">
        <v>8098</v>
      </c>
      <c r="E105" s="34">
        <v>21.950569999999999</v>
      </c>
      <c r="F105" s="34">
        <v>87.430189999999996</v>
      </c>
      <c r="G105" s="34" t="s">
        <v>7954</v>
      </c>
      <c r="H105" s="34" t="s">
        <v>7987</v>
      </c>
      <c r="I105" s="35" t="s">
        <v>2603</v>
      </c>
      <c r="J105" s="35">
        <v>8348990602</v>
      </c>
      <c r="K105" s="42" t="s">
        <v>2603</v>
      </c>
      <c r="L105" s="42">
        <v>8348990602</v>
      </c>
      <c r="M105" s="42"/>
      <c r="N105" s="17"/>
      <c r="O105" s="17"/>
      <c r="P105" s="17"/>
      <c r="Q105" s="17"/>
      <c r="R105" s="17"/>
      <c r="S105" s="17"/>
      <c r="T105" s="17" t="s">
        <v>7995</v>
      </c>
      <c r="U105" s="17">
        <v>1</v>
      </c>
      <c r="V105" s="17"/>
      <c r="W105" s="17"/>
      <c r="X105" s="17"/>
      <c r="Y105" s="17" t="s">
        <v>7991</v>
      </c>
      <c r="Z105" s="17" t="s">
        <v>8000</v>
      </c>
      <c r="AA105" s="17" t="s">
        <v>8093</v>
      </c>
      <c r="AB105" s="17" t="s">
        <v>8099</v>
      </c>
      <c r="AC105" s="17"/>
      <c r="AD105" s="17" t="s">
        <v>8075</v>
      </c>
      <c r="AE105" s="17"/>
      <c r="AF105" s="17"/>
      <c r="AG105" s="17"/>
      <c r="AH105" s="17"/>
      <c r="AI105" s="17"/>
    </row>
    <row r="106" hidden="1">
      <c r="A106" s="34">
        <f t="shared" si="4"/>
        <v>105</v>
      </c>
      <c r="B106" s="35" t="s">
        <v>52</v>
      </c>
      <c r="C106" s="34" t="s">
        <v>2639</v>
      </c>
      <c r="D106" s="34" t="s">
        <v>8100</v>
      </c>
      <c r="E106" s="34">
        <v>21.96763</v>
      </c>
      <c r="F106" s="34">
        <v>87.455380000000005</v>
      </c>
      <c r="G106" s="34" t="s">
        <v>7954</v>
      </c>
      <c r="H106" s="34" t="s">
        <v>8009</v>
      </c>
      <c r="I106" s="35" t="s">
        <v>2603</v>
      </c>
      <c r="J106" s="35">
        <v>8348990602</v>
      </c>
      <c r="K106" s="42" t="s">
        <v>2603</v>
      </c>
      <c r="L106" s="42">
        <v>8348990602</v>
      </c>
      <c r="M106" s="42"/>
      <c r="N106" s="17"/>
      <c r="O106" s="17"/>
      <c r="P106" s="17"/>
      <c r="Q106" s="17"/>
      <c r="R106" s="17"/>
      <c r="S106" s="17"/>
      <c r="T106" s="17" t="s">
        <v>8101</v>
      </c>
      <c r="U106" s="17">
        <v>1</v>
      </c>
      <c r="V106" s="17"/>
      <c r="W106" s="17"/>
      <c r="X106" s="17"/>
      <c r="Y106" s="17"/>
      <c r="Z106" s="17"/>
      <c r="AA106" s="17"/>
      <c r="AB106" s="17"/>
      <c r="AC106" s="17"/>
      <c r="AD106" s="17"/>
      <c r="AE106" s="17"/>
      <c r="AF106" s="17"/>
      <c r="AG106" s="17"/>
      <c r="AH106" s="17"/>
      <c r="AI106" s="17"/>
    </row>
    <row r="107" hidden="1">
      <c r="A107" s="34">
        <f t="shared" si="4"/>
        <v>106</v>
      </c>
      <c r="B107" s="35" t="s">
        <v>52</v>
      </c>
      <c r="C107" s="34" t="s">
        <v>2642</v>
      </c>
      <c r="D107" s="34" t="s">
        <v>8102</v>
      </c>
      <c r="E107" s="34">
        <v>22.012504</v>
      </c>
      <c r="F107" s="34">
        <v>87.391351</v>
      </c>
      <c r="G107" s="34" t="s">
        <v>7956</v>
      </c>
      <c r="H107" s="34" t="s">
        <v>7987</v>
      </c>
      <c r="I107" s="35" t="s">
        <v>2223</v>
      </c>
      <c r="J107" s="35">
        <v>9734686686</v>
      </c>
      <c r="K107" s="35" t="s">
        <v>2223</v>
      </c>
      <c r="L107" s="35">
        <v>9734686686</v>
      </c>
      <c r="M107" s="35"/>
      <c r="N107" s="17"/>
      <c r="O107" s="17"/>
      <c r="P107" s="17"/>
      <c r="Q107" s="17"/>
      <c r="R107" s="17"/>
      <c r="S107" s="17"/>
      <c r="T107" s="17"/>
      <c r="U107" s="17"/>
      <c r="V107" s="17"/>
      <c r="W107" s="17"/>
      <c r="X107" s="17"/>
      <c r="Y107" s="17"/>
      <c r="Z107" s="17"/>
      <c r="AA107" s="17"/>
      <c r="AB107" s="17"/>
      <c r="AC107" s="17"/>
      <c r="AD107" s="17"/>
      <c r="AE107" s="17"/>
      <c r="AF107" s="17"/>
      <c r="AG107" s="17"/>
      <c r="AH107" s="17"/>
      <c r="AI107" s="17"/>
    </row>
    <row r="108" hidden="1">
      <c r="A108" s="34">
        <f t="shared" si="4"/>
        <v>107</v>
      </c>
      <c r="B108" s="35" t="s">
        <v>52</v>
      </c>
      <c r="C108" s="34" t="s">
        <v>2645</v>
      </c>
      <c r="D108" s="34" t="s">
        <v>8103</v>
      </c>
      <c r="E108" s="34">
        <v>21.957815</v>
      </c>
      <c r="F108" s="34">
        <v>87.414985000000001</v>
      </c>
      <c r="G108" s="34" t="s">
        <v>8104</v>
      </c>
      <c r="H108" s="34" t="s">
        <v>7987</v>
      </c>
      <c r="I108" s="35" t="s">
        <v>2603</v>
      </c>
      <c r="J108" s="35">
        <v>8348990602</v>
      </c>
      <c r="K108" s="42" t="s">
        <v>2603</v>
      </c>
      <c r="L108" s="42">
        <v>8348990602</v>
      </c>
      <c r="M108" s="42"/>
      <c r="N108" s="17"/>
      <c r="O108" s="17"/>
      <c r="P108" s="17"/>
      <c r="Q108" s="17"/>
      <c r="R108" s="17"/>
      <c r="S108" s="17"/>
      <c r="T108" s="17"/>
      <c r="U108" s="17"/>
      <c r="V108" s="17"/>
      <c r="W108" s="17"/>
      <c r="X108" s="17"/>
      <c r="Y108" s="17"/>
      <c r="Z108" s="17"/>
      <c r="AA108" s="17"/>
      <c r="AB108" s="17"/>
      <c r="AC108" s="17"/>
      <c r="AD108" s="17"/>
      <c r="AE108" s="17"/>
      <c r="AF108" s="17"/>
      <c r="AG108" s="17"/>
      <c r="AH108" s="17"/>
      <c r="AI108" s="17"/>
    </row>
    <row r="109" hidden="1">
      <c r="A109" s="34">
        <f t="shared" si="4"/>
        <v>108</v>
      </c>
      <c r="B109" s="35" t="s">
        <v>52</v>
      </c>
      <c r="C109" s="34" t="s">
        <v>2648</v>
      </c>
      <c r="D109" s="34" t="s">
        <v>8105</v>
      </c>
      <c r="E109" s="34">
        <v>22.024632</v>
      </c>
      <c r="F109" s="34">
        <v>87.456525999999997</v>
      </c>
      <c r="G109" s="34" t="s">
        <v>7956</v>
      </c>
      <c r="H109" s="34" t="s">
        <v>7987</v>
      </c>
      <c r="I109" s="35" t="s">
        <v>2603</v>
      </c>
      <c r="J109" s="35">
        <v>8348990602</v>
      </c>
      <c r="K109" s="42" t="s">
        <v>2603</v>
      </c>
      <c r="L109" s="42">
        <v>8348990602</v>
      </c>
      <c r="M109" s="42"/>
      <c r="N109" s="17"/>
      <c r="O109" s="17"/>
      <c r="P109" s="17"/>
      <c r="Q109" s="17"/>
      <c r="R109" s="17"/>
      <c r="S109" s="17"/>
      <c r="T109" s="17"/>
      <c r="U109" s="17"/>
      <c r="V109" s="17"/>
      <c r="W109" s="17"/>
      <c r="X109" s="17"/>
      <c r="Y109" s="17"/>
      <c r="Z109" s="17"/>
      <c r="AA109" s="17"/>
      <c r="AB109" s="17"/>
      <c r="AC109" s="17"/>
      <c r="AD109" s="17"/>
      <c r="AE109" s="17"/>
      <c r="AF109" s="17"/>
      <c r="AG109" s="17"/>
      <c r="AH109" s="17"/>
      <c r="AI109" s="17"/>
    </row>
    <row r="110" hidden="1">
      <c r="A110" s="34">
        <f t="shared" si="4"/>
        <v>109</v>
      </c>
      <c r="B110" s="35" t="s">
        <v>52</v>
      </c>
      <c r="C110" s="34" t="s">
        <v>2651</v>
      </c>
      <c r="D110" s="34" t="s">
        <v>8106</v>
      </c>
      <c r="E110" s="34">
        <v>21.947054000000001</v>
      </c>
      <c r="F110" s="34">
        <v>87.456703000000005</v>
      </c>
      <c r="G110" s="34" t="s">
        <v>7956</v>
      </c>
      <c r="H110" s="34" t="s">
        <v>7987</v>
      </c>
      <c r="I110" s="35" t="s">
        <v>2603</v>
      </c>
      <c r="J110" s="35">
        <v>8348990602</v>
      </c>
      <c r="K110" s="42" t="s">
        <v>2603</v>
      </c>
      <c r="L110" s="42">
        <v>8348990602</v>
      </c>
      <c r="M110" s="42"/>
      <c r="N110" s="17"/>
      <c r="O110" s="17"/>
      <c r="P110" s="17"/>
      <c r="Q110" s="17"/>
      <c r="R110" s="17"/>
      <c r="S110" s="17"/>
      <c r="T110" s="17"/>
      <c r="U110" s="17"/>
      <c r="V110" s="17"/>
      <c r="W110" s="17"/>
      <c r="X110" s="17"/>
      <c r="Y110" s="17"/>
      <c r="Z110" s="17"/>
      <c r="AA110" s="17"/>
      <c r="AB110" s="17"/>
      <c r="AC110" s="17"/>
      <c r="AD110" s="17"/>
      <c r="AE110" s="17"/>
      <c r="AF110" s="17"/>
      <c r="AG110" s="17"/>
      <c r="AH110" s="17"/>
      <c r="AI110" s="17"/>
    </row>
    <row r="111" hidden="1">
      <c r="A111" s="34">
        <f t="shared" si="4"/>
        <v>110</v>
      </c>
      <c r="B111" s="35" t="s">
        <v>52</v>
      </c>
      <c r="C111" s="34" t="s">
        <v>2654</v>
      </c>
      <c r="D111" s="34" t="s">
        <v>2655</v>
      </c>
      <c r="E111" s="34">
        <v>21.994809</v>
      </c>
      <c r="F111" s="34">
        <v>87.450844000000004</v>
      </c>
      <c r="G111" s="34" t="s">
        <v>7956</v>
      </c>
      <c r="H111" s="34" t="s">
        <v>7987</v>
      </c>
      <c r="I111" s="35" t="s">
        <v>2603</v>
      </c>
      <c r="J111" s="35">
        <v>8348990602</v>
      </c>
      <c r="K111" s="42" t="s">
        <v>2603</v>
      </c>
      <c r="L111" s="42">
        <v>8348990602</v>
      </c>
      <c r="M111" s="42"/>
      <c r="N111" s="17"/>
      <c r="O111" s="17"/>
      <c r="P111" s="17"/>
      <c r="Q111" s="17"/>
      <c r="R111" s="17"/>
      <c r="S111" s="17"/>
      <c r="T111" s="17"/>
      <c r="U111" s="17"/>
      <c r="V111" s="17"/>
      <c r="W111" s="17"/>
      <c r="X111" s="17"/>
      <c r="Y111" s="17"/>
      <c r="Z111" s="17"/>
      <c r="AA111" s="17"/>
      <c r="AB111" s="17"/>
      <c r="AC111" s="17"/>
      <c r="AD111" s="17"/>
      <c r="AE111" s="17"/>
      <c r="AF111" s="17"/>
      <c r="AG111" s="17"/>
      <c r="AH111" s="17"/>
      <c r="AI111" s="17"/>
    </row>
    <row r="112" hidden="1">
      <c r="A112" s="34">
        <f t="shared" si="4"/>
        <v>111</v>
      </c>
      <c r="B112" s="35" t="s">
        <v>52</v>
      </c>
      <c r="C112" s="34" t="s">
        <v>2657</v>
      </c>
      <c r="D112" s="34" t="s">
        <v>2658</v>
      </c>
      <c r="E112" s="34">
        <v>21.941844</v>
      </c>
      <c r="F112" s="34">
        <v>87.489861000000005</v>
      </c>
      <c r="G112" s="34" t="s">
        <v>7956</v>
      </c>
      <c r="H112" s="34" t="s">
        <v>7987</v>
      </c>
      <c r="I112" s="35" t="s">
        <v>2603</v>
      </c>
      <c r="J112" s="35">
        <v>8348990602</v>
      </c>
      <c r="K112" s="42" t="s">
        <v>2603</v>
      </c>
      <c r="L112" s="42">
        <v>8348990602</v>
      </c>
      <c r="M112" s="42"/>
      <c r="N112" s="17"/>
      <c r="O112" s="17"/>
      <c r="P112" s="17"/>
      <c r="Q112" s="17"/>
      <c r="R112" s="17"/>
      <c r="S112" s="17"/>
      <c r="T112" s="17"/>
      <c r="U112" s="17"/>
      <c r="V112" s="17"/>
      <c r="W112" s="17"/>
      <c r="X112" s="17"/>
      <c r="Y112" s="17"/>
      <c r="Z112" s="17"/>
      <c r="AA112" s="17"/>
      <c r="AB112" s="17"/>
      <c r="AC112" s="17"/>
      <c r="AD112" s="17"/>
      <c r="AE112" s="17"/>
      <c r="AF112" s="17"/>
      <c r="AG112" s="17"/>
      <c r="AH112" s="17"/>
      <c r="AI112" s="17"/>
    </row>
    <row r="113" hidden="1">
      <c r="A113" s="34">
        <f t="shared" si="4"/>
        <v>112</v>
      </c>
      <c r="B113" s="35" t="s">
        <v>52</v>
      </c>
      <c r="C113" s="34" t="s">
        <v>2660</v>
      </c>
      <c r="D113" s="34" t="s">
        <v>2661</v>
      </c>
      <c r="E113" s="34">
        <v>21.940954999999999</v>
      </c>
      <c r="F113" s="34">
        <v>87.395769000000001</v>
      </c>
      <c r="G113" s="34" t="s">
        <v>7956</v>
      </c>
      <c r="H113" s="34" t="s">
        <v>7987</v>
      </c>
      <c r="I113" s="35" t="s">
        <v>2603</v>
      </c>
      <c r="J113" s="35">
        <v>8348990602</v>
      </c>
      <c r="K113" s="42" t="s">
        <v>2603</v>
      </c>
      <c r="L113" s="42">
        <v>8348990602</v>
      </c>
      <c r="M113" s="42"/>
      <c r="N113" s="17"/>
      <c r="O113" s="17"/>
      <c r="P113" s="17"/>
      <c r="Q113" s="17"/>
      <c r="R113" s="17"/>
      <c r="S113" s="17"/>
      <c r="T113" s="17"/>
      <c r="U113" s="17"/>
      <c r="V113" s="17"/>
      <c r="W113" s="17"/>
      <c r="X113" s="17"/>
      <c r="Y113" s="17"/>
      <c r="Z113" s="17"/>
      <c r="AA113" s="17"/>
      <c r="AB113" s="17"/>
      <c r="AC113" s="17"/>
      <c r="AD113" s="17"/>
      <c r="AE113" s="17"/>
      <c r="AF113" s="17"/>
      <c r="AG113" s="17"/>
      <c r="AH113" s="17"/>
      <c r="AI113" s="17"/>
    </row>
    <row r="114" hidden="1">
      <c r="A114" s="34">
        <f t="shared" si="4"/>
        <v>113</v>
      </c>
      <c r="B114" s="35" t="s">
        <v>52</v>
      </c>
      <c r="C114" s="34" t="s">
        <v>2663</v>
      </c>
      <c r="D114" s="34" t="s">
        <v>2664</v>
      </c>
      <c r="E114" s="34">
        <v>21.982935000000001</v>
      </c>
      <c r="F114" s="34">
        <v>87.409360000000007</v>
      </c>
      <c r="G114" s="34" t="s">
        <v>7956</v>
      </c>
      <c r="H114" s="34" t="s">
        <v>7987</v>
      </c>
      <c r="I114" s="35" t="s">
        <v>2603</v>
      </c>
      <c r="J114" s="35">
        <v>8348990602</v>
      </c>
      <c r="K114" s="42" t="s">
        <v>2603</v>
      </c>
      <c r="L114" s="42">
        <v>8348990602</v>
      </c>
      <c r="M114" s="42"/>
      <c r="N114" s="17"/>
      <c r="O114" s="17"/>
      <c r="P114" s="17"/>
      <c r="Q114" s="17"/>
      <c r="R114" s="17"/>
      <c r="S114" s="17"/>
      <c r="T114" s="17"/>
      <c r="U114" s="17"/>
      <c r="V114" s="17"/>
      <c r="W114" s="17"/>
      <c r="X114" s="17"/>
      <c r="Y114" s="17"/>
      <c r="Z114" s="17"/>
      <c r="AA114" s="17"/>
      <c r="AB114" s="17"/>
      <c r="AC114" s="17"/>
      <c r="AD114" s="17"/>
      <c r="AE114" s="17"/>
      <c r="AF114" s="17"/>
      <c r="AG114" s="17"/>
      <c r="AH114" s="17"/>
      <c r="AI114" s="17"/>
    </row>
    <row r="115" hidden="1">
      <c r="A115" s="34">
        <f t="shared" si="4"/>
        <v>114</v>
      </c>
      <c r="B115" s="35" t="s">
        <v>52</v>
      </c>
      <c r="C115" s="34" t="s">
        <v>2666</v>
      </c>
      <c r="D115" s="34" t="s">
        <v>2667</v>
      </c>
      <c r="E115" s="34">
        <v>21.983388000000001</v>
      </c>
      <c r="F115" s="34">
        <v>87.353437</v>
      </c>
      <c r="G115" s="34" t="s">
        <v>7956</v>
      </c>
      <c r="H115" s="34" t="s">
        <v>7987</v>
      </c>
      <c r="I115" s="35" t="s">
        <v>2603</v>
      </c>
      <c r="J115" s="35">
        <v>8348990602</v>
      </c>
      <c r="K115" s="42" t="s">
        <v>2603</v>
      </c>
      <c r="L115" s="42">
        <v>8348990602</v>
      </c>
      <c r="M115" s="42"/>
      <c r="N115" s="17"/>
      <c r="O115" s="17"/>
      <c r="P115" s="17"/>
      <c r="Q115" s="17"/>
      <c r="R115" s="17"/>
      <c r="S115" s="17"/>
      <c r="T115" s="17"/>
      <c r="U115" s="17"/>
      <c r="V115" s="17"/>
      <c r="W115" s="17"/>
      <c r="X115" s="17"/>
      <c r="Y115" s="17"/>
      <c r="Z115" s="17"/>
      <c r="AA115" s="17"/>
      <c r="AB115" s="17"/>
      <c r="AC115" s="17"/>
      <c r="AD115" s="17"/>
      <c r="AE115" s="17"/>
      <c r="AF115" s="17"/>
      <c r="AG115" s="17"/>
      <c r="AH115" s="17"/>
      <c r="AI115" s="17"/>
    </row>
    <row r="116" hidden="1">
      <c r="A116" s="34">
        <f t="shared" si="4"/>
        <v>115</v>
      </c>
      <c r="B116" s="35" t="s">
        <v>52</v>
      </c>
      <c r="C116" s="34" t="s">
        <v>2669</v>
      </c>
      <c r="D116" s="34" t="s">
        <v>2670</v>
      </c>
      <c r="E116" s="34">
        <v>21.899083000000001</v>
      </c>
      <c r="F116" s="34">
        <v>87.375778999999994</v>
      </c>
      <c r="G116" s="34" t="s">
        <v>7956</v>
      </c>
      <c r="H116" s="34" t="s">
        <v>7987</v>
      </c>
      <c r="I116" s="35" t="s">
        <v>2603</v>
      </c>
      <c r="J116" s="35">
        <v>8348990602</v>
      </c>
      <c r="K116" s="42" t="s">
        <v>2603</v>
      </c>
      <c r="L116" s="42">
        <v>8348990602</v>
      </c>
      <c r="M116" s="42"/>
      <c r="N116" s="17"/>
      <c r="O116" s="17"/>
      <c r="P116" s="17"/>
      <c r="Q116" s="17"/>
      <c r="R116" s="17"/>
      <c r="S116" s="17"/>
      <c r="T116" s="17"/>
      <c r="U116" s="17"/>
      <c r="V116" s="17"/>
      <c r="W116" s="17"/>
      <c r="X116" s="17"/>
      <c r="Y116" s="17"/>
      <c r="Z116" s="17"/>
      <c r="AA116" s="17"/>
      <c r="AB116" s="17"/>
      <c r="AC116" s="17"/>
      <c r="AD116" s="17"/>
      <c r="AE116" s="17"/>
      <c r="AF116" s="17"/>
      <c r="AG116" s="17"/>
      <c r="AH116" s="17"/>
      <c r="AI116" s="17"/>
    </row>
    <row r="117" hidden="1">
      <c r="A117" s="34">
        <f t="shared" si="4"/>
        <v>116</v>
      </c>
      <c r="B117" s="35" t="s">
        <v>52</v>
      </c>
      <c r="C117" s="34" t="s">
        <v>2672</v>
      </c>
      <c r="D117" s="34" t="s">
        <v>8107</v>
      </c>
      <c r="E117" s="34">
        <v>22.242260000000002</v>
      </c>
      <c r="F117" s="34">
        <v>87.670590000000004</v>
      </c>
      <c r="G117" s="34" t="s">
        <v>7959</v>
      </c>
      <c r="H117" s="34" t="s">
        <v>7987</v>
      </c>
      <c r="I117" s="35" t="s">
        <v>166</v>
      </c>
      <c r="J117" s="35">
        <v>9775477549</v>
      </c>
      <c r="K117" s="34" t="s">
        <v>166</v>
      </c>
      <c r="L117" s="34">
        <v>9775477549</v>
      </c>
      <c r="M117" s="34"/>
      <c r="N117" s="17"/>
      <c r="O117" s="17"/>
      <c r="P117" s="17"/>
      <c r="Q117" s="17"/>
      <c r="R117" s="17"/>
      <c r="S117" s="17"/>
      <c r="T117" s="17"/>
      <c r="U117" s="17"/>
      <c r="V117" s="17"/>
      <c r="W117" s="17"/>
      <c r="X117" s="17"/>
      <c r="Y117" s="17"/>
      <c r="Z117" s="17"/>
      <c r="AA117" s="17"/>
      <c r="AB117" s="17"/>
      <c r="AC117" s="17"/>
      <c r="AD117" s="17"/>
      <c r="AE117" s="17"/>
      <c r="AF117" s="17"/>
      <c r="AG117" s="17"/>
      <c r="AH117" s="17"/>
      <c r="AI117" s="17"/>
    </row>
    <row r="118" hidden="1">
      <c r="A118" s="34">
        <f t="shared" si="4"/>
        <v>117</v>
      </c>
      <c r="B118" s="35" t="s">
        <v>52</v>
      </c>
      <c r="C118" s="34" t="s">
        <v>2673</v>
      </c>
      <c r="D118" s="34" t="s">
        <v>2674</v>
      </c>
      <c r="E118" s="34">
        <v>22.241282000000002</v>
      </c>
      <c r="F118" s="34">
        <v>87.684099000000003</v>
      </c>
      <c r="G118" s="34" t="s">
        <v>7954</v>
      </c>
      <c r="H118" s="34" t="s">
        <v>7987</v>
      </c>
      <c r="I118" s="35" t="s">
        <v>166</v>
      </c>
      <c r="J118" s="35">
        <v>9775477549</v>
      </c>
      <c r="K118" s="34" t="s">
        <v>166</v>
      </c>
      <c r="L118" s="34">
        <v>9775477549</v>
      </c>
      <c r="M118" s="34"/>
      <c r="N118" s="17"/>
      <c r="O118" s="17"/>
      <c r="P118" s="17"/>
      <c r="Q118" s="17"/>
      <c r="R118" s="17"/>
      <c r="S118" s="17"/>
      <c r="T118" s="17"/>
      <c r="U118" s="17"/>
      <c r="V118" s="17"/>
      <c r="W118" s="17"/>
      <c r="X118" s="17"/>
      <c r="Y118" s="17"/>
      <c r="Z118" s="17"/>
      <c r="AA118" s="17"/>
      <c r="AB118" s="17"/>
      <c r="AC118" s="17"/>
      <c r="AD118" s="17"/>
      <c r="AE118" s="17"/>
      <c r="AF118" s="17"/>
      <c r="AG118" s="17"/>
      <c r="AH118" s="17"/>
      <c r="AI118" s="17"/>
    </row>
    <row r="119" hidden="1">
      <c r="A119" s="34">
        <f t="shared" si="4"/>
        <v>118</v>
      </c>
      <c r="B119" s="35" t="s">
        <v>52</v>
      </c>
      <c r="C119" s="34" t="s">
        <v>2677</v>
      </c>
      <c r="D119" s="34" t="s">
        <v>2678</v>
      </c>
      <c r="E119" s="34">
        <v>22.298598999999999</v>
      </c>
      <c r="F119" s="34">
        <v>87.640557999999999</v>
      </c>
      <c r="G119" s="34" t="s">
        <v>7956</v>
      </c>
      <c r="H119" s="34" t="s">
        <v>7987</v>
      </c>
      <c r="I119" s="35" t="s">
        <v>2680</v>
      </c>
      <c r="J119" s="35">
        <v>7797440223</v>
      </c>
      <c r="K119" s="34" t="s">
        <v>2680</v>
      </c>
      <c r="L119" s="34">
        <v>7797440223</v>
      </c>
      <c r="M119" s="34"/>
      <c r="N119" s="17"/>
      <c r="O119" s="17"/>
      <c r="P119" s="17"/>
      <c r="Q119" s="17"/>
      <c r="R119" s="17"/>
      <c r="S119" s="17"/>
      <c r="T119" s="17"/>
      <c r="U119" s="17"/>
      <c r="V119" s="17"/>
      <c r="W119" s="17"/>
      <c r="X119" s="17"/>
      <c r="Y119" s="17"/>
      <c r="Z119" s="17"/>
      <c r="AA119" s="17"/>
      <c r="AB119" s="17"/>
      <c r="AC119" s="17"/>
      <c r="AD119" s="17"/>
      <c r="AE119" s="17"/>
      <c r="AF119" s="17"/>
      <c r="AG119" s="17"/>
      <c r="AH119" s="17"/>
      <c r="AI119" s="17"/>
    </row>
    <row r="120" hidden="1">
      <c r="A120" s="34">
        <f t="shared" si="4"/>
        <v>119</v>
      </c>
      <c r="B120" s="35" t="s">
        <v>52</v>
      </c>
      <c r="C120" s="34" t="s">
        <v>2681</v>
      </c>
      <c r="D120" s="34" t="s">
        <v>8108</v>
      </c>
      <c r="E120" s="34">
        <v>22.4298</v>
      </c>
      <c r="F120" s="34">
        <v>87.520799999999994</v>
      </c>
      <c r="G120" s="34" t="s">
        <v>7954</v>
      </c>
      <c r="H120" s="34" t="s">
        <v>7987</v>
      </c>
      <c r="I120" s="35" t="s">
        <v>2291</v>
      </c>
      <c r="J120" s="35">
        <v>9933713149</v>
      </c>
      <c r="K120" s="34" t="s">
        <v>2291</v>
      </c>
      <c r="L120" s="42">
        <v>9933713149</v>
      </c>
      <c r="M120" s="42"/>
      <c r="N120" s="17"/>
      <c r="O120" s="17"/>
      <c r="P120" s="17"/>
      <c r="Q120" s="17"/>
      <c r="R120" s="17"/>
      <c r="S120" s="17"/>
      <c r="T120" s="17"/>
      <c r="U120" s="17"/>
      <c r="V120" s="17"/>
      <c r="W120" s="17"/>
      <c r="X120" s="17"/>
      <c r="Y120" s="17"/>
      <c r="Z120" s="17"/>
      <c r="AA120" s="17"/>
      <c r="AB120" s="17"/>
      <c r="AC120" s="17"/>
      <c r="AD120" s="17"/>
      <c r="AE120" s="17"/>
      <c r="AF120" s="17"/>
      <c r="AG120" s="17"/>
      <c r="AH120" s="17"/>
      <c r="AI120" s="17"/>
    </row>
    <row r="121" hidden="1">
      <c r="A121" s="34">
        <f t="shared" si="4"/>
        <v>120</v>
      </c>
      <c r="B121" s="35" t="s">
        <v>52</v>
      </c>
      <c r="C121" s="34" t="s">
        <v>2685</v>
      </c>
      <c r="D121" s="34" t="s">
        <v>2686</v>
      </c>
      <c r="E121" s="34">
        <v>22.446491000000002</v>
      </c>
      <c r="F121" s="34">
        <v>87.533928000000003</v>
      </c>
      <c r="G121" s="34" t="s">
        <v>7956</v>
      </c>
      <c r="H121" s="34" t="s">
        <v>7987</v>
      </c>
      <c r="I121" s="35" t="s">
        <v>2291</v>
      </c>
      <c r="J121" s="35">
        <v>9933713149</v>
      </c>
      <c r="K121" s="34" t="s">
        <v>2291</v>
      </c>
      <c r="L121" s="42">
        <v>9933713149</v>
      </c>
      <c r="M121" s="42"/>
      <c r="N121" s="17"/>
      <c r="O121" s="17"/>
      <c r="P121" s="17"/>
      <c r="Q121" s="17"/>
      <c r="R121" s="17"/>
      <c r="S121" s="17"/>
      <c r="T121" s="17"/>
      <c r="U121" s="17"/>
      <c r="V121" s="17"/>
      <c r="W121" s="17"/>
      <c r="X121" s="17"/>
      <c r="Y121" s="17"/>
      <c r="Z121" s="17"/>
      <c r="AA121" s="17"/>
      <c r="AB121" s="17"/>
      <c r="AC121" s="17"/>
      <c r="AD121" s="17"/>
      <c r="AE121" s="17"/>
      <c r="AF121" s="17"/>
      <c r="AG121" s="17"/>
      <c r="AH121" s="17"/>
      <c r="AI121" s="17"/>
    </row>
    <row r="122" hidden="1">
      <c r="A122" s="34">
        <f t="shared" si="4"/>
        <v>121</v>
      </c>
      <c r="B122" s="35" t="s">
        <v>52</v>
      </c>
      <c r="C122" s="34" t="s">
        <v>2688</v>
      </c>
      <c r="D122" s="34" t="s">
        <v>8109</v>
      </c>
      <c r="E122" s="34">
        <v>22.321043</v>
      </c>
      <c r="F122" s="34">
        <v>87.342369000000005</v>
      </c>
      <c r="G122" s="34" t="s">
        <v>7961</v>
      </c>
      <c r="H122" s="34" t="s">
        <v>7987</v>
      </c>
      <c r="I122" s="35" t="s">
        <v>2691</v>
      </c>
      <c r="J122" s="35">
        <v>6297992853</v>
      </c>
      <c r="K122" s="34" t="s">
        <v>2691</v>
      </c>
      <c r="L122" s="34">
        <v>6297992853</v>
      </c>
      <c r="M122" s="34"/>
      <c r="N122" s="17"/>
      <c r="O122" s="17"/>
      <c r="P122" s="17"/>
      <c r="Q122" s="17"/>
      <c r="R122" s="17"/>
      <c r="S122" s="17"/>
      <c r="T122" s="17"/>
      <c r="U122" s="17"/>
      <c r="V122" s="17"/>
      <c r="W122" s="17"/>
      <c r="X122" s="17"/>
      <c r="Y122" s="17"/>
      <c r="Z122" s="17"/>
      <c r="AA122" s="17"/>
      <c r="AB122" s="17"/>
      <c r="AC122" s="17"/>
      <c r="AD122" s="17"/>
      <c r="AE122" s="17"/>
      <c r="AF122" s="17"/>
      <c r="AG122" s="17"/>
      <c r="AH122" s="17"/>
      <c r="AI122" s="17"/>
    </row>
    <row r="123" hidden="1">
      <c r="A123" s="34">
        <f t="shared" si="4"/>
        <v>122</v>
      </c>
      <c r="B123" s="35" t="s">
        <v>52</v>
      </c>
      <c r="C123" s="34" t="s">
        <v>2692</v>
      </c>
      <c r="D123" s="34" t="s">
        <v>8110</v>
      </c>
      <c r="E123" s="34">
        <v>22.382580999999998</v>
      </c>
      <c r="F123" s="34">
        <v>87.439922999999993</v>
      </c>
      <c r="G123" s="34" t="s">
        <v>7955</v>
      </c>
      <c r="H123" s="34" t="s">
        <v>7987</v>
      </c>
      <c r="I123" s="34" t="s">
        <v>2284</v>
      </c>
      <c r="J123" s="35">
        <v>6382439675</v>
      </c>
      <c r="K123" s="34" t="s">
        <v>8111</v>
      </c>
      <c r="L123" s="34">
        <v>6382439675</v>
      </c>
      <c r="M123" s="34"/>
      <c r="N123" s="17"/>
      <c r="O123" s="17"/>
      <c r="P123" s="17"/>
      <c r="Q123" s="17"/>
      <c r="R123" s="17"/>
      <c r="S123" s="17"/>
      <c r="T123" s="17"/>
      <c r="U123" s="17"/>
      <c r="V123" s="17"/>
      <c r="W123" s="17"/>
      <c r="X123" s="17"/>
      <c r="Y123" s="17"/>
      <c r="Z123" s="17"/>
      <c r="AA123" s="17"/>
      <c r="AB123" s="17"/>
      <c r="AC123" s="17"/>
      <c r="AD123" s="17"/>
      <c r="AE123" s="17"/>
      <c r="AF123" s="17"/>
      <c r="AG123" s="17"/>
      <c r="AH123" s="17"/>
      <c r="AI123" s="17"/>
    </row>
    <row r="124" hidden="1">
      <c r="A124" s="34">
        <f t="shared" si="4"/>
        <v>123</v>
      </c>
      <c r="B124" s="35" t="s">
        <v>52</v>
      </c>
      <c r="C124" s="34" t="s">
        <v>2697</v>
      </c>
      <c r="D124" s="34" t="s">
        <v>8112</v>
      </c>
      <c r="E124" s="34">
        <v>22.365559999999999</v>
      </c>
      <c r="F124" s="34">
        <v>87.473274000000004</v>
      </c>
      <c r="G124" s="34" t="s">
        <v>7954</v>
      </c>
      <c r="H124" s="34" t="s">
        <v>7987</v>
      </c>
      <c r="I124" s="35" t="s">
        <v>2284</v>
      </c>
      <c r="J124" s="34">
        <v>6382439675</v>
      </c>
      <c r="K124" s="34" t="s">
        <v>2284</v>
      </c>
      <c r="L124" s="34">
        <v>6382439675</v>
      </c>
      <c r="M124" s="34"/>
      <c r="N124" s="17"/>
      <c r="O124" s="17"/>
      <c r="P124" s="17"/>
      <c r="Q124" s="17"/>
      <c r="R124" s="17"/>
      <c r="S124" s="17"/>
      <c r="T124" s="17"/>
      <c r="U124" s="17"/>
      <c r="V124" s="17"/>
      <c r="W124" s="17"/>
      <c r="X124" s="17"/>
      <c r="Y124" s="17"/>
      <c r="Z124" s="17"/>
      <c r="AA124" s="17"/>
      <c r="AB124" s="17"/>
      <c r="AC124" s="17"/>
      <c r="AD124" s="17"/>
      <c r="AE124" s="17"/>
      <c r="AF124" s="17"/>
      <c r="AG124" s="17"/>
      <c r="AH124" s="17"/>
      <c r="AI124" s="17"/>
    </row>
    <row r="125" hidden="1">
      <c r="A125" s="34">
        <f t="shared" si="4"/>
        <v>124</v>
      </c>
      <c r="B125" s="35" t="s">
        <v>52</v>
      </c>
      <c r="C125" s="34" t="s">
        <v>2701</v>
      </c>
      <c r="D125" s="34" t="s">
        <v>2702</v>
      </c>
      <c r="E125" s="34">
        <v>22.372681</v>
      </c>
      <c r="F125" s="34">
        <v>87.435263000000006</v>
      </c>
      <c r="G125" s="34" t="s">
        <v>7954</v>
      </c>
      <c r="H125" s="34" t="s">
        <v>7987</v>
      </c>
      <c r="I125" s="34" t="s">
        <v>2284</v>
      </c>
      <c r="J125" s="34">
        <v>6201045379</v>
      </c>
      <c r="K125" s="34" t="s">
        <v>8111</v>
      </c>
      <c r="L125" s="34">
        <v>6382439675</v>
      </c>
      <c r="M125" s="34"/>
      <c r="N125" s="17"/>
      <c r="O125" s="17"/>
      <c r="P125" s="17"/>
      <c r="Q125" s="17"/>
      <c r="R125" s="17"/>
      <c r="S125" s="17"/>
      <c r="T125" s="17"/>
      <c r="U125" s="17"/>
      <c r="V125" s="17"/>
      <c r="W125" s="17"/>
      <c r="X125" s="17"/>
      <c r="Y125" s="17" t="s">
        <v>7991</v>
      </c>
      <c r="Z125" s="17" t="s">
        <v>8000</v>
      </c>
      <c r="AA125" s="17" t="s">
        <v>82</v>
      </c>
      <c r="AB125" s="17" t="s">
        <v>8113</v>
      </c>
      <c r="AC125" s="17" t="s">
        <v>8114</v>
      </c>
      <c r="AD125" s="17"/>
      <c r="AE125" s="17"/>
      <c r="AF125" s="17"/>
      <c r="AG125" s="17"/>
      <c r="AH125" s="17"/>
      <c r="AI125" s="17"/>
    </row>
    <row r="126" hidden="1">
      <c r="A126" s="34">
        <f t="shared" si="4"/>
        <v>125</v>
      </c>
      <c r="B126" s="35" t="s">
        <v>52</v>
      </c>
      <c r="C126" s="34" t="s">
        <v>2704</v>
      </c>
      <c r="D126" s="34" t="s">
        <v>2705</v>
      </c>
      <c r="E126" s="34">
        <v>22.366423999999999</v>
      </c>
      <c r="F126" s="34">
        <v>87.400215000000003</v>
      </c>
      <c r="G126" s="34" t="s">
        <v>7954</v>
      </c>
      <c r="H126" s="34" t="s">
        <v>8009</v>
      </c>
      <c r="I126" s="34" t="s">
        <v>2284</v>
      </c>
      <c r="J126" s="34">
        <v>6201045379</v>
      </c>
      <c r="K126" s="34" t="s">
        <v>8111</v>
      </c>
      <c r="L126" s="34">
        <v>6382439675</v>
      </c>
      <c r="M126" s="34"/>
      <c r="N126" s="17"/>
      <c r="O126" s="17"/>
      <c r="P126" s="17"/>
      <c r="Q126" s="17"/>
      <c r="R126" s="17"/>
      <c r="S126" s="17"/>
      <c r="T126" s="17"/>
      <c r="U126" s="17"/>
      <c r="V126" s="17"/>
      <c r="W126" s="17"/>
      <c r="X126" s="17"/>
      <c r="Y126" s="17"/>
      <c r="Z126" s="17"/>
      <c r="AA126" s="17"/>
      <c r="AB126" s="17"/>
      <c r="AC126" s="17"/>
      <c r="AD126" s="17"/>
      <c r="AE126" s="17"/>
      <c r="AF126" s="17"/>
      <c r="AG126" s="17"/>
      <c r="AH126" s="17"/>
      <c r="AI126" s="17"/>
    </row>
    <row r="127">
      <c r="A127" s="34">
        <f t="shared" si="4"/>
        <v>126</v>
      </c>
      <c r="B127" s="35" t="s">
        <v>52</v>
      </c>
      <c r="C127" s="34" t="s">
        <v>2707</v>
      </c>
      <c r="D127" s="34" t="s">
        <v>2708</v>
      </c>
      <c r="E127" s="34">
        <v>22.310089999999999</v>
      </c>
      <c r="F127" s="34">
        <v>87.336534999999998</v>
      </c>
      <c r="G127" s="34" t="s">
        <v>7954</v>
      </c>
      <c r="H127" s="34" t="s">
        <v>7987</v>
      </c>
      <c r="I127" s="38" t="s">
        <v>2710</v>
      </c>
      <c r="J127" s="34">
        <v>9366758165</v>
      </c>
      <c r="K127" s="34" t="s">
        <v>8115</v>
      </c>
      <c r="L127" s="34">
        <v>9046419785</v>
      </c>
      <c r="M127" s="34">
        <v>85</v>
      </c>
      <c r="N127" s="17"/>
      <c r="O127" s="17"/>
      <c r="P127" s="17"/>
      <c r="Q127" s="17"/>
      <c r="R127" s="17"/>
      <c r="S127" s="17"/>
      <c r="T127" s="17"/>
      <c r="U127" s="17"/>
      <c r="V127" s="17"/>
      <c r="W127" s="17"/>
      <c r="X127" s="17"/>
      <c r="Y127" s="17" t="s">
        <v>7991</v>
      </c>
      <c r="Z127" s="17" t="s">
        <v>8000</v>
      </c>
      <c r="AA127" s="17" t="s">
        <v>8001</v>
      </c>
      <c r="AB127" s="17" t="s">
        <v>8116</v>
      </c>
      <c r="AC127" s="17" t="s">
        <v>8114</v>
      </c>
      <c r="AD127" s="17"/>
      <c r="AE127" s="17"/>
      <c r="AF127" s="17"/>
      <c r="AG127" s="17"/>
      <c r="AH127" s="17"/>
      <c r="AI127" s="17"/>
    </row>
    <row r="128" hidden="1">
      <c r="A128" s="34">
        <f t="shared" si="4"/>
        <v>127</v>
      </c>
      <c r="B128" s="35" t="s">
        <v>52</v>
      </c>
      <c r="C128" s="34" t="s">
        <v>2711</v>
      </c>
      <c r="D128" s="34" t="s">
        <v>8117</v>
      </c>
      <c r="E128" s="34">
        <v>22.392178000000001</v>
      </c>
      <c r="F128" s="34">
        <v>87.508815999999996</v>
      </c>
      <c r="G128" s="34" t="s">
        <v>7954</v>
      </c>
      <c r="H128" s="34" t="s">
        <v>7987</v>
      </c>
      <c r="I128" s="35" t="s">
        <v>2284</v>
      </c>
      <c r="J128" s="34">
        <v>6382439675</v>
      </c>
      <c r="K128" s="34" t="s">
        <v>2284</v>
      </c>
      <c r="L128" s="34">
        <v>6382439675</v>
      </c>
      <c r="M128" s="34"/>
      <c r="N128" s="17"/>
      <c r="O128" s="17"/>
      <c r="P128" s="17"/>
      <c r="Q128" s="17"/>
      <c r="R128" s="17"/>
      <c r="S128" s="17"/>
      <c r="T128" s="17"/>
      <c r="U128" s="17"/>
      <c r="V128" s="17"/>
      <c r="W128" s="17"/>
      <c r="X128" s="17"/>
      <c r="Y128" s="17"/>
      <c r="Z128" s="17"/>
      <c r="AA128" s="17"/>
      <c r="AB128" s="17"/>
      <c r="AC128" s="17"/>
      <c r="AD128" s="17"/>
      <c r="AE128" s="17"/>
      <c r="AF128" s="17"/>
      <c r="AG128" s="17"/>
      <c r="AH128" s="17"/>
      <c r="AI128" s="17"/>
    </row>
    <row r="129" hidden="1">
      <c r="A129" s="34">
        <f t="shared" si="4"/>
        <v>128</v>
      </c>
      <c r="B129" s="35" t="s">
        <v>52</v>
      </c>
      <c r="C129" s="34" t="s">
        <v>2715</v>
      </c>
      <c r="D129" s="34" t="s">
        <v>2716</v>
      </c>
      <c r="E129" s="34">
        <v>22.322105000000001</v>
      </c>
      <c r="F129" s="34">
        <v>87.397356000000002</v>
      </c>
      <c r="G129" s="34" t="s">
        <v>7954</v>
      </c>
      <c r="H129" s="34" t="s">
        <v>8009</v>
      </c>
      <c r="I129" s="34" t="s">
        <v>2695</v>
      </c>
      <c r="J129" s="34">
        <v>6201045379</v>
      </c>
      <c r="K129" s="34" t="s">
        <v>8111</v>
      </c>
      <c r="L129" s="34">
        <v>6382439675</v>
      </c>
      <c r="M129" s="34"/>
      <c r="N129" s="17"/>
      <c r="O129" s="17"/>
      <c r="P129" s="17"/>
      <c r="Q129" s="17"/>
      <c r="R129" s="17"/>
      <c r="S129" s="17"/>
      <c r="T129" s="17"/>
      <c r="U129" s="17"/>
      <c r="V129" s="17"/>
      <c r="W129" s="17"/>
      <c r="X129" s="17"/>
      <c r="Y129" s="17"/>
      <c r="Z129" s="17"/>
      <c r="AA129" s="17"/>
      <c r="AB129" s="17"/>
      <c r="AC129" s="17"/>
      <c r="AD129" s="17"/>
      <c r="AE129" s="17"/>
      <c r="AF129" s="17"/>
      <c r="AG129" s="17"/>
      <c r="AH129" s="17"/>
      <c r="AI129" s="17"/>
    </row>
    <row r="130" hidden="1">
      <c r="A130" s="34">
        <f t="shared" si="4"/>
        <v>129</v>
      </c>
      <c r="B130" s="35" t="s">
        <v>52</v>
      </c>
      <c r="C130" s="34" t="s">
        <v>2718</v>
      </c>
      <c r="D130" s="34" t="s">
        <v>2719</v>
      </c>
      <c r="E130" s="34">
        <v>22.279959000000002</v>
      </c>
      <c r="F130" s="34">
        <v>87.394121999999996</v>
      </c>
      <c r="G130" s="34" t="s">
        <v>7954</v>
      </c>
      <c r="H130" s="34" t="s">
        <v>7987</v>
      </c>
      <c r="I130" s="34" t="s">
        <v>2695</v>
      </c>
      <c r="J130" s="34">
        <v>6201045379</v>
      </c>
      <c r="K130" s="34" t="s">
        <v>8111</v>
      </c>
      <c r="L130" s="34">
        <v>6382439675</v>
      </c>
      <c r="M130" s="34"/>
      <c r="N130" s="17"/>
      <c r="O130" s="17"/>
      <c r="P130" s="17"/>
      <c r="Q130" s="17"/>
      <c r="R130" s="17"/>
      <c r="S130" s="17"/>
      <c r="T130" s="17"/>
      <c r="U130" s="17"/>
      <c r="V130" s="17"/>
      <c r="W130" s="17"/>
      <c r="X130" s="17"/>
      <c r="Y130" s="17"/>
      <c r="Z130" s="17"/>
      <c r="AA130" s="17"/>
      <c r="AB130" s="17"/>
      <c r="AC130" s="17"/>
      <c r="AD130" s="17"/>
      <c r="AE130" s="17"/>
      <c r="AF130" s="17"/>
      <c r="AG130" s="17"/>
      <c r="AH130" s="17"/>
      <c r="AI130" s="17"/>
    </row>
    <row r="131" hidden="1">
      <c r="A131" s="34">
        <f t="shared" ref="A131:A194" si="5">A130+1</f>
        <v>130</v>
      </c>
      <c r="B131" s="35" t="s">
        <v>52</v>
      </c>
      <c r="C131" s="34" t="s">
        <v>2721</v>
      </c>
      <c r="D131" s="34" t="s">
        <v>2722</v>
      </c>
      <c r="E131" s="34">
        <v>22.384571000000001</v>
      </c>
      <c r="F131" s="34">
        <v>87.400206999999995</v>
      </c>
      <c r="G131" s="34" t="s">
        <v>7954</v>
      </c>
      <c r="H131" s="34" t="s">
        <v>7987</v>
      </c>
      <c r="I131" s="34" t="s">
        <v>2284</v>
      </c>
      <c r="J131" s="34">
        <v>6201045379</v>
      </c>
      <c r="K131" s="34" t="s">
        <v>8111</v>
      </c>
      <c r="L131" s="34">
        <v>6382439675</v>
      </c>
      <c r="M131" s="34"/>
      <c r="N131" s="17"/>
      <c r="O131" s="17"/>
      <c r="P131" s="17"/>
      <c r="Q131" s="17"/>
      <c r="R131" s="17"/>
      <c r="S131" s="17"/>
      <c r="T131" s="17"/>
      <c r="U131" s="17"/>
      <c r="V131" s="17"/>
      <c r="W131" s="17"/>
      <c r="X131" s="17"/>
      <c r="Y131" s="17"/>
      <c r="Z131" s="17"/>
      <c r="AA131" s="17"/>
      <c r="AB131" s="17"/>
      <c r="AC131" s="17"/>
      <c r="AD131" s="17"/>
      <c r="AE131" s="17"/>
      <c r="AF131" s="17"/>
      <c r="AG131" s="17"/>
      <c r="AH131" s="17"/>
      <c r="AI131" s="17"/>
    </row>
    <row r="132" hidden="1">
      <c r="A132" s="34">
        <f t="shared" si="5"/>
        <v>131</v>
      </c>
      <c r="B132" s="35" t="s">
        <v>52</v>
      </c>
      <c r="C132" s="34" t="s">
        <v>2724</v>
      </c>
      <c r="D132" s="34" t="s">
        <v>8118</v>
      </c>
      <c r="E132" s="34">
        <v>22.396584000000001</v>
      </c>
      <c r="F132" s="34">
        <v>87.478613999999993</v>
      </c>
      <c r="G132" s="34" t="s">
        <v>7954</v>
      </c>
      <c r="H132" s="34" t="s">
        <v>7987</v>
      </c>
      <c r="I132" s="35" t="s">
        <v>2284</v>
      </c>
      <c r="J132" s="34">
        <v>6382439675</v>
      </c>
      <c r="K132" s="34" t="s">
        <v>2284</v>
      </c>
      <c r="L132" s="34">
        <v>6382439675</v>
      </c>
      <c r="M132" s="34"/>
      <c r="N132" s="17"/>
      <c r="O132" s="17"/>
      <c r="P132" s="17"/>
      <c r="Q132" s="17"/>
      <c r="R132" s="17"/>
      <c r="S132" s="17"/>
      <c r="T132" s="17"/>
      <c r="U132" s="17"/>
      <c r="V132" s="17"/>
      <c r="W132" s="17"/>
      <c r="X132" s="17"/>
      <c r="Y132" s="17"/>
      <c r="Z132" s="17"/>
      <c r="AA132" s="17"/>
      <c r="AB132" s="17"/>
      <c r="AC132" s="17"/>
      <c r="AD132" s="17"/>
      <c r="AE132" s="17"/>
      <c r="AF132" s="17"/>
      <c r="AG132" s="17"/>
      <c r="AH132" s="17"/>
      <c r="AI132" s="17"/>
    </row>
    <row r="133" hidden="1">
      <c r="A133" s="34">
        <f t="shared" si="5"/>
        <v>132</v>
      </c>
      <c r="B133" s="35" t="s">
        <v>52</v>
      </c>
      <c r="C133" s="34" t="s">
        <v>2726</v>
      </c>
      <c r="D133" s="34" t="s">
        <v>2727</v>
      </c>
      <c r="E133" s="34">
        <v>22.312453999999999</v>
      </c>
      <c r="F133" s="34">
        <v>87.436351999999999</v>
      </c>
      <c r="G133" s="34" t="s">
        <v>7954</v>
      </c>
      <c r="H133" s="34" t="s">
        <v>7987</v>
      </c>
      <c r="I133" s="34" t="s">
        <v>2695</v>
      </c>
      <c r="J133" s="34">
        <v>6201045379</v>
      </c>
      <c r="K133" s="34" t="s">
        <v>8111</v>
      </c>
      <c r="L133" s="34">
        <v>6382439675</v>
      </c>
      <c r="M133" s="34"/>
      <c r="N133" s="17"/>
      <c r="O133" s="17"/>
      <c r="P133" s="17"/>
      <c r="Q133" s="17"/>
      <c r="R133" s="17"/>
      <c r="S133" s="17"/>
      <c r="T133" s="17"/>
      <c r="U133" s="17"/>
      <c r="V133" s="17"/>
      <c r="W133" s="17"/>
      <c r="X133" s="17"/>
      <c r="Y133" s="17"/>
      <c r="Z133" s="17"/>
      <c r="AA133" s="17"/>
      <c r="AB133" s="17"/>
      <c r="AC133" s="17"/>
      <c r="AD133" s="17"/>
      <c r="AE133" s="17"/>
      <c r="AF133" s="17"/>
      <c r="AG133" s="17"/>
      <c r="AH133" s="17"/>
      <c r="AI133" s="17"/>
    </row>
    <row r="134" hidden="1">
      <c r="A134" s="34">
        <f t="shared" si="5"/>
        <v>133</v>
      </c>
      <c r="B134" s="35" t="s">
        <v>52</v>
      </c>
      <c r="C134" s="34" t="s">
        <v>2729</v>
      </c>
      <c r="D134" s="34" t="s">
        <v>2730</v>
      </c>
      <c r="E134" s="34">
        <v>22.384944000000001</v>
      </c>
      <c r="F134" s="34">
        <v>87.493617999999998</v>
      </c>
      <c r="G134" s="34" t="s">
        <v>7954</v>
      </c>
      <c r="H134" s="34" t="s">
        <v>7987</v>
      </c>
      <c r="I134" s="35" t="s">
        <v>2284</v>
      </c>
      <c r="J134" s="34">
        <v>6382439675</v>
      </c>
      <c r="K134" s="34" t="s">
        <v>2284</v>
      </c>
      <c r="L134" s="34">
        <v>6382439675</v>
      </c>
      <c r="M134" s="34"/>
      <c r="N134" s="17"/>
      <c r="O134" s="17"/>
      <c r="P134" s="17"/>
      <c r="Q134" s="17"/>
      <c r="R134" s="17"/>
      <c r="S134" s="17"/>
      <c r="T134" s="17"/>
      <c r="U134" s="17"/>
      <c r="V134" s="17"/>
      <c r="W134" s="17"/>
      <c r="X134" s="17"/>
      <c r="Y134" s="17" t="s">
        <v>7991</v>
      </c>
      <c r="Z134" s="17" t="s">
        <v>8034</v>
      </c>
      <c r="AA134" s="17" t="s">
        <v>8119</v>
      </c>
      <c r="AB134" s="17" t="s">
        <v>8120</v>
      </c>
      <c r="AC134" s="17" t="s">
        <v>8114</v>
      </c>
      <c r="AD134" s="17"/>
      <c r="AE134" s="17"/>
      <c r="AF134" s="17"/>
      <c r="AG134" s="17"/>
      <c r="AH134" s="17"/>
      <c r="AI134" s="17"/>
    </row>
    <row r="135" hidden="1">
      <c r="A135" s="34">
        <f t="shared" si="5"/>
        <v>134</v>
      </c>
      <c r="B135" s="35" t="s">
        <v>52</v>
      </c>
      <c r="C135" s="34" t="s">
        <v>2733</v>
      </c>
      <c r="D135" s="34" t="s">
        <v>2734</v>
      </c>
      <c r="E135" s="34">
        <v>22.243537</v>
      </c>
      <c r="F135" s="34">
        <v>87.509426000000005</v>
      </c>
      <c r="G135" s="34" t="s">
        <v>7954</v>
      </c>
      <c r="H135" s="34" t="s">
        <v>7987</v>
      </c>
      <c r="I135" s="35" t="s">
        <v>2680</v>
      </c>
      <c r="J135" s="34">
        <v>7797440223</v>
      </c>
      <c r="K135" s="34" t="s">
        <v>2680</v>
      </c>
      <c r="L135" s="34">
        <v>7797440223</v>
      </c>
      <c r="M135" s="34"/>
      <c r="N135" s="17"/>
      <c r="O135" s="17"/>
      <c r="P135" s="17"/>
      <c r="Q135" s="17"/>
      <c r="R135" s="17"/>
      <c r="S135" s="17"/>
      <c r="T135" s="17"/>
      <c r="U135" s="17"/>
      <c r="V135" s="17"/>
      <c r="W135" s="17"/>
      <c r="X135" s="17"/>
      <c r="Y135" s="17"/>
      <c r="Z135" s="17"/>
      <c r="AA135" s="17"/>
      <c r="AB135" s="17"/>
      <c r="AC135" s="17"/>
      <c r="AD135" s="17"/>
      <c r="AE135" s="17"/>
      <c r="AF135" s="17"/>
      <c r="AG135" s="17"/>
      <c r="AH135" s="17"/>
      <c r="AI135" s="17"/>
    </row>
    <row r="136" hidden="1">
      <c r="A136" s="34">
        <f t="shared" si="5"/>
        <v>135</v>
      </c>
      <c r="B136" s="35" t="s">
        <v>52</v>
      </c>
      <c r="C136" s="34" t="s">
        <v>2739</v>
      </c>
      <c r="D136" s="34" t="s">
        <v>8121</v>
      </c>
      <c r="E136" s="34">
        <v>22.354036000000001</v>
      </c>
      <c r="F136" s="34">
        <v>87.454892999999998</v>
      </c>
      <c r="G136" s="34" t="s">
        <v>7954</v>
      </c>
      <c r="H136" s="34" t="s">
        <v>7987</v>
      </c>
      <c r="I136" s="35" t="s">
        <v>2284</v>
      </c>
      <c r="J136" s="34">
        <v>6382439675</v>
      </c>
      <c r="K136" s="34" t="s">
        <v>2284</v>
      </c>
      <c r="L136" s="34">
        <v>6382439675</v>
      </c>
      <c r="M136" s="34"/>
      <c r="N136" s="17"/>
      <c r="O136" s="17"/>
      <c r="P136" s="17"/>
      <c r="Q136" s="17"/>
      <c r="R136" s="17"/>
      <c r="S136" s="17"/>
      <c r="T136" s="17"/>
      <c r="U136" s="17"/>
      <c r="V136" s="17"/>
      <c r="W136" s="17"/>
      <c r="X136" s="17"/>
      <c r="Y136" s="17"/>
      <c r="Z136" s="17"/>
      <c r="AA136" s="17"/>
      <c r="AB136" s="17"/>
      <c r="AC136" s="17"/>
      <c r="AD136" s="17"/>
      <c r="AE136" s="17"/>
      <c r="AF136" s="17"/>
      <c r="AG136" s="17"/>
      <c r="AH136" s="17"/>
      <c r="AI136" s="17"/>
    </row>
    <row r="137" hidden="1">
      <c r="A137" s="34">
        <f t="shared" si="5"/>
        <v>136</v>
      </c>
      <c r="B137" s="35" t="s">
        <v>52</v>
      </c>
      <c r="C137" s="34" t="s">
        <v>2744</v>
      </c>
      <c r="D137" s="34" t="s">
        <v>8122</v>
      </c>
      <c r="E137" s="34">
        <v>22.401322</v>
      </c>
      <c r="F137" s="34">
        <v>87.450507999999999</v>
      </c>
      <c r="G137" s="34" t="s">
        <v>7954</v>
      </c>
      <c r="H137" s="34" t="s">
        <v>7987</v>
      </c>
      <c r="I137" s="34" t="s">
        <v>2284</v>
      </c>
      <c r="J137" s="34">
        <v>6201045379</v>
      </c>
      <c r="K137" s="34" t="s">
        <v>8111</v>
      </c>
      <c r="L137" s="34">
        <v>6382439675</v>
      </c>
      <c r="M137" s="34"/>
      <c r="N137" s="17"/>
      <c r="O137" s="17"/>
      <c r="P137" s="17"/>
      <c r="Q137" s="17"/>
      <c r="R137" s="17"/>
      <c r="S137" s="17"/>
      <c r="T137" s="17"/>
      <c r="U137" s="17"/>
      <c r="V137" s="17"/>
      <c r="W137" s="17"/>
      <c r="X137" s="17"/>
      <c r="Y137" s="17"/>
      <c r="Z137" s="17"/>
      <c r="AA137" s="17"/>
      <c r="AB137" s="17"/>
      <c r="AC137" s="17"/>
      <c r="AD137" s="17"/>
      <c r="AE137" s="17"/>
      <c r="AF137" s="17"/>
      <c r="AG137" s="17"/>
      <c r="AH137" s="17"/>
      <c r="AI137" s="17"/>
    </row>
    <row r="138" hidden="1">
      <c r="A138" s="34">
        <f t="shared" si="5"/>
        <v>137</v>
      </c>
      <c r="B138" s="35" t="s">
        <v>52</v>
      </c>
      <c r="C138" s="34" t="s">
        <v>2747</v>
      </c>
      <c r="D138" s="34" t="s">
        <v>8123</v>
      </c>
      <c r="E138" s="34">
        <v>22.381404</v>
      </c>
      <c r="F138" s="34">
        <v>87.420090999999999</v>
      </c>
      <c r="G138" s="34" t="s">
        <v>7954</v>
      </c>
      <c r="H138" s="34" t="s">
        <v>7987</v>
      </c>
      <c r="I138" s="34" t="s">
        <v>2284</v>
      </c>
      <c r="J138" s="34">
        <v>6201045379</v>
      </c>
      <c r="K138" s="34" t="s">
        <v>8111</v>
      </c>
      <c r="L138" s="34">
        <v>6382439675</v>
      </c>
      <c r="M138" s="34"/>
      <c r="N138" s="17"/>
      <c r="O138" s="17"/>
      <c r="P138" s="17"/>
      <c r="Q138" s="17"/>
      <c r="R138" s="17"/>
      <c r="S138" s="17"/>
      <c r="T138" s="17"/>
      <c r="U138" s="17"/>
      <c r="V138" s="17"/>
      <c r="W138" s="17"/>
      <c r="X138" s="17"/>
      <c r="Y138" s="17"/>
      <c r="Z138" s="17"/>
      <c r="AA138" s="17"/>
      <c r="AB138" s="17"/>
      <c r="AC138" s="17"/>
      <c r="AD138" s="17"/>
      <c r="AE138" s="17"/>
      <c r="AF138" s="17"/>
      <c r="AG138" s="17"/>
      <c r="AH138" s="17"/>
      <c r="AI138" s="17"/>
    </row>
    <row r="139" hidden="1">
      <c r="A139" s="34">
        <f t="shared" si="5"/>
        <v>138</v>
      </c>
      <c r="B139" s="35" t="s">
        <v>52</v>
      </c>
      <c r="C139" s="34" t="s">
        <v>2750</v>
      </c>
      <c r="D139" s="34" t="s">
        <v>8124</v>
      </c>
      <c r="E139" s="34">
        <v>22.368144000000001</v>
      </c>
      <c r="F139" s="34">
        <v>87.441435999999996</v>
      </c>
      <c r="G139" s="34" t="s">
        <v>7954</v>
      </c>
      <c r="H139" s="34" t="s">
        <v>7987</v>
      </c>
      <c r="I139" s="34" t="s">
        <v>2284</v>
      </c>
      <c r="J139" s="34">
        <v>6201045379</v>
      </c>
      <c r="K139" s="34" t="s">
        <v>8111</v>
      </c>
      <c r="L139" s="34">
        <v>6382439675</v>
      </c>
      <c r="M139" s="34"/>
      <c r="N139" s="17"/>
      <c r="O139" s="17"/>
      <c r="P139" s="17"/>
      <c r="Q139" s="17"/>
      <c r="R139" s="17"/>
      <c r="S139" s="17"/>
      <c r="T139" s="17"/>
      <c r="U139" s="17"/>
      <c r="V139" s="17"/>
      <c r="W139" s="17"/>
      <c r="X139" s="17"/>
      <c r="Y139" s="17"/>
      <c r="Z139" s="17"/>
      <c r="AA139" s="17"/>
      <c r="AB139" s="17"/>
      <c r="AC139" s="17"/>
      <c r="AD139" s="17"/>
      <c r="AE139" s="17"/>
      <c r="AF139" s="17"/>
      <c r="AG139" s="17"/>
      <c r="AH139" s="17"/>
      <c r="AI139" s="17"/>
    </row>
    <row r="140" hidden="1">
      <c r="A140" s="34">
        <f t="shared" si="5"/>
        <v>139</v>
      </c>
      <c r="B140" s="35" t="s">
        <v>52</v>
      </c>
      <c r="C140" s="34" t="s">
        <v>2753</v>
      </c>
      <c r="D140" s="34" t="s">
        <v>8125</v>
      </c>
      <c r="E140" s="34">
        <v>22.398056</v>
      </c>
      <c r="F140" s="34">
        <v>87.420783999999998</v>
      </c>
      <c r="G140" s="34" t="s">
        <v>7954</v>
      </c>
      <c r="H140" s="34" t="s">
        <v>7987</v>
      </c>
      <c r="I140" s="34" t="s">
        <v>2284</v>
      </c>
      <c r="J140" s="34">
        <v>6201045379</v>
      </c>
      <c r="K140" s="34" t="s">
        <v>8111</v>
      </c>
      <c r="L140" s="34">
        <v>6382439675</v>
      </c>
      <c r="M140" s="34"/>
      <c r="N140" s="17"/>
      <c r="O140" s="17"/>
      <c r="P140" s="17"/>
      <c r="Q140" s="17"/>
      <c r="R140" s="17"/>
      <c r="S140" s="17"/>
      <c r="T140" s="17"/>
      <c r="U140" s="17"/>
      <c r="V140" s="17"/>
      <c r="W140" s="17"/>
      <c r="X140" s="17"/>
      <c r="Y140" s="17"/>
      <c r="Z140" s="17"/>
      <c r="AA140" s="17"/>
      <c r="AB140" s="17"/>
      <c r="AC140" s="17"/>
      <c r="AD140" s="17"/>
      <c r="AE140" s="17"/>
      <c r="AF140" s="17"/>
      <c r="AG140" s="17"/>
      <c r="AH140" s="17"/>
      <c r="AI140" s="17"/>
    </row>
    <row r="141" hidden="1">
      <c r="A141" s="34">
        <f t="shared" si="5"/>
        <v>140</v>
      </c>
      <c r="B141" s="35" t="s">
        <v>52</v>
      </c>
      <c r="C141" s="34" t="s">
        <v>2756</v>
      </c>
      <c r="D141" s="34" t="s">
        <v>8126</v>
      </c>
      <c r="E141" s="34">
        <v>22.375456</v>
      </c>
      <c r="F141" s="34">
        <v>87.381062</v>
      </c>
      <c r="G141" s="34" t="s">
        <v>7954</v>
      </c>
      <c r="H141" s="34" t="s">
        <v>7987</v>
      </c>
      <c r="I141" s="34" t="s">
        <v>2284</v>
      </c>
      <c r="J141" s="34">
        <v>6201045379</v>
      </c>
      <c r="K141" s="34" t="s">
        <v>8111</v>
      </c>
      <c r="L141" s="34">
        <v>6382439675</v>
      </c>
      <c r="M141" s="34">
        <v>160</v>
      </c>
      <c r="N141" s="17"/>
      <c r="O141" s="17"/>
      <c r="P141" s="17"/>
      <c r="Q141" s="17"/>
      <c r="R141" s="17"/>
      <c r="S141" s="17"/>
      <c r="T141" s="17"/>
      <c r="U141" s="17"/>
      <c r="V141" s="17" t="s">
        <v>7991</v>
      </c>
      <c r="W141" s="17" t="s">
        <v>8016</v>
      </c>
      <c r="X141" s="17">
        <v>6</v>
      </c>
      <c r="Y141" s="17" t="s">
        <v>7991</v>
      </c>
      <c r="Z141" s="17" t="s">
        <v>8034</v>
      </c>
      <c r="AA141" s="17" t="s">
        <v>8127</v>
      </c>
      <c r="AB141" s="17" t="s">
        <v>8128</v>
      </c>
      <c r="AC141" s="17" t="s">
        <v>8114</v>
      </c>
      <c r="AD141" s="17"/>
      <c r="AE141" s="17"/>
      <c r="AF141" s="17"/>
      <c r="AG141" s="17"/>
      <c r="AH141" s="17"/>
      <c r="AI141" s="17"/>
    </row>
    <row r="142" hidden="1">
      <c r="A142" s="34">
        <f t="shared" si="5"/>
        <v>141</v>
      </c>
      <c r="B142" s="35" t="s">
        <v>52</v>
      </c>
      <c r="C142" s="34" t="s">
        <v>2759</v>
      </c>
      <c r="D142" s="34" t="s">
        <v>8129</v>
      </c>
      <c r="E142" s="34">
        <v>22.322970999999999</v>
      </c>
      <c r="F142" s="34">
        <v>87.359183999999999</v>
      </c>
      <c r="G142" s="34" t="s">
        <v>7954</v>
      </c>
      <c r="H142" s="34" t="s">
        <v>7987</v>
      </c>
      <c r="I142" s="35" t="s">
        <v>2695</v>
      </c>
      <c r="J142" s="34"/>
      <c r="K142" s="34" t="s">
        <v>8111</v>
      </c>
      <c r="L142" s="34">
        <v>6382439675</v>
      </c>
      <c r="M142" s="34"/>
      <c r="N142" s="17"/>
      <c r="O142" s="17"/>
      <c r="P142" s="17"/>
      <c r="Q142" s="17"/>
      <c r="R142" s="17"/>
      <c r="S142" s="17"/>
      <c r="T142" s="17"/>
      <c r="U142" s="17"/>
      <c r="V142" s="17"/>
      <c r="W142" s="17"/>
      <c r="X142" s="17"/>
      <c r="Y142" s="17"/>
      <c r="Z142" s="17"/>
      <c r="AA142" s="17"/>
      <c r="AB142" s="17"/>
      <c r="AC142" s="17"/>
      <c r="AD142" s="17"/>
      <c r="AE142" s="17"/>
      <c r="AF142" s="17"/>
      <c r="AG142" s="17"/>
      <c r="AH142" s="17"/>
      <c r="AI142" s="17"/>
    </row>
    <row r="143" hidden="1">
      <c r="A143" s="34">
        <f t="shared" si="5"/>
        <v>142</v>
      </c>
      <c r="B143" s="35" t="s">
        <v>52</v>
      </c>
      <c r="C143" s="34" t="s">
        <v>2762</v>
      </c>
      <c r="D143" s="34" t="s">
        <v>8130</v>
      </c>
      <c r="E143" s="34">
        <v>22.36018</v>
      </c>
      <c r="F143" s="34">
        <v>87.393739999999994</v>
      </c>
      <c r="G143" s="34" t="s">
        <v>7954</v>
      </c>
      <c r="H143" s="34" t="s">
        <v>7987</v>
      </c>
      <c r="I143" s="34" t="s">
        <v>2284</v>
      </c>
      <c r="J143" s="34">
        <v>6201045379</v>
      </c>
      <c r="K143" s="34" t="s">
        <v>8111</v>
      </c>
      <c r="L143" s="34">
        <v>6382439675</v>
      </c>
      <c r="M143" s="34"/>
      <c r="N143" s="17"/>
      <c r="O143" s="17"/>
      <c r="P143" s="17"/>
      <c r="Q143" s="17"/>
      <c r="R143" s="17"/>
      <c r="S143" s="17"/>
      <c r="T143" s="17"/>
      <c r="U143" s="17"/>
      <c r="V143" s="17"/>
      <c r="W143" s="17"/>
      <c r="X143" s="17"/>
      <c r="Y143" s="17"/>
      <c r="Z143" s="17"/>
      <c r="AA143" s="17"/>
      <c r="AB143" s="17"/>
      <c r="AC143" s="17"/>
      <c r="AD143" s="17"/>
      <c r="AE143" s="17"/>
      <c r="AF143" s="17"/>
      <c r="AG143" s="17"/>
      <c r="AH143" s="17"/>
      <c r="AI143" s="17"/>
    </row>
    <row r="144" hidden="1">
      <c r="A144" s="34">
        <f t="shared" si="5"/>
        <v>143</v>
      </c>
      <c r="B144" s="35" t="s">
        <v>52</v>
      </c>
      <c r="C144" s="34" t="s">
        <v>2765</v>
      </c>
      <c r="D144" s="34" t="s">
        <v>8131</v>
      </c>
      <c r="E144" s="34">
        <v>22.248871000000001</v>
      </c>
      <c r="F144" s="34">
        <v>87.378613999999999</v>
      </c>
      <c r="G144" s="34" t="s">
        <v>7954</v>
      </c>
      <c r="H144" s="34" t="s">
        <v>7987</v>
      </c>
      <c r="I144" s="34" t="s">
        <v>2695</v>
      </c>
      <c r="J144" s="34">
        <v>6201045379</v>
      </c>
      <c r="K144" s="34" t="s">
        <v>8115</v>
      </c>
      <c r="L144" s="34">
        <v>9046419785</v>
      </c>
      <c r="M144" s="34"/>
      <c r="N144" s="17"/>
      <c r="O144" s="17"/>
      <c r="P144" s="17"/>
      <c r="Q144" s="17"/>
      <c r="R144" s="17"/>
      <c r="S144" s="17"/>
      <c r="T144" s="17"/>
      <c r="U144" s="17"/>
      <c r="V144" s="17"/>
      <c r="W144" s="17"/>
      <c r="X144" s="17"/>
      <c r="Y144" s="17"/>
      <c r="Z144" s="17"/>
      <c r="AA144" s="17"/>
      <c r="AB144" s="17"/>
      <c r="AC144" s="17"/>
      <c r="AD144" s="17"/>
      <c r="AE144" s="17"/>
      <c r="AF144" s="17"/>
      <c r="AG144" s="17"/>
      <c r="AH144" s="17"/>
      <c r="AI144" s="17"/>
    </row>
    <row r="145">
      <c r="A145" s="34">
        <f t="shared" si="5"/>
        <v>144</v>
      </c>
      <c r="B145" s="35" t="s">
        <v>52</v>
      </c>
      <c r="C145" s="34" t="s">
        <v>2768</v>
      </c>
      <c r="D145" s="34" t="s">
        <v>8132</v>
      </c>
      <c r="E145" s="34">
        <v>22.299517000000002</v>
      </c>
      <c r="F145" s="34">
        <v>87.341604000000004</v>
      </c>
      <c r="G145" s="34" t="s">
        <v>7954</v>
      </c>
      <c r="H145" s="34" t="s">
        <v>7987</v>
      </c>
      <c r="I145" s="38" t="s">
        <v>2710</v>
      </c>
      <c r="J145" s="34">
        <v>9366758165</v>
      </c>
      <c r="K145" s="34" t="s">
        <v>8115</v>
      </c>
      <c r="L145" s="34">
        <v>9046419785</v>
      </c>
      <c r="M145" s="34"/>
      <c r="N145" s="17"/>
      <c r="O145" s="17"/>
      <c r="P145" s="17"/>
      <c r="Q145" s="17"/>
      <c r="R145" s="17"/>
      <c r="S145" s="17"/>
      <c r="T145" s="17"/>
      <c r="U145" s="17"/>
      <c r="V145" s="17"/>
      <c r="W145" s="17"/>
      <c r="X145" s="17"/>
      <c r="Y145" s="17"/>
      <c r="Z145" s="17"/>
      <c r="AA145" s="17"/>
      <c r="AB145" s="17"/>
      <c r="AC145" s="17"/>
      <c r="AD145" s="17"/>
      <c r="AE145" s="17"/>
      <c r="AF145" s="17"/>
      <c r="AG145" s="17"/>
      <c r="AH145" s="17"/>
      <c r="AI145" s="17"/>
    </row>
    <row r="146" hidden="1">
      <c r="A146" s="34">
        <f t="shared" si="5"/>
        <v>145</v>
      </c>
      <c r="B146" s="35" t="s">
        <v>52</v>
      </c>
      <c r="C146" s="34" t="s">
        <v>2771</v>
      </c>
      <c r="D146" s="34" t="s">
        <v>8133</v>
      </c>
      <c r="E146" s="34">
        <v>22.305070000000001</v>
      </c>
      <c r="F146" s="34">
        <v>87.413179999999997</v>
      </c>
      <c r="G146" s="34" t="s">
        <v>7954</v>
      </c>
      <c r="H146" s="34" t="s">
        <v>7987</v>
      </c>
      <c r="I146" s="34" t="s">
        <v>2695</v>
      </c>
      <c r="J146" s="34">
        <v>6201045379</v>
      </c>
      <c r="K146" s="34" t="s">
        <v>8111</v>
      </c>
      <c r="L146" s="34">
        <v>6382439675</v>
      </c>
      <c r="M146" s="34"/>
      <c r="N146" s="17"/>
      <c r="O146" s="17"/>
      <c r="P146" s="17"/>
      <c r="Q146" s="17"/>
      <c r="R146" s="17"/>
      <c r="S146" s="17"/>
      <c r="T146" s="17"/>
      <c r="U146" s="17"/>
      <c r="V146" s="17"/>
      <c r="W146" s="17"/>
      <c r="X146" s="17"/>
      <c r="Y146" s="17"/>
      <c r="Z146" s="17"/>
      <c r="AA146" s="17"/>
      <c r="AB146" s="17"/>
      <c r="AC146" s="17"/>
      <c r="AD146" s="17"/>
      <c r="AE146" s="17"/>
      <c r="AF146" s="17"/>
      <c r="AG146" s="17"/>
      <c r="AH146" s="17"/>
      <c r="AI146" s="17"/>
    </row>
    <row r="147" hidden="1">
      <c r="A147" s="34">
        <f t="shared" si="5"/>
        <v>146</v>
      </c>
      <c r="B147" s="35" t="s">
        <v>52</v>
      </c>
      <c r="C147" s="34" t="s">
        <v>2774</v>
      </c>
      <c r="D147" s="34" t="s">
        <v>8134</v>
      </c>
      <c r="E147" s="34">
        <v>22.283545</v>
      </c>
      <c r="F147" s="34">
        <v>87.487093999999999</v>
      </c>
      <c r="G147" s="34" t="s">
        <v>7954</v>
      </c>
      <c r="H147" s="34" t="s">
        <v>7987</v>
      </c>
      <c r="I147" s="35" t="s">
        <v>2680</v>
      </c>
      <c r="J147" s="34">
        <v>7797440223</v>
      </c>
      <c r="K147" s="34" t="s">
        <v>2680</v>
      </c>
      <c r="L147" s="34">
        <v>7797440223</v>
      </c>
      <c r="M147" s="34"/>
      <c r="N147" s="17"/>
      <c r="O147" s="17"/>
      <c r="P147" s="17"/>
      <c r="Q147" s="17"/>
      <c r="R147" s="17"/>
      <c r="S147" s="17"/>
      <c r="T147" s="17"/>
      <c r="U147" s="17"/>
      <c r="V147" s="17"/>
      <c r="W147" s="17"/>
      <c r="X147" s="17"/>
      <c r="Y147" s="17"/>
      <c r="Z147" s="17"/>
      <c r="AA147" s="17"/>
      <c r="AB147" s="17"/>
      <c r="AC147" s="17"/>
      <c r="AD147" s="17"/>
      <c r="AE147" s="17"/>
      <c r="AF147" s="17"/>
      <c r="AG147" s="17"/>
      <c r="AH147" s="17"/>
      <c r="AI147" s="17"/>
    </row>
    <row r="148" hidden="1">
      <c r="A148" s="34">
        <f t="shared" si="5"/>
        <v>147</v>
      </c>
      <c r="B148" s="35" t="s">
        <v>52</v>
      </c>
      <c r="C148" s="34" t="s">
        <v>2779</v>
      </c>
      <c r="D148" s="34" t="s">
        <v>8135</v>
      </c>
      <c r="E148" s="34">
        <v>22.410449</v>
      </c>
      <c r="F148" s="34">
        <v>87.501768999999996</v>
      </c>
      <c r="G148" s="34" t="s">
        <v>7954</v>
      </c>
      <c r="H148" s="34" t="s">
        <v>7987</v>
      </c>
      <c r="I148" s="35" t="s">
        <v>2284</v>
      </c>
      <c r="J148" s="34">
        <v>6382439675</v>
      </c>
      <c r="K148" s="34" t="s">
        <v>2284</v>
      </c>
      <c r="L148" s="34">
        <v>6382439675</v>
      </c>
      <c r="M148" s="34"/>
      <c r="N148" s="17"/>
      <c r="O148" s="17"/>
      <c r="P148" s="17"/>
      <c r="Q148" s="17"/>
      <c r="R148" s="17"/>
      <c r="S148" s="17"/>
      <c r="T148" s="17"/>
      <c r="U148" s="17"/>
      <c r="V148" s="17"/>
      <c r="W148" s="17"/>
      <c r="X148" s="17"/>
      <c r="Y148" s="17"/>
      <c r="Z148" s="17"/>
      <c r="AA148" s="17"/>
      <c r="AB148" s="17"/>
      <c r="AC148" s="17"/>
      <c r="AD148" s="17"/>
      <c r="AE148" s="17"/>
      <c r="AF148" s="17"/>
      <c r="AG148" s="17"/>
      <c r="AH148" s="17"/>
      <c r="AI148" s="17"/>
    </row>
    <row r="149" hidden="1">
      <c r="A149" s="34">
        <f t="shared" si="5"/>
        <v>148</v>
      </c>
      <c r="B149" s="35" t="s">
        <v>52</v>
      </c>
      <c r="C149" s="34" t="s">
        <v>2785</v>
      </c>
      <c r="D149" s="34" t="s">
        <v>8136</v>
      </c>
      <c r="E149" s="34">
        <v>22.329599999999999</v>
      </c>
      <c r="F149" s="34">
        <v>87.458200000000005</v>
      </c>
      <c r="G149" s="34" t="s">
        <v>7954</v>
      </c>
      <c r="H149" s="34" t="s">
        <v>7987</v>
      </c>
      <c r="I149" s="35" t="s">
        <v>2284</v>
      </c>
      <c r="J149" s="34">
        <v>6382439675</v>
      </c>
      <c r="K149" s="34" t="s">
        <v>2284</v>
      </c>
      <c r="L149" s="34">
        <v>6382439675</v>
      </c>
      <c r="M149" s="34"/>
      <c r="N149" s="17"/>
      <c r="O149" s="17"/>
      <c r="P149" s="17"/>
      <c r="Q149" s="17"/>
      <c r="R149" s="17"/>
      <c r="S149" s="17"/>
      <c r="T149" s="17"/>
      <c r="U149" s="17"/>
      <c r="V149" s="17"/>
      <c r="W149" s="17"/>
      <c r="X149" s="17"/>
      <c r="Y149" s="17"/>
      <c r="Z149" s="17"/>
      <c r="AA149" s="17"/>
      <c r="AB149" s="17"/>
      <c r="AC149" s="17"/>
      <c r="AD149" s="17"/>
      <c r="AE149" s="17"/>
      <c r="AF149" s="17"/>
      <c r="AG149" s="17"/>
      <c r="AH149" s="17"/>
      <c r="AI149" s="17"/>
    </row>
    <row r="150" hidden="1">
      <c r="A150" s="34">
        <f t="shared" si="5"/>
        <v>149</v>
      </c>
      <c r="B150" s="35" t="s">
        <v>52</v>
      </c>
      <c r="C150" s="34" t="s">
        <v>2790</v>
      </c>
      <c r="D150" s="34" t="s">
        <v>8137</v>
      </c>
      <c r="E150" s="34">
        <v>22.261254000000001</v>
      </c>
      <c r="F150" s="34">
        <v>87.461608999999996</v>
      </c>
      <c r="G150" s="34" t="s">
        <v>7956</v>
      </c>
      <c r="H150" s="34" t="s">
        <v>7987</v>
      </c>
      <c r="I150" s="34" t="s">
        <v>2695</v>
      </c>
      <c r="J150" s="34">
        <v>6201045379</v>
      </c>
      <c r="K150" s="34" t="s">
        <v>8111</v>
      </c>
      <c r="L150" s="34">
        <v>6382439675</v>
      </c>
      <c r="M150" s="34"/>
      <c r="N150" s="17"/>
      <c r="O150" s="17"/>
      <c r="P150" s="17"/>
      <c r="Q150" s="17"/>
      <c r="R150" s="17"/>
      <c r="S150" s="17"/>
      <c r="T150" s="17"/>
      <c r="U150" s="17"/>
      <c r="V150" s="17"/>
      <c r="W150" s="17"/>
      <c r="X150" s="17"/>
      <c r="Y150" s="17"/>
      <c r="Z150" s="17"/>
      <c r="AA150" s="17"/>
      <c r="AB150" s="17"/>
      <c r="AC150" s="17"/>
      <c r="AD150" s="17"/>
      <c r="AE150" s="17"/>
      <c r="AF150" s="17"/>
      <c r="AG150" s="17"/>
      <c r="AH150" s="17"/>
      <c r="AI150" s="17"/>
    </row>
    <row r="151" hidden="1">
      <c r="A151" s="34">
        <f t="shared" si="5"/>
        <v>150</v>
      </c>
      <c r="B151" s="35" t="s">
        <v>52</v>
      </c>
      <c r="C151" s="34" t="s">
        <v>2793</v>
      </c>
      <c r="D151" s="34" t="s">
        <v>2794</v>
      </c>
      <c r="E151" s="34">
        <v>22.285437000000002</v>
      </c>
      <c r="F151" s="34">
        <v>87.460746999999998</v>
      </c>
      <c r="G151" s="34" t="s">
        <v>7956</v>
      </c>
      <c r="H151" s="34" t="s">
        <v>8009</v>
      </c>
      <c r="I151" s="34" t="s">
        <v>2695</v>
      </c>
      <c r="J151" s="34">
        <v>6201045379</v>
      </c>
      <c r="K151" s="34" t="s">
        <v>8111</v>
      </c>
      <c r="L151" s="34">
        <v>6382439675</v>
      </c>
      <c r="M151" s="34"/>
      <c r="N151" s="17"/>
      <c r="O151" s="17"/>
      <c r="P151" s="17"/>
      <c r="Q151" s="17"/>
      <c r="R151" s="17"/>
      <c r="S151" s="17"/>
      <c r="T151" s="17"/>
      <c r="U151" s="17"/>
      <c r="V151" s="17"/>
      <c r="W151" s="17"/>
      <c r="X151" s="17"/>
      <c r="Y151" s="17"/>
      <c r="Z151" s="17"/>
      <c r="AA151" s="17"/>
      <c r="AB151" s="17"/>
      <c r="AC151" s="17"/>
      <c r="AD151" s="17"/>
      <c r="AE151" s="17"/>
      <c r="AF151" s="17"/>
      <c r="AG151" s="17"/>
      <c r="AH151" s="17"/>
      <c r="AI151" s="17"/>
    </row>
    <row r="152" hidden="1">
      <c r="A152" s="34">
        <f t="shared" si="5"/>
        <v>151</v>
      </c>
      <c r="B152" s="35" t="s">
        <v>52</v>
      </c>
      <c r="C152" s="34" t="s">
        <v>2796</v>
      </c>
      <c r="D152" s="34" t="s">
        <v>8138</v>
      </c>
      <c r="E152" s="34">
        <v>22.341705999999999</v>
      </c>
      <c r="F152" s="34">
        <v>87.428490999999994</v>
      </c>
      <c r="G152" s="34" t="s">
        <v>7956</v>
      </c>
      <c r="H152" s="34" t="s">
        <v>7987</v>
      </c>
      <c r="I152" s="34" t="s">
        <v>2284</v>
      </c>
      <c r="J152" s="34">
        <v>6201045379</v>
      </c>
      <c r="K152" s="34" t="s">
        <v>8111</v>
      </c>
      <c r="L152" s="34">
        <v>6382439675</v>
      </c>
      <c r="M152" s="34"/>
      <c r="N152" s="17"/>
      <c r="O152" s="17"/>
      <c r="P152" s="17"/>
      <c r="Q152" s="17"/>
      <c r="R152" s="17"/>
      <c r="S152" s="17"/>
      <c r="T152" s="17"/>
      <c r="U152" s="17"/>
      <c r="V152" s="17"/>
      <c r="W152" s="17"/>
      <c r="X152" s="17"/>
      <c r="Y152" s="17"/>
      <c r="Z152" s="17"/>
      <c r="AA152" s="17"/>
      <c r="AB152" s="17"/>
      <c r="AC152" s="17"/>
      <c r="AD152" s="17"/>
      <c r="AE152" s="17"/>
      <c r="AF152" s="17"/>
      <c r="AG152" s="17"/>
      <c r="AH152" s="17"/>
      <c r="AI152" s="17"/>
    </row>
    <row r="153" hidden="1">
      <c r="A153" s="34">
        <f t="shared" si="5"/>
        <v>152</v>
      </c>
      <c r="B153" s="35" t="s">
        <v>52</v>
      </c>
      <c r="C153" s="34" t="s">
        <v>2799</v>
      </c>
      <c r="D153" s="34" t="s">
        <v>8139</v>
      </c>
      <c r="E153" s="34">
        <v>22.252137999999999</v>
      </c>
      <c r="F153" s="34">
        <v>87.484227000000004</v>
      </c>
      <c r="G153" s="34" t="s">
        <v>7956</v>
      </c>
      <c r="H153" s="34" t="s">
        <v>7987</v>
      </c>
      <c r="I153" s="34" t="s">
        <v>2695</v>
      </c>
      <c r="J153" s="34">
        <v>6201045379</v>
      </c>
      <c r="K153" s="34" t="s">
        <v>8111</v>
      </c>
      <c r="L153" s="34">
        <v>6382439675</v>
      </c>
      <c r="M153" s="34"/>
      <c r="N153" s="17"/>
      <c r="O153" s="17"/>
      <c r="P153" s="17"/>
      <c r="Q153" s="17"/>
      <c r="R153" s="17"/>
      <c r="S153" s="17"/>
      <c r="T153" s="17"/>
      <c r="U153" s="17"/>
      <c r="V153" s="17"/>
      <c r="W153" s="17"/>
      <c r="X153" s="17"/>
      <c r="Y153" s="17"/>
      <c r="Z153" s="17"/>
      <c r="AA153" s="17"/>
      <c r="AB153" s="17"/>
      <c r="AC153" s="17"/>
      <c r="AD153" s="17"/>
      <c r="AE153" s="17"/>
      <c r="AF153" s="17"/>
      <c r="AG153" s="17"/>
      <c r="AH153" s="17"/>
      <c r="AI153" s="17"/>
    </row>
    <row r="154" hidden="1">
      <c r="A154" s="34">
        <f t="shared" si="5"/>
        <v>153</v>
      </c>
      <c r="B154" s="35" t="s">
        <v>52</v>
      </c>
      <c r="C154" s="34" t="s">
        <v>2802</v>
      </c>
      <c r="D154" s="34" t="s">
        <v>8140</v>
      </c>
      <c r="E154" s="34">
        <v>22.283026</v>
      </c>
      <c r="F154" s="34">
        <v>87.418234999999996</v>
      </c>
      <c r="G154" s="34" t="s">
        <v>7956</v>
      </c>
      <c r="H154" s="34" t="s">
        <v>7987</v>
      </c>
      <c r="I154" s="34" t="s">
        <v>2695</v>
      </c>
      <c r="J154" s="34">
        <v>6201045379</v>
      </c>
      <c r="K154" s="34" t="s">
        <v>8111</v>
      </c>
      <c r="L154" s="34">
        <v>6382439675</v>
      </c>
      <c r="M154" s="34"/>
      <c r="N154" s="17"/>
      <c r="O154" s="17"/>
      <c r="P154" s="17"/>
      <c r="Q154" s="17"/>
      <c r="R154" s="17"/>
      <c r="S154" s="17"/>
      <c r="T154" s="17"/>
      <c r="U154" s="17"/>
      <c r="V154" s="17"/>
      <c r="W154" s="17"/>
      <c r="X154" s="17"/>
      <c r="Y154" s="17"/>
      <c r="Z154" s="17"/>
      <c r="AA154" s="17"/>
      <c r="AB154" s="17"/>
      <c r="AC154" s="17"/>
      <c r="AD154" s="17"/>
      <c r="AE154" s="17"/>
      <c r="AF154" s="17"/>
      <c r="AG154" s="17"/>
      <c r="AH154" s="17"/>
      <c r="AI154" s="17"/>
    </row>
    <row r="155" hidden="1">
      <c r="A155" s="34">
        <f t="shared" si="5"/>
        <v>154</v>
      </c>
      <c r="B155" s="35" t="s">
        <v>52</v>
      </c>
      <c r="C155" s="34" t="s">
        <v>2805</v>
      </c>
      <c r="D155" s="34" t="s">
        <v>2806</v>
      </c>
      <c r="E155" s="34">
        <v>22.347425000000001</v>
      </c>
      <c r="F155" s="34">
        <v>87.471114</v>
      </c>
      <c r="G155" s="34" t="s">
        <v>7956</v>
      </c>
      <c r="H155" s="34" t="s">
        <v>7987</v>
      </c>
      <c r="I155" s="35" t="s">
        <v>2284</v>
      </c>
      <c r="J155" s="34">
        <v>6382439675</v>
      </c>
      <c r="K155" s="34" t="s">
        <v>2284</v>
      </c>
      <c r="L155" s="34">
        <v>6382439675</v>
      </c>
      <c r="M155" s="34"/>
      <c r="N155" s="17"/>
      <c r="O155" s="17"/>
      <c r="P155" s="17"/>
      <c r="Q155" s="17"/>
      <c r="R155" s="17"/>
      <c r="S155" s="17"/>
      <c r="T155" s="17"/>
      <c r="U155" s="17"/>
      <c r="V155" s="17"/>
      <c r="W155" s="17"/>
      <c r="X155" s="17"/>
      <c r="Y155" s="17"/>
      <c r="Z155" s="17"/>
      <c r="AA155" s="17"/>
      <c r="AB155" s="17"/>
      <c r="AC155" s="17"/>
      <c r="AD155" s="17"/>
      <c r="AE155" s="17"/>
      <c r="AF155" s="17"/>
      <c r="AG155" s="17"/>
      <c r="AH155" s="17"/>
      <c r="AI155" s="17"/>
    </row>
    <row r="156" hidden="1">
      <c r="A156" s="34">
        <f t="shared" si="5"/>
        <v>155</v>
      </c>
      <c r="B156" s="35" t="s">
        <v>52</v>
      </c>
      <c r="C156" s="34" t="s">
        <v>2808</v>
      </c>
      <c r="D156" s="34" t="s">
        <v>2809</v>
      </c>
      <c r="E156" s="34">
        <v>22.265383</v>
      </c>
      <c r="F156" s="34">
        <v>87.387034</v>
      </c>
      <c r="G156" s="34" t="s">
        <v>7956</v>
      </c>
      <c r="H156" s="34" t="s">
        <v>7987</v>
      </c>
      <c r="I156" s="34" t="s">
        <v>2695</v>
      </c>
      <c r="J156" s="34">
        <v>6201045379</v>
      </c>
      <c r="K156" s="34" t="s">
        <v>8111</v>
      </c>
      <c r="L156" s="34">
        <v>6382439675</v>
      </c>
      <c r="M156" s="34"/>
      <c r="N156" s="17"/>
      <c r="O156" s="17"/>
      <c r="P156" s="17"/>
      <c r="Q156" s="17"/>
      <c r="R156" s="17"/>
      <c r="S156" s="17"/>
      <c r="T156" s="17"/>
      <c r="U156" s="17"/>
      <c r="V156" s="17"/>
      <c r="W156" s="17"/>
      <c r="X156" s="17"/>
      <c r="Y156" s="17"/>
      <c r="Z156" s="17"/>
      <c r="AA156" s="17"/>
      <c r="AB156" s="17"/>
      <c r="AC156" s="17"/>
      <c r="AD156" s="17"/>
      <c r="AE156" s="17"/>
      <c r="AF156" s="17"/>
      <c r="AG156" s="17"/>
      <c r="AH156" s="17"/>
      <c r="AI156" s="17"/>
    </row>
    <row r="157" hidden="1">
      <c r="A157" s="34">
        <f t="shared" si="5"/>
        <v>156</v>
      </c>
      <c r="B157" s="35" t="s">
        <v>52</v>
      </c>
      <c r="C157" s="34" t="s">
        <v>2811</v>
      </c>
      <c r="D157" s="34" t="s">
        <v>2812</v>
      </c>
      <c r="E157" s="34">
        <v>22.438426</v>
      </c>
      <c r="F157" s="34">
        <v>87.499656000000002</v>
      </c>
      <c r="G157" s="34" t="s">
        <v>7956</v>
      </c>
      <c r="H157" s="34" t="s">
        <v>7987</v>
      </c>
      <c r="I157" s="35" t="s">
        <v>2284</v>
      </c>
      <c r="J157" s="34">
        <v>6382439675</v>
      </c>
      <c r="K157" s="34" t="s">
        <v>2284</v>
      </c>
      <c r="L157" s="34">
        <v>6382439675</v>
      </c>
      <c r="M157" s="34"/>
      <c r="N157" s="17"/>
      <c r="O157" s="17"/>
      <c r="P157" s="17"/>
      <c r="Q157" s="17"/>
      <c r="R157" s="17"/>
      <c r="S157" s="17"/>
      <c r="T157" s="17"/>
      <c r="U157" s="17"/>
      <c r="V157" s="17"/>
      <c r="W157" s="17"/>
      <c r="X157" s="17"/>
      <c r="Y157" s="17"/>
      <c r="Z157" s="17"/>
      <c r="AA157" s="17"/>
      <c r="AB157" s="17"/>
      <c r="AC157" s="17"/>
      <c r="AD157" s="17"/>
      <c r="AE157" s="17"/>
      <c r="AF157" s="17"/>
      <c r="AG157" s="17"/>
      <c r="AH157" s="17"/>
      <c r="AI157" s="17"/>
    </row>
    <row r="158" hidden="1">
      <c r="A158" s="34">
        <f t="shared" si="5"/>
        <v>157</v>
      </c>
      <c r="B158" s="35" t="s">
        <v>52</v>
      </c>
      <c r="C158" s="34" t="s">
        <v>2813</v>
      </c>
      <c r="D158" s="34" t="s">
        <v>2814</v>
      </c>
      <c r="E158" s="34">
        <v>22.260866</v>
      </c>
      <c r="F158" s="34">
        <v>87.439205000000001</v>
      </c>
      <c r="G158" s="34" t="s">
        <v>7956</v>
      </c>
      <c r="H158" s="34" t="s">
        <v>7987</v>
      </c>
      <c r="I158" s="34" t="s">
        <v>2695</v>
      </c>
      <c r="J158" s="34">
        <v>6201045379</v>
      </c>
      <c r="K158" s="34" t="s">
        <v>8111</v>
      </c>
      <c r="L158" s="34">
        <v>6382439675</v>
      </c>
      <c r="M158" s="34"/>
      <c r="N158" s="17"/>
      <c r="O158" s="17"/>
      <c r="P158" s="17"/>
      <c r="Q158" s="17"/>
      <c r="R158" s="17"/>
      <c r="S158" s="17"/>
      <c r="T158" s="17"/>
      <c r="U158" s="17"/>
      <c r="V158" s="17"/>
      <c r="W158" s="17"/>
      <c r="X158" s="17"/>
      <c r="Y158" s="17"/>
      <c r="Z158" s="17"/>
      <c r="AA158" s="17"/>
      <c r="AB158" s="17"/>
      <c r="AC158" s="17"/>
      <c r="AD158" s="17"/>
      <c r="AE158" s="17"/>
      <c r="AF158" s="17"/>
      <c r="AG158" s="17"/>
      <c r="AH158" s="17"/>
      <c r="AI158" s="17"/>
    </row>
    <row r="159" hidden="1">
      <c r="A159" s="34">
        <f t="shared" si="5"/>
        <v>158</v>
      </c>
      <c r="B159" s="35" t="s">
        <v>52</v>
      </c>
      <c r="C159" s="34" t="s">
        <v>2816</v>
      </c>
      <c r="D159" s="34" t="s">
        <v>8141</v>
      </c>
      <c r="E159" s="34">
        <v>22.354990000000001</v>
      </c>
      <c r="F159" s="34">
        <v>87.337290999999993</v>
      </c>
      <c r="G159" s="34" t="s">
        <v>8142</v>
      </c>
      <c r="H159" s="35" t="s">
        <v>7987</v>
      </c>
      <c r="I159" s="35" t="s">
        <v>2691</v>
      </c>
      <c r="J159" s="34">
        <v>6297992853</v>
      </c>
      <c r="K159" s="34" t="s">
        <v>2691</v>
      </c>
      <c r="L159" s="34">
        <v>6297992853</v>
      </c>
      <c r="M159" s="34"/>
      <c r="N159" s="17"/>
      <c r="O159" s="17"/>
      <c r="P159" s="17"/>
      <c r="Q159" s="17"/>
      <c r="R159" s="17"/>
      <c r="S159" s="17"/>
      <c r="T159" s="17"/>
      <c r="U159" s="17"/>
      <c r="V159" s="17"/>
      <c r="W159" s="17"/>
      <c r="X159" s="17"/>
      <c r="Y159" s="17"/>
      <c r="Z159" s="17"/>
      <c r="AA159" s="17"/>
      <c r="AB159" s="17"/>
      <c r="AC159" s="17"/>
      <c r="AD159" s="17"/>
      <c r="AE159" s="17"/>
      <c r="AF159" s="17"/>
      <c r="AG159" s="17"/>
      <c r="AH159" s="17"/>
      <c r="AI159" s="17"/>
    </row>
    <row r="160" hidden="1">
      <c r="A160" s="34">
        <f t="shared" si="5"/>
        <v>159</v>
      </c>
      <c r="B160" s="35" t="s">
        <v>52</v>
      </c>
      <c r="C160" s="34" t="s">
        <v>2818</v>
      </c>
      <c r="D160" s="34" t="s">
        <v>8143</v>
      </c>
      <c r="E160" s="34">
        <v>22.351101</v>
      </c>
      <c r="F160" s="34">
        <v>87.280814000000007</v>
      </c>
      <c r="G160" s="34" t="s">
        <v>7961</v>
      </c>
      <c r="H160" s="34" t="s">
        <v>7987</v>
      </c>
      <c r="I160" s="35" t="s">
        <v>2691</v>
      </c>
      <c r="J160" s="34">
        <v>6297992853</v>
      </c>
      <c r="K160" s="34" t="s">
        <v>2691</v>
      </c>
      <c r="L160" s="34">
        <v>6297992853</v>
      </c>
      <c r="M160" s="34"/>
      <c r="N160" s="17"/>
      <c r="O160" s="17"/>
      <c r="P160" s="17"/>
      <c r="Q160" s="17"/>
      <c r="R160" s="17"/>
      <c r="S160" s="17"/>
      <c r="T160" s="17"/>
      <c r="U160" s="17"/>
      <c r="V160" s="17"/>
      <c r="W160" s="17"/>
      <c r="X160" s="17"/>
      <c r="Y160" s="17"/>
      <c r="Z160" s="17"/>
      <c r="AA160" s="17"/>
      <c r="AB160" s="17"/>
      <c r="AC160" s="17"/>
      <c r="AD160" s="17"/>
      <c r="AE160" s="17"/>
      <c r="AF160" s="17"/>
      <c r="AG160" s="17"/>
      <c r="AH160" s="17"/>
      <c r="AI160" s="17"/>
    </row>
    <row r="161" hidden="1">
      <c r="A161" s="34">
        <f t="shared" si="5"/>
        <v>160</v>
      </c>
      <c r="B161" s="35" t="s">
        <v>52</v>
      </c>
      <c r="C161" s="34" t="s">
        <v>2821</v>
      </c>
      <c r="D161" s="34" t="s">
        <v>2822</v>
      </c>
      <c r="E161" s="34">
        <v>22.344079000000001</v>
      </c>
      <c r="F161" s="34">
        <v>87.283216999999993</v>
      </c>
      <c r="G161" s="34" t="s">
        <v>7954</v>
      </c>
      <c r="H161" s="34" t="s">
        <v>8009</v>
      </c>
      <c r="I161" s="34" t="s">
        <v>2824</v>
      </c>
      <c r="J161" s="34">
        <v>9262971230</v>
      </c>
      <c r="K161" s="34" t="s">
        <v>8144</v>
      </c>
      <c r="L161" s="34">
        <v>8967916588</v>
      </c>
      <c r="M161" s="34"/>
      <c r="N161" s="17"/>
      <c r="O161" s="17"/>
      <c r="P161" s="17"/>
      <c r="Q161" s="17"/>
      <c r="R161" s="17"/>
      <c r="S161" s="17"/>
      <c r="T161" s="17"/>
      <c r="U161" s="17"/>
      <c r="V161" s="17"/>
      <c r="W161" s="17"/>
      <c r="X161" s="17"/>
      <c r="Y161" s="17"/>
      <c r="Z161" s="17"/>
      <c r="AA161" s="17"/>
      <c r="AB161" s="17"/>
      <c r="AC161" s="17"/>
      <c r="AD161" s="17"/>
      <c r="AE161" s="17"/>
      <c r="AF161" s="17"/>
      <c r="AG161" s="17"/>
      <c r="AH161" s="17"/>
      <c r="AI161" s="17"/>
    </row>
    <row r="162" hidden="1">
      <c r="A162" s="34">
        <f t="shared" si="5"/>
        <v>161</v>
      </c>
      <c r="B162" s="35" t="s">
        <v>52</v>
      </c>
      <c r="C162" s="34" t="s">
        <v>2825</v>
      </c>
      <c r="D162" s="34" t="s">
        <v>3012</v>
      </c>
      <c r="E162" s="34">
        <v>22.341222999999999</v>
      </c>
      <c r="F162" s="34">
        <v>87.264846000000006</v>
      </c>
      <c r="G162" s="34" t="s">
        <v>7961</v>
      </c>
      <c r="H162" s="34" t="s">
        <v>7987</v>
      </c>
      <c r="I162" s="35" t="s">
        <v>2691</v>
      </c>
      <c r="J162" s="34">
        <v>6297992853</v>
      </c>
      <c r="K162" s="34" t="s">
        <v>2691</v>
      </c>
      <c r="L162" s="34">
        <v>6297992853</v>
      </c>
      <c r="M162" s="34"/>
      <c r="N162" s="17"/>
      <c r="O162" s="17"/>
      <c r="P162" s="17"/>
      <c r="Q162" s="17"/>
      <c r="R162" s="17"/>
      <c r="S162" s="17"/>
      <c r="T162" s="17"/>
      <c r="U162" s="17"/>
      <c r="V162" s="17"/>
      <c r="W162" s="17"/>
      <c r="X162" s="17"/>
      <c r="Y162" s="17"/>
      <c r="Z162" s="17"/>
      <c r="AA162" s="17"/>
      <c r="AB162" s="17"/>
      <c r="AC162" s="17"/>
      <c r="AD162" s="17"/>
      <c r="AE162" s="17"/>
      <c r="AF162" s="17"/>
      <c r="AG162" s="17"/>
      <c r="AH162" s="17"/>
      <c r="AI162" s="17"/>
    </row>
    <row r="163" hidden="1">
      <c r="A163" s="34">
        <f t="shared" si="5"/>
        <v>162</v>
      </c>
      <c r="B163" s="35" t="s">
        <v>52</v>
      </c>
      <c r="C163" s="34" t="s">
        <v>2828</v>
      </c>
      <c r="D163" s="34" t="s">
        <v>8145</v>
      </c>
      <c r="E163" s="34">
        <v>22.348835000000001</v>
      </c>
      <c r="F163" s="34">
        <v>87.326249000000004</v>
      </c>
      <c r="G163" s="34" t="s">
        <v>7954</v>
      </c>
      <c r="H163" s="34" t="s">
        <v>8009</v>
      </c>
      <c r="I163" s="35" t="s">
        <v>2691</v>
      </c>
      <c r="J163" s="34">
        <v>9262971230</v>
      </c>
      <c r="K163" s="34" t="s">
        <v>8144</v>
      </c>
      <c r="L163" s="34">
        <v>8967916588</v>
      </c>
      <c r="M163" s="34"/>
      <c r="N163" s="17"/>
      <c r="O163" s="17"/>
      <c r="P163" s="17"/>
      <c r="Q163" s="17"/>
      <c r="R163" s="17"/>
      <c r="S163" s="17"/>
      <c r="T163" s="17"/>
      <c r="U163" s="17"/>
      <c r="V163" s="17"/>
      <c r="W163" s="17"/>
      <c r="X163" s="17"/>
      <c r="Y163" s="17"/>
      <c r="Z163" s="17"/>
      <c r="AA163" s="17"/>
      <c r="AB163" s="17"/>
      <c r="AC163" s="17"/>
      <c r="AD163" s="17"/>
      <c r="AE163" s="17"/>
      <c r="AF163" s="17"/>
      <c r="AG163" s="17"/>
      <c r="AH163" s="17"/>
      <c r="AI163" s="17"/>
    </row>
    <row r="164" hidden="1">
      <c r="A164" s="34">
        <f t="shared" si="5"/>
        <v>163</v>
      </c>
      <c r="B164" s="35" t="s">
        <v>52</v>
      </c>
      <c r="C164" s="34" t="s">
        <v>2831</v>
      </c>
      <c r="D164" s="34" t="s">
        <v>2832</v>
      </c>
      <c r="E164" s="34">
        <v>22.346263</v>
      </c>
      <c r="F164" s="34">
        <v>87.338063000000005</v>
      </c>
      <c r="G164" s="34" t="s">
        <v>7961</v>
      </c>
      <c r="H164" s="34" t="s">
        <v>7987</v>
      </c>
      <c r="I164" s="35" t="s">
        <v>2691</v>
      </c>
      <c r="J164" s="34">
        <v>6297992853</v>
      </c>
      <c r="K164" s="34" t="s">
        <v>2691</v>
      </c>
      <c r="L164" s="34">
        <v>6297992853</v>
      </c>
      <c r="M164" s="34"/>
      <c r="N164" s="17"/>
      <c r="O164" s="17"/>
      <c r="P164" s="17"/>
      <c r="Q164" s="17"/>
      <c r="R164" s="17"/>
      <c r="S164" s="17"/>
      <c r="T164" s="17"/>
      <c r="U164" s="17"/>
      <c r="V164" s="17"/>
      <c r="W164" s="17"/>
      <c r="X164" s="17"/>
      <c r="Y164" s="17"/>
      <c r="Z164" s="17"/>
      <c r="AA164" s="17"/>
      <c r="AB164" s="17"/>
      <c r="AC164" s="17"/>
      <c r="AD164" s="17"/>
      <c r="AE164" s="17"/>
      <c r="AF164" s="17"/>
      <c r="AG164" s="17"/>
      <c r="AH164" s="17"/>
      <c r="AI164" s="17"/>
    </row>
    <row r="165" hidden="1">
      <c r="A165" s="34">
        <f t="shared" si="5"/>
        <v>164</v>
      </c>
      <c r="B165" s="35" t="s">
        <v>52</v>
      </c>
      <c r="C165" s="34" t="s">
        <v>2834</v>
      </c>
      <c r="D165" s="34" t="s">
        <v>8146</v>
      </c>
      <c r="E165" s="34">
        <v>22.356352999999999</v>
      </c>
      <c r="F165" s="34">
        <v>87.336685000000003</v>
      </c>
      <c r="G165" s="34" t="s">
        <v>7954</v>
      </c>
      <c r="H165" s="34" t="s">
        <v>8009</v>
      </c>
      <c r="I165" s="35" t="s">
        <v>2691</v>
      </c>
      <c r="J165" s="34">
        <v>6297992853</v>
      </c>
      <c r="K165" s="34" t="s">
        <v>2691</v>
      </c>
      <c r="L165" s="34">
        <v>6297992853</v>
      </c>
      <c r="M165" s="34"/>
      <c r="N165" s="17"/>
      <c r="O165" s="17"/>
      <c r="P165" s="17"/>
      <c r="Q165" s="17"/>
      <c r="R165" s="17"/>
      <c r="S165" s="17"/>
      <c r="T165" s="17"/>
      <c r="U165" s="17"/>
      <c r="V165" s="17"/>
      <c r="W165" s="17"/>
      <c r="X165" s="17"/>
      <c r="Y165" s="17"/>
      <c r="Z165" s="17"/>
      <c r="AA165" s="17"/>
      <c r="AB165" s="17"/>
      <c r="AC165" s="17"/>
      <c r="AD165" s="17"/>
      <c r="AE165" s="17"/>
      <c r="AF165" s="17"/>
      <c r="AG165" s="17"/>
      <c r="AH165" s="17"/>
      <c r="AI165" s="17"/>
    </row>
    <row r="166" hidden="1">
      <c r="A166" s="34">
        <f t="shared" si="5"/>
        <v>165</v>
      </c>
      <c r="B166" s="35" t="s">
        <v>52</v>
      </c>
      <c r="C166" s="34" t="s">
        <v>2837</v>
      </c>
      <c r="D166" s="34" t="s">
        <v>2838</v>
      </c>
      <c r="E166" s="34">
        <v>22.318259999999999</v>
      </c>
      <c r="F166" s="34">
        <v>87.284733000000003</v>
      </c>
      <c r="G166" s="34" t="s">
        <v>7961</v>
      </c>
      <c r="H166" s="34" t="s">
        <v>7987</v>
      </c>
      <c r="I166" s="35" t="s">
        <v>2691</v>
      </c>
      <c r="J166" s="34">
        <v>6297992853</v>
      </c>
      <c r="K166" s="34" t="s">
        <v>2691</v>
      </c>
      <c r="L166" s="34">
        <v>6297992853</v>
      </c>
      <c r="M166" s="34"/>
      <c r="N166" s="17"/>
      <c r="O166" s="17"/>
      <c r="P166" s="17"/>
      <c r="Q166" s="17"/>
      <c r="R166" s="17"/>
      <c r="S166" s="17"/>
      <c r="T166" s="17"/>
      <c r="U166" s="17"/>
      <c r="V166" s="17"/>
      <c r="W166" s="17"/>
      <c r="X166" s="17"/>
      <c r="Y166" s="17"/>
      <c r="Z166" s="17"/>
      <c r="AA166" s="17"/>
      <c r="AB166" s="17"/>
      <c r="AC166" s="17"/>
      <c r="AD166" s="17"/>
      <c r="AE166" s="17"/>
      <c r="AF166" s="17"/>
      <c r="AG166" s="17"/>
      <c r="AH166" s="17"/>
      <c r="AI166" s="17"/>
    </row>
    <row r="167">
      <c r="A167" s="34">
        <f t="shared" si="5"/>
        <v>166</v>
      </c>
      <c r="B167" s="35" t="s">
        <v>52</v>
      </c>
      <c r="C167" s="34" t="s">
        <v>2840</v>
      </c>
      <c r="D167" s="34" t="s">
        <v>8147</v>
      </c>
      <c r="E167" s="34">
        <v>22.331161000000002</v>
      </c>
      <c r="F167" s="34">
        <v>87.295685000000006</v>
      </c>
      <c r="G167" s="34" t="s">
        <v>7954</v>
      </c>
      <c r="H167" s="34" t="s">
        <v>7987</v>
      </c>
      <c r="I167" s="38" t="s">
        <v>2710</v>
      </c>
      <c r="J167" s="34">
        <v>9366758165</v>
      </c>
      <c r="K167" s="34" t="s">
        <v>8115</v>
      </c>
      <c r="L167" s="34">
        <v>9046419785</v>
      </c>
      <c r="M167" s="34"/>
      <c r="N167" s="17"/>
      <c r="O167" s="17"/>
      <c r="P167" s="17"/>
      <c r="Q167" s="17" t="s">
        <v>7991</v>
      </c>
      <c r="R167" s="17" t="s">
        <v>7995</v>
      </c>
      <c r="S167" s="17"/>
      <c r="T167" s="17"/>
      <c r="U167" s="17"/>
      <c r="V167" s="17"/>
      <c r="W167" s="17"/>
      <c r="X167" s="17"/>
      <c r="Y167" s="17" t="s">
        <v>7991</v>
      </c>
      <c r="Z167" s="17" t="s">
        <v>8148</v>
      </c>
      <c r="AA167" s="17" t="s">
        <v>8093</v>
      </c>
      <c r="AB167" s="17" t="s">
        <v>8099</v>
      </c>
      <c r="AC167" s="17"/>
      <c r="AD167" s="17"/>
      <c r="AE167" s="17"/>
      <c r="AF167" s="17"/>
      <c r="AG167" s="17"/>
      <c r="AH167" s="17"/>
      <c r="AI167" s="17"/>
    </row>
    <row r="168">
      <c r="A168" s="34">
        <f t="shared" si="5"/>
        <v>167</v>
      </c>
      <c r="B168" s="35" t="s">
        <v>52</v>
      </c>
      <c r="C168" s="34" t="s">
        <v>2843</v>
      </c>
      <c r="D168" s="34" t="s">
        <v>8149</v>
      </c>
      <c r="E168" s="34">
        <v>22.325050000000001</v>
      </c>
      <c r="F168" s="34">
        <v>87.335993999999999</v>
      </c>
      <c r="G168" s="34" t="s">
        <v>7954</v>
      </c>
      <c r="H168" s="34" t="s">
        <v>8009</v>
      </c>
      <c r="I168" s="38" t="s">
        <v>2710</v>
      </c>
      <c r="J168" s="34">
        <v>9366758165</v>
      </c>
      <c r="K168" s="34" t="s">
        <v>8115</v>
      </c>
      <c r="L168" s="34">
        <v>9046419785</v>
      </c>
      <c r="M168" s="34"/>
      <c r="N168" s="17"/>
      <c r="O168" s="17"/>
      <c r="P168" s="17"/>
      <c r="Q168" s="17"/>
      <c r="R168" s="17"/>
      <c r="S168" s="17"/>
      <c r="T168" s="17"/>
      <c r="U168" s="17"/>
      <c r="V168" s="17"/>
      <c r="W168" s="17"/>
      <c r="X168" s="17"/>
      <c r="Y168" s="17"/>
      <c r="Z168" s="17"/>
      <c r="AA168" s="17"/>
      <c r="AB168" s="17"/>
      <c r="AC168" s="17"/>
      <c r="AD168" s="17"/>
      <c r="AE168" s="17"/>
      <c r="AF168" s="17"/>
      <c r="AG168" s="17"/>
      <c r="AH168" s="17"/>
      <c r="AI168" s="17"/>
    </row>
    <row r="169" hidden="1">
      <c r="A169" s="34">
        <f t="shared" si="5"/>
        <v>168</v>
      </c>
      <c r="B169" s="35" t="s">
        <v>52</v>
      </c>
      <c r="C169" s="34" t="s">
        <v>2846</v>
      </c>
      <c r="D169" s="34" t="s">
        <v>2847</v>
      </c>
      <c r="E169" s="34">
        <v>22.354927</v>
      </c>
      <c r="F169" s="34">
        <v>87.289732000000001</v>
      </c>
      <c r="G169" s="34" t="s">
        <v>7954</v>
      </c>
      <c r="H169" s="34" t="s">
        <v>7987</v>
      </c>
      <c r="I169" s="34" t="s">
        <v>2824</v>
      </c>
      <c r="J169" s="34">
        <v>9262971230</v>
      </c>
      <c r="K169" s="34" t="s">
        <v>8144</v>
      </c>
      <c r="L169" s="34">
        <v>8967916588</v>
      </c>
      <c r="M169" s="34"/>
      <c r="N169" s="17"/>
      <c r="O169" s="17"/>
      <c r="P169" s="17"/>
      <c r="Q169" s="17"/>
      <c r="R169" s="17"/>
      <c r="S169" s="17"/>
      <c r="T169" s="17"/>
      <c r="U169" s="17"/>
      <c r="V169" s="17"/>
      <c r="W169" s="17"/>
      <c r="X169" s="17"/>
      <c r="Y169" s="17"/>
      <c r="Z169" s="17"/>
      <c r="AA169" s="17"/>
      <c r="AB169" s="17"/>
      <c r="AC169" s="17"/>
      <c r="AD169" s="17"/>
      <c r="AE169" s="17"/>
      <c r="AF169" s="17"/>
      <c r="AG169" s="17"/>
      <c r="AH169" s="17"/>
      <c r="AI169" s="17"/>
    </row>
    <row r="170" hidden="1">
      <c r="A170" s="34">
        <f t="shared" si="5"/>
        <v>169</v>
      </c>
      <c r="B170" s="35" t="s">
        <v>52</v>
      </c>
      <c r="C170" s="34" t="s">
        <v>2849</v>
      </c>
      <c r="D170" s="34" t="s">
        <v>8150</v>
      </c>
      <c r="E170" s="34">
        <v>22.327632000000001</v>
      </c>
      <c r="F170" s="34">
        <v>87.323757000000001</v>
      </c>
      <c r="G170" s="34" t="s">
        <v>7954</v>
      </c>
      <c r="H170" s="34" t="s">
        <v>7987</v>
      </c>
      <c r="I170" s="34" t="s">
        <v>2824</v>
      </c>
      <c r="J170" s="34">
        <v>9262971230</v>
      </c>
      <c r="K170" s="34" t="s">
        <v>8115</v>
      </c>
      <c r="L170" s="34">
        <v>9046419785</v>
      </c>
      <c r="M170" s="34"/>
      <c r="N170" s="17"/>
      <c r="O170" s="17"/>
      <c r="P170" s="17"/>
      <c r="Q170" s="17"/>
      <c r="R170" s="17"/>
      <c r="S170" s="17"/>
      <c r="T170" s="17"/>
      <c r="U170" s="17"/>
      <c r="V170" s="17"/>
      <c r="W170" s="17"/>
      <c r="X170" s="17"/>
      <c r="Y170" s="17"/>
      <c r="Z170" s="17"/>
      <c r="AA170" s="17"/>
      <c r="AB170" s="17"/>
      <c r="AC170" s="17"/>
      <c r="AD170" s="17"/>
      <c r="AE170" s="17"/>
      <c r="AF170" s="17"/>
      <c r="AG170" s="17"/>
      <c r="AH170" s="17"/>
      <c r="AI170" s="17"/>
    </row>
    <row r="171" hidden="1">
      <c r="A171" s="34">
        <f t="shared" si="5"/>
        <v>170</v>
      </c>
      <c r="B171" s="35" t="s">
        <v>52</v>
      </c>
      <c r="C171" s="34" t="s">
        <v>2852</v>
      </c>
      <c r="D171" s="34" t="s">
        <v>2854</v>
      </c>
      <c r="E171" s="34">
        <v>22.326929</v>
      </c>
      <c r="F171" s="34">
        <v>87.309340000000006</v>
      </c>
      <c r="G171" s="34" t="s">
        <v>7954</v>
      </c>
      <c r="H171" s="34" t="s">
        <v>8151</v>
      </c>
      <c r="I171" s="35" t="s">
        <v>2691</v>
      </c>
      <c r="J171" s="34">
        <v>6297992853</v>
      </c>
      <c r="K171" s="34" t="s">
        <v>8144</v>
      </c>
      <c r="L171" s="34">
        <v>8967916588</v>
      </c>
      <c r="M171" s="34"/>
      <c r="N171" s="17"/>
      <c r="O171" s="17"/>
      <c r="P171" s="17"/>
      <c r="Q171" s="17"/>
      <c r="R171" s="17"/>
      <c r="S171" s="17"/>
      <c r="T171" s="17"/>
      <c r="U171" s="17"/>
      <c r="V171" s="17"/>
      <c r="W171" s="17"/>
      <c r="X171" s="17"/>
      <c r="Y171" s="17"/>
      <c r="Z171" s="17"/>
      <c r="AA171" s="17"/>
      <c r="AB171" s="17"/>
      <c r="AC171" s="17"/>
      <c r="AD171" s="17"/>
      <c r="AE171" s="17"/>
      <c r="AF171" s="17"/>
      <c r="AG171" s="17"/>
      <c r="AH171" s="17"/>
      <c r="AI171" s="17"/>
    </row>
    <row r="172" hidden="1">
      <c r="A172" s="34">
        <f t="shared" si="5"/>
        <v>171</v>
      </c>
      <c r="B172" s="35" t="s">
        <v>52</v>
      </c>
      <c r="C172" s="34" t="s">
        <v>2855</v>
      </c>
      <c r="D172" s="34" t="s">
        <v>8152</v>
      </c>
      <c r="E172" s="34">
        <v>22.357074000000001</v>
      </c>
      <c r="F172" s="34">
        <v>87.330517999999998</v>
      </c>
      <c r="G172" s="34" t="s">
        <v>7954</v>
      </c>
      <c r="H172" s="34" t="s">
        <v>7987</v>
      </c>
      <c r="I172" s="35" t="s">
        <v>2691</v>
      </c>
      <c r="J172" s="34">
        <v>6201045379</v>
      </c>
      <c r="K172" s="34" t="s">
        <v>8111</v>
      </c>
      <c r="L172" s="34">
        <v>6382439675</v>
      </c>
      <c r="M172" s="34"/>
      <c r="N172" s="17"/>
      <c r="O172" s="17"/>
      <c r="P172" s="17"/>
      <c r="Q172" s="17"/>
      <c r="R172" s="17"/>
      <c r="S172" s="17"/>
      <c r="T172" s="17"/>
      <c r="U172" s="17"/>
      <c r="V172" s="17"/>
      <c r="W172" s="17"/>
      <c r="X172" s="17"/>
      <c r="Y172" s="17"/>
      <c r="Z172" s="17"/>
      <c r="AA172" s="17"/>
      <c r="AB172" s="17"/>
      <c r="AC172" s="17"/>
      <c r="AD172" s="17"/>
      <c r="AE172" s="17"/>
      <c r="AF172" s="17"/>
      <c r="AG172" s="17"/>
      <c r="AH172" s="17"/>
      <c r="AI172" s="17"/>
    </row>
    <row r="173" hidden="1">
      <c r="A173" s="34">
        <f t="shared" si="5"/>
        <v>172</v>
      </c>
      <c r="B173" s="35" t="s">
        <v>52</v>
      </c>
      <c r="C173" s="34" t="s">
        <v>2858</v>
      </c>
      <c r="D173" s="34" t="s">
        <v>2859</v>
      </c>
      <c r="E173" s="34">
        <v>22.349219999999999</v>
      </c>
      <c r="F173" s="34">
        <v>87.32002</v>
      </c>
      <c r="G173" s="34" t="s">
        <v>7961</v>
      </c>
      <c r="H173" s="34" t="s">
        <v>7987</v>
      </c>
      <c r="I173" s="35" t="s">
        <v>2691</v>
      </c>
      <c r="J173" s="34">
        <v>6297992853</v>
      </c>
      <c r="K173" s="34" t="s">
        <v>8144</v>
      </c>
      <c r="L173" s="34">
        <v>8967916588</v>
      </c>
      <c r="M173" s="34"/>
      <c r="N173" s="17"/>
      <c r="O173" s="17"/>
      <c r="P173" s="17"/>
      <c r="Q173" s="17"/>
      <c r="R173" s="17"/>
      <c r="S173" s="17"/>
      <c r="T173" s="17"/>
      <c r="U173" s="17"/>
      <c r="V173" s="17"/>
      <c r="W173" s="17"/>
      <c r="X173" s="17"/>
      <c r="Y173" s="17"/>
      <c r="Z173" s="17"/>
      <c r="AA173" s="17"/>
      <c r="AB173" s="17"/>
      <c r="AC173" s="17"/>
      <c r="AD173" s="17"/>
      <c r="AE173" s="17"/>
      <c r="AF173" s="17"/>
      <c r="AG173" s="17"/>
      <c r="AH173" s="17"/>
      <c r="AI173" s="17"/>
    </row>
    <row r="174" hidden="1">
      <c r="A174" s="34">
        <f t="shared" si="5"/>
        <v>173</v>
      </c>
      <c r="B174" s="35" t="s">
        <v>52</v>
      </c>
      <c r="C174" s="34" t="s">
        <v>2861</v>
      </c>
      <c r="D174" s="34" t="s">
        <v>8153</v>
      </c>
      <c r="E174" s="34">
        <v>22.352253000000001</v>
      </c>
      <c r="F174" s="34">
        <v>87.345164999999994</v>
      </c>
      <c r="G174" s="34" t="s">
        <v>7961</v>
      </c>
      <c r="H174" s="34" t="s">
        <v>7987</v>
      </c>
      <c r="I174" s="35" t="s">
        <v>2691</v>
      </c>
      <c r="J174" s="34">
        <v>6297992853</v>
      </c>
      <c r="K174" s="34" t="s">
        <v>2691</v>
      </c>
      <c r="L174" s="34">
        <v>6297992853</v>
      </c>
      <c r="M174" s="34"/>
      <c r="N174" s="17"/>
      <c r="O174" s="17"/>
      <c r="P174" s="17"/>
      <c r="Q174" s="17"/>
      <c r="R174" s="17"/>
      <c r="S174" s="17"/>
      <c r="T174" s="17"/>
      <c r="U174" s="17"/>
      <c r="V174" s="17"/>
      <c r="W174" s="17"/>
      <c r="X174" s="17"/>
      <c r="Y174" s="17"/>
      <c r="Z174" s="17"/>
      <c r="AA174" s="17"/>
      <c r="AB174" s="17"/>
      <c r="AC174" s="17"/>
      <c r="AD174" s="17"/>
      <c r="AE174" s="17"/>
      <c r="AF174" s="17"/>
      <c r="AG174" s="17"/>
      <c r="AH174" s="17"/>
      <c r="AI174" s="17"/>
    </row>
    <row r="175" hidden="1">
      <c r="A175" s="34">
        <f t="shared" si="5"/>
        <v>174</v>
      </c>
      <c r="B175" s="35" t="s">
        <v>52</v>
      </c>
      <c r="C175" s="34" t="s">
        <v>2864</v>
      </c>
      <c r="D175" s="34" t="s">
        <v>8154</v>
      </c>
      <c r="E175" s="34">
        <v>22.320959999999999</v>
      </c>
      <c r="F175" s="34">
        <v>87.855950000000007</v>
      </c>
      <c r="G175" s="34" t="s">
        <v>7954</v>
      </c>
      <c r="H175" s="34" t="s">
        <v>7987</v>
      </c>
      <c r="I175" s="35" t="s">
        <v>2691</v>
      </c>
      <c r="J175" s="34">
        <v>6297992853</v>
      </c>
      <c r="K175" s="34" t="s">
        <v>2691</v>
      </c>
      <c r="L175" s="34">
        <v>6297992853</v>
      </c>
      <c r="M175" s="34"/>
      <c r="N175" s="17"/>
      <c r="O175" s="17"/>
      <c r="P175" s="17"/>
      <c r="Q175" s="17"/>
      <c r="R175" s="17"/>
      <c r="S175" s="17"/>
      <c r="T175" s="17"/>
      <c r="U175" s="17"/>
      <c r="V175" s="17"/>
      <c r="W175" s="17"/>
      <c r="X175" s="17"/>
      <c r="Y175" s="17"/>
      <c r="Z175" s="17"/>
      <c r="AA175" s="17"/>
      <c r="AB175" s="17"/>
      <c r="AC175" s="17"/>
      <c r="AD175" s="17"/>
      <c r="AE175" s="17"/>
      <c r="AF175" s="17"/>
      <c r="AG175" s="17"/>
      <c r="AH175" s="17"/>
      <c r="AI175" s="17"/>
    </row>
    <row r="176" hidden="1">
      <c r="A176" s="34">
        <f t="shared" si="5"/>
        <v>175</v>
      </c>
      <c r="B176" s="35" t="s">
        <v>52</v>
      </c>
      <c r="C176" s="34" t="s">
        <v>2867</v>
      </c>
      <c r="D176" s="34" t="s">
        <v>8155</v>
      </c>
      <c r="E176" s="34">
        <v>22.314430000000002</v>
      </c>
      <c r="F176" s="34">
        <v>87.283590000000004</v>
      </c>
      <c r="G176" s="34" t="s">
        <v>7954</v>
      </c>
      <c r="H176" s="34" t="s">
        <v>7987</v>
      </c>
      <c r="I176" s="35" t="s">
        <v>2691</v>
      </c>
      <c r="J176" s="34">
        <v>6297992853</v>
      </c>
      <c r="K176" s="34" t="s">
        <v>2691</v>
      </c>
      <c r="L176" s="34">
        <v>6297992853</v>
      </c>
      <c r="M176" s="34"/>
      <c r="N176" s="17"/>
      <c r="O176" s="17"/>
      <c r="P176" s="17"/>
      <c r="Q176" s="17"/>
      <c r="R176" s="17"/>
      <c r="S176" s="17"/>
      <c r="T176" s="17"/>
      <c r="U176" s="17"/>
      <c r="V176" s="17"/>
      <c r="W176" s="17"/>
      <c r="X176" s="17"/>
      <c r="Y176" s="17"/>
      <c r="Z176" s="17"/>
      <c r="AA176" s="17"/>
      <c r="AB176" s="17"/>
      <c r="AC176" s="17"/>
      <c r="AD176" s="17"/>
      <c r="AE176" s="17"/>
      <c r="AF176" s="17"/>
      <c r="AG176" s="17"/>
      <c r="AH176" s="17"/>
      <c r="AI176" s="17"/>
    </row>
    <row r="177" hidden="1">
      <c r="A177" s="34">
        <f t="shared" si="5"/>
        <v>176</v>
      </c>
      <c r="B177" s="35" t="s">
        <v>52</v>
      </c>
      <c r="C177" s="34" t="s">
        <v>2868</v>
      </c>
      <c r="D177" s="34" t="s">
        <v>8156</v>
      </c>
      <c r="E177" s="34">
        <v>22.291613999999999</v>
      </c>
      <c r="F177" s="34">
        <v>87.367064999999997</v>
      </c>
      <c r="G177" s="34" t="s">
        <v>7955</v>
      </c>
      <c r="H177" s="34" t="s">
        <v>7987</v>
      </c>
      <c r="I177" s="35" t="s">
        <v>2691</v>
      </c>
      <c r="J177" s="34">
        <v>6297992853</v>
      </c>
      <c r="K177" s="35" t="s">
        <v>2691</v>
      </c>
      <c r="L177" s="35">
        <v>6297992853</v>
      </c>
      <c r="M177" s="35"/>
      <c r="N177" s="17"/>
      <c r="O177" s="17"/>
      <c r="P177" s="17"/>
      <c r="Q177" s="17"/>
      <c r="R177" s="17"/>
      <c r="S177" s="17"/>
      <c r="T177" s="17"/>
      <c r="U177" s="17"/>
      <c r="V177" s="17"/>
      <c r="W177" s="17"/>
      <c r="X177" s="17"/>
      <c r="Y177" s="17"/>
      <c r="Z177" s="17"/>
      <c r="AA177" s="17"/>
      <c r="AB177" s="17"/>
      <c r="AC177" s="17"/>
      <c r="AD177" s="17"/>
      <c r="AE177" s="17"/>
      <c r="AF177" s="17"/>
      <c r="AG177" s="17"/>
      <c r="AH177" s="17"/>
      <c r="AI177" s="17"/>
    </row>
    <row r="178" hidden="1">
      <c r="A178" s="34">
        <f t="shared" si="5"/>
        <v>177</v>
      </c>
      <c r="B178" s="35" t="s">
        <v>52</v>
      </c>
      <c r="C178" s="34" t="s">
        <v>2871</v>
      </c>
      <c r="D178" s="34" t="s">
        <v>2458</v>
      </c>
      <c r="E178" s="34">
        <v>22.349287</v>
      </c>
      <c r="F178" s="34">
        <v>87.306276999999994</v>
      </c>
      <c r="G178" s="34" t="s">
        <v>7955</v>
      </c>
      <c r="H178" s="34" t="s">
        <v>7987</v>
      </c>
      <c r="I178" s="35" t="s">
        <v>2691</v>
      </c>
      <c r="J178" s="34">
        <v>9262971230</v>
      </c>
      <c r="K178" s="34" t="s">
        <v>8144</v>
      </c>
      <c r="L178" s="34">
        <v>8967916588</v>
      </c>
      <c r="M178" s="34"/>
      <c r="N178" s="17"/>
      <c r="O178" s="17"/>
      <c r="P178" s="17"/>
      <c r="Q178" s="17"/>
      <c r="R178" s="17"/>
      <c r="S178" s="17"/>
      <c r="T178" s="17"/>
      <c r="U178" s="17"/>
      <c r="V178" s="17"/>
      <c r="W178" s="17"/>
      <c r="X178" s="17"/>
      <c r="Y178" s="17"/>
      <c r="Z178" s="17"/>
      <c r="AA178" s="17"/>
      <c r="AB178" s="17"/>
      <c r="AC178" s="17"/>
      <c r="AD178" s="17"/>
      <c r="AE178" s="17"/>
      <c r="AF178" s="17"/>
      <c r="AG178" s="17"/>
      <c r="AH178" s="17"/>
      <c r="AI178" s="17"/>
    </row>
    <row r="179" hidden="1">
      <c r="A179" s="34">
        <f t="shared" si="5"/>
        <v>178</v>
      </c>
      <c r="B179" s="35" t="s">
        <v>52</v>
      </c>
      <c r="C179" s="34" t="s">
        <v>2873</v>
      </c>
      <c r="D179" s="34" t="s">
        <v>2874</v>
      </c>
      <c r="E179" s="34">
        <v>22.322227000000002</v>
      </c>
      <c r="F179" s="34">
        <v>87.322827000000004</v>
      </c>
      <c r="G179" s="34" t="s">
        <v>7961</v>
      </c>
      <c r="H179" s="34" t="s">
        <v>7987</v>
      </c>
      <c r="I179" s="35" t="s">
        <v>2691</v>
      </c>
      <c r="J179" s="34">
        <v>6297992853</v>
      </c>
      <c r="K179" s="34" t="s">
        <v>2691</v>
      </c>
      <c r="L179" s="34">
        <v>6297992853</v>
      </c>
      <c r="M179" s="34"/>
      <c r="N179" s="17"/>
      <c r="O179" s="17"/>
      <c r="P179" s="17"/>
      <c r="Q179" s="17"/>
      <c r="R179" s="17"/>
      <c r="S179" s="17"/>
      <c r="T179" s="17"/>
      <c r="U179" s="17"/>
      <c r="V179" s="17"/>
      <c r="W179" s="17"/>
      <c r="X179" s="17"/>
      <c r="Y179" s="17"/>
      <c r="Z179" s="17"/>
      <c r="AA179" s="17"/>
      <c r="AB179" s="17"/>
      <c r="AC179" s="17"/>
      <c r="AD179" s="17"/>
      <c r="AE179" s="17"/>
      <c r="AF179" s="17"/>
      <c r="AG179" s="17"/>
      <c r="AH179" s="17"/>
      <c r="AI179" s="17"/>
    </row>
    <row r="180" hidden="1">
      <c r="A180" s="34">
        <f t="shared" si="5"/>
        <v>179</v>
      </c>
      <c r="B180" s="35" t="s">
        <v>52</v>
      </c>
      <c r="C180" s="34" t="s">
        <v>2876</v>
      </c>
      <c r="D180" s="34" t="s">
        <v>2877</v>
      </c>
      <c r="E180" s="34">
        <v>22.331301</v>
      </c>
      <c r="F180" s="34">
        <v>87.336932000000004</v>
      </c>
      <c r="G180" s="34" t="s">
        <v>7955</v>
      </c>
      <c r="H180" s="34" t="s">
        <v>7987</v>
      </c>
      <c r="I180" s="35" t="s">
        <v>2691</v>
      </c>
      <c r="J180" s="34">
        <v>6297992853</v>
      </c>
      <c r="K180" s="34" t="s">
        <v>2691</v>
      </c>
      <c r="L180" s="34">
        <v>6297992853</v>
      </c>
      <c r="M180" s="34"/>
      <c r="N180" s="17"/>
      <c r="O180" s="17"/>
      <c r="P180" s="17"/>
      <c r="Q180" s="17"/>
      <c r="R180" s="17"/>
      <c r="S180" s="17"/>
      <c r="T180" s="17"/>
      <c r="U180" s="17"/>
      <c r="V180" s="17"/>
      <c r="W180" s="17"/>
      <c r="X180" s="17"/>
      <c r="Y180" s="17"/>
      <c r="Z180" s="17"/>
      <c r="AA180" s="17"/>
      <c r="AB180" s="17"/>
      <c r="AC180" s="17"/>
      <c r="AD180" s="17"/>
      <c r="AE180" s="17"/>
      <c r="AF180" s="17"/>
      <c r="AG180" s="17"/>
      <c r="AH180" s="17"/>
      <c r="AI180" s="17"/>
    </row>
    <row r="181" hidden="1">
      <c r="A181" s="34">
        <f t="shared" si="5"/>
        <v>180</v>
      </c>
      <c r="B181" s="35" t="s">
        <v>52</v>
      </c>
      <c r="C181" s="34" t="s">
        <v>2879</v>
      </c>
      <c r="D181" s="34" t="s">
        <v>8157</v>
      </c>
      <c r="E181" s="34">
        <v>22.350560999999999</v>
      </c>
      <c r="F181" s="34">
        <v>87.331850000000003</v>
      </c>
      <c r="G181" s="34" t="s">
        <v>7961</v>
      </c>
      <c r="H181" s="34" t="s">
        <v>7987</v>
      </c>
      <c r="I181" s="35" t="s">
        <v>2691</v>
      </c>
      <c r="J181" s="34">
        <v>6297992853</v>
      </c>
      <c r="K181" s="34" t="s">
        <v>2691</v>
      </c>
      <c r="L181" s="34">
        <v>6297992853</v>
      </c>
      <c r="M181" s="34"/>
      <c r="N181" s="17"/>
      <c r="O181" s="17"/>
      <c r="P181" s="17"/>
      <c r="Q181" s="17"/>
      <c r="R181" s="17"/>
      <c r="S181" s="17"/>
      <c r="T181" s="17"/>
      <c r="U181" s="17"/>
      <c r="V181" s="17"/>
      <c r="W181" s="17"/>
      <c r="X181" s="17"/>
      <c r="Y181" s="17"/>
      <c r="Z181" s="17"/>
      <c r="AA181" s="17"/>
      <c r="AB181" s="17"/>
      <c r="AC181" s="17"/>
      <c r="AD181" s="17"/>
      <c r="AE181" s="17"/>
      <c r="AF181" s="17"/>
      <c r="AG181" s="17"/>
      <c r="AH181" s="17"/>
      <c r="AI181" s="17"/>
    </row>
    <row r="182" hidden="1">
      <c r="A182" s="34">
        <f t="shared" si="5"/>
        <v>181</v>
      </c>
      <c r="B182" s="35" t="s">
        <v>52</v>
      </c>
      <c r="C182" s="34" t="s">
        <v>2882</v>
      </c>
      <c r="D182" s="34" t="s">
        <v>2883</v>
      </c>
      <c r="E182" s="34">
        <v>22.320661999999999</v>
      </c>
      <c r="F182" s="34">
        <v>87.295334999999994</v>
      </c>
      <c r="G182" s="34" t="s">
        <v>7961</v>
      </c>
      <c r="H182" s="34" t="s">
        <v>7987</v>
      </c>
      <c r="I182" s="35" t="s">
        <v>2691</v>
      </c>
      <c r="J182" s="34">
        <v>6297992853</v>
      </c>
      <c r="K182" s="34" t="s">
        <v>2691</v>
      </c>
      <c r="L182" s="34">
        <v>6297992853</v>
      </c>
      <c r="M182" s="34"/>
      <c r="N182" s="17"/>
      <c r="O182" s="17"/>
      <c r="P182" s="17"/>
      <c r="Q182" s="17"/>
      <c r="R182" s="17"/>
      <c r="S182" s="17"/>
      <c r="T182" s="17"/>
      <c r="U182" s="17"/>
      <c r="V182" s="17"/>
      <c r="W182" s="17"/>
      <c r="X182" s="17"/>
      <c r="Y182" s="17"/>
      <c r="Z182" s="17"/>
      <c r="AA182" s="17"/>
      <c r="AB182" s="17"/>
      <c r="AC182" s="17"/>
      <c r="AD182" s="17"/>
      <c r="AE182" s="17"/>
      <c r="AF182" s="17"/>
      <c r="AG182" s="17"/>
      <c r="AH182" s="17"/>
      <c r="AI182" s="17"/>
    </row>
    <row r="183" hidden="1">
      <c r="A183" s="34">
        <f t="shared" si="5"/>
        <v>182</v>
      </c>
      <c r="B183" s="35" t="s">
        <v>52</v>
      </c>
      <c r="C183" s="34" t="s">
        <v>2885</v>
      </c>
      <c r="D183" s="34" t="s">
        <v>2886</v>
      </c>
      <c r="E183" s="34">
        <v>22.344541</v>
      </c>
      <c r="F183" s="34">
        <v>87.297019000000006</v>
      </c>
      <c r="G183" s="34" t="s">
        <v>7955</v>
      </c>
      <c r="H183" s="34" t="s">
        <v>8009</v>
      </c>
      <c r="I183" s="34" t="s">
        <v>2824</v>
      </c>
      <c r="J183" s="34">
        <v>9262971230</v>
      </c>
      <c r="K183" s="34" t="s">
        <v>8144</v>
      </c>
      <c r="L183" s="34">
        <v>8967916588</v>
      </c>
      <c r="M183" s="34"/>
      <c r="N183" s="17"/>
      <c r="O183" s="17"/>
      <c r="P183" s="17"/>
      <c r="Q183" s="17"/>
      <c r="R183" s="17"/>
      <c r="S183" s="17"/>
      <c r="T183" s="17"/>
      <c r="U183" s="17"/>
      <c r="V183" s="17"/>
      <c r="W183" s="17"/>
      <c r="X183" s="17"/>
      <c r="Y183" s="17"/>
      <c r="Z183" s="17"/>
      <c r="AA183" s="17"/>
      <c r="AB183" s="17"/>
      <c r="AC183" s="17"/>
      <c r="AD183" s="17"/>
      <c r="AE183" s="17"/>
      <c r="AF183" s="17"/>
      <c r="AG183" s="17"/>
      <c r="AH183" s="17"/>
      <c r="AI183" s="17"/>
    </row>
    <row r="184">
      <c r="A184" s="34">
        <f t="shared" si="5"/>
        <v>183</v>
      </c>
      <c r="B184" s="35" t="s">
        <v>52</v>
      </c>
      <c r="C184" s="34" t="s">
        <v>2888</v>
      </c>
      <c r="D184" s="34" t="s">
        <v>2889</v>
      </c>
      <c r="E184" s="34">
        <v>22.280282</v>
      </c>
      <c r="F184" s="34">
        <v>87.294668000000001</v>
      </c>
      <c r="G184" s="34" t="s">
        <v>7955</v>
      </c>
      <c r="H184" s="34" t="s">
        <v>7987</v>
      </c>
      <c r="I184" s="38" t="s">
        <v>2710</v>
      </c>
      <c r="J184" s="34">
        <v>9366758165</v>
      </c>
      <c r="K184" s="35" t="s">
        <v>8115</v>
      </c>
      <c r="L184" s="35">
        <v>9046419785</v>
      </c>
      <c r="M184" s="35"/>
      <c r="N184" s="17"/>
      <c r="O184" s="17"/>
      <c r="P184" s="17"/>
      <c r="Q184" s="17"/>
      <c r="R184" s="17"/>
      <c r="S184" s="17"/>
      <c r="T184" s="17"/>
      <c r="U184" s="17"/>
      <c r="V184" s="17"/>
      <c r="W184" s="17"/>
      <c r="X184" s="17"/>
      <c r="Y184" s="17"/>
      <c r="Z184" s="17"/>
      <c r="AA184" s="17"/>
      <c r="AB184" s="17"/>
      <c r="AC184" s="17"/>
      <c r="AD184" s="17"/>
      <c r="AE184" s="17"/>
      <c r="AF184" s="17"/>
      <c r="AG184" s="17"/>
      <c r="AH184" s="17"/>
      <c r="AI184" s="17"/>
    </row>
    <row r="185" hidden="1">
      <c r="A185" s="34">
        <f t="shared" si="5"/>
        <v>184</v>
      </c>
      <c r="B185" s="35" t="s">
        <v>52</v>
      </c>
      <c r="C185" s="34" t="s">
        <v>2891</v>
      </c>
      <c r="D185" s="34" t="s">
        <v>8158</v>
      </c>
      <c r="E185" s="34">
        <v>22.276419000000001</v>
      </c>
      <c r="F185" s="34">
        <v>87.369726</v>
      </c>
      <c r="G185" s="34" t="s">
        <v>7955</v>
      </c>
      <c r="H185" s="34" t="s">
        <v>7987</v>
      </c>
      <c r="I185" s="35" t="s">
        <v>2695</v>
      </c>
      <c r="J185" s="34">
        <v>6201045379</v>
      </c>
      <c r="K185" s="35" t="s">
        <v>8115</v>
      </c>
      <c r="L185" s="35">
        <v>9046419785</v>
      </c>
      <c r="M185" s="35"/>
      <c r="N185" s="17"/>
      <c r="O185" s="17"/>
      <c r="P185" s="17"/>
      <c r="Q185" s="17"/>
      <c r="R185" s="17"/>
      <c r="S185" s="17"/>
      <c r="T185" s="17"/>
      <c r="U185" s="17"/>
      <c r="V185" s="17"/>
      <c r="W185" s="17"/>
      <c r="X185" s="17"/>
      <c r="Y185" s="17"/>
      <c r="Z185" s="17"/>
      <c r="AA185" s="17"/>
      <c r="AB185" s="17"/>
      <c r="AC185" s="17"/>
      <c r="AD185" s="17"/>
      <c r="AE185" s="17"/>
      <c r="AF185" s="17"/>
      <c r="AG185" s="17"/>
      <c r="AH185" s="17"/>
      <c r="AI185" s="17"/>
    </row>
    <row r="186" hidden="1">
      <c r="A186" s="34">
        <f t="shared" si="5"/>
        <v>185</v>
      </c>
      <c r="B186" s="35" t="s">
        <v>52</v>
      </c>
      <c r="C186" s="34" t="s">
        <v>2893</v>
      </c>
      <c r="D186" s="34" t="s">
        <v>8159</v>
      </c>
      <c r="E186" s="34">
        <v>22.362828</v>
      </c>
      <c r="F186" s="34">
        <v>87.313894000000005</v>
      </c>
      <c r="G186" s="34" t="s">
        <v>7955</v>
      </c>
      <c r="H186" s="34" t="s">
        <v>8009</v>
      </c>
      <c r="I186" s="35" t="s">
        <v>2691</v>
      </c>
      <c r="J186" s="34">
        <v>6297992853</v>
      </c>
      <c r="K186" s="34" t="s">
        <v>2691</v>
      </c>
      <c r="L186" s="34">
        <v>6297992853</v>
      </c>
      <c r="M186" s="34"/>
      <c r="N186" s="17"/>
      <c r="O186" s="17"/>
      <c r="P186" s="17"/>
      <c r="Q186" s="17"/>
      <c r="R186" s="17"/>
      <c r="S186" s="17"/>
      <c r="T186" s="17"/>
      <c r="U186" s="17"/>
      <c r="V186" s="17"/>
      <c r="W186" s="17"/>
      <c r="X186" s="17"/>
      <c r="Y186" s="17"/>
      <c r="Z186" s="17"/>
      <c r="AA186" s="17"/>
      <c r="AB186" s="17"/>
      <c r="AC186" s="17"/>
      <c r="AD186" s="17"/>
      <c r="AE186" s="17"/>
      <c r="AF186" s="17"/>
      <c r="AG186" s="17"/>
      <c r="AH186" s="17"/>
      <c r="AI186" s="17"/>
    </row>
    <row r="187" hidden="1">
      <c r="A187" s="34">
        <f t="shared" si="5"/>
        <v>186</v>
      </c>
      <c r="B187" s="35" t="s">
        <v>52</v>
      </c>
      <c r="C187" s="34" t="s">
        <v>2896</v>
      </c>
      <c r="D187" s="34" t="s">
        <v>8160</v>
      </c>
      <c r="E187" s="34">
        <v>22.396215000000002</v>
      </c>
      <c r="F187" s="34">
        <v>87.288610000000006</v>
      </c>
      <c r="G187" s="34" t="s">
        <v>7954</v>
      </c>
      <c r="H187" s="34" t="s">
        <v>7987</v>
      </c>
      <c r="I187" s="34" t="s">
        <v>2824</v>
      </c>
      <c r="J187" s="34">
        <v>9262971230</v>
      </c>
      <c r="K187" s="34" t="s">
        <v>8144</v>
      </c>
      <c r="L187" s="34">
        <v>8967916588</v>
      </c>
      <c r="M187" s="34"/>
      <c r="N187" s="17"/>
      <c r="O187" s="17"/>
      <c r="P187" s="17"/>
      <c r="Q187" s="17"/>
      <c r="R187" s="17"/>
      <c r="S187" s="17"/>
      <c r="T187" s="17"/>
      <c r="U187" s="17"/>
      <c r="V187" s="17"/>
      <c r="W187" s="17"/>
      <c r="X187" s="17"/>
      <c r="Y187" s="17"/>
      <c r="Z187" s="17"/>
      <c r="AA187" s="17"/>
      <c r="AB187" s="17"/>
      <c r="AC187" s="17"/>
      <c r="AD187" s="17"/>
      <c r="AE187" s="17"/>
      <c r="AF187" s="17"/>
      <c r="AG187" s="17"/>
      <c r="AH187" s="17"/>
      <c r="AI187" s="17"/>
    </row>
    <row r="188" hidden="1">
      <c r="A188" s="34">
        <f t="shared" si="5"/>
        <v>187</v>
      </c>
      <c r="B188" s="35" t="s">
        <v>52</v>
      </c>
      <c r="C188" s="34" t="s">
        <v>2899</v>
      </c>
      <c r="D188" s="34" t="s">
        <v>8161</v>
      </c>
      <c r="E188" s="34">
        <v>22.333490000000001</v>
      </c>
      <c r="F188" s="34">
        <v>87.270270999999994</v>
      </c>
      <c r="G188" s="34" t="s">
        <v>7954</v>
      </c>
      <c r="H188" s="34" t="s">
        <v>7987</v>
      </c>
      <c r="I188" s="34" t="s">
        <v>2824</v>
      </c>
      <c r="J188" s="34">
        <v>9262971230</v>
      </c>
      <c r="K188" s="34" t="s">
        <v>8144</v>
      </c>
      <c r="L188" s="34">
        <v>8967916588</v>
      </c>
      <c r="M188" s="34"/>
      <c r="N188" s="17"/>
      <c r="O188" s="17"/>
      <c r="P188" s="17"/>
      <c r="Q188" s="17"/>
      <c r="R188" s="17"/>
      <c r="S188" s="17"/>
      <c r="T188" s="17"/>
      <c r="U188" s="17"/>
      <c r="V188" s="17"/>
      <c r="W188" s="17"/>
      <c r="X188" s="17"/>
      <c r="Y188" s="17"/>
      <c r="Z188" s="17"/>
      <c r="AA188" s="17"/>
      <c r="AB188" s="17"/>
      <c r="AC188" s="17"/>
      <c r="AD188" s="17"/>
      <c r="AE188" s="17"/>
      <c r="AF188" s="17"/>
      <c r="AG188" s="17"/>
      <c r="AH188" s="17"/>
      <c r="AI188" s="17"/>
    </row>
    <row r="189" hidden="1">
      <c r="A189" s="34">
        <f t="shared" si="5"/>
        <v>188</v>
      </c>
      <c r="B189" s="35" t="s">
        <v>52</v>
      </c>
      <c r="C189" s="34" t="s">
        <v>2902</v>
      </c>
      <c r="D189" s="34" t="s">
        <v>8162</v>
      </c>
      <c r="E189" s="34">
        <v>22.355073000000001</v>
      </c>
      <c r="F189" s="34">
        <v>87.366146999999998</v>
      </c>
      <c r="G189" s="34" t="s">
        <v>7954</v>
      </c>
      <c r="H189" s="34" t="s">
        <v>7987</v>
      </c>
      <c r="I189" s="34" t="s">
        <v>2695</v>
      </c>
      <c r="J189" s="34">
        <v>6201045379</v>
      </c>
      <c r="K189" s="34" t="s">
        <v>8111</v>
      </c>
      <c r="L189" s="34">
        <v>6382439675</v>
      </c>
      <c r="M189" s="34"/>
      <c r="N189" s="17"/>
      <c r="O189" s="17"/>
      <c r="P189" s="17"/>
      <c r="Q189" s="17"/>
      <c r="R189" s="17"/>
      <c r="S189" s="17"/>
      <c r="T189" s="17"/>
      <c r="U189" s="17"/>
      <c r="V189" s="17"/>
      <c r="W189" s="17"/>
      <c r="X189" s="17"/>
      <c r="Y189" s="17"/>
      <c r="Z189" s="17"/>
      <c r="AA189" s="17"/>
      <c r="AB189" s="17"/>
      <c r="AC189" s="17"/>
      <c r="AD189" s="17"/>
      <c r="AE189" s="17"/>
      <c r="AF189" s="17"/>
      <c r="AG189" s="17"/>
      <c r="AH189" s="17"/>
      <c r="AI189" s="17"/>
    </row>
    <row r="190" hidden="1">
      <c r="A190" s="34">
        <f t="shared" si="5"/>
        <v>189</v>
      </c>
      <c r="B190" s="35" t="s">
        <v>52</v>
      </c>
      <c r="C190" s="34" t="s">
        <v>2905</v>
      </c>
      <c r="D190" s="34" t="s">
        <v>2906</v>
      </c>
      <c r="E190" s="34">
        <v>22.379059999999999</v>
      </c>
      <c r="F190" s="34">
        <v>87.365908000000005</v>
      </c>
      <c r="G190" s="34" t="s">
        <v>7954</v>
      </c>
      <c r="H190" s="34" t="s">
        <v>7987</v>
      </c>
      <c r="I190" s="34" t="s">
        <v>2695</v>
      </c>
      <c r="J190" s="34">
        <v>6201045379</v>
      </c>
      <c r="K190" s="34" t="s">
        <v>8111</v>
      </c>
      <c r="L190" s="34">
        <v>6382439675</v>
      </c>
      <c r="M190" s="34"/>
      <c r="N190" s="17"/>
      <c r="O190" s="17"/>
      <c r="P190" s="17"/>
      <c r="Q190" s="17"/>
      <c r="R190" s="17"/>
      <c r="S190" s="17"/>
      <c r="T190" s="17"/>
      <c r="U190" s="17"/>
      <c r="V190" s="17"/>
      <c r="W190" s="17"/>
      <c r="X190" s="17"/>
      <c r="Y190" s="17"/>
      <c r="Z190" s="17"/>
      <c r="AA190" s="17"/>
      <c r="AB190" s="17"/>
      <c r="AC190" s="17"/>
      <c r="AD190" s="17"/>
      <c r="AE190" s="17"/>
      <c r="AF190" s="17"/>
      <c r="AG190" s="17"/>
      <c r="AH190" s="17"/>
      <c r="AI190" s="17"/>
    </row>
    <row r="191" hidden="1">
      <c r="A191" s="34">
        <f t="shared" si="5"/>
        <v>190</v>
      </c>
      <c r="B191" s="35" t="s">
        <v>52</v>
      </c>
      <c r="C191" s="34" t="s">
        <v>2908</v>
      </c>
      <c r="D191" s="34" t="s">
        <v>2909</v>
      </c>
      <c r="E191" s="34">
        <v>22.326146000000001</v>
      </c>
      <c r="F191" s="34">
        <v>87.201341999999997</v>
      </c>
      <c r="G191" s="34" t="s">
        <v>7954</v>
      </c>
      <c r="H191" s="34" t="s">
        <v>7987</v>
      </c>
      <c r="I191" s="34" t="s">
        <v>2824</v>
      </c>
      <c r="J191" s="34">
        <v>9262971230</v>
      </c>
      <c r="K191" s="34" t="s">
        <v>8144</v>
      </c>
      <c r="L191" s="34">
        <v>8967916588</v>
      </c>
      <c r="M191" s="34"/>
      <c r="N191" s="17"/>
      <c r="O191" s="17"/>
      <c r="P191" s="17"/>
      <c r="Q191" s="17"/>
      <c r="R191" s="17"/>
      <c r="S191" s="17"/>
      <c r="T191" s="17"/>
      <c r="U191" s="17"/>
      <c r="V191" s="17"/>
      <c r="W191" s="17"/>
      <c r="X191" s="17"/>
      <c r="Y191" s="17"/>
      <c r="Z191" s="17"/>
      <c r="AA191" s="17"/>
      <c r="AB191" s="17"/>
      <c r="AC191" s="17"/>
      <c r="AD191" s="17"/>
      <c r="AE191" s="17"/>
      <c r="AF191" s="17"/>
      <c r="AG191" s="17"/>
      <c r="AH191" s="17"/>
      <c r="AI191" s="17"/>
    </row>
    <row r="192" hidden="1">
      <c r="A192" s="34">
        <f t="shared" si="5"/>
        <v>191</v>
      </c>
      <c r="B192" s="35" t="s">
        <v>52</v>
      </c>
      <c r="C192" s="34" t="s">
        <v>2911</v>
      </c>
      <c r="D192" s="34" t="s">
        <v>2906</v>
      </c>
      <c r="E192" s="34">
        <v>22.372886999999999</v>
      </c>
      <c r="F192" s="34">
        <v>87.356193000000005</v>
      </c>
      <c r="G192" s="34" t="s">
        <v>7954</v>
      </c>
      <c r="H192" s="34" t="s">
        <v>8009</v>
      </c>
      <c r="I192" s="34" t="s">
        <v>2695</v>
      </c>
      <c r="J192" s="34">
        <v>6201045379</v>
      </c>
      <c r="K192" s="34" t="s">
        <v>8111</v>
      </c>
      <c r="L192" s="34">
        <v>6382439675</v>
      </c>
      <c r="M192" s="34"/>
      <c r="N192" s="17"/>
      <c r="O192" s="17"/>
      <c r="P192" s="17"/>
      <c r="Q192" s="17"/>
      <c r="R192" s="17"/>
      <c r="S192" s="17"/>
      <c r="T192" s="17"/>
      <c r="U192" s="17"/>
      <c r="V192" s="17"/>
      <c r="W192" s="17"/>
      <c r="X192" s="17"/>
      <c r="Y192" s="17"/>
      <c r="Z192" s="17"/>
      <c r="AA192" s="17"/>
      <c r="AB192" s="17"/>
      <c r="AC192" s="17"/>
      <c r="AD192" s="17"/>
      <c r="AE192" s="17"/>
      <c r="AF192" s="17"/>
      <c r="AG192" s="17"/>
      <c r="AH192" s="17"/>
      <c r="AI192" s="17"/>
    </row>
    <row r="193" hidden="1">
      <c r="A193" s="34">
        <f t="shared" si="5"/>
        <v>192</v>
      </c>
      <c r="B193" s="35" t="s">
        <v>52</v>
      </c>
      <c r="C193" s="34" t="s">
        <v>2913</v>
      </c>
      <c r="D193" s="34" t="s">
        <v>8163</v>
      </c>
      <c r="E193" s="34">
        <v>22.241465000000002</v>
      </c>
      <c r="F193" s="34">
        <v>87.387693999999996</v>
      </c>
      <c r="G193" s="34" t="s">
        <v>7954</v>
      </c>
      <c r="H193" s="34" t="s">
        <v>7987</v>
      </c>
      <c r="I193" s="34" t="s">
        <v>2695</v>
      </c>
      <c r="J193" s="34">
        <v>6201045379</v>
      </c>
      <c r="K193" s="34" t="s">
        <v>8164</v>
      </c>
      <c r="L193" s="34">
        <v>8016415030</v>
      </c>
      <c r="M193" s="34"/>
      <c r="N193" s="17"/>
      <c r="O193" s="17"/>
      <c r="P193" s="17"/>
      <c r="Q193" s="17"/>
      <c r="R193" s="17"/>
      <c r="S193" s="17"/>
      <c r="T193" s="17"/>
      <c r="U193" s="17"/>
      <c r="V193" s="17"/>
      <c r="W193" s="17"/>
      <c r="X193" s="17"/>
      <c r="Y193" s="17"/>
      <c r="Z193" s="17"/>
      <c r="AA193" s="17"/>
      <c r="AB193" s="17"/>
      <c r="AC193" s="17"/>
      <c r="AD193" s="17"/>
      <c r="AE193" s="17"/>
      <c r="AF193" s="17"/>
      <c r="AG193" s="17"/>
      <c r="AH193" s="17"/>
      <c r="AI193" s="17"/>
    </row>
    <row r="194">
      <c r="A194" s="34">
        <f t="shared" si="5"/>
        <v>193</v>
      </c>
      <c r="B194" s="35" t="s">
        <v>52</v>
      </c>
      <c r="C194" s="34" t="s">
        <v>2916</v>
      </c>
      <c r="D194" s="34" t="s">
        <v>8165</v>
      </c>
      <c r="E194" s="34">
        <v>22.297640000000001</v>
      </c>
      <c r="F194" s="34">
        <v>87.287621000000001</v>
      </c>
      <c r="G194" s="34" t="s">
        <v>7954</v>
      </c>
      <c r="H194" s="34" t="s">
        <v>7987</v>
      </c>
      <c r="I194" s="38" t="s">
        <v>2710</v>
      </c>
      <c r="J194" s="34">
        <v>9366758165</v>
      </c>
      <c r="K194" s="35" t="s">
        <v>8115</v>
      </c>
      <c r="L194" s="35">
        <v>9046419785</v>
      </c>
      <c r="M194" s="35"/>
      <c r="N194" s="17"/>
      <c r="O194" s="17"/>
      <c r="P194" s="17"/>
      <c r="Q194" s="17"/>
      <c r="R194" s="17"/>
      <c r="S194" s="17"/>
      <c r="T194" s="17"/>
      <c r="U194" s="17"/>
      <c r="V194" s="17"/>
      <c r="W194" s="17"/>
      <c r="X194" s="17"/>
      <c r="Y194" s="17"/>
      <c r="Z194" s="17"/>
      <c r="AA194" s="17"/>
      <c r="AB194" s="17"/>
      <c r="AC194" s="17"/>
      <c r="AD194" s="17"/>
      <c r="AE194" s="17"/>
      <c r="AF194" s="17"/>
      <c r="AG194" s="17"/>
      <c r="AH194" s="17"/>
      <c r="AI194" s="17"/>
    </row>
    <row r="195">
      <c r="A195" s="34">
        <f t="shared" ref="A195:A258" si="6">A194+1</f>
        <v>194</v>
      </c>
      <c r="B195" s="35" t="s">
        <v>52</v>
      </c>
      <c r="C195" s="34" t="s">
        <v>2919</v>
      </c>
      <c r="D195" s="34" t="s">
        <v>2920</v>
      </c>
      <c r="E195" s="34">
        <v>22.310324000000001</v>
      </c>
      <c r="F195" s="34">
        <v>87.276303999999996</v>
      </c>
      <c r="G195" s="34" t="s">
        <v>7954</v>
      </c>
      <c r="H195" s="34" t="s">
        <v>7987</v>
      </c>
      <c r="I195" s="38" t="s">
        <v>2710</v>
      </c>
      <c r="J195" s="34">
        <v>9366758165</v>
      </c>
      <c r="K195" s="35" t="s">
        <v>8115</v>
      </c>
      <c r="L195" s="35">
        <v>9046419785</v>
      </c>
      <c r="M195" s="35"/>
      <c r="N195" s="17"/>
      <c r="O195" s="17"/>
      <c r="P195" s="17"/>
      <c r="Q195" s="17"/>
      <c r="R195" s="17"/>
      <c r="S195" s="17"/>
      <c r="T195" s="17"/>
      <c r="U195" s="17"/>
      <c r="V195" s="17"/>
      <c r="W195" s="17"/>
      <c r="X195" s="17"/>
      <c r="Y195" s="17"/>
      <c r="Z195" s="17"/>
      <c r="AA195" s="17"/>
      <c r="AB195" s="17"/>
      <c r="AC195" s="17"/>
      <c r="AD195" s="17"/>
      <c r="AE195" s="17"/>
      <c r="AF195" s="17"/>
      <c r="AG195" s="17"/>
      <c r="AH195" s="17"/>
      <c r="AI195" s="17"/>
    </row>
    <row r="196" hidden="1">
      <c r="A196" s="34">
        <f t="shared" si="6"/>
        <v>195</v>
      </c>
      <c r="B196" s="35" t="s">
        <v>52</v>
      </c>
      <c r="C196" s="34" t="s">
        <v>2922</v>
      </c>
      <c r="D196" s="34" t="s">
        <v>2923</v>
      </c>
      <c r="E196" s="34">
        <v>22.390651999999999</v>
      </c>
      <c r="F196" s="34">
        <v>87.302734000000001</v>
      </c>
      <c r="G196" s="34" t="s">
        <v>7954</v>
      </c>
      <c r="H196" s="34" t="s">
        <v>7987</v>
      </c>
      <c r="I196" s="34" t="s">
        <v>2824</v>
      </c>
      <c r="J196" s="34">
        <v>9262971230</v>
      </c>
      <c r="K196" s="35" t="s">
        <v>8144</v>
      </c>
      <c r="L196" s="35">
        <v>8967916588</v>
      </c>
      <c r="M196" s="35"/>
      <c r="N196" s="17"/>
      <c r="O196" s="17"/>
      <c r="P196" s="17"/>
      <c r="Q196" s="17"/>
      <c r="R196" s="17"/>
      <c r="S196" s="17"/>
      <c r="T196" s="17"/>
      <c r="U196" s="17"/>
      <c r="V196" s="17"/>
      <c r="W196" s="17"/>
      <c r="X196" s="17"/>
      <c r="Y196" s="17"/>
      <c r="Z196" s="17"/>
      <c r="AA196" s="17"/>
      <c r="AB196" s="17"/>
      <c r="AC196" s="17"/>
      <c r="AD196" s="17"/>
      <c r="AE196" s="17"/>
      <c r="AF196" s="17"/>
      <c r="AG196" s="17"/>
      <c r="AH196" s="17"/>
      <c r="AI196" s="17"/>
    </row>
    <row r="197" hidden="1">
      <c r="A197" s="34">
        <f t="shared" si="6"/>
        <v>196</v>
      </c>
      <c r="B197" s="35" t="s">
        <v>52</v>
      </c>
      <c r="C197" s="34" t="s">
        <v>2925</v>
      </c>
      <c r="D197" s="34" t="s">
        <v>2926</v>
      </c>
      <c r="E197" s="34">
        <v>22.322990000000001</v>
      </c>
      <c r="F197" s="34">
        <v>87.272189999999995</v>
      </c>
      <c r="G197" s="34" t="s">
        <v>7954</v>
      </c>
      <c r="H197" s="34" t="s">
        <v>7987</v>
      </c>
      <c r="I197" s="34" t="s">
        <v>2824</v>
      </c>
      <c r="J197" s="34">
        <v>9262971230</v>
      </c>
      <c r="K197" s="35" t="s">
        <v>8115</v>
      </c>
      <c r="L197" s="35">
        <v>9046419785</v>
      </c>
      <c r="M197" s="35"/>
      <c r="N197" s="17"/>
      <c r="O197" s="17"/>
      <c r="P197" s="17"/>
      <c r="Q197" s="17"/>
      <c r="R197" s="17"/>
      <c r="S197" s="17"/>
      <c r="T197" s="17"/>
      <c r="U197" s="17"/>
      <c r="V197" s="17"/>
      <c r="W197" s="17"/>
      <c r="X197" s="17"/>
      <c r="Y197" s="17"/>
      <c r="Z197" s="17"/>
      <c r="AA197" s="17"/>
      <c r="AB197" s="17"/>
      <c r="AC197" s="17"/>
      <c r="AD197" s="17"/>
      <c r="AE197" s="17"/>
      <c r="AF197" s="17"/>
      <c r="AG197" s="17"/>
      <c r="AH197" s="17"/>
      <c r="AI197" s="17"/>
    </row>
    <row r="198" hidden="1">
      <c r="A198" s="34">
        <f t="shared" si="6"/>
        <v>197</v>
      </c>
      <c r="B198" s="35" t="s">
        <v>52</v>
      </c>
      <c r="C198" s="34" t="s">
        <v>2928</v>
      </c>
      <c r="D198" s="34" t="s">
        <v>2929</v>
      </c>
      <c r="E198" s="34">
        <v>22.348451000000001</v>
      </c>
      <c r="F198" s="34">
        <v>87.311659000000006</v>
      </c>
      <c r="G198" s="34" t="s">
        <v>7961</v>
      </c>
      <c r="H198" s="34" t="s">
        <v>7987</v>
      </c>
      <c r="I198" s="35" t="s">
        <v>2691</v>
      </c>
      <c r="J198" s="34">
        <v>6297992853</v>
      </c>
      <c r="K198" s="34" t="s">
        <v>8144</v>
      </c>
      <c r="L198" s="34">
        <v>8967916588</v>
      </c>
      <c r="M198" s="34"/>
      <c r="N198" s="17"/>
      <c r="O198" s="17"/>
      <c r="P198" s="17"/>
      <c r="Q198" s="17"/>
      <c r="R198" s="17"/>
      <c r="S198" s="17"/>
      <c r="T198" s="17"/>
      <c r="U198" s="17"/>
      <c r="V198" s="17"/>
      <c r="W198" s="17"/>
      <c r="X198" s="17"/>
      <c r="Y198" s="17"/>
      <c r="Z198" s="17"/>
      <c r="AA198" s="17"/>
      <c r="AB198" s="17"/>
      <c r="AC198" s="17"/>
      <c r="AD198" s="17"/>
      <c r="AE198" s="17"/>
      <c r="AF198" s="17"/>
      <c r="AG198" s="17"/>
      <c r="AH198" s="17"/>
      <c r="AI198" s="17"/>
    </row>
    <row r="199" hidden="1">
      <c r="A199" s="34">
        <f t="shared" si="6"/>
        <v>198</v>
      </c>
      <c r="B199" s="35" t="s">
        <v>52</v>
      </c>
      <c r="C199" s="34" t="s">
        <v>2931</v>
      </c>
      <c r="D199" s="34" t="s">
        <v>8166</v>
      </c>
      <c r="E199" s="34">
        <v>22.249078999999998</v>
      </c>
      <c r="F199" s="34">
        <v>87.388209000000003</v>
      </c>
      <c r="G199" s="34" t="s">
        <v>7954</v>
      </c>
      <c r="H199" s="34" t="s">
        <v>8009</v>
      </c>
      <c r="I199" s="34" t="s">
        <v>2695</v>
      </c>
      <c r="J199" s="34">
        <v>6201045379</v>
      </c>
      <c r="K199" s="34" t="s">
        <v>8164</v>
      </c>
      <c r="L199" s="34">
        <v>8016415030</v>
      </c>
      <c r="M199" s="34"/>
      <c r="N199" s="17"/>
      <c r="O199" s="17"/>
      <c r="P199" s="17"/>
      <c r="Q199" s="17"/>
      <c r="R199" s="17"/>
      <c r="S199" s="17"/>
      <c r="T199" s="17"/>
      <c r="U199" s="17"/>
      <c r="V199" s="17"/>
      <c r="W199" s="17"/>
      <c r="X199" s="17"/>
      <c r="Y199" s="17"/>
      <c r="Z199" s="17"/>
      <c r="AA199" s="17"/>
      <c r="AB199" s="17"/>
      <c r="AC199" s="17"/>
      <c r="AD199" s="17"/>
      <c r="AE199" s="17"/>
      <c r="AF199" s="17"/>
      <c r="AG199" s="17"/>
      <c r="AH199" s="17"/>
      <c r="AI199" s="17"/>
    </row>
    <row r="200" hidden="1">
      <c r="A200" s="34">
        <f t="shared" si="6"/>
        <v>199</v>
      </c>
      <c r="B200" s="35" t="s">
        <v>52</v>
      </c>
      <c r="C200" s="34" t="s">
        <v>2934</v>
      </c>
      <c r="D200" s="34" t="s">
        <v>8167</v>
      </c>
      <c r="E200" s="34">
        <v>22.375298999999998</v>
      </c>
      <c r="F200" s="34">
        <v>87.296374</v>
      </c>
      <c r="G200" s="34" t="s">
        <v>7954</v>
      </c>
      <c r="H200" s="34" t="s">
        <v>7987</v>
      </c>
      <c r="I200" s="34" t="s">
        <v>2824</v>
      </c>
      <c r="J200" s="34">
        <v>9262971230</v>
      </c>
      <c r="K200" s="34" t="s">
        <v>8144</v>
      </c>
      <c r="L200" s="34">
        <v>8967916588</v>
      </c>
      <c r="M200" s="34"/>
      <c r="N200" s="17"/>
      <c r="O200" s="17"/>
      <c r="P200" s="17"/>
      <c r="Q200" s="17"/>
      <c r="R200" s="17"/>
      <c r="S200" s="17"/>
      <c r="T200" s="17"/>
      <c r="U200" s="17"/>
      <c r="V200" s="17"/>
      <c r="W200" s="17"/>
      <c r="X200" s="17"/>
      <c r="Y200" s="17"/>
      <c r="Z200" s="17"/>
      <c r="AA200" s="17"/>
      <c r="AB200" s="17"/>
      <c r="AC200" s="17"/>
      <c r="AD200" s="17"/>
      <c r="AE200" s="17"/>
      <c r="AF200" s="17"/>
      <c r="AG200" s="17"/>
      <c r="AH200" s="17"/>
      <c r="AI200" s="17"/>
    </row>
    <row r="201">
      <c r="A201" s="34">
        <f t="shared" si="6"/>
        <v>200</v>
      </c>
      <c r="B201" s="35" t="s">
        <v>52</v>
      </c>
      <c r="C201" s="34" t="s">
        <v>2937</v>
      </c>
      <c r="D201" s="34" t="s">
        <v>8168</v>
      </c>
      <c r="E201" s="34">
        <v>22.283048999999998</v>
      </c>
      <c r="F201" s="34">
        <v>87.224261999999996</v>
      </c>
      <c r="G201" s="34" t="s">
        <v>7954</v>
      </c>
      <c r="H201" s="34" t="s">
        <v>7987</v>
      </c>
      <c r="I201" s="38" t="s">
        <v>2710</v>
      </c>
      <c r="J201" s="34">
        <v>9366758165</v>
      </c>
      <c r="K201" s="35" t="s">
        <v>8169</v>
      </c>
      <c r="L201" s="35">
        <v>8927909951</v>
      </c>
      <c r="M201" s="35"/>
      <c r="N201" s="17"/>
      <c r="O201" s="17"/>
      <c r="P201" s="17"/>
      <c r="Q201" s="17"/>
      <c r="R201" s="17"/>
      <c r="S201" s="17"/>
      <c r="T201" s="17"/>
      <c r="U201" s="17"/>
      <c r="V201" s="17"/>
      <c r="W201" s="17"/>
      <c r="X201" s="17"/>
      <c r="Y201" s="17"/>
      <c r="Z201" s="17"/>
      <c r="AA201" s="17"/>
      <c r="AB201" s="17"/>
      <c r="AC201" s="17"/>
      <c r="AD201" s="17"/>
      <c r="AE201" s="17"/>
      <c r="AF201" s="17"/>
      <c r="AG201" s="17"/>
      <c r="AH201" s="17"/>
      <c r="AI201" s="17"/>
    </row>
    <row r="202">
      <c r="A202" s="34">
        <f t="shared" si="6"/>
        <v>201</v>
      </c>
      <c r="B202" s="35" t="s">
        <v>52</v>
      </c>
      <c r="C202" s="34" t="s">
        <v>2940</v>
      </c>
      <c r="D202" s="34" t="s">
        <v>8170</v>
      </c>
      <c r="E202" s="34">
        <v>22.228232999999999</v>
      </c>
      <c r="F202" s="34">
        <v>87.266198000000003</v>
      </c>
      <c r="G202" s="34" t="s">
        <v>7954</v>
      </c>
      <c r="H202" s="34" t="s">
        <v>7987</v>
      </c>
      <c r="I202" s="38" t="s">
        <v>2710</v>
      </c>
      <c r="J202" s="34">
        <v>9366758165</v>
      </c>
      <c r="K202" s="35" t="s">
        <v>8169</v>
      </c>
      <c r="L202" s="35">
        <v>8927909951</v>
      </c>
      <c r="M202" s="35"/>
      <c r="N202" s="17"/>
      <c r="O202" s="17"/>
      <c r="P202" s="17"/>
      <c r="Q202" s="17"/>
      <c r="R202" s="17"/>
      <c r="S202" s="17"/>
      <c r="T202" s="17"/>
      <c r="U202" s="17"/>
      <c r="V202" s="17"/>
      <c r="W202" s="17"/>
      <c r="X202" s="17"/>
      <c r="Y202" s="17"/>
      <c r="Z202" s="17"/>
      <c r="AA202" s="17"/>
      <c r="AB202" s="17"/>
      <c r="AC202" s="17"/>
      <c r="AD202" s="17"/>
      <c r="AE202" s="17"/>
      <c r="AF202" s="17"/>
      <c r="AG202" s="17"/>
      <c r="AH202" s="17"/>
      <c r="AI202" s="17"/>
    </row>
    <row r="203">
      <c r="A203" s="34">
        <f t="shared" si="6"/>
        <v>202</v>
      </c>
      <c r="B203" s="35" t="s">
        <v>52</v>
      </c>
      <c r="C203" s="34" t="s">
        <v>2943</v>
      </c>
      <c r="D203" s="34" t="s">
        <v>2944</v>
      </c>
      <c r="E203" s="34">
        <v>22.269955</v>
      </c>
      <c r="F203" s="34">
        <v>87.315146999999996</v>
      </c>
      <c r="G203" s="34" t="s">
        <v>7954</v>
      </c>
      <c r="H203" s="34" t="s">
        <v>7987</v>
      </c>
      <c r="I203" s="38" t="s">
        <v>2710</v>
      </c>
      <c r="J203" s="34">
        <v>9366758165</v>
      </c>
      <c r="K203" s="35" t="s">
        <v>8115</v>
      </c>
      <c r="L203" s="35">
        <v>9046419785</v>
      </c>
      <c r="M203" s="35"/>
      <c r="N203" s="17"/>
      <c r="O203" s="17"/>
      <c r="P203" s="17"/>
      <c r="Q203" s="17"/>
      <c r="R203" s="17"/>
      <c r="S203" s="17"/>
      <c r="T203" s="17"/>
      <c r="U203" s="17"/>
      <c r="V203" s="17"/>
      <c r="W203" s="17"/>
      <c r="X203" s="17"/>
      <c r="Y203" s="17"/>
      <c r="Z203" s="17"/>
      <c r="AA203" s="17"/>
      <c r="AB203" s="17"/>
      <c r="AC203" s="17"/>
      <c r="AD203" s="17"/>
      <c r="AE203" s="17"/>
      <c r="AF203" s="17"/>
      <c r="AG203" s="17"/>
      <c r="AH203" s="17"/>
      <c r="AI203" s="17"/>
    </row>
    <row r="204">
      <c r="A204" s="34">
        <f t="shared" si="6"/>
        <v>203</v>
      </c>
      <c r="B204" s="35" t="s">
        <v>52</v>
      </c>
      <c r="C204" s="34" t="s">
        <v>2946</v>
      </c>
      <c r="D204" s="34" t="s">
        <v>2947</v>
      </c>
      <c r="E204" s="34">
        <v>22.23452</v>
      </c>
      <c r="F204" s="34">
        <v>87.294336999999999</v>
      </c>
      <c r="G204" s="34" t="s">
        <v>7954</v>
      </c>
      <c r="H204" s="34" t="s">
        <v>7987</v>
      </c>
      <c r="I204" s="38" t="s">
        <v>2710</v>
      </c>
      <c r="J204" s="34">
        <v>9366758165</v>
      </c>
      <c r="K204" s="35" t="s">
        <v>8169</v>
      </c>
      <c r="L204" s="35">
        <v>8927909951</v>
      </c>
      <c r="M204" s="35"/>
      <c r="N204" s="17"/>
      <c r="O204" s="17"/>
      <c r="P204" s="17"/>
      <c r="Q204" s="17"/>
      <c r="R204" s="17"/>
      <c r="S204" s="17"/>
      <c r="T204" s="17"/>
      <c r="U204" s="17"/>
      <c r="V204" s="17"/>
      <c r="W204" s="17"/>
      <c r="X204" s="17"/>
      <c r="Y204" s="17"/>
      <c r="Z204" s="17"/>
      <c r="AA204" s="17"/>
      <c r="AB204" s="17"/>
      <c r="AC204" s="17"/>
      <c r="AD204" s="17"/>
      <c r="AE204" s="17"/>
      <c r="AF204" s="17"/>
      <c r="AG204" s="17"/>
      <c r="AH204" s="17"/>
      <c r="AI204" s="17"/>
    </row>
    <row r="205" hidden="1">
      <c r="A205" s="34">
        <f t="shared" si="6"/>
        <v>204</v>
      </c>
      <c r="B205" s="35" t="s">
        <v>52</v>
      </c>
      <c r="C205" s="34" t="s">
        <v>2949</v>
      </c>
      <c r="D205" s="34" t="s">
        <v>2950</v>
      </c>
      <c r="E205" s="34">
        <v>22.374562000000001</v>
      </c>
      <c r="F205" s="34">
        <v>87.343953999999997</v>
      </c>
      <c r="G205" s="34" t="s">
        <v>7954</v>
      </c>
      <c r="H205" s="34" t="s">
        <v>7987</v>
      </c>
      <c r="I205" s="34" t="s">
        <v>2695</v>
      </c>
      <c r="J205" s="34">
        <v>6201045379</v>
      </c>
      <c r="K205" s="34" t="s">
        <v>8111</v>
      </c>
      <c r="L205" s="34">
        <v>6382439675</v>
      </c>
      <c r="M205" s="34"/>
      <c r="N205" s="17"/>
      <c r="O205" s="17"/>
      <c r="P205" s="17"/>
      <c r="Q205" s="17"/>
      <c r="R205" s="17"/>
      <c r="S205" s="17"/>
      <c r="T205" s="17"/>
      <c r="U205" s="17"/>
      <c r="V205" s="17"/>
      <c r="W205" s="17"/>
      <c r="X205" s="17"/>
      <c r="Y205" s="17"/>
      <c r="Z205" s="17"/>
      <c r="AA205" s="17"/>
      <c r="AB205" s="17"/>
      <c r="AC205" s="17"/>
      <c r="AD205" s="17"/>
      <c r="AE205" s="17"/>
      <c r="AF205" s="17"/>
      <c r="AG205" s="17"/>
      <c r="AH205" s="17"/>
      <c r="AI205" s="17"/>
    </row>
    <row r="206" hidden="1">
      <c r="A206" s="34">
        <f t="shared" si="6"/>
        <v>205</v>
      </c>
      <c r="B206" s="35" t="s">
        <v>52</v>
      </c>
      <c r="C206" s="34" t="s">
        <v>2952</v>
      </c>
      <c r="D206" s="34" t="s">
        <v>8171</v>
      </c>
      <c r="E206" s="34">
        <v>22.338998</v>
      </c>
      <c r="F206" s="34">
        <v>87.180396000000002</v>
      </c>
      <c r="G206" s="34" t="s">
        <v>7954</v>
      </c>
      <c r="H206" s="34" t="s">
        <v>7987</v>
      </c>
      <c r="I206" s="34" t="s">
        <v>2824</v>
      </c>
      <c r="J206" s="34">
        <v>9262971230</v>
      </c>
      <c r="K206" s="34" t="s">
        <v>8144</v>
      </c>
      <c r="L206" s="34">
        <v>8967916588</v>
      </c>
      <c r="M206" s="34"/>
      <c r="N206" s="17"/>
      <c r="O206" s="17"/>
      <c r="P206" s="17"/>
      <c r="Q206" s="17"/>
      <c r="R206" s="17"/>
      <c r="S206" s="17"/>
      <c r="T206" s="17"/>
      <c r="U206" s="17"/>
      <c r="V206" s="17"/>
      <c r="W206" s="17"/>
      <c r="X206" s="17"/>
      <c r="Y206" s="17"/>
      <c r="Z206" s="17"/>
      <c r="AA206" s="17"/>
      <c r="AB206" s="17"/>
      <c r="AC206" s="17"/>
      <c r="AD206" s="17"/>
      <c r="AE206" s="17"/>
      <c r="AF206" s="17"/>
      <c r="AG206" s="17"/>
      <c r="AH206" s="17"/>
      <c r="AI206" s="17"/>
    </row>
    <row r="207" hidden="1">
      <c r="A207" s="34">
        <f t="shared" si="6"/>
        <v>206</v>
      </c>
      <c r="B207" s="35" t="s">
        <v>52</v>
      </c>
      <c r="C207" s="34" t="s">
        <v>2955</v>
      </c>
      <c r="D207" s="34" t="s">
        <v>1883</v>
      </c>
      <c r="E207" s="34">
        <v>22.399467999999999</v>
      </c>
      <c r="F207" s="34">
        <v>87.273887000000002</v>
      </c>
      <c r="G207" s="34" t="s">
        <v>7954</v>
      </c>
      <c r="H207" s="34" t="s">
        <v>7987</v>
      </c>
      <c r="I207" s="34" t="s">
        <v>2824</v>
      </c>
      <c r="J207" s="34">
        <v>9262971230</v>
      </c>
      <c r="K207" s="34" t="s">
        <v>8144</v>
      </c>
      <c r="L207" s="34">
        <v>8967916588</v>
      </c>
      <c r="M207" s="34"/>
      <c r="N207" s="17"/>
      <c r="O207" s="17"/>
      <c r="P207" s="17"/>
      <c r="Q207" s="17"/>
      <c r="R207" s="17"/>
      <c r="S207" s="17"/>
      <c r="T207" s="17"/>
      <c r="U207" s="17"/>
      <c r="V207" s="17"/>
      <c r="W207" s="17"/>
      <c r="X207" s="17"/>
      <c r="Y207" s="17"/>
      <c r="Z207" s="17"/>
      <c r="AA207" s="17"/>
      <c r="AB207" s="17"/>
      <c r="AC207" s="17"/>
      <c r="AD207" s="17"/>
      <c r="AE207" s="17"/>
      <c r="AF207" s="17"/>
      <c r="AG207" s="17"/>
      <c r="AH207" s="17"/>
      <c r="AI207" s="17"/>
    </row>
    <row r="208" hidden="1">
      <c r="A208" s="34">
        <f t="shared" si="6"/>
        <v>207</v>
      </c>
      <c r="B208" s="35" t="s">
        <v>52</v>
      </c>
      <c r="C208" s="34" t="s">
        <v>2958</v>
      </c>
      <c r="D208" s="34" t="s">
        <v>8172</v>
      </c>
      <c r="E208" s="34">
        <v>22.381879999999999</v>
      </c>
      <c r="F208" s="34">
        <v>87.337969999999999</v>
      </c>
      <c r="G208" s="34" t="s">
        <v>7954</v>
      </c>
      <c r="H208" s="34" t="s">
        <v>7987</v>
      </c>
      <c r="I208" s="34" t="s">
        <v>2695</v>
      </c>
      <c r="J208" s="34">
        <v>6201045379</v>
      </c>
      <c r="K208" s="34" t="s">
        <v>8111</v>
      </c>
      <c r="L208" s="34">
        <v>6382439675</v>
      </c>
      <c r="M208" s="34"/>
      <c r="N208" s="17"/>
      <c r="O208" s="17"/>
      <c r="P208" s="17"/>
      <c r="Q208" s="17"/>
      <c r="R208" s="17"/>
      <c r="S208" s="17"/>
      <c r="T208" s="17"/>
      <c r="U208" s="17"/>
      <c r="V208" s="17"/>
      <c r="W208" s="17"/>
      <c r="X208" s="17"/>
      <c r="Y208" s="17"/>
      <c r="Z208" s="17"/>
      <c r="AA208" s="17"/>
      <c r="AB208" s="17"/>
      <c r="AC208" s="17"/>
      <c r="AD208" s="17"/>
      <c r="AE208" s="17"/>
      <c r="AF208" s="17"/>
      <c r="AG208" s="17"/>
      <c r="AH208" s="17"/>
      <c r="AI208" s="17"/>
    </row>
    <row r="209">
      <c r="A209" s="34">
        <f t="shared" si="6"/>
        <v>208</v>
      </c>
      <c r="B209" s="35" t="s">
        <v>52</v>
      </c>
      <c r="C209" s="34" t="s">
        <v>2961</v>
      </c>
      <c r="D209" s="34" t="s">
        <v>8173</v>
      </c>
      <c r="E209" s="34">
        <v>22.259931999999999</v>
      </c>
      <c r="F209" s="34">
        <v>87.276213999999996</v>
      </c>
      <c r="G209" s="34" t="s">
        <v>7954</v>
      </c>
      <c r="H209" s="34" t="s">
        <v>7987</v>
      </c>
      <c r="I209" s="38" t="s">
        <v>2710</v>
      </c>
      <c r="J209" s="34">
        <v>9366758165</v>
      </c>
      <c r="K209" s="35" t="s">
        <v>8169</v>
      </c>
      <c r="L209" s="35">
        <v>8927909951</v>
      </c>
      <c r="M209" s="35"/>
      <c r="N209" s="17"/>
      <c r="O209" s="17"/>
      <c r="P209" s="17"/>
      <c r="Q209" s="17"/>
      <c r="R209" s="17"/>
      <c r="S209" s="17"/>
      <c r="T209" s="17"/>
      <c r="U209" s="17"/>
      <c r="V209" s="17"/>
      <c r="W209" s="17"/>
      <c r="X209" s="17"/>
      <c r="Y209" s="17"/>
      <c r="Z209" s="17"/>
      <c r="AA209" s="17"/>
      <c r="AB209" s="17"/>
      <c r="AC209" s="17"/>
      <c r="AD209" s="17"/>
      <c r="AE209" s="17"/>
      <c r="AF209" s="17"/>
      <c r="AG209" s="17"/>
      <c r="AH209" s="17"/>
      <c r="AI209" s="17"/>
    </row>
    <row r="210" hidden="1">
      <c r="A210" s="34">
        <f t="shared" si="6"/>
        <v>209</v>
      </c>
      <c r="B210" s="35" t="s">
        <v>52</v>
      </c>
      <c r="C210" s="34" t="s">
        <v>2964</v>
      </c>
      <c r="D210" s="34" t="s">
        <v>8174</v>
      </c>
      <c r="E210" s="34">
        <v>22.267299999999999</v>
      </c>
      <c r="F210" s="34">
        <v>87.339600000000004</v>
      </c>
      <c r="G210" s="34" t="s">
        <v>7954</v>
      </c>
      <c r="H210" s="34" t="s">
        <v>7987</v>
      </c>
      <c r="I210" s="35" t="s">
        <v>2695</v>
      </c>
      <c r="J210" s="34">
        <v>6201045379</v>
      </c>
      <c r="K210" s="35" t="s">
        <v>8115</v>
      </c>
      <c r="L210" s="35">
        <v>9046419785</v>
      </c>
      <c r="M210" s="35"/>
      <c r="N210" s="17"/>
      <c r="O210" s="17"/>
      <c r="P210" s="17"/>
      <c r="Q210" s="17"/>
      <c r="R210" s="17"/>
      <c r="S210" s="17"/>
      <c r="T210" s="17"/>
      <c r="U210" s="17"/>
      <c r="V210" s="17"/>
      <c r="W210" s="17"/>
      <c r="X210" s="17"/>
      <c r="Y210" s="17"/>
      <c r="Z210" s="17"/>
      <c r="AA210" s="17"/>
      <c r="AB210" s="17"/>
      <c r="AC210" s="17"/>
      <c r="AD210" s="17"/>
      <c r="AE210" s="17"/>
      <c r="AF210" s="17"/>
      <c r="AG210" s="17"/>
      <c r="AH210" s="17"/>
      <c r="AI210" s="17"/>
    </row>
    <row r="211">
      <c r="A211" s="34">
        <f t="shared" si="6"/>
        <v>210</v>
      </c>
      <c r="B211" s="35" t="s">
        <v>52</v>
      </c>
      <c r="C211" s="34" t="s">
        <v>2967</v>
      </c>
      <c r="D211" s="34" t="s">
        <v>8175</v>
      </c>
      <c r="E211" s="34">
        <v>22.278316</v>
      </c>
      <c r="F211" s="34">
        <v>87.256747000000004</v>
      </c>
      <c r="G211" s="34" t="s">
        <v>7954</v>
      </c>
      <c r="H211" s="34" t="s">
        <v>7987</v>
      </c>
      <c r="I211" s="38" t="s">
        <v>2710</v>
      </c>
      <c r="J211" s="34">
        <v>9366758165</v>
      </c>
      <c r="K211" s="35" t="s">
        <v>8169</v>
      </c>
      <c r="L211" s="35">
        <v>8927909951</v>
      </c>
      <c r="M211" s="35"/>
      <c r="N211" s="17"/>
      <c r="O211" s="17"/>
      <c r="P211" s="17"/>
      <c r="Q211" s="17"/>
      <c r="R211" s="17"/>
      <c r="S211" s="17"/>
      <c r="T211" s="17"/>
      <c r="U211" s="17"/>
      <c r="V211" s="17"/>
      <c r="W211" s="17"/>
      <c r="X211" s="17"/>
      <c r="Y211" s="17"/>
      <c r="Z211" s="17"/>
      <c r="AA211" s="17"/>
      <c r="AB211" s="17"/>
      <c r="AC211" s="17"/>
      <c r="AD211" s="17"/>
      <c r="AE211" s="17"/>
      <c r="AF211" s="17"/>
      <c r="AG211" s="17"/>
      <c r="AH211" s="17"/>
      <c r="AI211" s="17"/>
    </row>
    <row r="212">
      <c r="A212" s="34">
        <f t="shared" si="6"/>
        <v>211</v>
      </c>
      <c r="B212" s="35" t="s">
        <v>52</v>
      </c>
      <c r="C212" s="34" t="s">
        <v>2970</v>
      </c>
      <c r="D212" s="34" t="s">
        <v>8176</v>
      </c>
      <c r="E212" s="34">
        <v>22.252443</v>
      </c>
      <c r="F212" s="34">
        <v>87.245952000000003</v>
      </c>
      <c r="G212" s="34" t="s">
        <v>7954</v>
      </c>
      <c r="H212" s="34" t="s">
        <v>7987</v>
      </c>
      <c r="I212" s="38" t="s">
        <v>2710</v>
      </c>
      <c r="J212" s="34">
        <v>9366758165</v>
      </c>
      <c r="K212" s="35" t="s">
        <v>8169</v>
      </c>
      <c r="L212" s="35">
        <v>8927909951</v>
      </c>
      <c r="M212" s="35"/>
      <c r="N212" s="17"/>
      <c r="O212" s="17"/>
      <c r="P212" s="17"/>
      <c r="Q212" s="17"/>
      <c r="R212" s="17"/>
      <c r="S212" s="17"/>
      <c r="T212" s="17"/>
      <c r="U212" s="17"/>
      <c r="V212" s="17"/>
      <c r="W212" s="17"/>
      <c r="X212" s="17"/>
      <c r="Y212" s="17"/>
      <c r="Z212" s="17"/>
      <c r="AA212" s="17"/>
      <c r="AB212" s="17"/>
      <c r="AC212" s="17"/>
      <c r="AD212" s="17"/>
      <c r="AE212" s="17"/>
      <c r="AF212" s="17"/>
      <c r="AG212" s="17"/>
      <c r="AH212" s="17"/>
      <c r="AI212" s="17"/>
    </row>
    <row r="213" hidden="1">
      <c r="A213" s="34">
        <f t="shared" si="6"/>
        <v>212</v>
      </c>
      <c r="B213" s="35" t="s">
        <v>52</v>
      </c>
      <c r="C213" s="34" t="s">
        <v>2973</v>
      </c>
      <c r="D213" s="34" t="s">
        <v>8177</v>
      </c>
      <c r="E213" s="34">
        <v>22.377623</v>
      </c>
      <c r="F213" s="34">
        <v>87.289510000000007</v>
      </c>
      <c r="G213" s="34" t="s">
        <v>7954</v>
      </c>
      <c r="H213" s="34" t="s">
        <v>7987</v>
      </c>
      <c r="I213" s="34" t="s">
        <v>2824</v>
      </c>
      <c r="J213" s="34">
        <v>9262971230</v>
      </c>
      <c r="K213" s="34" t="s">
        <v>8144</v>
      </c>
      <c r="L213" s="34">
        <v>8967916588</v>
      </c>
      <c r="M213" s="34"/>
      <c r="N213" s="17"/>
      <c r="O213" s="17"/>
      <c r="P213" s="17"/>
      <c r="Q213" s="17"/>
      <c r="R213" s="17"/>
      <c r="S213" s="17"/>
      <c r="T213" s="17"/>
      <c r="U213" s="17"/>
      <c r="V213" s="17"/>
      <c r="W213" s="17"/>
      <c r="X213" s="17"/>
      <c r="Y213" s="17"/>
      <c r="Z213" s="17"/>
      <c r="AA213" s="17"/>
      <c r="AB213" s="17"/>
      <c r="AC213" s="17"/>
      <c r="AD213" s="17"/>
      <c r="AE213" s="17"/>
      <c r="AF213" s="17"/>
      <c r="AG213" s="17"/>
      <c r="AH213" s="17"/>
      <c r="AI213" s="17"/>
    </row>
    <row r="214" hidden="1">
      <c r="A214" s="34">
        <f t="shared" si="6"/>
        <v>213</v>
      </c>
      <c r="B214" s="35" t="s">
        <v>52</v>
      </c>
      <c r="C214" s="34" t="s">
        <v>2976</v>
      </c>
      <c r="D214" s="34" t="s">
        <v>8178</v>
      </c>
      <c r="E214" s="34">
        <v>22.40579</v>
      </c>
      <c r="F214" s="34">
        <v>87.285929999999993</v>
      </c>
      <c r="G214" s="34" t="s">
        <v>7954</v>
      </c>
      <c r="H214" s="34" t="s">
        <v>7987</v>
      </c>
      <c r="I214" s="34" t="s">
        <v>2824</v>
      </c>
      <c r="J214" s="34">
        <v>9262971230</v>
      </c>
      <c r="K214" s="34" t="s">
        <v>8144</v>
      </c>
      <c r="L214" s="34">
        <v>8967916588</v>
      </c>
      <c r="M214" s="34"/>
      <c r="N214" s="17"/>
      <c r="O214" s="17"/>
      <c r="P214" s="17"/>
      <c r="Q214" s="17"/>
      <c r="R214" s="17"/>
      <c r="S214" s="17"/>
      <c r="T214" s="17"/>
      <c r="U214" s="17"/>
      <c r="V214" s="17"/>
      <c r="W214" s="17"/>
      <c r="X214" s="17"/>
      <c r="Y214" s="17"/>
      <c r="Z214" s="17"/>
      <c r="AA214" s="17"/>
      <c r="AB214" s="17"/>
      <c r="AC214" s="17"/>
      <c r="AD214" s="17"/>
      <c r="AE214" s="17"/>
      <c r="AF214" s="17"/>
      <c r="AG214" s="17"/>
      <c r="AH214" s="17"/>
      <c r="AI214" s="17"/>
    </row>
    <row r="215" hidden="1">
      <c r="A215" s="34">
        <f t="shared" si="6"/>
        <v>214</v>
      </c>
      <c r="B215" s="35" t="s">
        <v>52</v>
      </c>
      <c r="C215" s="34" t="s">
        <v>2979</v>
      </c>
      <c r="D215" s="34" t="s">
        <v>4784</v>
      </c>
      <c r="E215" s="34">
        <v>22.370518000000001</v>
      </c>
      <c r="F215" s="34">
        <v>87.260848999999993</v>
      </c>
      <c r="G215" s="34" t="s">
        <v>7954</v>
      </c>
      <c r="H215" s="34" t="s">
        <v>7987</v>
      </c>
      <c r="I215" s="34" t="s">
        <v>2824</v>
      </c>
      <c r="J215" s="34">
        <v>9262971230</v>
      </c>
      <c r="K215" s="34" t="s">
        <v>8144</v>
      </c>
      <c r="L215" s="34">
        <v>8967916588</v>
      </c>
      <c r="M215" s="34"/>
      <c r="N215" s="17"/>
      <c r="O215" s="17"/>
      <c r="P215" s="17"/>
      <c r="Q215" s="17"/>
      <c r="R215" s="17"/>
      <c r="S215" s="17"/>
      <c r="T215" s="17"/>
      <c r="U215" s="17"/>
      <c r="V215" s="17"/>
      <c r="W215" s="17"/>
      <c r="X215" s="17"/>
      <c r="Y215" s="17"/>
      <c r="Z215" s="17"/>
      <c r="AA215" s="17"/>
      <c r="AB215" s="17"/>
      <c r="AC215" s="17"/>
      <c r="AD215" s="17"/>
      <c r="AE215" s="17"/>
      <c r="AF215" s="17"/>
      <c r="AG215" s="17"/>
      <c r="AH215" s="17"/>
      <c r="AI215" s="17"/>
    </row>
    <row r="216" hidden="1">
      <c r="A216" s="34">
        <f t="shared" si="6"/>
        <v>215</v>
      </c>
      <c r="B216" s="35" t="s">
        <v>52</v>
      </c>
      <c r="C216" s="34" t="s">
        <v>2982</v>
      </c>
      <c r="D216" s="34" t="s">
        <v>8179</v>
      </c>
      <c r="E216" s="34">
        <v>22.361021999999998</v>
      </c>
      <c r="F216" s="34">
        <v>87.303715999999994</v>
      </c>
      <c r="G216" s="34" t="s">
        <v>7954</v>
      </c>
      <c r="H216" s="34" t="s">
        <v>8009</v>
      </c>
      <c r="I216" s="34" t="s">
        <v>2695</v>
      </c>
      <c r="J216" s="34">
        <v>9262971230</v>
      </c>
      <c r="K216" s="34" t="s">
        <v>8111</v>
      </c>
      <c r="L216" s="34">
        <v>6382439675</v>
      </c>
      <c r="M216" s="34"/>
      <c r="N216" s="17"/>
      <c r="O216" s="17"/>
      <c r="P216" s="17"/>
      <c r="Q216" s="17"/>
      <c r="R216" s="17"/>
      <c r="S216" s="17"/>
      <c r="T216" s="17"/>
      <c r="U216" s="17"/>
      <c r="V216" s="17"/>
      <c r="W216" s="17"/>
      <c r="X216" s="17"/>
      <c r="Y216" s="17"/>
      <c r="Z216" s="17"/>
      <c r="AA216" s="17"/>
      <c r="AB216" s="17"/>
      <c r="AC216" s="17"/>
      <c r="AD216" s="17"/>
      <c r="AE216" s="17"/>
      <c r="AF216" s="17"/>
      <c r="AG216" s="17"/>
      <c r="AH216" s="17"/>
      <c r="AI216" s="17"/>
    </row>
    <row r="217" hidden="1">
      <c r="A217" s="34">
        <f t="shared" si="6"/>
        <v>216</v>
      </c>
      <c r="B217" s="35" t="s">
        <v>52</v>
      </c>
      <c r="C217" s="34" t="s">
        <v>2985</v>
      </c>
      <c r="D217" s="34" t="s">
        <v>8180</v>
      </c>
      <c r="E217" s="34">
        <v>22.359629999999999</v>
      </c>
      <c r="F217" s="34">
        <v>87.296199999999999</v>
      </c>
      <c r="G217" s="34" t="s">
        <v>7954</v>
      </c>
      <c r="H217" s="34" t="s">
        <v>8009</v>
      </c>
      <c r="I217" s="34" t="s">
        <v>2824</v>
      </c>
      <c r="J217" s="34">
        <v>9262971230</v>
      </c>
      <c r="K217" s="34" t="s">
        <v>8111</v>
      </c>
      <c r="L217" s="34">
        <v>6382439675</v>
      </c>
      <c r="M217" s="34"/>
      <c r="N217" s="17"/>
      <c r="O217" s="17"/>
      <c r="P217" s="17"/>
      <c r="Q217" s="17"/>
      <c r="R217" s="17"/>
      <c r="S217" s="17"/>
      <c r="T217" s="17"/>
      <c r="U217" s="17"/>
      <c r="V217" s="17"/>
      <c r="W217" s="17"/>
      <c r="X217" s="17"/>
      <c r="Y217" s="17"/>
      <c r="Z217" s="17"/>
      <c r="AA217" s="17"/>
      <c r="AB217" s="17"/>
      <c r="AC217" s="17"/>
      <c r="AD217" s="17"/>
      <c r="AE217" s="17"/>
      <c r="AF217" s="17"/>
      <c r="AG217" s="17"/>
      <c r="AH217" s="17"/>
      <c r="AI217" s="17"/>
    </row>
    <row r="218" hidden="1">
      <c r="A218" s="34">
        <f t="shared" si="6"/>
        <v>217</v>
      </c>
      <c r="B218" s="35" t="s">
        <v>52</v>
      </c>
      <c r="C218" s="34" t="s">
        <v>2986</v>
      </c>
      <c r="D218" s="34" t="s">
        <v>8181</v>
      </c>
      <c r="E218" s="34">
        <v>22.3842</v>
      </c>
      <c r="F218" s="34">
        <v>87.285399999999996</v>
      </c>
      <c r="G218" s="34" t="s">
        <v>7954</v>
      </c>
      <c r="H218" s="34" t="s">
        <v>7987</v>
      </c>
      <c r="I218" s="34" t="s">
        <v>2824</v>
      </c>
      <c r="J218" s="34">
        <v>9262971230</v>
      </c>
      <c r="K218" s="34" t="s">
        <v>8144</v>
      </c>
      <c r="L218" s="34">
        <v>8967916588</v>
      </c>
      <c r="M218" s="34"/>
      <c r="N218" s="17"/>
      <c r="O218" s="17"/>
      <c r="P218" s="17"/>
      <c r="Q218" s="17"/>
      <c r="R218" s="17"/>
      <c r="S218" s="17"/>
      <c r="T218" s="17"/>
      <c r="U218" s="17"/>
      <c r="V218" s="17"/>
      <c r="W218" s="17"/>
      <c r="X218" s="17"/>
      <c r="Y218" s="17"/>
      <c r="Z218" s="17"/>
      <c r="AA218" s="17"/>
      <c r="AB218" s="17"/>
      <c r="AC218" s="17"/>
      <c r="AD218" s="17"/>
      <c r="AE218" s="17"/>
      <c r="AF218" s="17"/>
      <c r="AG218" s="17"/>
      <c r="AH218" s="17"/>
      <c r="AI218" s="17"/>
    </row>
    <row r="219" hidden="1">
      <c r="A219" s="34">
        <f t="shared" si="6"/>
        <v>218</v>
      </c>
      <c r="B219" s="35" t="s">
        <v>52</v>
      </c>
      <c r="C219" s="34" t="s">
        <v>2989</v>
      </c>
      <c r="D219" s="34" t="s">
        <v>8182</v>
      </c>
      <c r="E219" s="34">
        <v>22.394390000000001</v>
      </c>
      <c r="F219" s="34">
        <v>87.357759999999999</v>
      </c>
      <c r="G219" s="34" t="s">
        <v>7954</v>
      </c>
      <c r="H219" s="34" t="s">
        <v>7987</v>
      </c>
      <c r="I219" s="35" t="s">
        <v>2695</v>
      </c>
      <c r="J219" s="34">
        <v>6201045379</v>
      </c>
      <c r="K219" s="34" t="s">
        <v>8111</v>
      </c>
      <c r="L219" s="34">
        <v>6382439675</v>
      </c>
      <c r="M219" s="34"/>
      <c r="N219" s="17"/>
      <c r="O219" s="17"/>
      <c r="P219" s="17"/>
      <c r="Q219" s="17"/>
      <c r="R219" s="17"/>
      <c r="S219" s="17"/>
      <c r="T219" s="17"/>
      <c r="U219" s="17"/>
      <c r="V219" s="17"/>
      <c r="W219" s="17"/>
      <c r="X219" s="17"/>
      <c r="Y219" s="17"/>
      <c r="Z219" s="17"/>
      <c r="AA219" s="17"/>
      <c r="AB219" s="17"/>
      <c r="AC219" s="17"/>
      <c r="AD219" s="17"/>
      <c r="AE219" s="17"/>
      <c r="AF219" s="17"/>
      <c r="AG219" s="17"/>
      <c r="AH219" s="17"/>
      <c r="AI219" s="17"/>
    </row>
    <row r="220" hidden="1">
      <c r="A220" s="34">
        <f t="shared" si="6"/>
        <v>219</v>
      </c>
      <c r="B220" s="35" t="s">
        <v>52</v>
      </c>
      <c r="C220" s="34" t="s">
        <v>2991</v>
      </c>
      <c r="D220" s="35" t="s">
        <v>8183</v>
      </c>
      <c r="E220" s="34">
        <v>22.34111</v>
      </c>
      <c r="F220" s="34">
        <v>87.339770000000001</v>
      </c>
      <c r="G220" s="34" t="s">
        <v>7954</v>
      </c>
      <c r="H220" s="34" t="s">
        <v>7987</v>
      </c>
      <c r="I220" s="35" t="s">
        <v>2691</v>
      </c>
      <c r="J220" s="34">
        <v>6297992853</v>
      </c>
      <c r="K220" s="34" t="s">
        <v>2691</v>
      </c>
      <c r="L220" s="34">
        <v>6297992853</v>
      </c>
      <c r="M220" s="34"/>
      <c r="N220" s="17"/>
      <c r="O220" s="17"/>
      <c r="P220" s="17"/>
      <c r="Q220" s="17"/>
      <c r="R220" s="17"/>
      <c r="S220" s="17"/>
      <c r="T220" s="17"/>
      <c r="U220" s="17"/>
      <c r="V220" s="17"/>
      <c r="W220" s="17"/>
      <c r="X220" s="17"/>
      <c r="Y220" s="17"/>
      <c r="Z220" s="17"/>
      <c r="AA220" s="17"/>
      <c r="AB220" s="17"/>
      <c r="AC220" s="17"/>
      <c r="AD220" s="17"/>
      <c r="AE220" s="17"/>
      <c r="AF220" s="17"/>
      <c r="AG220" s="17"/>
      <c r="AH220" s="17"/>
      <c r="AI220" s="17"/>
    </row>
    <row r="221" hidden="1">
      <c r="A221" s="34">
        <f t="shared" si="6"/>
        <v>220</v>
      </c>
      <c r="B221" s="35" t="s">
        <v>52</v>
      </c>
      <c r="C221" s="34" t="s">
        <v>2992</v>
      </c>
      <c r="D221" s="34" t="s">
        <v>2993</v>
      </c>
      <c r="E221" s="34">
        <v>22.344989000000002</v>
      </c>
      <c r="F221" s="34">
        <v>87.288259999999994</v>
      </c>
      <c r="G221" s="34" t="s">
        <v>7956</v>
      </c>
      <c r="H221" s="34" t="s">
        <v>7987</v>
      </c>
      <c r="I221" s="34" t="s">
        <v>2824</v>
      </c>
      <c r="J221" s="34">
        <v>9262971230</v>
      </c>
      <c r="K221" s="34" t="s">
        <v>8144</v>
      </c>
      <c r="L221" s="34">
        <v>8967916588</v>
      </c>
      <c r="M221" s="34"/>
      <c r="N221" s="17"/>
      <c r="O221" s="17"/>
      <c r="P221" s="17"/>
      <c r="Q221" s="17"/>
      <c r="R221" s="17"/>
      <c r="S221" s="17"/>
      <c r="T221" s="17"/>
      <c r="U221" s="17"/>
      <c r="V221" s="17"/>
      <c r="W221" s="17"/>
      <c r="X221" s="17"/>
      <c r="Y221" s="17"/>
      <c r="Z221" s="17"/>
      <c r="AA221" s="17"/>
      <c r="AB221" s="17"/>
      <c r="AC221" s="17"/>
      <c r="AD221" s="17"/>
      <c r="AE221" s="17"/>
      <c r="AF221" s="17"/>
      <c r="AG221" s="17"/>
      <c r="AH221" s="17"/>
      <c r="AI221" s="17"/>
    </row>
    <row r="222" hidden="1">
      <c r="A222" s="34">
        <f t="shared" si="6"/>
        <v>221</v>
      </c>
      <c r="B222" s="35" t="s">
        <v>52</v>
      </c>
      <c r="C222" s="34" t="s">
        <v>2995</v>
      </c>
      <c r="D222" s="34" t="s">
        <v>8184</v>
      </c>
      <c r="E222" s="34">
        <v>22.345293999999999</v>
      </c>
      <c r="F222" s="34">
        <v>87.309360999999996</v>
      </c>
      <c r="G222" s="34" t="s">
        <v>7956</v>
      </c>
      <c r="H222" s="34" t="s">
        <v>7987</v>
      </c>
      <c r="I222" s="34" t="s">
        <v>2824</v>
      </c>
      <c r="J222" s="34">
        <v>9262971230</v>
      </c>
      <c r="K222" s="34" t="s">
        <v>8115</v>
      </c>
      <c r="L222" s="34">
        <v>9046419785</v>
      </c>
      <c r="M222" s="34"/>
      <c r="N222" s="17"/>
      <c r="O222" s="17"/>
      <c r="P222" s="17"/>
      <c r="Q222" s="17"/>
      <c r="R222" s="17"/>
      <c r="S222" s="17"/>
      <c r="T222" s="17"/>
      <c r="U222" s="17"/>
      <c r="V222" s="17"/>
      <c r="W222" s="17"/>
      <c r="X222" s="17"/>
      <c r="Y222" s="17"/>
      <c r="Z222" s="17"/>
      <c r="AA222" s="17"/>
      <c r="AB222" s="17"/>
      <c r="AC222" s="17"/>
      <c r="AD222" s="17"/>
      <c r="AE222" s="17"/>
      <c r="AF222" s="17"/>
      <c r="AG222" s="17"/>
      <c r="AH222" s="17"/>
      <c r="AI222" s="17"/>
    </row>
    <row r="223" hidden="1">
      <c r="A223" s="34">
        <f t="shared" si="6"/>
        <v>222</v>
      </c>
      <c r="B223" s="35" t="s">
        <v>52</v>
      </c>
      <c r="C223" s="34" t="s">
        <v>2997</v>
      </c>
      <c r="D223" s="34" t="s">
        <v>8185</v>
      </c>
      <c r="E223" s="34">
        <v>22.338903999999999</v>
      </c>
      <c r="F223" s="34">
        <v>87.325941999999998</v>
      </c>
      <c r="G223" s="34" t="s">
        <v>7956</v>
      </c>
      <c r="H223" s="34" t="s">
        <v>8009</v>
      </c>
      <c r="I223" s="35" t="s">
        <v>2691</v>
      </c>
      <c r="J223" s="34">
        <v>6297992853</v>
      </c>
      <c r="K223" s="34" t="s">
        <v>2691</v>
      </c>
      <c r="L223" s="34">
        <v>6297992853</v>
      </c>
      <c r="M223" s="34"/>
      <c r="N223" s="17"/>
      <c r="O223" s="17"/>
      <c r="P223" s="17"/>
      <c r="Q223" s="17"/>
      <c r="R223" s="17"/>
      <c r="S223" s="17"/>
      <c r="T223" s="17"/>
      <c r="U223" s="17"/>
      <c r="V223" s="17"/>
      <c r="W223" s="17"/>
      <c r="X223" s="17"/>
      <c r="Y223" s="17"/>
      <c r="Z223" s="17"/>
      <c r="AA223" s="17"/>
      <c r="AB223" s="17"/>
      <c r="AC223" s="17"/>
      <c r="AD223" s="17"/>
      <c r="AE223" s="17"/>
      <c r="AF223" s="17"/>
      <c r="AG223" s="17"/>
      <c r="AH223" s="17"/>
      <c r="AI223" s="17"/>
    </row>
    <row r="224" hidden="1">
      <c r="A224" s="34">
        <f t="shared" si="6"/>
        <v>223</v>
      </c>
      <c r="B224" s="35" t="s">
        <v>52</v>
      </c>
      <c r="C224" s="34" t="s">
        <v>3000</v>
      </c>
      <c r="D224" s="34" t="s">
        <v>8186</v>
      </c>
      <c r="E224" s="34">
        <v>22.311881</v>
      </c>
      <c r="F224" s="34">
        <v>87.298670999999999</v>
      </c>
      <c r="G224" s="34" t="s">
        <v>7956</v>
      </c>
      <c r="H224" s="34" t="s">
        <v>8009</v>
      </c>
      <c r="I224" s="34" t="s">
        <v>2695</v>
      </c>
      <c r="J224" s="34">
        <v>6201045379</v>
      </c>
      <c r="K224" s="34" t="s">
        <v>8111</v>
      </c>
      <c r="L224" s="34">
        <v>6382439675</v>
      </c>
      <c r="M224" s="34"/>
      <c r="N224" s="17"/>
      <c r="O224" s="17"/>
      <c r="P224" s="17"/>
      <c r="Q224" s="17"/>
      <c r="R224" s="17"/>
      <c r="S224" s="17"/>
      <c r="T224" s="17"/>
      <c r="U224" s="17"/>
      <c r="V224" s="17"/>
      <c r="W224" s="17"/>
      <c r="X224" s="17"/>
      <c r="Y224" s="17"/>
      <c r="Z224" s="17"/>
      <c r="AA224" s="17"/>
      <c r="AB224" s="17"/>
      <c r="AC224" s="17"/>
      <c r="AD224" s="17"/>
      <c r="AE224" s="17"/>
      <c r="AF224" s="17"/>
      <c r="AG224" s="17"/>
      <c r="AH224" s="17"/>
      <c r="AI224" s="17"/>
    </row>
    <row r="225" hidden="1">
      <c r="A225" s="34">
        <f t="shared" si="6"/>
        <v>224</v>
      </c>
      <c r="B225" s="35" t="s">
        <v>52</v>
      </c>
      <c r="C225" s="34" t="s">
        <v>3003</v>
      </c>
      <c r="D225" s="34" t="s">
        <v>2716</v>
      </c>
      <c r="E225" s="34">
        <v>22.319799</v>
      </c>
      <c r="F225" s="34">
        <v>87.376838000000006</v>
      </c>
      <c r="G225" s="34" t="s">
        <v>7956</v>
      </c>
      <c r="H225" s="34" t="s">
        <v>8009</v>
      </c>
      <c r="I225" s="35" t="s">
        <v>2691</v>
      </c>
      <c r="J225" s="34">
        <v>6297992853</v>
      </c>
      <c r="K225" s="34" t="s">
        <v>2691</v>
      </c>
      <c r="L225" s="34">
        <v>6297992853</v>
      </c>
      <c r="M225" s="34"/>
      <c r="N225" s="17"/>
      <c r="O225" s="17"/>
      <c r="P225" s="17"/>
      <c r="Q225" s="17"/>
      <c r="R225" s="17"/>
      <c r="S225" s="17"/>
      <c r="T225" s="17"/>
      <c r="U225" s="17"/>
      <c r="V225" s="17"/>
      <c r="W225" s="17"/>
      <c r="X225" s="17"/>
      <c r="Y225" s="17"/>
      <c r="Z225" s="17"/>
      <c r="AA225" s="17"/>
      <c r="AB225" s="17"/>
      <c r="AC225" s="17"/>
      <c r="AD225" s="17"/>
      <c r="AE225" s="17"/>
      <c r="AF225" s="17"/>
      <c r="AG225" s="17"/>
      <c r="AH225" s="17"/>
      <c r="AI225" s="17"/>
    </row>
    <row r="226" hidden="1">
      <c r="A226" s="34">
        <f t="shared" si="6"/>
        <v>225</v>
      </c>
      <c r="B226" s="35" t="s">
        <v>52</v>
      </c>
      <c r="C226" s="34" t="s">
        <v>3005</v>
      </c>
      <c r="D226" s="34" t="s">
        <v>8187</v>
      </c>
      <c r="E226" s="34">
        <v>22.254742</v>
      </c>
      <c r="F226" s="34">
        <v>87.353656000000001</v>
      </c>
      <c r="G226" s="34" t="s">
        <v>7956</v>
      </c>
      <c r="H226" s="34" t="s">
        <v>8009</v>
      </c>
      <c r="I226" s="34" t="s">
        <v>2695</v>
      </c>
      <c r="J226" s="34">
        <v>6201045379</v>
      </c>
      <c r="K226" s="35" t="s">
        <v>8115</v>
      </c>
      <c r="L226" s="35">
        <v>9046419785</v>
      </c>
      <c r="M226" s="35"/>
      <c r="N226" s="17"/>
      <c r="O226" s="17"/>
      <c r="P226" s="17"/>
      <c r="Q226" s="17"/>
      <c r="R226" s="17"/>
      <c r="S226" s="17"/>
      <c r="T226" s="17"/>
      <c r="U226" s="17"/>
      <c r="V226" s="17"/>
      <c r="W226" s="17"/>
      <c r="X226" s="17"/>
      <c r="Y226" s="17"/>
      <c r="Z226" s="17"/>
      <c r="AA226" s="17"/>
      <c r="AB226" s="17"/>
      <c r="AC226" s="17"/>
      <c r="AD226" s="17"/>
      <c r="AE226" s="17"/>
      <c r="AF226" s="17"/>
      <c r="AG226" s="17"/>
      <c r="AH226" s="17"/>
      <c r="AI226" s="17"/>
    </row>
    <row r="227" hidden="1">
      <c r="A227" s="34">
        <f t="shared" si="6"/>
        <v>226</v>
      </c>
      <c r="B227" s="35" t="s">
        <v>52</v>
      </c>
      <c r="C227" s="34" t="s">
        <v>3008</v>
      </c>
      <c r="D227" s="34" t="s">
        <v>8188</v>
      </c>
      <c r="E227" s="34">
        <v>22.345677999999999</v>
      </c>
      <c r="F227" s="34">
        <v>87.269636000000006</v>
      </c>
      <c r="G227" s="34" t="s">
        <v>7956</v>
      </c>
      <c r="H227" s="34" t="s">
        <v>8009</v>
      </c>
      <c r="I227" s="34" t="s">
        <v>2824</v>
      </c>
      <c r="J227" s="34">
        <v>9262971230</v>
      </c>
      <c r="K227" s="34" t="s">
        <v>8144</v>
      </c>
      <c r="L227" s="34">
        <v>8967916588</v>
      </c>
      <c r="M227" s="34"/>
      <c r="N227" s="17"/>
      <c r="O227" s="17"/>
      <c r="P227" s="17"/>
      <c r="Q227" s="17"/>
      <c r="R227" s="17"/>
      <c r="S227" s="17"/>
      <c r="T227" s="17"/>
      <c r="U227" s="17"/>
      <c r="V227" s="17"/>
      <c r="W227" s="17"/>
      <c r="X227" s="17"/>
      <c r="Y227" s="17"/>
      <c r="Z227" s="17"/>
      <c r="AA227" s="17"/>
      <c r="AB227" s="17"/>
      <c r="AC227" s="17"/>
      <c r="AD227" s="17"/>
      <c r="AE227" s="17"/>
      <c r="AF227" s="17"/>
      <c r="AG227" s="17"/>
      <c r="AH227" s="17"/>
      <c r="AI227" s="17"/>
    </row>
    <row r="228" hidden="1">
      <c r="A228" s="34">
        <f t="shared" si="6"/>
        <v>227</v>
      </c>
      <c r="B228" s="35" t="s">
        <v>52</v>
      </c>
      <c r="C228" s="34" t="s">
        <v>3011</v>
      </c>
      <c r="D228" s="34" t="s">
        <v>3013</v>
      </c>
      <c r="E228" s="34">
        <v>22.341429000000002</v>
      </c>
      <c r="F228" s="34">
        <v>87.256417999999996</v>
      </c>
      <c r="G228" s="34" t="s">
        <v>7956</v>
      </c>
      <c r="H228" s="34" t="s">
        <v>8009</v>
      </c>
      <c r="I228" s="34" t="s">
        <v>2824</v>
      </c>
      <c r="J228" s="34">
        <v>9262971230</v>
      </c>
      <c r="K228" s="34" t="s">
        <v>8144</v>
      </c>
      <c r="L228" s="34">
        <v>8967916588</v>
      </c>
      <c r="M228" s="34"/>
      <c r="N228" s="17"/>
      <c r="O228" s="17"/>
      <c r="P228" s="17"/>
      <c r="Q228" s="17"/>
      <c r="R228" s="17"/>
      <c r="S228" s="17"/>
      <c r="T228" s="17"/>
      <c r="U228" s="17"/>
      <c r="V228" s="17"/>
      <c r="W228" s="17"/>
      <c r="X228" s="17"/>
      <c r="Y228" s="17"/>
      <c r="Z228" s="17"/>
      <c r="AA228" s="17"/>
      <c r="AB228" s="17"/>
      <c r="AC228" s="17"/>
      <c r="AD228" s="17"/>
      <c r="AE228" s="17"/>
      <c r="AF228" s="17"/>
      <c r="AG228" s="17"/>
      <c r="AH228" s="17"/>
      <c r="AI228" s="17"/>
    </row>
    <row r="229" hidden="1">
      <c r="A229" s="34">
        <f t="shared" si="6"/>
        <v>228</v>
      </c>
      <c r="B229" s="35" t="s">
        <v>52</v>
      </c>
      <c r="C229" s="34" t="s">
        <v>3014</v>
      </c>
      <c r="D229" s="34" t="s">
        <v>8189</v>
      </c>
      <c r="E229" s="34">
        <v>22.344916000000001</v>
      </c>
      <c r="F229" s="34">
        <v>87.278713999999994</v>
      </c>
      <c r="G229" s="34" t="s">
        <v>8104</v>
      </c>
      <c r="H229" s="34" t="s">
        <v>8009</v>
      </c>
      <c r="I229" s="34" t="s">
        <v>2824</v>
      </c>
      <c r="J229" s="34">
        <v>9262971230</v>
      </c>
      <c r="K229" s="34" t="s">
        <v>8144</v>
      </c>
      <c r="L229" s="34">
        <v>8967916588</v>
      </c>
      <c r="M229" s="34"/>
      <c r="N229" s="17"/>
      <c r="O229" s="17"/>
      <c r="P229" s="17"/>
      <c r="Q229" s="17"/>
      <c r="R229" s="17"/>
      <c r="S229" s="17"/>
      <c r="T229" s="17"/>
      <c r="U229" s="17"/>
      <c r="V229" s="17"/>
      <c r="W229" s="17"/>
      <c r="X229" s="17"/>
      <c r="Y229" s="17"/>
      <c r="Z229" s="17"/>
      <c r="AA229" s="17"/>
      <c r="AB229" s="17"/>
      <c r="AC229" s="17"/>
      <c r="AD229" s="17"/>
      <c r="AE229" s="17"/>
      <c r="AF229" s="17"/>
      <c r="AG229" s="17"/>
      <c r="AH229" s="17"/>
      <c r="AI229" s="17"/>
    </row>
    <row r="230" hidden="1">
      <c r="A230" s="34">
        <f t="shared" si="6"/>
        <v>229</v>
      </c>
      <c r="B230" s="35" t="s">
        <v>52</v>
      </c>
      <c r="C230" s="34" t="s">
        <v>3017</v>
      </c>
      <c r="D230" s="34" t="s">
        <v>8190</v>
      </c>
      <c r="E230" s="34">
        <v>22.329211000000001</v>
      </c>
      <c r="F230" s="34">
        <v>87.277338999999998</v>
      </c>
      <c r="G230" s="34" t="s">
        <v>8104</v>
      </c>
      <c r="H230" s="34" t="s">
        <v>7987</v>
      </c>
      <c r="I230" s="34" t="s">
        <v>2824</v>
      </c>
      <c r="J230" s="34">
        <v>9262971230</v>
      </c>
      <c r="K230" s="34" t="s">
        <v>8144</v>
      </c>
      <c r="L230" s="34">
        <v>8967916588</v>
      </c>
      <c r="M230" s="34"/>
      <c r="N230" s="17"/>
      <c r="O230" s="17"/>
      <c r="P230" s="17"/>
      <c r="Q230" s="17"/>
      <c r="R230" s="17"/>
      <c r="S230" s="17"/>
      <c r="T230" s="17"/>
      <c r="U230" s="17"/>
      <c r="V230" s="17"/>
      <c r="W230" s="17"/>
      <c r="X230" s="17"/>
      <c r="Y230" s="17"/>
      <c r="Z230" s="17"/>
      <c r="AA230" s="17"/>
      <c r="AB230" s="17"/>
      <c r="AC230" s="17"/>
      <c r="AD230" s="17"/>
      <c r="AE230" s="17"/>
      <c r="AF230" s="17"/>
      <c r="AG230" s="17"/>
      <c r="AH230" s="17"/>
      <c r="AI230" s="17"/>
    </row>
    <row r="231" hidden="1">
      <c r="A231" s="34">
        <f t="shared" si="6"/>
        <v>230</v>
      </c>
      <c r="B231" s="35" t="s">
        <v>52</v>
      </c>
      <c r="C231" s="34" t="s">
        <v>3020</v>
      </c>
      <c r="D231" s="34" t="s">
        <v>8191</v>
      </c>
      <c r="E231" s="34">
        <v>22.329951999999999</v>
      </c>
      <c r="F231" s="34">
        <v>87.286210999999994</v>
      </c>
      <c r="G231" s="34" t="s">
        <v>7956</v>
      </c>
      <c r="H231" s="34" t="s">
        <v>7987</v>
      </c>
      <c r="I231" s="34" t="s">
        <v>2824</v>
      </c>
      <c r="J231" s="34">
        <v>9262971230</v>
      </c>
      <c r="K231" s="35" t="s">
        <v>8115</v>
      </c>
      <c r="L231" s="35">
        <v>9046419785</v>
      </c>
      <c r="M231" s="35"/>
      <c r="N231" s="17"/>
      <c r="O231" s="17"/>
      <c r="P231" s="17"/>
      <c r="Q231" s="17"/>
      <c r="R231" s="17"/>
      <c r="S231" s="17"/>
      <c r="T231" s="17"/>
      <c r="U231" s="17"/>
      <c r="V231" s="17"/>
      <c r="W231" s="17"/>
      <c r="X231" s="17"/>
      <c r="Y231" s="17"/>
      <c r="Z231" s="17"/>
      <c r="AA231" s="17"/>
      <c r="AB231" s="17"/>
      <c r="AC231" s="17"/>
      <c r="AD231" s="17"/>
      <c r="AE231" s="17"/>
      <c r="AF231" s="17"/>
      <c r="AG231" s="17"/>
      <c r="AH231" s="17"/>
      <c r="AI231" s="17"/>
    </row>
    <row r="232" hidden="1">
      <c r="A232" s="34">
        <f t="shared" si="6"/>
        <v>231</v>
      </c>
      <c r="B232" s="35" t="s">
        <v>52</v>
      </c>
      <c r="C232" s="34" t="s">
        <v>3023</v>
      </c>
      <c r="D232" s="34" t="s">
        <v>3024</v>
      </c>
      <c r="E232" s="34">
        <v>22.339321000000002</v>
      </c>
      <c r="F232" s="34">
        <v>87.335209000000006</v>
      </c>
      <c r="G232" s="34" t="s">
        <v>7956</v>
      </c>
      <c r="H232" s="34" t="s">
        <v>7987</v>
      </c>
      <c r="I232" s="35" t="s">
        <v>2691</v>
      </c>
      <c r="J232" s="34">
        <v>6297992853</v>
      </c>
      <c r="K232" s="34" t="s">
        <v>2691</v>
      </c>
      <c r="L232" s="34">
        <v>6297992853</v>
      </c>
      <c r="M232" s="34"/>
      <c r="N232" s="17"/>
      <c r="O232" s="17"/>
      <c r="P232" s="17"/>
      <c r="Q232" s="17"/>
      <c r="R232" s="17"/>
      <c r="S232" s="17"/>
      <c r="T232" s="17"/>
      <c r="U232" s="17"/>
      <c r="V232" s="17"/>
      <c r="W232" s="17"/>
      <c r="X232" s="17"/>
      <c r="Y232" s="17"/>
      <c r="Z232" s="17"/>
      <c r="AA232" s="17"/>
      <c r="AB232" s="17"/>
      <c r="AC232" s="17"/>
      <c r="AD232" s="17"/>
      <c r="AE232" s="17"/>
      <c r="AF232" s="17"/>
      <c r="AG232" s="17"/>
      <c r="AH232" s="17"/>
      <c r="AI232" s="17"/>
    </row>
    <row r="233" hidden="1">
      <c r="A233" s="34">
        <f t="shared" si="6"/>
        <v>232</v>
      </c>
      <c r="B233" s="35" t="s">
        <v>52</v>
      </c>
      <c r="C233" s="34" t="s">
        <v>3026</v>
      </c>
      <c r="D233" s="34" t="s">
        <v>8192</v>
      </c>
      <c r="E233" s="34">
        <v>22.350669</v>
      </c>
      <c r="F233" s="34">
        <v>87.259367999999995</v>
      </c>
      <c r="G233" s="34" t="s">
        <v>8104</v>
      </c>
      <c r="H233" s="34" t="s">
        <v>7987</v>
      </c>
      <c r="I233" s="34" t="s">
        <v>2824</v>
      </c>
      <c r="J233" s="34">
        <v>9262971230</v>
      </c>
      <c r="K233" s="34" t="s">
        <v>8144</v>
      </c>
      <c r="L233" s="34">
        <v>8967916588</v>
      </c>
      <c r="M233" s="34"/>
      <c r="N233" s="17"/>
      <c r="O233" s="17"/>
      <c r="P233" s="17"/>
      <c r="Q233" s="17"/>
      <c r="R233" s="17"/>
      <c r="S233" s="17"/>
      <c r="T233" s="17"/>
      <c r="U233" s="17"/>
      <c r="V233" s="17"/>
      <c r="W233" s="17"/>
      <c r="X233" s="17"/>
      <c r="Y233" s="17"/>
      <c r="Z233" s="17"/>
      <c r="AA233" s="17"/>
      <c r="AB233" s="17"/>
      <c r="AC233" s="17"/>
      <c r="AD233" s="17"/>
      <c r="AE233" s="17"/>
      <c r="AF233" s="17"/>
      <c r="AG233" s="17"/>
      <c r="AH233" s="17"/>
      <c r="AI233" s="17"/>
    </row>
    <row r="234">
      <c r="A234" s="34">
        <f t="shared" si="6"/>
        <v>233</v>
      </c>
      <c r="B234" s="35" t="s">
        <v>52</v>
      </c>
      <c r="C234" s="34" t="s">
        <v>3029</v>
      </c>
      <c r="D234" s="34" t="s">
        <v>3030</v>
      </c>
      <c r="E234" s="34">
        <v>22.317699999999999</v>
      </c>
      <c r="F234" s="34">
        <v>87.290300000000002</v>
      </c>
      <c r="G234" s="34" t="s">
        <v>7956</v>
      </c>
      <c r="H234" s="34" t="s">
        <v>8009</v>
      </c>
      <c r="I234" s="38" t="s">
        <v>2710</v>
      </c>
      <c r="J234" s="34">
        <v>9366758165</v>
      </c>
      <c r="K234" s="35" t="s">
        <v>8115</v>
      </c>
      <c r="L234" s="35">
        <v>9046419785</v>
      </c>
      <c r="M234" s="35"/>
      <c r="N234" s="17"/>
      <c r="O234" s="17"/>
      <c r="P234" s="17"/>
      <c r="Q234" s="17"/>
      <c r="R234" s="17"/>
      <c r="S234" s="17"/>
      <c r="T234" s="17"/>
      <c r="U234" s="17"/>
      <c r="V234" s="17"/>
      <c r="W234" s="17"/>
      <c r="X234" s="17"/>
      <c r="Y234" s="17"/>
      <c r="Z234" s="17"/>
      <c r="AA234" s="17"/>
      <c r="AB234" s="17"/>
      <c r="AC234" s="17"/>
      <c r="AD234" s="17"/>
      <c r="AE234" s="17"/>
      <c r="AF234" s="17"/>
      <c r="AG234" s="17"/>
      <c r="AH234" s="17"/>
      <c r="AI234" s="17"/>
    </row>
    <row r="235">
      <c r="A235" s="34">
        <f t="shared" si="6"/>
        <v>234</v>
      </c>
      <c r="B235" s="35" t="s">
        <v>52</v>
      </c>
      <c r="C235" s="34" t="s">
        <v>3031</v>
      </c>
      <c r="D235" s="34" t="s">
        <v>8193</v>
      </c>
      <c r="E235" s="34">
        <v>22.304470999999999</v>
      </c>
      <c r="F235" s="34">
        <v>87.292537999999993</v>
      </c>
      <c r="G235" s="34" t="s">
        <v>7956</v>
      </c>
      <c r="H235" s="34" t="s">
        <v>7987</v>
      </c>
      <c r="I235" s="38" t="s">
        <v>2710</v>
      </c>
      <c r="J235" s="34">
        <v>9366758165</v>
      </c>
      <c r="K235" s="35" t="s">
        <v>8169</v>
      </c>
      <c r="L235" s="35">
        <v>8927909951</v>
      </c>
      <c r="M235" s="35"/>
      <c r="N235" s="17"/>
      <c r="O235" s="17"/>
      <c r="P235" s="17"/>
      <c r="Q235" s="17"/>
      <c r="R235" s="17"/>
      <c r="S235" s="17"/>
      <c r="T235" s="17"/>
      <c r="U235" s="17"/>
      <c r="V235" s="17"/>
      <c r="W235" s="17"/>
      <c r="X235" s="17"/>
      <c r="Y235" s="17"/>
      <c r="Z235" s="17"/>
      <c r="AA235" s="17"/>
      <c r="AB235" s="17"/>
      <c r="AC235" s="17"/>
      <c r="AD235" s="17"/>
      <c r="AE235" s="17"/>
      <c r="AF235" s="17"/>
      <c r="AG235" s="17"/>
      <c r="AH235" s="17"/>
      <c r="AI235" s="17"/>
    </row>
    <row r="236" hidden="1">
      <c r="A236" s="34">
        <f t="shared" si="6"/>
        <v>235</v>
      </c>
      <c r="B236" s="35" t="s">
        <v>52</v>
      </c>
      <c r="C236" s="34" t="s">
        <v>3034</v>
      </c>
      <c r="D236" s="34" t="s">
        <v>8194</v>
      </c>
      <c r="E236" s="34">
        <v>22.335287999999998</v>
      </c>
      <c r="F236" s="34">
        <v>87.336293999999995</v>
      </c>
      <c r="G236" s="34" t="s">
        <v>7956</v>
      </c>
      <c r="H236" s="34" t="s">
        <v>7987</v>
      </c>
      <c r="I236" s="34" t="s">
        <v>2695</v>
      </c>
      <c r="J236" s="34">
        <v>6201045379</v>
      </c>
      <c r="K236" s="34" t="s">
        <v>8111</v>
      </c>
      <c r="L236" s="34">
        <v>6382439675</v>
      </c>
      <c r="M236" s="34"/>
      <c r="N236" s="17"/>
      <c r="O236" s="17"/>
      <c r="P236" s="17"/>
      <c r="Q236" s="17"/>
      <c r="R236" s="17"/>
      <c r="S236" s="17"/>
      <c r="T236" s="17"/>
      <c r="U236" s="17"/>
      <c r="V236" s="17"/>
      <c r="W236" s="17"/>
      <c r="X236" s="17"/>
      <c r="Y236" s="17"/>
      <c r="Z236" s="17"/>
      <c r="AA236" s="17"/>
      <c r="AB236" s="17"/>
      <c r="AC236" s="17"/>
      <c r="AD236" s="17"/>
      <c r="AE236" s="17"/>
      <c r="AF236" s="17"/>
      <c r="AG236" s="17"/>
      <c r="AH236" s="17"/>
      <c r="AI236" s="17"/>
    </row>
    <row r="237" hidden="1">
      <c r="A237" s="34">
        <f t="shared" si="6"/>
        <v>236</v>
      </c>
      <c r="B237" s="35" t="s">
        <v>52</v>
      </c>
      <c r="C237" s="34" t="s">
        <v>3037</v>
      </c>
      <c r="D237" s="34" t="s">
        <v>8195</v>
      </c>
      <c r="E237" s="34">
        <v>22.358744000000002</v>
      </c>
      <c r="F237" s="34">
        <v>87.207250999999999</v>
      </c>
      <c r="G237" s="34" t="s">
        <v>7956</v>
      </c>
      <c r="H237" s="34" t="s">
        <v>7987</v>
      </c>
      <c r="I237" s="34" t="s">
        <v>2824</v>
      </c>
      <c r="J237" s="34">
        <v>9262971230</v>
      </c>
      <c r="K237" s="34" t="s">
        <v>8144</v>
      </c>
      <c r="L237" s="34">
        <v>8967916588</v>
      </c>
      <c r="M237" s="34"/>
      <c r="N237" s="17"/>
      <c r="O237" s="17"/>
      <c r="P237" s="17"/>
      <c r="Q237" s="17"/>
      <c r="R237" s="17"/>
      <c r="S237" s="17"/>
      <c r="T237" s="17"/>
      <c r="U237" s="17"/>
      <c r="V237" s="17"/>
      <c r="W237" s="17"/>
      <c r="X237" s="17"/>
      <c r="Y237" s="17"/>
      <c r="Z237" s="17"/>
      <c r="AA237" s="17"/>
      <c r="AB237" s="17"/>
      <c r="AC237" s="17"/>
      <c r="AD237" s="17"/>
      <c r="AE237" s="17"/>
      <c r="AF237" s="17"/>
      <c r="AG237" s="17"/>
      <c r="AH237" s="17"/>
      <c r="AI237" s="17"/>
    </row>
    <row r="238" hidden="1">
      <c r="A238" s="34">
        <f t="shared" si="6"/>
        <v>237</v>
      </c>
      <c r="B238" s="35" t="s">
        <v>52</v>
      </c>
      <c r="C238" s="34" t="s">
        <v>3040</v>
      </c>
      <c r="D238" s="34" t="s">
        <v>3041</v>
      </c>
      <c r="E238" s="34">
        <v>22.391511000000001</v>
      </c>
      <c r="F238" s="34">
        <v>87.251279999999994</v>
      </c>
      <c r="G238" s="34" t="s">
        <v>7956</v>
      </c>
      <c r="H238" s="34" t="s">
        <v>7987</v>
      </c>
      <c r="I238" s="34" t="s">
        <v>2824</v>
      </c>
      <c r="J238" s="34">
        <v>9262971230</v>
      </c>
      <c r="K238" s="34" t="s">
        <v>8144</v>
      </c>
      <c r="L238" s="34">
        <v>8967916588</v>
      </c>
      <c r="M238" s="34"/>
      <c r="N238" s="17"/>
      <c r="O238" s="17"/>
      <c r="P238" s="17"/>
      <c r="Q238" s="17"/>
      <c r="R238" s="17"/>
      <c r="S238" s="17"/>
      <c r="T238" s="17"/>
      <c r="U238" s="17"/>
      <c r="V238" s="17"/>
      <c r="W238" s="17"/>
      <c r="X238" s="17"/>
      <c r="Y238" s="17"/>
      <c r="Z238" s="17"/>
      <c r="AA238" s="17"/>
      <c r="AB238" s="17"/>
      <c r="AC238" s="17"/>
      <c r="AD238" s="17"/>
      <c r="AE238" s="17"/>
      <c r="AF238" s="17"/>
      <c r="AG238" s="17"/>
      <c r="AH238" s="17"/>
      <c r="AI238" s="17"/>
    </row>
    <row r="239" hidden="1">
      <c r="A239" s="34">
        <f t="shared" si="6"/>
        <v>238</v>
      </c>
      <c r="B239" s="35" t="s">
        <v>52</v>
      </c>
      <c r="C239" s="34" t="s">
        <v>3043</v>
      </c>
      <c r="D239" s="34" t="s">
        <v>3006</v>
      </c>
      <c r="E239" s="34">
        <v>22.246134000000001</v>
      </c>
      <c r="F239" s="34">
        <v>87.353703999999993</v>
      </c>
      <c r="G239" s="34" t="s">
        <v>7956</v>
      </c>
      <c r="H239" s="34" t="s">
        <v>7987</v>
      </c>
      <c r="I239" s="34" t="s">
        <v>2695</v>
      </c>
      <c r="J239" s="34">
        <v>6201045379</v>
      </c>
      <c r="K239" s="34" t="s">
        <v>8111</v>
      </c>
      <c r="L239" s="34">
        <v>6382439675</v>
      </c>
      <c r="M239" s="34"/>
      <c r="N239" s="17"/>
      <c r="O239" s="17"/>
      <c r="P239" s="17"/>
      <c r="Q239" s="17"/>
      <c r="R239" s="17"/>
      <c r="S239" s="17"/>
      <c r="T239" s="17"/>
      <c r="U239" s="17"/>
      <c r="V239" s="17"/>
      <c r="W239" s="17"/>
      <c r="X239" s="17"/>
      <c r="Y239" s="17"/>
      <c r="Z239" s="17"/>
      <c r="AA239" s="17"/>
      <c r="AB239" s="17"/>
      <c r="AC239" s="17"/>
      <c r="AD239" s="17"/>
      <c r="AE239" s="17"/>
      <c r="AF239" s="17"/>
      <c r="AG239" s="17"/>
      <c r="AH239" s="17"/>
      <c r="AI239" s="17"/>
    </row>
    <row r="240" hidden="1">
      <c r="A240" s="34">
        <f t="shared" si="6"/>
        <v>239</v>
      </c>
      <c r="B240" s="35" t="s">
        <v>52</v>
      </c>
      <c r="C240" s="34" t="s">
        <v>3045</v>
      </c>
      <c r="D240" s="34" t="s">
        <v>3046</v>
      </c>
      <c r="E240" s="34">
        <v>22.377949999999998</v>
      </c>
      <c r="F240" s="34">
        <v>87.311058000000003</v>
      </c>
      <c r="G240" s="34" t="s">
        <v>7956</v>
      </c>
      <c r="H240" s="34" t="s">
        <v>7987</v>
      </c>
      <c r="I240" s="34" t="s">
        <v>2824</v>
      </c>
      <c r="J240" s="34">
        <v>9262971230</v>
      </c>
      <c r="K240" s="34" t="s">
        <v>8144</v>
      </c>
      <c r="L240" s="34">
        <v>8967916588</v>
      </c>
      <c r="M240" s="34"/>
      <c r="N240" s="17"/>
      <c r="O240" s="17"/>
      <c r="P240" s="17"/>
      <c r="Q240" s="17"/>
      <c r="R240" s="17"/>
      <c r="S240" s="17"/>
      <c r="T240" s="17"/>
      <c r="U240" s="17"/>
      <c r="V240" s="17"/>
      <c r="W240" s="17"/>
      <c r="X240" s="17"/>
      <c r="Y240" s="17"/>
      <c r="Z240" s="17"/>
      <c r="AA240" s="17"/>
      <c r="AB240" s="17"/>
      <c r="AC240" s="17"/>
      <c r="AD240" s="17"/>
      <c r="AE240" s="17"/>
      <c r="AF240" s="17"/>
      <c r="AG240" s="17"/>
      <c r="AH240" s="17"/>
      <c r="AI240" s="17"/>
    </row>
    <row r="241" hidden="1">
      <c r="A241" s="34">
        <f t="shared" si="6"/>
        <v>240</v>
      </c>
      <c r="B241" s="35" t="s">
        <v>52</v>
      </c>
      <c r="C241" s="34" t="s">
        <v>3048</v>
      </c>
      <c r="D241" s="34" t="s">
        <v>3049</v>
      </c>
      <c r="E241" s="34">
        <v>22.311078999999999</v>
      </c>
      <c r="F241" s="34">
        <v>87.284936999999999</v>
      </c>
      <c r="G241" s="34" t="s">
        <v>7956</v>
      </c>
      <c r="H241" s="34" t="s">
        <v>7987</v>
      </c>
      <c r="I241" s="34" t="s">
        <v>2695</v>
      </c>
      <c r="J241" s="34">
        <v>6201045379</v>
      </c>
      <c r="K241" s="34" t="s">
        <v>8111</v>
      </c>
      <c r="L241" s="34">
        <v>6382439675</v>
      </c>
      <c r="M241" s="34"/>
      <c r="N241" s="17"/>
      <c r="O241" s="17"/>
      <c r="P241" s="17"/>
      <c r="Q241" s="17"/>
      <c r="R241" s="17"/>
      <c r="S241" s="17"/>
      <c r="T241" s="17"/>
      <c r="U241" s="17"/>
      <c r="V241" s="17"/>
      <c r="W241" s="17"/>
      <c r="X241" s="17"/>
      <c r="Y241" s="17"/>
      <c r="Z241" s="17"/>
      <c r="AA241" s="17"/>
      <c r="AB241" s="17"/>
      <c r="AC241" s="17"/>
      <c r="AD241" s="17"/>
      <c r="AE241" s="17"/>
      <c r="AF241" s="17"/>
      <c r="AG241" s="17"/>
      <c r="AH241" s="17"/>
      <c r="AI241" s="17"/>
    </row>
    <row r="242">
      <c r="A242" s="34">
        <f t="shared" si="6"/>
        <v>241</v>
      </c>
      <c r="B242" s="35" t="s">
        <v>52</v>
      </c>
      <c r="C242" s="34" t="s">
        <v>3051</v>
      </c>
      <c r="D242" s="34" t="s">
        <v>8196</v>
      </c>
      <c r="E242" s="34">
        <v>22.245577000000001</v>
      </c>
      <c r="F242" s="34">
        <v>87.320250999999999</v>
      </c>
      <c r="G242" s="34" t="s">
        <v>7956</v>
      </c>
      <c r="H242" s="34" t="s">
        <v>7987</v>
      </c>
      <c r="I242" s="38" t="s">
        <v>2710</v>
      </c>
      <c r="J242" s="34">
        <v>9366758165</v>
      </c>
      <c r="K242" s="34" t="s">
        <v>8111</v>
      </c>
      <c r="L242" s="34">
        <v>6382439675</v>
      </c>
      <c r="M242" s="34"/>
      <c r="N242" s="17"/>
      <c r="O242" s="17"/>
      <c r="P242" s="17"/>
      <c r="Q242" s="17"/>
      <c r="R242" s="17"/>
      <c r="S242" s="17"/>
      <c r="T242" s="17"/>
      <c r="U242" s="17"/>
      <c r="V242" s="17"/>
      <c r="W242" s="17"/>
      <c r="X242" s="17"/>
      <c r="Y242" s="17"/>
      <c r="Z242" s="17"/>
      <c r="AA242" s="17"/>
      <c r="AB242" s="17"/>
      <c r="AC242" s="17"/>
      <c r="AD242" s="17"/>
      <c r="AE242" s="17"/>
      <c r="AF242" s="17"/>
      <c r="AG242" s="17"/>
      <c r="AH242" s="17"/>
      <c r="AI242" s="17"/>
    </row>
    <row r="243" hidden="1">
      <c r="A243" s="34">
        <f t="shared" si="6"/>
        <v>242</v>
      </c>
      <c r="B243" s="35" t="s">
        <v>52</v>
      </c>
      <c r="C243" s="34" t="s">
        <v>3054</v>
      </c>
      <c r="D243" s="34" t="s">
        <v>3055</v>
      </c>
      <c r="E243" s="34">
        <v>22.023444000000001</v>
      </c>
      <c r="F243" s="34">
        <v>87.320021999999994</v>
      </c>
      <c r="G243" s="34" t="s">
        <v>7956</v>
      </c>
      <c r="H243" s="34" t="s">
        <v>7987</v>
      </c>
      <c r="I243" s="35" t="s">
        <v>2223</v>
      </c>
      <c r="J243" s="35">
        <v>9734686687</v>
      </c>
      <c r="K243" s="35" t="s">
        <v>2223</v>
      </c>
      <c r="L243" s="35">
        <v>9734686687</v>
      </c>
      <c r="M243" s="35"/>
      <c r="N243" s="17"/>
      <c r="O243" s="17"/>
      <c r="P243" s="17"/>
      <c r="Q243" s="17"/>
      <c r="R243" s="17"/>
      <c r="S243" s="17"/>
      <c r="T243" s="17"/>
      <c r="U243" s="17"/>
      <c r="V243" s="17"/>
      <c r="W243" s="17"/>
      <c r="X243" s="17"/>
      <c r="Y243" s="17"/>
      <c r="Z243" s="17"/>
      <c r="AA243" s="17"/>
      <c r="AB243" s="17"/>
      <c r="AC243" s="17"/>
      <c r="AD243" s="17"/>
      <c r="AE243" s="17"/>
      <c r="AF243" s="17"/>
      <c r="AG243" s="17"/>
      <c r="AH243" s="17"/>
      <c r="AI243" s="17"/>
    </row>
    <row r="244">
      <c r="A244" s="34">
        <f t="shared" si="6"/>
        <v>243</v>
      </c>
      <c r="B244" s="35" t="s">
        <v>52</v>
      </c>
      <c r="C244" s="34" t="s">
        <v>3057</v>
      </c>
      <c r="D244" s="34" t="s">
        <v>8197</v>
      </c>
      <c r="E244" s="34">
        <v>22.288844000000001</v>
      </c>
      <c r="F244" s="34">
        <v>87.323348999999993</v>
      </c>
      <c r="G244" s="34" t="s">
        <v>7956</v>
      </c>
      <c r="H244" s="34" t="s">
        <v>7987</v>
      </c>
      <c r="I244" s="38" t="s">
        <v>2710</v>
      </c>
      <c r="J244" s="34">
        <v>9366758165</v>
      </c>
      <c r="K244" s="34" t="s">
        <v>8111</v>
      </c>
      <c r="L244" s="34">
        <v>6382439675</v>
      </c>
      <c r="M244" s="34"/>
      <c r="N244" s="17"/>
      <c r="O244" s="17"/>
      <c r="P244" s="17"/>
      <c r="Q244" s="17"/>
      <c r="R244" s="17"/>
      <c r="S244" s="17"/>
      <c r="T244" s="17"/>
      <c r="U244" s="17"/>
      <c r="V244" s="17"/>
      <c r="W244" s="17"/>
      <c r="X244" s="17"/>
      <c r="Y244" s="17"/>
      <c r="Z244" s="17"/>
      <c r="AA244" s="17"/>
      <c r="AB244" s="17"/>
      <c r="AC244" s="17"/>
      <c r="AD244" s="17"/>
      <c r="AE244" s="17"/>
      <c r="AF244" s="17"/>
      <c r="AG244" s="17"/>
      <c r="AH244" s="17"/>
      <c r="AI244" s="17"/>
    </row>
    <row r="245">
      <c r="A245" s="34">
        <f t="shared" si="6"/>
        <v>244</v>
      </c>
      <c r="B245" s="35" t="s">
        <v>52</v>
      </c>
      <c r="C245" s="34" t="s">
        <v>3060</v>
      </c>
      <c r="D245" s="34" t="s">
        <v>8198</v>
      </c>
      <c r="E245" s="34">
        <v>22.268225999999999</v>
      </c>
      <c r="F245" s="34">
        <v>87.282557999999995</v>
      </c>
      <c r="G245" s="34" t="s">
        <v>7956</v>
      </c>
      <c r="H245" s="34" t="s">
        <v>7987</v>
      </c>
      <c r="I245" s="38" t="s">
        <v>2710</v>
      </c>
      <c r="J245" s="34">
        <v>9366758165</v>
      </c>
      <c r="K245" s="34" t="s">
        <v>8111</v>
      </c>
      <c r="L245" s="34">
        <v>6382439675</v>
      </c>
      <c r="M245" s="34"/>
      <c r="N245" s="17"/>
      <c r="O245" s="17"/>
      <c r="P245" s="17"/>
      <c r="Q245" s="17"/>
      <c r="R245" s="17"/>
      <c r="S245" s="17"/>
      <c r="T245" s="17"/>
      <c r="U245" s="17"/>
      <c r="V245" s="17"/>
      <c r="W245" s="17"/>
      <c r="X245" s="17"/>
      <c r="Y245" s="17"/>
      <c r="Z245" s="17"/>
      <c r="AA245" s="17"/>
      <c r="AB245" s="17"/>
      <c r="AC245" s="17"/>
      <c r="AD245" s="17"/>
      <c r="AE245" s="17"/>
      <c r="AF245" s="17"/>
      <c r="AG245" s="17"/>
      <c r="AH245" s="17"/>
      <c r="AI245" s="17"/>
    </row>
    <row r="246" hidden="1">
      <c r="A246" s="34">
        <f t="shared" si="6"/>
        <v>245</v>
      </c>
      <c r="B246" s="35" t="s">
        <v>52</v>
      </c>
      <c r="C246" s="34" t="s">
        <v>3063</v>
      </c>
      <c r="D246" s="34" t="s">
        <v>3064</v>
      </c>
      <c r="E246" s="34">
        <v>22.357218</v>
      </c>
      <c r="F246" s="34">
        <v>87.379710000000003</v>
      </c>
      <c r="G246" s="34" t="s">
        <v>7956</v>
      </c>
      <c r="H246" s="34" t="s">
        <v>7987</v>
      </c>
      <c r="I246" s="34" t="s">
        <v>2695</v>
      </c>
      <c r="J246" s="34">
        <v>6201045379</v>
      </c>
      <c r="K246" s="34" t="s">
        <v>8111</v>
      </c>
      <c r="L246" s="34">
        <v>6382439675</v>
      </c>
      <c r="M246" s="34"/>
      <c r="N246" s="17"/>
      <c r="O246" s="17"/>
      <c r="P246" s="17"/>
      <c r="Q246" s="17"/>
      <c r="R246" s="17"/>
      <c r="S246" s="17"/>
      <c r="T246" s="17"/>
      <c r="U246" s="17"/>
      <c r="V246" s="17"/>
      <c r="W246" s="17"/>
      <c r="X246" s="17"/>
      <c r="Y246" s="17"/>
      <c r="Z246" s="17"/>
      <c r="AA246" s="17"/>
      <c r="AB246" s="17"/>
      <c r="AC246" s="17"/>
      <c r="AD246" s="17"/>
      <c r="AE246" s="17"/>
      <c r="AF246" s="17"/>
      <c r="AG246" s="17"/>
      <c r="AH246" s="17"/>
      <c r="AI246" s="17"/>
    </row>
    <row r="247" hidden="1">
      <c r="A247" s="34">
        <f t="shared" si="6"/>
        <v>246</v>
      </c>
      <c r="B247" s="35" t="s">
        <v>52</v>
      </c>
      <c r="C247" s="34" t="s">
        <v>3066</v>
      </c>
      <c r="D247" s="34" t="s">
        <v>8199</v>
      </c>
      <c r="E247" s="34">
        <v>22.327037000000001</v>
      </c>
      <c r="F247" s="34">
        <v>87.340503999999996</v>
      </c>
      <c r="G247" s="34" t="s">
        <v>7956</v>
      </c>
      <c r="H247" s="34" t="s">
        <v>7987</v>
      </c>
      <c r="I247" s="34" t="s">
        <v>2695</v>
      </c>
      <c r="J247" s="34">
        <v>6201045379</v>
      </c>
      <c r="K247" s="34" t="s">
        <v>8111</v>
      </c>
      <c r="L247" s="34">
        <v>6382439675</v>
      </c>
      <c r="M247" s="34"/>
      <c r="N247" s="17"/>
      <c r="O247" s="17"/>
      <c r="P247" s="17"/>
      <c r="Q247" s="17"/>
      <c r="R247" s="17"/>
      <c r="S247" s="17"/>
      <c r="T247" s="17"/>
      <c r="U247" s="17"/>
      <c r="V247" s="17"/>
      <c r="W247" s="17"/>
      <c r="X247" s="17"/>
      <c r="Y247" s="17"/>
      <c r="Z247" s="17"/>
      <c r="AA247" s="17"/>
      <c r="AB247" s="17"/>
      <c r="AC247" s="17"/>
      <c r="AD247" s="17"/>
      <c r="AE247" s="17"/>
      <c r="AF247" s="17"/>
      <c r="AG247" s="17"/>
      <c r="AH247" s="17"/>
      <c r="AI247" s="17"/>
    </row>
    <row r="248">
      <c r="A248" s="34">
        <f t="shared" si="6"/>
        <v>247</v>
      </c>
      <c r="B248" s="35" t="s">
        <v>52</v>
      </c>
      <c r="C248" s="34" t="s">
        <v>3069</v>
      </c>
      <c r="D248" s="34" t="s">
        <v>8200</v>
      </c>
      <c r="E248" s="34">
        <v>22.317934999999999</v>
      </c>
      <c r="F248" s="34">
        <v>87.278812000000002</v>
      </c>
      <c r="G248" s="34" t="s">
        <v>7956</v>
      </c>
      <c r="H248" s="34" t="s">
        <v>7987</v>
      </c>
      <c r="I248" s="38" t="s">
        <v>2710</v>
      </c>
      <c r="J248" s="34">
        <v>9366758165</v>
      </c>
      <c r="K248" s="35" t="s">
        <v>8115</v>
      </c>
      <c r="L248" s="35">
        <v>9046419785</v>
      </c>
      <c r="M248" s="35"/>
      <c r="N248" s="17"/>
      <c r="O248" s="17"/>
      <c r="P248" s="17"/>
      <c r="Q248" s="17"/>
      <c r="R248" s="17"/>
      <c r="S248" s="17"/>
      <c r="T248" s="17"/>
      <c r="U248" s="17"/>
      <c r="V248" s="17"/>
      <c r="W248" s="17"/>
      <c r="X248" s="17"/>
      <c r="Y248" s="17"/>
      <c r="Z248" s="17"/>
      <c r="AA248" s="17"/>
      <c r="AB248" s="17"/>
      <c r="AC248" s="17"/>
      <c r="AD248" s="17"/>
      <c r="AE248" s="17"/>
      <c r="AF248" s="17"/>
      <c r="AG248" s="17"/>
      <c r="AH248" s="17"/>
      <c r="AI248" s="17"/>
    </row>
    <row r="249">
      <c r="A249" s="34">
        <f t="shared" si="6"/>
        <v>248</v>
      </c>
      <c r="B249" s="35" t="s">
        <v>52</v>
      </c>
      <c r="C249" s="34" t="s">
        <v>3071</v>
      </c>
      <c r="D249" s="34" t="s">
        <v>3072</v>
      </c>
      <c r="E249" s="34">
        <v>22.321490000000001</v>
      </c>
      <c r="F249" s="34">
        <v>87.299599999999998</v>
      </c>
      <c r="G249" s="34" t="s">
        <v>7956</v>
      </c>
      <c r="H249" s="34" t="s">
        <v>8009</v>
      </c>
      <c r="I249" s="38" t="s">
        <v>2710</v>
      </c>
      <c r="J249" s="34">
        <v>9366758165</v>
      </c>
      <c r="K249" s="35" t="s">
        <v>8115</v>
      </c>
      <c r="L249" s="35">
        <v>9046419785</v>
      </c>
      <c r="M249" s="35"/>
      <c r="N249" s="17"/>
      <c r="O249" s="17"/>
      <c r="P249" s="17"/>
      <c r="Q249" s="17"/>
      <c r="R249" s="17"/>
      <c r="S249" s="17"/>
      <c r="T249" s="17"/>
      <c r="U249" s="17"/>
      <c r="V249" s="17"/>
      <c r="W249" s="17"/>
      <c r="X249" s="17"/>
      <c r="Y249" s="17"/>
      <c r="Z249" s="17"/>
      <c r="AA249" s="17"/>
      <c r="AB249" s="17"/>
      <c r="AC249" s="17"/>
      <c r="AD249" s="17"/>
      <c r="AE249" s="17"/>
      <c r="AF249" s="17"/>
      <c r="AG249" s="17"/>
      <c r="AH249" s="17"/>
      <c r="AI249" s="17"/>
    </row>
    <row r="250" hidden="1">
      <c r="A250" s="34">
        <f t="shared" si="6"/>
        <v>249</v>
      </c>
      <c r="B250" s="35" t="s">
        <v>52</v>
      </c>
      <c r="C250" s="34" t="s">
        <v>3073</v>
      </c>
      <c r="D250" s="34" t="s">
        <v>3074</v>
      </c>
      <c r="E250" s="34">
        <v>22.3157</v>
      </c>
      <c r="F250" s="34">
        <v>87.316680000000005</v>
      </c>
      <c r="G250" s="34" t="s">
        <v>7956</v>
      </c>
      <c r="H250" s="34" t="s">
        <v>8009</v>
      </c>
      <c r="I250" s="34" t="s">
        <v>2824</v>
      </c>
      <c r="J250" s="34">
        <v>9262971230</v>
      </c>
      <c r="K250" s="35" t="s">
        <v>8115</v>
      </c>
      <c r="L250" s="35">
        <v>9046419785</v>
      </c>
      <c r="M250" s="35"/>
      <c r="N250" s="17"/>
      <c r="O250" s="17"/>
      <c r="P250" s="17"/>
      <c r="Q250" s="17"/>
      <c r="R250" s="17"/>
      <c r="S250" s="17"/>
      <c r="T250" s="17"/>
      <c r="U250" s="17"/>
      <c r="V250" s="17"/>
      <c r="W250" s="17"/>
      <c r="X250" s="17"/>
      <c r="Y250" s="17"/>
      <c r="Z250" s="17"/>
      <c r="AA250" s="17"/>
      <c r="AB250" s="17"/>
      <c r="AC250" s="17"/>
      <c r="AD250" s="17"/>
      <c r="AE250" s="17"/>
      <c r="AF250" s="17"/>
      <c r="AG250" s="17"/>
      <c r="AH250" s="17"/>
      <c r="AI250" s="17"/>
    </row>
    <row r="251">
      <c r="A251" s="34">
        <f t="shared" si="6"/>
        <v>250</v>
      </c>
      <c r="B251" s="35" t="s">
        <v>52</v>
      </c>
      <c r="C251" s="34" t="s">
        <v>3075</v>
      </c>
      <c r="D251" s="34" t="s">
        <v>3076</v>
      </c>
      <c r="E251" s="34">
        <v>22.313696</v>
      </c>
      <c r="F251" s="34">
        <v>87.307050000000004</v>
      </c>
      <c r="G251" s="34" t="s">
        <v>7956</v>
      </c>
      <c r="H251" s="34" t="s">
        <v>8009</v>
      </c>
      <c r="I251" s="38" t="s">
        <v>2710</v>
      </c>
      <c r="J251" s="34">
        <v>9366758165</v>
      </c>
      <c r="K251" s="35" t="s">
        <v>8115</v>
      </c>
      <c r="L251" s="35">
        <v>9046419785</v>
      </c>
      <c r="M251" s="35"/>
      <c r="N251" s="17"/>
      <c r="O251" s="17"/>
      <c r="P251" s="17"/>
      <c r="Q251" s="17"/>
      <c r="R251" s="17"/>
      <c r="S251" s="17"/>
      <c r="T251" s="17"/>
      <c r="U251" s="17"/>
      <c r="V251" s="17"/>
      <c r="W251" s="17"/>
      <c r="X251" s="17"/>
      <c r="Y251" s="17"/>
      <c r="Z251" s="17"/>
      <c r="AA251" s="17"/>
      <c r="AB251" s="17"/>
      <c r="AC251" s="17"/>
      <c r="AD251" s="17"/>
      <c r="AE251" s="17"/>
      <c r="AF251" s="17"/>
      <c r="AG251" s="17"/>
      <c r="AH251" s="17"/>
      <c r="AI251" s="17"/>
    </row>
    <row r="252" hidden="1">
      <c r="A252" s="34">
        <f t="shared" si="6"/>
        <v>251</v>
      </c>
      <c r="B252" s="35" t="s">
        <v>52</v>
      </c>
      <c r="C252" s="34" t="s">
        <v>3077</v>
      </c>
      <c r="D252" s="34" t="s">
        <v>8201</v>
      </c>
      <c r="E252" s="34">
        <v>22.335090000000001</v>
      </c>
      <c r="F252" s="34">
        <v>87.308087</v>
      </c>
      <c r="G252" s="34" t="s">
        <v>7956</v>
      </c>
      <c r="H252" s="34" t="s">
        <v>8009</v>
      </c>
      <c r="I252" s="35" t="s">
        <v>2691</v>
      </c>
      <c r="J252" s="34">
        <v>6297992853</v>
      </c>
      <c r="K252" s="34" t="s">
        <v>2691</v>
      </c>
      <c r="L252" s="34">
        <v>6297992853</v>
      </c>
      <c r="M252" s="34"/>
      <c r="N252" s="17"/>
      <c r="O252" s="17"/>
      <c r="P252" s="17"/>
      <c r="Q252" s="17"/>
      <c r="R252" s="17"/>
      <c r="S252" s="17"/>
      <c r="T252" s="17"/>
      <c r="U252" s="17"/>
      <c r="V252" s="17"/>
      <c r="W252" s="17"/>
      <c r="X252" s="17"/>
      <c r="Y252" s="17"/>
      <c r="Z252" s="17"/>
      <c r="AA252" s="17"/>
      <c r="AB252" s="17"/>
      <c r="AC252" s="17"/>
      <c r="AD252" s="17"/>
      <c r="AE252" s="17"/>
      <c r="AF252" s="17"/>
      <c r="AG252" s="17"/>
      <c r="AH252" s="17"/>
      <c r="AI252" s="17"/>
    </row>
    <row r="253" hidden="1">
      <c r="A253" s="34">
        <f t="shared" si="6"/>
        <v>252</v>
      </c>
      <c r="B253" s="35" t="s">
        <v>52</v>
      </c>
      <c r="C253" s="34" t="s">
        <v>3080</v>
      </c>
      <c r="D253" s="34" t="s">
        <v>3081</v>
      </c>
      <c r="E253" s="34">
        <v>22.329671999999999</v>
      </c>
      <c r="F253" s="34">
        <v>87.327130999999994</v>
      </c>
      <c r="G253" s="34" t="s">
        <v>7956</v>
      </c>
      <c r="H253" s="34" t="s">
        <v>8009</v>
      </c>
      <c r="I253" s="35" t="s">
        <v>2691</v>
      </c>
      <c r="J253" s="34">
        <v>6297992853</v>
      </c>
      <c r="K253" s="34" t="s">
        <v>2691</v>
      </c>
      <c r="L253" s="34">
        <v>6297992853</v>
      </c>
      <c r="M253" s="34"/>
      <c r="N253" s="17"/>
      <c r="O253" s="17"/>
      <c r="P253" s="17"/>
      <c r="Q253" s="17"/>
      <c r="R253" s="17"/>
      <c r="S253" s="17"/>
      <c r="T253" s="17"/>
      <c r="U253" s="17"/>
      <c r="V253" s="17"/>
      <c r="W253" s="17"/>
      <c r="X253" s="17"/>
      <c r="Y253" s="17"/>
      <c r="Z253" s="17"/>
      <c r="AA253" s="17"/>
      <c r="AB253" s="17"/>
      <c r="AC253" s="17"/>
      <c r="AD253" s="17"/>
      <c r="AE253" s="17"/>
      <c r="AF253" s="17"/>
      <c r="AG253" s="17"/>
      <c r="AH253" s="17"/>
      <c r="AI253" s="17"/>
    </row>
    <row r="254" hidden="1">
      <c r="A254" s="34">
        <f t="shared" si="6"/>
        <v>253</v>
      </c>
      <c r="B254" s="35" t="s">
        <v>52</v>
      </c>
      <c r="C254" s="34" t="s">
        <v>3083</v>
      </c>
      <c r="D254" s="34" t="s">
        <v>8202</v>
      </c>
      <c r="E254" s="34">
        <v>22.338366000000001</v>
      </c>
      <c r="F254" s="34">
        <v>87.323965999999999</v>
      </c>
      <c r="G254" s="34" t="s">
        <v>7956</v>
      </c>
      <c r="H254" s="34" t="s">
        <v>8009</v>
      </c>
      <c r="I254" s="35" t="s">
        <v>2691</v>
      </c>
      <c r="J254" s="34">
        <v>6297992853</v>
      </c>
      <c r="K254" s="34" t="s">
        <v>2691</v>
      </c>
      <c r="L254" s="34">
        <v>6297992853</v>
      </c>
      <c r="M254" s="34"/>
      <c r="N254" s="17"/>
      <c r="O254" s="17"/>
      <c r="P254" s="17"/>
      <c r="Q254" s="17"/>
      <c r="R254" s="17"/>
      <c r="S254" s="17"/>
      <c r="T254" s="17"/>
      <c r="U254" s="17"/>
      <c r="V254" s="17"/>
      <c r="W254" s="17"/>
      <c r="X254" s="17"/>
      <c r="Y254" s="17"/>
      <c r="Z254" s="17"/>
      <c r="AA254" s="17"/>
      <c r="AB254" s="17"/>
      <c r="AC254" s="17"/>
      <c r="AD254" s="17"/>
      <c r="AE254" s="17"/>
      <c r="AF254" s="17"/>
      <c r="AG254" s="17"/>
      <c r="AH254" s="17"/>
      <c r="AI254" s="17"/>
    </row>
    <row r="255" hidden="1">
      <c r="A255" s="34">
        <f t="shared" si="6"/>
        <v>254</v>
      </c>
      <c r="B255" s="35" t="s">
        <v>52</v>
      </c>
      <c r="C255" s="34" t="s">
        <v>3086</v>
      </c>
      <c r="D255" s="34" t="s">
        <v>8203</v>
      </c>
      <c r="E255" s="34">
        <v>22.32789</v>
      </c>
      <c r="F255" s="34">
        <v>87.328918999999999</v>
      </c>
      <c r="G255" s="34" t="s">
        <v>7956</v>
      </c>
      <c r="H255" s="34" t="s">
        <v>7987</v>
      </c>
      <c r="I255" s="35" t="s">
        <v>2691</v>
      </c>
      <c r="J255" s="34">
        <v>6297992853</v>
      </c>
      <c r="K255" s="34" t="s">
        <v>2691</v>
      </c>
      <c r="L255" s="34">
        <v>6297992853</v>
      </c>
      <c r="M255" s="34"/>
      <c r="N255" s="17"/>
      <c r="O255" s="17"/>
      <c r="P255" s="17"/>
      <c r="Q255" s="17"/>
      <c r="R255" s="17"/>
      <c r="S255" s="17"/>
      <c r="T255" s="17"/>
      <c r="U255" s="17"/>
      <c r="V255" s="17"/>
      <c r="W255" s="17"/>
      <c r="X255" s="17"/>
      <c r="Y255" s="17"/>
      <c r="Z255" s="17"/>
      <c r="AA255" s="17"/>
      <c r="AB255" s="17"/>
      <c r="AC255" s="17"/>
      <c r="AD255" s="17"/>
      <c r="AE255" s="17"/>
      <c r="AF255" s="17"/>
      <c r="AG255" s="17"/>
      <c r="AH255" s="17"/>
      <c r="AI255" s="17"/>
    </row>
    <row r="256" hidden="1">
      <c r="A256" s="34">
        <f t="shared" si="6"/>
        <v>255</v>
      </c>
      <c r="B256" s="35" t="s">
        <v>52</v>
      </c>
      <c r="C256" s="34" t="s">
        <v>3089</v>
      </c>
      <c r="D256" s="34" t="s">
        <v>8204</v>
      </c>
      <c r="E256" s="34">
        <v>22.312463999999999</v>
      </c>
      <c r="F256" s="34">
        <v>87.292486999999994</v>
      </c>
      <c r="G256" s="34" t="s">
        <v>7956</v>
      </c>
      <c r="H256" s="34" t="s">
        <v>7987</v>
      </c>
      <c r="I256" s="35" t="s">
        <v>2691</v>
      </c>
      <c r="J256" s="34">
        <v>6297992853</v>
      </c>
      <c r="K256" s="34" t="s">
        <v>2691</v>
      </c>
      <c r="L256" s="34">
        <v>6297992853</v>
      </c>
      <c r="M256" s="34"/>
      <c r="N256" s="17"/>
      <c r="O256" s="17"/>
      <c r="P256" s="17"/>
      <c r="Q256" s="17"/>
      <c r="R256" s="17"/>
      <c r="S256" s="17"/>
      <c r="T256" s="17"/>
      <c r="U256" s="17"/>
      <c r="V256" s="17"/>
      <c r="W256" s="17"/>
      <c r="X256" s="17"/>
      <c r="Y256" s="17"/>
      <c r="Z256" s="17"/>
      <c r="AA256" s="17"/>
      <c r="AB256" s="17"/>
      <c r="AC256" s="17"/>
      <c r="AD256" s="17"/>
      <c r="AE256" s="17"/>
      <c r="AF256" s="17"/>
      <c r="AG256" s="17"/>
      <c r="AH256" s="17"/>
      <c r="AI256" s="17"/>
    </row>
    <row r="257">
      <c r="A257" s="34">
        <f t="shared" si="6"/>
        <v>256</v>
      </c>
      <c r="B257" s="35" t="s">
        <v>52</v>
      </c>
      <c r="C257" s="34" t="s">
        <v>3092</v>
      </c>
      <c r="D257" s="34" t="s">
        <v>8205</v>
      </c>
      <c r="E257" s="34">
        <v>22.305996</v>
      </c>
      <c r="F257" s="34">
        <v>87.304910000000007</v>
      </c>
      <c r="G257" s="34" t="s">
        <v>7956</v>
      </c>
      <c r="H257" s="34" t="s">
        <v>8009</v>
      </c>
      <c r="I257" s="38" t="s">
        <v>2710</v>
      </c>
      <c r="J257" s="34">
        <v>9366758165</v>
      </c>
      <c r="K257" s="35" t="s">
        <v>8115</v>
      </c>
      <c r="L257" s="35">
        <v>9046419785</v>
      </c>
      <c r="M257" s="35"/>
      <c r="N257" s="17"/>
      <c r="O257" s="17"/>
      <c r="P257" s="17"/>
      <c r="Q257" s="17"/>
      <c r="R257" s="17"/>
      <c r="S257" s="17"/>
      <c r="T257" s="17"/>
      <c r="U257" s="17"/>
      <c r="V257" s="17"/>
      <c r="W257" s="17"/>
      <c r="X257" s="17"/>
      <c r="Y257" s="17"/>
      <c r="Z257" s="17"/>
      <c r="AA257" s="17"/>
      <c r="AB257" s="17"/>
      <c r="AC257" s="17"/>
      <c r="AD257" s="17"/>
      <c r="AE257" s="17"/>
      <c r="AF257" s="17"/>
      <c r="AG257" s="17"/>
      <c r="AH257" s="17"/>
      <c r="AI257" s="17"/>
    </row>
    <row r="258" hidden="1">
      <c r="A258" s="34">
        <f t="shared" si="6"/>
        <v>257</v>
      </c>
      <c r="B258" s="35" t="s">
        <v>52</v>
      </c>
      <c r="C258" s="34" t="s">
        <v>3095</v>
      </c>
      <c r="D258" s="34" t="s">
        <v>8206</v>
      </c>
      <c r="E258" s="34">
        <v>22.326165</v>
      </c>
      <c r="F258" s="34">
        <v>87.233143999999996</v>
      </c>
      <c r="G258" s="34" t="s">
        <v>7956</v>
      </c>
      <c r="H258" s="34" t="s">
        <v>7987</v>
      </c>
      <c r="I258" s="34" t="s">
        <v>2824</v>
      </c>
      <c r="J258" s="34">
        <v>9262971230</v>
      </c>
      <c r="K258" s="34" t="s">
        <v>8144</v>
      </c>
      <c r="L258" s="34">
        <v>8967916588</v>
      </c>
      <c r="M258" s="34"/>
      <c r="N258" s="17"/>
      <c r="O258" s="17"/>
      <c r="P258" s="17"/>
      <c r="Q258" s="17"/>
      <c r="R258" s="17"/>
      <c r="S258" s="17"/>
      <c r="T258" s="17"/>
      <c r="U258" s="17"/>
      <c r="V258" s="17"/>
      <c r="W258" s="17"/>
      <c r="X258" s="17"/>
      <c r="Y258" s="17"/>
      <c r="Z258" s="17"/>
      <c r="AA258" s="17"/>
      <c r="AB258" s="17"/>
      <c r="AC258" s="17"/>
      <c r="AD258" s="17"/>
      <c r="AE258" s="17"/>
      <c r="AF258" s="17"/>
      <c r="AG258" s="17"/>
      <c r="AH258" s="17"/>
      <c r="AI258" s="17"/>
    </row>
    <row r="259" ht="81.599999999999994" hidden="1">
      <c r="A259" s="34">
        <f t="shared" ref="A259:A322" si="7">A258+1</f>
        <v>258</v>
      </c>
      <c r="B259" s="35" t="s">
        <v>52</v>
      </c>
      <c r="C259" s="34" t="s">
        <v>3098</v>
      </c>
      <c r="D259" s="122" t="s">
        <v>8207</v>
      </c>
      <c r="E259" s="34">
        <v>22.325437000000001</v>
      </c>
      <c r="F259" s="34">
        <v>87.314266000000003</v>
      </c>
      <c r="G259" s="34" t="s">
        <v>7956</v>
      </c>
      <c r="H259" s="34" t="s">
        <v>7987</v>
      </c>
      <c r="I259" s="35" t="s">
        <v>2691</v>
      </c>
      <c r="J259" s="34">
        <v>6297992853</v>
      </c>
      <c r="K259" s="34" t="s">
        <v>2691</v>
      </c>
      <c r="L259" s="34">
        <v>6297992853</v>
      </c>
      <c r="M259" s="34"/>
      <c r="N259" s="17"/>
      <c r="O259" s="17"/>
      <c r="P259" s="17"/>
      <c r="Q259" s="17"/>
      <c r="R259" s="17"/>
      <c r="S259" s="17"/>
      <c r="T259" s="17"/>
      <c r="U259" s="17"/>
      <c r="V259" s="17"/>
      <c r="W259" s="17"/>
      <c r="X259" s="17"/>
      <c r="Y259" s="17"/>
      <c r="Z259" s="17"/>
      <c r="AA259" s="17"/>
      <c r="AB259" s="17"/>
      <c r="AC259" s="17"/>
      <c r="AD259" s="17"/>
      <c r="AE259" s="17"/>
      <c r="AF259" s="17"/>
      <c r="AG259" s="17"/>
      <c r="AH259" s="17"/>
      <c r="AI259" s="17"/>
    </row>
    <row r="260" hidden="1">
      <c r="A260" s="34">
        <f t="shared" si="7"/>
        <v>259</v>
      </c>
      <c r="B260" s="35" t="s">
        <v>52</v>
      </c>
      <c r="C260" s="34" t="s">
        <v>3101</v>
      </c>
      <c r="D260" s="34" t="s">
        <v>8208</v>
      </c>
      <c r="E260" s="34">
        <v>22.344556000000001</v>
      </c>
      <c r="F260" s="34">
        <v>87.303612000000001</v>
      </c>
      <c r="G260" s="34" t="s">
        <v>7956</v>
      </c>
      <c r="H260" s="34" t="s">
        <v>7987</v>
      </c>
      <c r="I260" s="34" t="s">
        <v>2824</v>
      </c>
      <c r="J260" s="34">
        <v>9262971230</v>
      </c>
      <c r="K260" s="34" t="s">
        <v>8115</v>
      </c>
      <c r="L260" s="34">
        <v>9046419785</v>
      </c>
      <c r="M260" s="34"/>
      <c r="N260" s="17"/>
      <c r="O260" s="17"/>
      <c r="P260" s="17"/>
      <c r="Q260" s="17"/>
      <c r="R260" s="17"/>
      <c r="S260" s="17"/>
      <c r="T260" s="17"/>
      <c r="U260" s="17"/>
      <c r="V260" s="17"/>
      <c r="W260" s="17"/>
      <c r="X260" s="17"/>
      <c r="Y260" s="17"/>
      <c r="Z260" s="17"/>
      <c r="AA260" s="17"/>
      <c r="AB260" s="17"/>
      <c r="AC260" s="17"/>
      <c r="AD260" s="17"/>
      <c r="AE260" s="17"/>
      <c r="AF260" s="17"/>
      <c r="AG260" s="17"/>
      <c r="AH260" s="17"/>
      <c r="AI260" s="17"/>
    </row>
    <row r="261" hidden="1">
      <c r="A261" s="34">
        <f t="shared" si="7"/>
        <v>260</v>
      </c>
      <c r="B261" s="35" t="s">
        <v>52</v>
      </c>
      <c r="C261" s="34" t="s">
        <v>3104</v>
      </c>
      <c r="D261" s="34" t="s">
        <v>8209</v>
      </c>
      <c r="E261" s="34">
        <v>22.346959999999999</v>
      </c>
      <c r="F261" s="34">
        <v>87.315888000000001</v>
      </c>
      <c r="G261" s="34" t="s">
        <v>7956</v>
      </c>
      <c r="H261" s="34" t="s">
        <v>7987</v>
      </c>
      <c r="I261" s="34" t="s">
        <v>2824</v>
      </c>
      <c r="J261" s="34">
        <v>9262971230</v>
      </c>
      <c r="K261" s="34" t="s">
        <v>8115</v>
      </c>
      <c r="L261" s="34">
        <v>9046419785</v>
      </c>
      <c r="M261" s="34"/>
      <c r="N261" s="17"/>
      <c r="O261" s="17"/>
      <c r="P261" s="17"/>
      <c r="Q261" s="17"/>
      <c r="R261" s="17"/>
      <c r="S261" s="17"/>
      <c r="T261" s="17"/>
      <c r="U261" s="17"/>
      <c r="V261" s="17"/>
      <c r="W261" s="17"/>
      <c r="X261" s="17"/>
      <c r="Y261" s="17"/>
      <c r="Z261" s="17"/>
      <c r="AA261" s="17"/>
      <c r="AB261" s="17"/>
      <c r="AC261" s="17"/>
      <c r="AD261" s="17"/>
      <c r="AE261" s="17"/>
      <c r="AF261" s="17"/>
      <c r="AG261" s="17"/>
      <c r="AH261" s="17"/>
      <c r="AI261" s="17"/>
    </row>
    <row r="262" hidden="1">
      <c r="A262" s="34">
        <f t="shared" si="7"/>
        <v>261</v>
      </c>
      <c r="B262" s="35" t="s">
        <v>52</v>
      </c>
      <c r="C262" s="34" t="s">
        <v>3107</v>
      </c>
      <c r="D262" s="34" t="s">
        <v>8210</v>
      </c>
      <c r="E262" s="34">
        <v>22.346391000000001</v>
      </c>
      <c r="F262" s="34">
        <v>87.300013000000007</v>
      </c>
      <c r="G262" s="34" t="s">
        <v>7956</v>
      </c>
      <c r="H262" s="34" t="s">
        <v>7987</v>
      </c>
      <c r="I262" s="34" t="s">
        <v>2824</v>
      </c>
      <c r="J262" s="34">
        <v>9262971230</v>
      </c>
      <c r="K262" s="34" t="s">
        <v>8115</v>
      </c>
      <c r="L262" s="34">
        <v>9046419785</v>
      </c>
      <c r="M262" s="34"/>
      <c r="N262" s="17"/>
      <c r="O262" s="17"/>
      <c r="P262" s="17"/>
      <c r="Q262" s="17"/>
      <c r="R262" s="17"/>
      <c r="S262" s="17"/>
      <c r="T262" s="17"/>
      <c r="U262" s="17"/>
      <c r="V262" s="17"/>
      <c r="W262" s="17"/>
      <c r="X262" s="17"/>
      <c r="Y262" s="17"/>
      <c r="Z262" s="17"/>
      <c r="AA262" s="17"/>
      <c r="AB262" s="17"/>
      <c r="AC262" s="17"/>
      <c r="AD262" s="17"/>
      <c r="AE262" s="17"/>
      <c r="AF262" s="17"/>
      <c r="AG262" s="17"/>
      <c r="AH262" s="17"/>
      <c r="AI262" s="17"/>
    </row>
    <row r="263" hidden="1">
      <c r="A263" s="34">
        <f t="shared" si="7"/>
        <v>262</v>
      </c>
      <c r="B263" s="35" t="s">
        <v>52</v>
      </c>
      <c r="C263" s="34" t="s">
        <v>3110</v>
      </c>
      <c r="D263" s="34" t="s">
        <v>8211</v>
      </c>
      <c r="E263" s="34">
        <v>22.339061999999998</v>
      </c>
      <c r="F263" s="34">
        <v>87.271221999999995</v>
      </c>
      <c r="G263" s="34" t="s">
        <v>7961</v>
      </c>
      <c r="H263" s="34" t="s">
        <v>7987</v>
      </c>
      <c r="I263" s="35" t="s">
        <v>2691</v>
      </c>
      <c r="J263" s="34">
        <v>6297992853</v>
      </c>
      <c r="K263" s="34" t="s">
        <v>8144</v>
      </c>
      <c r="L263" s="34">
        <v>8967916588</v>
      </c>
      <c r="M263" s="34"/>
      <c r="N263" s="17"/>
      <c r="O263" s="17"/>
      <c r="P263" s="17"/>
      <c r="Q263" s="17"/>
      <c r="R263" s="17"/>
      <c r="S263" s="17"/>
      <c r="T263" s="17"/>
      <c r="U263" s="17"/>
      <c r="V263" s="17"/>
      <c r="W263" s="17"/>
      <c r="X263" s="17"/>
      <c r="Y263" s="17"/>
      <c r="Z263" s="17"/>
      <c r="AA263" s="17"/>
      <c r="AB263" s="17"/>
      <c r="AC263" s="17"/>
      <c r="AD263" s="17"/>
      <c r="AE263" s="17"/>
      <c r="AF263" s="17"/>
      <c r="AG263" s="17"/>
      <c r="AH263" s="17"/>
      <c r="AI263" s="17"/>
    </row>
    <row r="264" hidden="1">
      <c r="A264" s="34">
        <f t="shared" si="7"/>
        <v>263</v>
      </c>
      <c r="B264" s="35" t="s">
        <v>52</v>
      </c>
      <c r="C264" s="34" t="s">
        <v>3113</v>
      </c>
      <c r="D264" s="34" t="s">
        <v>8212</v>
      </c>
      <c r="E264" s="34">
        <v>22.347363000000001</v>
      </c>
      <c r="F264" s="34">
        <v>87.27158</v>
      </c>
      <c r="G264" s="34" t="s">
        <v>7956</v>
      </c>
      <c r="H264" s="34" t="s">
        <v>7987</v>
      </c>
      <c r="I264" s="34" t="s">
        <v>2824</v>
      </c>
      <c r="J264" s="34">
        <v>9262971230</v>
      </c>
      <c r="K264" s="34" t="s">
        <v>8144</v>
      </c>
      <c r="L264" s="34">
        <v>8967916588</v>
      </c>
      <c r="M264" s="34"/>
      <c r="N264" s="17"/>
      <c r="O264" s="17"/>
      <c r="P264" s="17"/>
      <c r="Q264" s="17"/>
      <c r="R264" s="17"/>
      <c r="S264" s="17"/>
      <c r="T264" s="17"/>
      <c r="U264" s="17"/>
      <c r="V264" s="17"/>
      <c r="W264" s="17"/>
      <c r="X264" s="17"/>
      <c r="Y264" s="17"/>
      <c r="Z264" s="17"/>
      <c r="AA264" s="17"/>
      <c r="AB264" s="17"/>
      <c r="AC264" s="17"/>
      <c r="AD264" s="17"/>
      <c r="AE264" s="17"/>
      <c r="AF264" s="17"/>
      <c r="AG264" s="17"/>
      <c r="AH264" s="17"/>
      <c r="AI264" s="17"/>
    </row>
    <row r="265" hidden="1">
      <c r="A265" s="34">
        <f t="shared" si="7"/>
        <v>264</v>
      </c>
      <c r="B265" s="35" t="s">
        <v>52</v>
      </c>
      <c r="C265" s="34" t="s">
        <v>3116</v>
      </c>
      <c r="D265" s="34" t="s">
        <v>8213</v>
      </c>
      <c r="E265" s="34">
        <v>22.388542999999999</v>
      </c>
      <c r="F265" s="34">
        <v>87.283398000000005</v>
      </c>
      <c r="G265" s="34" t="s">
        <v>7956</v>
      </c>
      <c r="H265" s="34" t="s">
        <v>7987</v>
      </c>
      <c r="I265" s="34" t="s">
        <v>2824</v>
      </c>
      <c r="J265" s="34">
        <v>9262971230</v>
      </c>
      <c r="K265" s="34" t="s">
        <v>8144</v>
      </c>
      <c r="L265" s="34">
        <v>8967916588</v>
      </c>
      <c r="M265" s="34"/>
      <c r="N265" s="17"/>
      <c r="O265" s="17"/>
      <c r="P265" s="17"/>
      <c r="Q265" s="17"/>
      <c r="R265" s="17"/>
      <c r="S265" s="17"/>
      <c r="T265" s="17"/>
      <c r="U265" s="17"/>
      <c r="V265" s="17"/>
      <c r="W265" s="17"/>
      <c r="X265" s="17"/>
      <c r="Y265" s="17"/>
      <c r="Z265" s="17"/>
      <c r="AA265" s="17"/>
      <c r="AB265" s="17"/>
      <c r="AC265" s="17"/>
      <c r="AD265" s="17"/>
      <c r="AE265" s="17"/>
      <c r="AF265" s="17"/>
      <c r="AG265" s="17"/>
      <c r="AH265" s="17"/>
      <c r="AI265" s="17"/>
    </row>
    <row r="266" hidden="1">
      <c r="A266" s="34">
        <f t="shared" si="7"/>
        <v>265</v>
      </c>
      <c r="B266" s="35" t="s">
        <v>52</v>
      </c>
      <c r="C266" s="34" t="s">
        <v>3119</v>
      </c>
      <c r="D266" s="34" t="s">
        <v>8214</v>
      </c>
      <c r="E266" s="34">
        <v>22.389346</v>
      </c>
      <c r="F266" s="34">
        <v>87.380683000000005</v>
      </c>
      <c r="G266" s="34" t="s">
        <v>7956</v>
      </c>
      <c r="H266" s="34" t="s">
        <v>7987</v>
      </c>
      <c r="I266" s="34" t="s">
        <v>2695</v>
      </c>
      <c r="J266" s="34">
        <v>6201045379</v>
      </c>
      <c r="K266" s="34" t="s">
        <v>8111</v>
      </c>
      <c r="L266" s="34">
        <v>6382439675</v>
      </c>
      <c r="M266" s="34"/>
      <c r="N266" s="17"/>
      <c r="O266" s="17"/>
      <c r="P266" s="17"/>
      <c r="Q266" s="17"/>
      <c r="R266" s="17"/>
      <c r="S266" s="17"/>
      <c r="T266" s="17"/>
      <c r="U266" s="17"/>
      <c r="V266" s="17"/>
      <c r="W266" s="17"/>
      <c r="X266" s="17"/>
      <c r="Y266" s="17"/>
      <c r="Z266" s="17"/>
      <c r="AA266" s="17"/>
      <c r="AB266" s="17"/>
      <c r="AC266" s="17"/>
      <c r="AD266" s="17"/>
      <c r="AE266" s="17"/>
      <c r="AF266" s="17"/>
      <c r="AG266" s="17"/>
      <c r="AH266" s="17"/>
      <c r="AI266" s="17"/>
    </row>
    <row r="267">
      <c r="A267" s="34">
        <f t="shared" si="7"/>
        <v>266</v>
      </c>
      <c r="B267" s="35" t="s">
        <v>52</v>
      </c>
      <c r="C267" s="34" t="s">
        <v>3122</v>
      </c>
      <c r="D267" s="42" t="s">
        <v>8215</v>
      </c>
      <c r="E267" s="34">
        <v>22.314402999999999</v>
      </c>
      <c r="F267" s="34">
        <v>87.283797000000007</v>
      </c>
      <c r="G267" s="34" t="s">
        <v>7956</v>
      </c>
      <c r="H267" s="34" t="s">
        <v>8009</v>
      </c>
      <c r="I267" s="38" t="s">
        <v>2710</v>
      </c>
      <c r="J267" s="34">
        <v>9366758165</v>
      </c>
      <c r="K267" s="35" t="s">
        <v>8115</v>
      </c>
      <c r="L267" s="35">
        <v>9046419785</v>
      </c>
      <c r="M267" s="35"/>
      <c r="N267" s="17"/>
      <c r="O267" s="17"/>
      <c r="P267" s="17"/>
      <c r="Q267" s="17"/>
      <c r="R267" s="17"/>
      <c r="S267" s="17"/>
      <c r="T267" s="17"/>
      <c r="U267" s="17"/>
      <c r="V267" s="17"/>
      <c r="W267" s="17"/>
      <c r="X267" s="17"/>
      <c r="Y267" s="17"/>
      <c r="Z267" s="17"/>
      <c r="AA267" s="17"/>
      <c r="AB267" s="17"/>
      <c r="AC267" s="17"/>
      <c r="AD267" s="17"/>
      <c r="AE267" s="17"/>
      <c r="AF267" s="17"/>
      <c r="AG267" s="17"/>
      <c r="AH267" s="17"/>
      <c r="AI267" s="17"/>
    </row>
    <row r="268" hidden="1">
      <c r="A268" s="34">
        <f t="shared" si="7"/>
        <v>267</v>
      </c>
      <c r="B268" s="35" t="s">
        <v>52</v>
      </c>
      <c r="C268" s="34" t="s">
        <v>3124</v>
      </c>
      <c r="D268" s="34" t="s">
        <v>8216</v>
      </c>
      <c r="E268" s="34">
        <v>22.340933</v>
      </c>
      <c r="F268" s="34">
        <v>87.228556999999995</v>
      </c>
      <c r="G268" s="34" t="s">
        <v>7956</v>
      </c>
      <c r="H268" s="34" t="s">
        <v>7987</v>
      </c>
      <c r="I268" s="34" t="s">
        <v>2824</v>
      </c>
      <c r="J268" s="34">
        <v>9262971230</v>
      </c>
      <c r="K268" s="34" t="s">
        <v>8144</v>
      </c>
      <c r="L268" s="34">
        <v>8967916588</v>
      </c>
      <c r="M268" s="34"/>
      <c r="N268" s="17"/>
      <c r="O268" s="17"/>
      <c r="P268" s="17"/>
      <c r="Q268" s="17"/>
      <c r="R268" s="17"/>
      <c r="S268" s="17"/>
      <c r="T268" s="17"/>
      <c r="U268" s="17"/>
      <c r="V268" s="17"/>
      <c r="W268" s="17"/>
      <c r="X268" s="17"/>
      <c r="Y268" s="17"/>
      <c r="Z268" s="17"/>
      <c r="AA268" s="17"/>
      <c r="AB268" s="17"/>
      <c r="AC268" s="17"/>
      <c r="AD268" s="17"/>
      <c r="AE268" s="17"/>
      <c r="AF268" s="17"/>
      <c r="AG268" s="17"/>
      <c r="AH268" s="17"/>
      <c r="AI268" s="17"/>
    </row>
    <row r="269" hidden="1">
      <c r="A269" s="34">
        <f t="shared" si="7"/>
        <v>268</v>
      </c>
      <c r="B269" s="35" t="s">
        <v>52</v>
      </c>
      <c r="C269" s="34" t="s">
        <v>3126</v>
      </c>
      <c r="D269" s="34" t="s">
        <v>8217</v>
      </c>
      <c r="E269" s="34">
        <v>22.333857999999999</v>
      </c>
      <c r="F269" s="34">
        <v>87.222976000000003</v>
      </c>
      <c r="G269" s="34" t="s">
        <v>7956</v>
      </c>
      <c r="H269" s="34" t="s">
        <v>7987</v>
      </c>
      <c r="I269" s="34" t="s">
        <v>2824</v>
      </c>
      <c r="J269" s="34">
        <v>9262971230</v>
      </c>
      <c r="K269" s="34" t="s">
        <v>8144</v>
      </c>
      <c r="L269" s="34">
        <v>8967916588</v>
      </c>
      <c r="M269" s="34"/>
      <c r="N269" s="17"/>
      <c r="O269" s="17"/>
      <c r="P269" s="17"/>
      <c r="Q269" s="17"/>
      <c r="R269" s="17"/>
      <c r="S269" s="17"/>
      <c r="T269" s="17"/>
      <c r="U269" s="17"/>
      <c r="V269" s="17"/>
      <c r="W269" s="17"/>
      <c r="X269" s="17"/>
      <c r="Y269" s="17"/>
      <c r="Z269" s="17"/>
      <c r="AA269" s="17"/>
      <c r="AB269" s="17"/>
      <c r="AC269" s="17"/>
      <c r="AD269" s="17"/>
      <c r="AE269" s="17"/>
      <c r="AF269" s="17"/>
      <c r="AG269" s="17"/>
      <c r="AH269" s="17"/>
      <c r="AI269" s="17"/>
    </row>
    <row r="270" hidden="1">
      <c r="A270" s="34">
        <f t="shared" si="7"/>
        <v>269</v>
      </c>
      <c r="B270" s="35" t="s">
        <v>52</v>
      </c>
      <c r="C270" s="34" t="s">
        <v>3128</v>
      </c>
      <c r="D270" s="34" t="s">
        <v>8218</v>
      </c>
      <c r="E270" s="34">
        <v>22.334257999999998</v>
      </c>
      <c r="F270" s="34">
        <v>87.240283000000005</v>
      </c>
      <c r="G270" s="34" t="s">
        <v>7956</v>
      </c>
      <c r="H270" s="34" t="s">
        <v>7987</v>
      </c>
      <c r="I270" s="34" t="s">
        <v>2824</v>
      </c>
      <c r="J270" s="34">
        <v>9262971230</v>
      </c>
      <c r="K270" s="34" t="s">
        <v>8144</v>
      </c>
      <c r="L270" s="34">
        <v>8967916588</v>
      </c>
      <c r="M270" s="34"/>
      <c r="N270" s="17"/>
      <c r="O270" s="17"/>
      <c r="P270" s="17"/>
      <c r="Q270" s="17"/>
      <c r="R270" s="17"/>
      <c r="S270" s="17"/>
      <c r="T270" s="17"/>
      <c r="U270" s="17"/>
      <c r="V270" s="17"/>
      <c r="W270" s="17"/>
      <c r="X270" s="17"/>
      <c r="Y270" s="17"/>
      <c r="Z270" s="17"/>
      <c r="AA270" s="17"/>
      <c r="AB270" s="17"/>
      <c r="AC270" s="17"/>
      <c r="AD270" s="17"/>
      <c r="AE270" s="17"/>
      <c r="AF270" s="17"/>
      <c r="AG270" s="17"/>
      <c r="AH270" s="17"/>
      <c r="AI270" s="17"/>
    </row>
    <row r="271" hidden="1">
      <c r="A271" s="34">
        <f t="shared" si="7"/>
        <v>270</v>
      </c>
      <c r="B271" s="35" t="s">
        <v>52</v>
      </c>
      <c r="C271" s="34" t="s">
        <v>3130</v>
      </c>
      <c r="D271" s="34" t="s">
        <v>8219</v>
      </c>
      <c r="E271" s="34">
        <v>22.34666</v>
      </c>
      <c r="F271" s="34">
        <v>87.305480000000003</v>
      </c>
      <c r="G271" s="34" t="s">
        <v>8220</v>
      </c>
      <c r="H271" s="34" t="s">
        <v>7987</v>
      </c>
      <c r="I271" s="35" t="s">
        <v>2691</v>
      </c>
      <c r="J271" s="34">
        <v>6297992853</v>
      </c>
      <c r="K271" s="34" t="s">
        <v>2691</v>
      </c>
      <c r="L271" s="34">
        <v>6297992853</v>
      </c>
      <c r="M271" s="34"/>
      <c r="N271" s="17"/>
      <c r="O271" s="17"/>
      <c r="P271" s="17"/>
      <c r="Q271" s="17"/>
      <c r="R271" s="17"/>
      <c r="S271" s="17"/>
      <c r="T271" s="17"/>
      <c r="U271" s="17"/>
      <c r="V271" s="17"/>
      <c r="W271" s="17"/>
      <c r="X271" s="17"/>
      <c r="Y271" s="17"/>
      <c r="Z271" s="17"/>
      <c r="AA271" s="17"/>
      <c r="AB271" s="17"/>
      <c r="AC271" s="17"/>
      <c r="AD271" s="17"/>
      <c r="AE271" s="17"/>
      <c r="AF271" s="17"/>
      <c r="AG271" s="17"/>
      <c r="AH271" s="17"/>
      <c r="AI271" s="17"/>
    </row>
    <row r="272" hidden="1">
      <c r="A272" s="34">
        <f t="shared" si="7"/>
        <v>271</v>
      </c>
      <c r="B272" s="35" t="s">
        <v>52</v>
      </c>
      <c r="C272" s="34" t="s">
        <v>3131</v>
      </c>
      <c r="D272" s="34" t="s">
        <v>8221</v>
      </c>
      <c r="E272" s="34">
        <v>22.3489</v>
      </c>
      <c r="F272" s="34">
        <v>87.299220000000005</v>
      </c>
      <c r="G272" s="34" t="s">
        <v>8220</v>
      </c>
      <c r="H272" s="34" t="s">
        <v>7987</v>
      </c>
      <c r="I272" s="35" t="s">
        <v>2691</v>
      </c>
      <c r="J272" s="34">
        <v>6297992853</v>
      </c>
      <c r="K272" s="34" t="s">
        <v>2691</v>
      </c>
      <c r="L272" s="34">
        <v>6297992853</v>
      </c>
      <c r="M272" s="34"/>
      <c r="N272" s="17"/>
      <c r="O272" s="17"/>
      <c r="P272" s="17"/>
      <c r="Q272" s="17"/>
      <c r="R272" s="17"/>
      <c r="S272" s="17"/>
      <c r="T272" s="17"/>
      <c r="U272" s="17"/>
      <c r="V272" s="17"/>
      <c r="W272" s="17"/>
      <c r="X272" s="17"/>
      <c r="Y272" s="17"/>
      <c r="Z272" s="17"/>
      <c r="AA272" s="17"/>
      <c r="AB272" s="17"/>
      <c r="AC272" s="17"/>
      <c r="AD272" s="17"/>
      <c r="AE272" s="17"/>
      <c r="AF272" s="17"/>
      <c r="AG272" s="17"/>
      <c r="AH272" s="17"/>
      <c r="AI272" s="17"/>
    </row>
    <row r="273" hidden="1">
      <c r="A273" s="34">
        <f t="shared" si="7"/>
        <v>272</v>
      </c>
      <c r="B273" s="35" t="s">
        <v>52</v>
      </c>
      <c r="C273" s="34" t="s">
        <v>3132</v>
      </c>
      <c r="D273" s="34" t="s">
        <v>8222</v>
      </c>
      <c r="E273" s="34">
        <v>22.354990000000001</v>
      </c>
      <c r="F273" s="34">
        <v>87.337290999999993</v>
      </c>
      <c r="G273" s="34" t="s">
        <v>7955</v>
      </c>
      <c r="H273" s="34" t="s">
        <v>7987</v>
      </c>
      <c r="I273" s="35" t="s">
        <v>2691</v>
      </c>
      <c r="J273" s="34">
        <v>6297992853</v>
      </c>
      <c r="K273" s="34" t="s">
        <v>2691</v>
      </c>
      <c r="L273" s="34">
        <v>6297992853</v>
      </c>
      <c r="M273" s="34"/>
      <c r="N273" s="17"/>
      <c r="O273" s="17"/>
      <c r="P273" s="17"/>
      <c r="Q273" s="17"/>
      <c r="R273" s="17"/>
      <c r="S273" s="17"/>
      <c r="T273" s="17"/>
      <c r="U273" s="17"/>
      <c r="V273" s="17"/>
      <c r="W273" s="17"/>
      <c r="X273" s="17"/>
      <c r="Y273" s="17"/>
      <c r="Z273" s="17"/>
      <c r="AA273" s="17"/>
      <c r="AB273" s="17"/>
      <c r="AC273" s="17"/>
      <c r="AD273" s="17"/>
      <c r="AE273" s="17"/>
      <c r="AF273" s="17"/>
      <c r="AG273" s="17"/>
      <c r="AH273" s="17"/>
      <c r="AI273" s="17"/>
    </row>
    <row r="274" ht="20.399999999999999" hidden="1">
      <c r="A274" s="34">
        <f t="shared" si="7"/>
        <v>273</v>
      </c>
      <c r="B274" s="35" t="s">
        <v>52</v>
      </c>
      <c r="C274" s="34" t="s">
        <v>3133</v>
      </c>
      <c r="D274" s="34" t="s">
        <v>8010</v>
      </c>
      <c r="E274" s="34">
        <v>22.138380000000002</v>
      </c>
      <c r="F274" s="34">
        <v>87.671238000000002</v>
      </c>
      <c r="G274" s="34" t="s">
        <v>7955</v>
      </c>
      <c r="H274" s="34" t="s">
        <v>7987</v>
      </c>
      <c r="I274" s="35" t="s">
        <v>3136</v>
      </c>
      <c r="J274" s="34">
        <v>6290825031</v>
      </c>
      <c r="K274" s="122" t="s">
        <v>3136</v>
      </c>
      <c r="L274" s="34">
        <v>6290825031</v>
      </c>
      <c r="M274" s="34"/>
      <c r="N274" s="17"/>
      <c r="O274" s="17"/>
      <c r="P274" s="17"/>
      <c r="Q274" s="17"/>
      <c r="R274" s="17"/>
      <c r="S274" s="17"/>
      <c r="T274" s="17"/>
      <c r="U274" s="17"/>
      <c r="V274" s="17"/>
      <c r="W274" s="17"/>
      <c r="X274" s="17"/>
      <c r="Y274" s="17"/>
      <c r="Z274" s="17"/>
      <c r="AA274" s="17"/>
      <c r="AB274" s="17"/>
      <c r="AC274" s="17"/>
      <c r="AD274" s="17"/>
      <c r="AE274" s="17"/>
      <c r="AF274" s="17"/>
      <c r="AG274" s="17"/>
      <c r="AH274" s="17"/>
      <c r="AI274" s="17"/>
    </row>
    <row r="275" ht="20.399999999999999" hidden="1">
      <c r="A275" s="34">
        <f t="shared" si="7"/>
        <v>274</v>
      </c>
      <c r="B275" s="35" t="s">
        <v>52</v>
      </c>
      <c r="C275" s="34" t="s">
        <v>3139</v>
      </c>
      <c r="D275" s="34" t="s">
        <v>3140</v>
      </c>
      <c r="E275" s="34">
        <v>22.120049000000002</v>
      </c>
      <c r="F275" s="34">
        <v>87.583564999999993</v>
      </c>
      <c r="G275" s="34" t="s">
        <v>7955</v>
      </c>
      <c r="H275" s="34" t="s">
        <v>7987</v>
      </c>
      <c r="I275" s="35" t="s">
        <v>3136</v>
      </c>
      <c r="J275" s="34">
        <v>6290825031</v>
      </c>
      <c r="K275" s="122" t="s">
        <v>3136</v>
      </c>
      <c r="L275" s="34">
        <v>6290825031</v>
      </c>
      <c r="M275" s="34"/>
      <c r="N275" s="17"/>
      <c r="O275" s="17"/>
      <c r="P275" s="17"/>
      <c r="Q275" s="17"/>
      <c r="R275" s="17"/>
      <c r="S275" s="17"/>
      <c r="T275" s="17"/>
      <c r="U275" s="17"/>
      <c r="V275" s="17"/>
      <c r="W275" s="17"/>
      <c r="X275" s="17"/>
      <c r="Y275" s="17"/>
      <c r="Z275" s="17"/>
      <c r="AA275" s="17"/>
      <c r="AB275" s="17"/>
      <c r="AC275" s="17"/>
      <c r="AD275" s="17"/>
      <c r="AE275" s="17"/>
      <c r="AF275" s="17"/>
      <c r="AG275" s="17"/>
      <c r="AH275" s="17"/>
      <c r="AI275" s="17"/>
    </row>
    <row r="276" ht="20.399999999999999" hidden="1">
      <c r="A276" s="34">
        <f t="shared" si="7"/>
        <v>275</v>
      </c>
      <c r="B276" s="35" t="s">
        <v>52</v>
      </c>
      <c r="C276" s="34" t="s">
        <v>3143</v>
      </c>
      <c r="D276" s="34" t="s">
        <v>3144</v>
      </c>
      <c r="E276" s="34">
        <v>22.165064000000001</v>
      </c>
      <c r="F276" s="34">
        <v>87.688472000000004</v>
      </c>
      <c r="G276" s="34" t="s">
        <v>7955</v>
      </c>
      <c r="H276" s="34" t="s">
        <v>7987</v>
      </c>
      <c r="I276" s="35" t="s">
        <v>3136</v>
      </c>
      <c r="J276" s="34">
        <v>6290825031</v>
      </c>
      <c r="K276" s="122" t="s">
        <v>3136</v>
      </c>
      <c r="L276" s="34">
        <v>6290825031</v>
      </c>
      <c r="M276" s="34"/>
      <c r="N276" s="17"/>
      <c r="O276" s="17"/>
      <c r="P276" s="17"/>
      <c r="Q276" s="17"/>
      <c r="R276" s="17"/>
      <c r="S276" s="17"/>
      <c r="T276" s="17"/>
      <c r="U276" s="17"/>
      <c r="V276" s="17"/>
      <c r="W276" s="17"/>
      <c r="X276" s="17"/>
      <c r="Y276" s="17"/>
      <c r="Z276" s="17"/>
      <c r="AA276" s="17"/>
      <c r="AB276" s="17"/>
      <c r="AC276" s="17"/>
      <c r="AD276" s="17"/>
      <c r="AE276" s="17"/>
      <c r="AF276" s="17"/>
      <c r="AG276" s="17"/>
      <c r="AH276" s="17"/>
      <c r="AI276" s="17"/>
    </row>
    <row r="277" hidden="1">
      <c r="A277" s="34">
        <f t="shared" si="7"/>
        <v>276</v>
      </c>
      <c r="B277" s="35" t="s">
        <v>52</v>
      </c>
      <c r="C277" s="34" t="s">
        <v>3148</v>
      </c>
      <c r="D277" s="34" t="s">
        <v>8223</v>
      </c>
      <c r="E277" s="34">
        <v>22.187594000000001</v>
      </c>
      <c r="F277" s="34">
        <v>87.558711000000002</v>
      </c>
      <c r="G277" s="34" t="s">
        <v>7955</v>
      </c>
      <c r="H277" s="34" t="s">
        <v>7987</v>
      </c>
      <c r="I277" s="35" t="s">
        <v>2248</v>
      </c>
      <c r="J277" s="35">
        <v>9635120146</v>
      </c>
      <c r="K277" s="35" t="s">
        <v>2248</v>
      </c>
      <c r="L277" s="35">
        <v>8100154683</v>
      </c>
      <c r="M277" s="35"/>
      <c r="N277" s="17"/>
      <c r="O277" s="17"/>
      <c r="P277" s="17"/>
      <c r="Q277" s="17"/>
      <c r="R277" s="17"/>
      <c r="S277" s="17"/>
      <c r="T277" s="17"/>
      <c r="U277" s="17"/>
      <c r="V277" s="17"/>
      <c r="W277" s="17"/>
      <c r="X277" s="17"/>
      <c r="Y277" s="17"/>
      <c r="Z277" s="17"/>
      <c r="AA277" s="17"/>
      <c r="AB277" s="17"/>
      <c r="AC277" s="17"/>
      <c r="AD277" s="17"/>
      <c r="AE277" s="17"/>
      <c r="AF277" s="17"/>
      <c r="AG277" s="17"/>
      <c r="AH277" s="17"/>
      <c r="AI277" s="17"/>
    </row>
    <row r="278" ht="20.399999999999999" hidden="1">
      <c r="A278" s="34">
        <f t="shared" si="7"/>
        <v>277</v>
      </c>
      <c r="B278" s="35" t="s">
        <v>52</v>
      </c>
      <c r="C278" s="34" t="s">
        <v>3154</v>
      </c>
      <c r="D278" s="34" t="s">
        <v>3155</v>
      </c>
      <c r="E278" s="34">
        <v>22.177548999999999</v>
      </c>
      <c r="F278" s="34">
        <v>87.595194000000006</v>
      </c>
      <c r="G278" s="34" t="s">
        <v>7955</v>
      </c>
      <c r="H278" s="34" t="s">
        <v>7987</v>
      </c>
      <c r="I278" s="35" t="s">
        <v>3136</v>
      </c>
      <c r="J278" s="34">
        <v>6290825031</v>
      </c>
      <c r="K278" s="122" t="s">
        <v>3136</v>
      </c>
      <c r="L278" s="34">
        <v>6290825031</v>
      </c>
      <c r="M278" s="34"/>
      <c r="N278" s="17"/>
      <c r="O278" s="17"/>
      <c r="P278" s="17"/>
      <c r="Q278" s="17"/>
      <c r="R278" s="17"/>
      <c r="S278" s="17"/>
      <c r="T278" s="17"/>
      <c r="U278" s="17"/>
      <c r="V278" s="17"/>
      <c r="W278" s="17"/>
      <c r="X278" s="17"/>
      <c r="Y278" s="17"/>
      <c r="Z278" s="17"/>
      <c r="AA278" s="17"/>
      <c r="AB278" s="17"/>
      <c r="AC278" s="17"/>
      <c r="AD278" s="17"/>
      <c r="AE278" s="17"/>
      <c r="AF278" s="17"/>
      <c r="AG278" s="17"/>
      <c r="AH278" s="17"/>
      <c r="AI278" s="17"/>
    </row>
    <row r="279" hidden="1">
      <c r="A279" s="34">
        <f t="shared" si="7"/>
        <v>278</v>
      </c>
      <c r="B279" s="35" t="s">
        <v>52</v>
      </c>
      <c r="C279" s="34" t="s">
        <v>3158</v>
      </c>
      <c r="D279" s="34" t="s">
        <v>3159</v>
      </c>
      <c r="E279" s="34">
        <v>22.204143999999999</v>
      </c>
      <c r="F279" s="34">
        <v>87.594828000000007</v>
      </c>
      <c r="G279" s="34" t="s">
        <v>7954</v>
      </c>
      <c r="H279" s="34" t="s">
        <v>8009</v>
      </c>
      <c r="I279" s="35" t="s">
        <v>2680</v>
      </c>
      <c r="J279" s="34">
        <v>7797440223</v>
      </c>
      <c r="K279" s="34" t="s">
        <v>2680</v>
      </c>
      <c r="L279" s="34">
        <v>7797440223</v>
      </c>
      <c r="M279" s="34"/>
      <c r="N279" s="17"/>
      <c r="O279" s="17"/>
      <c r="P279" s="17"/>
      <c r="Q279" s="17"/>
      <c r="R279" s="17"/>
      <c r="S279" s="17"/>
      <c r="T279" s="17"/>
      <c r="U279" s="17"/>
      <c r="V279" s="17"/>
      <c r="W279" s="17"/>
      <c r="X279" s="17"/>
      <c r="Y279" s="17"/>
      <c r="Z279" s="17"/>
      <c r="AA279" s="17"/>
      <c r="AB279" s="17"/>
      <c r="AC279" s="17"/>
      <c r="AD279" s="17"/>
      <c r="AE279" s="17"/>
      <c r="AF279" s="17"/>
      <c r="AG279" s="17"/>
      <c r="AH279" s="17"/>
      <c r="AI279" s="17"/>
    </row>
    <row r="280" ht="20.399999999999999" hidden="1">
      <c r="A280" s="34">
        <f t="shared" si="7"/>
        <v>279</v>
      </c>
      <c r="B280" s="35" t="s">
        <v>52</v>
      </c>
      <c r="C280" s="34" t="s">
        <v>3164</v>
      </c>
      <c r="D280" s="34" t="s">
        <v>3165</v>
      </c>
      <c r="E280" s="34">
        <v>22.161370999999999</v>
      </c>
      <c r="F280" s="34">
        <v>87.651799999999994</v>
      </c>
      <c r="G280" s="34" t="s">
        <v>7954</v>
      </c>
      <c r="H280" s="34" t="s">
        <v>7987</v>
      </c>
      <c r="I280" s="35" t="s">
        <v>3136</v>
      </c>
      <c r="J280" s="34">
        <v>6290825031</v>
      </c>
      <c r="K280" s="122" t="s">
        <v>3136</v>
      </c>
      <c r="L280" s="34">
        <v>6290825031</v>
      </c>
      <c r="M280" s="34"/>
      <c r="N280" s="17"/>
      <c r="O280" s="17"/>
      <c r="P280" s="17"/>
      <c r="Q280" s="17"/>
      <c r="R280" s="17"/>
      <c r="S280" s="17"/>
      <c r="T280" s="17"/>
      <c r="U280" s="17"/>
      <c r="V280" s="17"/>
      <c r="W280" s="17"/>
      <c r="X280" s="17"/>
      <c r="Y280" s="17"/>
      <c r="Z280" s="17"/>
      <c r="AA280" s="17"/>
      <c r="AB280" s="17"/>
      <c r="AC280" s="17"/>
      <c r="AD280" s="17"/>
      <c r="AE280" s="17"/>
      <c r="AF280" s="17"/>
      <c r="AG280" s="17"/>
      <c r="AH280" s="17"/>
      <c r="AI280" s="17"/>
    </row>
    <row r="281" hidden="1">
      <c r="A281" s="34">
        <f t="shared" si="7"/>
        <v>280</v>
      </c>
      <c r="B281" s="35" t="s">
        <v>52</v>
      </c>
      <c r="C281" s="34" t="s">
        <v>3168</v>
      </c>
      <c r="D281" s="34" t="s">
        <v>3169</v>
      </c>
      <c r="E281" s="34">
        <v>22.135294999999999</v>
      </c>
      <c r="F281" s="34">
        <v>87.515867999999998</v>
      </c>
      <c r="G281" s="34" t="s">
        <v>7954</v>
      </c>
      <c r="H281" s="34" t="s">
        <v>7987</v>
      </c>
      <c r="I281" s="35" t="s">
        <v>2248</v>
      </c>
      <c r="J281" s="35">
        <v>9635120146</v>
      </c>
      <c r="K281" s="35" t="s">
        <v>2248</v>
      </c>
      <c r="L281" s="35">
        <v>8100154683</v>
      </c>
      <c r="M281" s="35"/>
      <c r="N281" s="17"/>
      <c r="O281" s="17"/>
      <c r="P281" s="17"/>
      <c r="Q281" s="17"/>
      <c r="R281" s="17"/>
      <c r="S281" s="17"/>
      <c r="T281" s="17"/>
      <c r="U281" s="17"/>
      <c r="V281" s="17"/>
      <c r="W281" s="17"/>
      <c r="X281" s="17"/>
      <c r="Y281" s="17"/>
      <c r="Z281" s="17"/>
      <c r="AA281" s="17"/>
      <c r="AB281" s="17"/>
      <c r="AC281" s="17"/>
      <c r="AD281" s="17"/>
      <c r="AE281" s="17"/>
      <c r="AF281" s="17"/>
      <c r="AG281" s="17"/>
      <c r="AH281" s="17"/>
      <c r="AI281" s="17"/>
    </row>
    <row r="282" hidden="1">
      <c r="A282" s="34">
        <f t="shared" si="7"/>
        <v>281</v>
      </c>
      <c r="B282" s="35" t="s">
        <v>52</v>
      </c>
      <c r="C282" s="34" t="s">
        <v>3171</v>
      </c>
      <c r="D282" s="34" t="s">
        <v>8224</v>
      </c>
      <c r="E282" s="34">
        <v>22.209074999999999</v>
      </c>
      <c r="F282" s="34">
        <v>87.565081000000006</v>
      </c>
      <c r="G282" s="34" t="s">
        <v>7954</v>
      </c>
      <c r="H282" s="34" t="s">
        <v>7987</v>
      </c>
      <c r="I282" s="35" t="s">
        <v>2680</v>
      </c>
      <c r="J282" s="34">
        <v>7797440223</v>
      </c>
      <c r="K282" s="34" t="s">
        <v>2680</v>
      </c>
      <c r="L282" s="34">
        <v>7797440223</v>
      </c>
      <c r="M282" s="34"/>
      <c r="N282" s="17"/>
      <c r="O282" s="17"/>
      <c r="P282" s="17"/>
      <c r="Q282" s="17"/>
      <c r="R282" s="17"/>
      <c r="S282" s="17"/>
      <c r="T282" s="17"/>
      <c r="U282" s="17"/>
      <c r="V282" s="17"/>
      <c r="W282" s="17"/>
      <c r="X282" s="17"/>
      <c r="Y282" s="17"/>
      <c r="Z282" s="17"/>
      <c r="AA282" s="17"/>
      <c r="AB282" s="17"/>
      <c r="AC282" s="17"/>
      <c r="AD282" s="17"/>
      <c r="AE282" s="17"/>
      <c r="AF282" s="17"/>
      <c r="AG282" s="17"/>
      <c r="AH282" s="17"/>
      <c r="AI282" s="17"/>
    </row>
    <row r="283" hidden="1">
      <c r="A283" s="34">
        <f t="shared" si="7"/>
        <v>282</v>
      </c>
      <c r="B283" s="35" t="s">
        <v>52</v>
      </c>
      <c r="C283" s="34" t="s">
        <v>3175</v>
      </c>
      <c r="D283" s="34" t="s">
        <v>8225</v>
      </c>
      <c r="E283" s="34">
        <v>22.215340000000001</v>
      </c>
      <c r="F283" s="34">
        <v>87.546284</v>
      </c>
      <c r="G283" s="34" t="s">
        <v>7954</v>
      </c>
      <c r="H283" s="34" t="s">
        <v>7987</v>
      </c>
      <c r="I283" s="35" t="s">
        <v>2680</v>
      </c>
      <c r="J283" s="34">
        <v>7797440223</v>
      </c>
      <c r="K283" s="34" t="s">
        <v>2680</v>
      </c>
      <c r="L283" s="34">
        <v>7797440223</v>
      </c>
      <c r="M283" s="34"/>
      <c r="N283" s="17"/>
      <c r="O283" s="17"/>
      <c r="P283" s="17"/>
      <c r="Q283" s="17"/>
      <c r="R283" s="17"/>
      <c r="S283" s="17"/>
      <c r="T283" s="17"/>
      <c r="U283" s="17"/>
      <c r="V283" s="17"/>
      <c r="W283" s="17"/>
      <c r="X283" s="17"/>
      <c r="Y283" s="17"/>
      <c r="Z283" s="17"/>
      <c r="AA283" s="17"/>
      <c r="AB283" s="17"/>
      <c r="AC283" s="17"/>
      <c r="AD283" s="17"/>
      <c r="AE283" s="17"/>
      <c r="AF283" s="17"/>
      <c r="AG283" s="17"/>
      <c r="AH283" s="17"/>
      <c r="AI283" s="17"/>
    </row>
    <row r="284" ht="20.399999999999999" hidden="1">
      <c r="A284" s="34">
        <f t="shared" si="7"/>
        <v>283</v>
      </c>
      <c r="B284" s="35" t="s">
        <v>52</v>
      </c>
      <c r="C284" s="34" t="s">
        <v>3179</v>
      </c>
      <c r="D284" s="34" t="s">
        <v>8226</v>
      </c>
      <c r="E284" s="34">
        <v>22.155055999999998</v>
      </c>
      <c r="F284" s="34">
        <v>87.672967</v>
      </c>
      <c r="G284" s="34" t="s">
        <v>7954</v>
      </c>
      <c r="H284" s="34" t="s">
        <v>7987</v>
      </c>
      <c r="I284" s="35" t="s">
        <v>3136</v>
      </c>
      <c r="J284" s="34">
        <v>6290825031</v>
      </c>
      <c r="K284" s="122" t="s">
        <v>3136</v>
      </c>
      <c r="L284" s="34">
        <v>6290825031</v>
      </c>
      <c r="M284" s="34"/>
      <c r="N284" s="17"/>
      <c r="O284" s="17"/>
      <c r="P284" s="17"/>
      <c r="Q284" s="17"/>
      <c r="R284" s="17"/>
      <c r="S284" s="17"/>
      <c r="T284" s="17"/>
      <c r="U284" s="17"/>
      <c r="V284" s="17"/>
      <c r="W284" s="17"/>
      <c r="X284" s="17"/>
      <c r="Y284" s="17"/>
      <c r="Z284" s="17"/>
      <c r="AA284" s="17"/>
      <c r="AB284" s="17"/>
      <c r="AC284" s="17"/>
      <c r="AD284" s="17"/>
      <c r="AE284" s="17"/>
      <c r="AF284" s="17"/>
      <c r="AG284" s="17"/>
      <c r="AH284" s="17"/>
      <c r="AI284" s="17"/>
    </row>
    <row r="285" ht="20.399999999999999" hidden="1">
      <c r="A285" s="34">
        <f t="shared" si="7"/>
        <v>284</v>
      </c>
      <c r="B285" s="35" t="s">
        <v>52</v>
      </c>
      <c r="C285" s="34" t="s">
        <v>3185</v>
      </c>
      <c r="D285" s="34" t="s">
        <v>8227</v>
      </c>
      <c r="E285" s="34">
        <v>22.192713000000001</v>
      </c>
      <c r="F285" s="34">
        <v>87.696186999999995</v>
      </c>
      <c r="G285" s="34" t="s">
        <v>7954</v>
      </c>
      <c r="H285" s="34" t="s">
        <v>7987</v>
      </c>
      <c r="I285" s="35" t="s">
        <v>3136</v>
      </c>
      <c r="J285" s="34">
        <v>6290825031</v>
      </c>
      <c r="K285" s="122" t="s">
        <v>3136</v>
      </c>
      <c r="L285" s="34">
        <v>6290825031</v>
      </c>
      <c r="M285" s="34"/>
      <c r="N285" s="17"/>
      <c r="O285" s="17"/>
      <c r="P285" s="17"/>
      <c r="Q285" s="17"/>
      <c r="R285" s="17"/>
      <c r="S285" s="17"/>
      <c r="T285" s="17"/>
      <c r="U285" s="17"/>
      <c r="V285" s="17"/>
      <c r="W285" s="17"/>
      <c r="X285" s="17"/>
      <c r="Y285" s="17"/>
      <c r="Z285" s="17"/>
      <c r="AA285" s="17"/>
      <c r="AB285" s="17"/>
      <c r="AC285" s="17"/>
      <c r="AD285" s="17"/>
      <c r="AE285" s="17"/>
      <c r="AF285" s="17"/>
      <c r="AG285" s="17"/>
      <c r="AH285" s="17"/>
      <c r="AI285" s="17"/>
    </row>
    <row r="286" ht="20.399999999999999" hidden="1">
      <c r="A286" s="34">
        <f t="shared" si="7"/>
        <v>285</v>
      </c>
      <c r="B286" s="35" t="s">
        <v>52</v>
      </c>
      <c r="C286" s="34" t="s">
        <v>3189</v>
      </c>
      <c r="D286" s="34" t="s">
        <v>8228</v>
      </c>
      <c r="E286" s="34">
        <v>22.233409999999999</v>
      </c>
      <c r="F286" s="34">
        <v>87.657407000000006</v>
      </c>
      <c r="G286" s="34" t="s">
        <v>7954</v>
      </c>
      <c r="H286" s="34" t="s">
        <v>7987</v>
      </c>
      <c r="I286" s="35" t="s">
        <v>3136</v>
      </c>
      <c r="J286" s="34">
        <v>6290825031</v>
      </c>
      <c r="K286" s="122" t="s">
        <v>3136</v>
      </c>
      <c r="L286" s="34">
        <v>6290825031</v>
      </c>
      <c r="M286" s="34"/>
      <c r="N286" s="17"/>
      <c r="O286" s="17"/>
      <c r="P286" s="17"/>
      <c r="Q286" s="17"/>
      <c r="R286" s="17"/>
      <c r="S286" s="17"/>
      <c r="T286" s="17"/>
      <c r="U286" s="17"/>
      <c r="V286" s="17"/>
      <c r="W286" s="17"/>
      <c r="X286" s="17"/>
      <c r="Y286" s="17"/>
      <c r="Z286" s="17"/>
      <c r="AA286" s="17"/>
      <c r="AB286" s="17"/>
      <c r="AC286" s="17"/>
      <c r="AD286" s="17"/>
      <c r="AE286" s="17"/>
      <c r="AF286" s="17"/>
      <c r="AG286" s="17"/>
      <c r="AH286" s="17"/>
      <c r="AI286" s="17"/>
    </row>
    <row r="287" ht="20.399999999999999" hidden="1">
      <c r="A287" s="34">
        <f t="shared" si="7"/>
        <v>286</v>
      </c>
      <c r="B287" s="35" t="s">
        <v>52</v>
      </c>
      <c r="C287" s="34" t="s">
        <v>3193</v>
      </c>
      <c r="D287" s="34" t="s">
        <v>8229</v>
      </c>
      <c r="E287" s="34">
        <v>22.173639000000001</v>
      </c>
      <c r="F287" s="34">
        <v>87.645494999999997</v>
      </c>
      <c r="G287" s="34" t="s">
        <v>7954</v>
      </c>
      <c r="H287" s="34" t="s">
        <v>7987</v>
      </c>
      <c r="I287" s="35" t="s">
        <v>3136</v>
      </c>
      <c r="J287" s="34">
        <v>6290825031</v>
      </c>
      <c r="K287" s="122" t="s">
        <v>3136</v>
      </c>
      <c r="L287" s="34">
        <v>6290825031</v>
      </c>
      <c r="M287" s="34"/>
      <c r="N287" s="17"/>
      <c r="O287" s="17"/>
      <c r="P287" s="17"/>
      <c r="Q287" s="17"/>
      <c r="R287" s="17"/>
      <c r="S287" s="17"/>
      <c r="T287" s="17"/>
      <c r="U287" s="17"/>
      <c r="V287" s="17"/>
      <c r="W287" s="17"/>
      <c r="X287" s="17"/>
      <c r="Y287" s="17"/>
      <c r="Z287" s="17"/>
      <c r="AA287" s="17"/>
      <c r="AB287" s="17"/>
      <c r="AC287" s="17"/>
      <c r="AD287" s="17"/>
      <c r="AE287" s="17"/>
      <c r="AF287" s="17"/>
      <c r="AG287" s="17"/>
      <c r="AH287" s="17"/>
      <c r="AI287" s="17"/>
    </row>
    <row r="288" ht="20.399999999999999" hidden="1">
      <c r="A288" s="34">
        <f t="shared" si="7"/>
        <v>287</v>
      </c>
      <c r="B288" s="35" t="s">
        <v>52</v>
      </c>
      <c r="C288" s="34" t="s">
        <v>3198</v>
      </c>
      <c r="D288" s="34" t="s">
        <v>8230</v>
      </c>
      <c r="E288" s="34">
        <v>22.213132999999999</v>
      </c>
      <c r="F288" s="34">
        <v>87.643850999999998</v>
      </c>
      <c r="G288" s="34" t="s">
        <v>7954</v>
      </c>
      <c r="H288" s="34" t="s">
        <v>7987</v>
      </c>
      <c r="I288" s="35" t="s">
        <v>3136</v>
      </c>
      <c r="J288" s="34">
        <v>6290825031</v>
      </c>
      <c r="K288" s="122" t="s">
        <v>3136</v>
      </c>
      <c r="L288" s="34">
        <v>6290825031</v>
      </c>
      <c r="M288" s="34"/>
      <c r="N288" s="17"/>
      <c r="O288" s="17"/>
      <c r="P288" s="17"/>
      <c r="Q288" s="17"/>
      <c r="R288" s="17"/>
      <c r="S288" s="17"/>
      <c r="T288" s="17"/>
      <c r="U288" s="17"/>
      <c r="V288" s="17"/>
      <c r="W288" s="17"/>
      <c r="X288" s="17"/>
      <c r="Y288" s="17"/>
      <c r="Z288" s="17"/>
      <c r="AA288" s="17"/>
      <c r="AB288" s="17"/>
      <c r="AC288" s="17"/>
      <c r="AD288" s="17"/>
      <c r="AE288" s="17"/>
      <c r="AF288" s="17"/>
      <c r="AG288" s="17"/>
      <c r="AH288" s="17"/>
      <c r="AI288" s="17"/>
    </row>
    <row r="289" hidden="1">
      <c r="A289" s="34">
        <f t="shared" si="7"/>
        <v>288</v>
      </c>
      <c r="B289" s="35" t="s">
        <v>52</v>
      </c>
      <c r="C289" s="34" t="s">
        <v>3201</v>
      </c>
      <c r="D289" s="34" t="s">
        <v>8231</v>
      </c>
      <c r="E289" s="34">
        <v>22.197821000000001</v>
      </c>
      <c r="F289" s="34">
        <v>87.575339</v>
      </c>
      <c r="G289" s="34" t="s">
        <v>7954</v>
      </c>
      <c r="H289" s="34" t="s">
        <v>7987</v>
      </c>
      <c r="I289" s="35" t="s">
        <v>2680</v>
      </c>
      <c r="J289" s="34">
        <v>7797440223</v>
      </c>
      <c r="K289" s="34" t="s">
        <v>2680</v>
      </c>
      <c r="L289" s="34">
        <v>7797440223</v>
      </c>
      <c r="M289" s="34"/>
      <c r="N289" s="17"/>
      <c r="O289" s="17"/>
      <c r="P289" s="17"/>
      <c r="Q289" s="17"/>
      <c r="R289" s="17"/>
      <c r="S289" s="17"/>
      <c r="T289" s="17"/>
      <c r="U289" s="17"/>
      <c r="V289" s="17"/>
      <c r="W289" s="17"/>
      <c r="X289" s="17"/>
      <c r="Y289" s="17"/>
      <c r="Z289" s="17"/>
      <c r="AA289" s="17"/>
      <c r="AB289" s="17"/>
      <c r="AC289" s="17"/>
      <c r="AD289" s="17"/>
      <c r="AE289" s="17"/>
      <c r="AF289" s="17"/>
      <c r="AG289" s="17"/>
      <c r="AH289" s="17"/>
      <c r="AI289" s="17"/>
    </row>
    <row r="290" ht="20.399999999999999" hidden="1">
      <c r="A290" s="34">
        <f t="shared" si="7"/>
        <v>289</v>
      </c>
      <c r="B290" s="35" t="s">
        <v>52</v>
      </c>
      <c r="C290" s="34" t="s">
        <v>3204</v>
      </c>
      <c r="D290" s="34" t="s">
        <v>8232</v>
      </c>
      <c r="E290" s="34">
        <v>22.120747999999999</v>
      </c>
      <c r="F290" s="34">
        <v>87.563486999999995</v>
      </c>
      <c r="G290" s="34" t="s">
        <v>7954</v>
      </c>
      <c r="H290" s="34" t="s">
        <v>7987</v>
      </c>
      <c r="I290" s="35" t="s">
        <v>3136</v>
      </c>
      <c r="J290" s="34">
        <v>6290825031</v>
      </c>
      <c r="K290" s="122" t="s">
        <v>3136</v>
      </c>
      <c r="L290" s="34">
        <v>6290825031</v>
      </c>
      <c r="M290" s="34">
        <v>85</v>
      </c>
      <c r="N290" s="17"/>
      <c r="O290" s="17"/>
      <c r="P290" s="17"/>
      <c r="Q290" s="17" t="s">
        <v>7991</v>
      </c>
      <c r="R290" s="17" t="s">
        <v>7995</v>
      </c>
      <c r="S290" s="17" t="s">
        <v>8233</v>
      </c>
      <c r="T290" s="17"/>
      <c r="U290" s="17"/>
      <c r="V290" s="17"/>
      <c r="W290" s="17"/>
      <c r="X290" s="17"/>
      <c r="Y290" s="17"/>
      <c r="Z290" s="17"/>
      <c r="AA290" s="17"/>
      <c r="AB290" s="17"/>
      <c r="AC290" s="17"/>
      <c r="AD290" s="17"/>
      <c r="AE290" s="17"/>
      <c r="AF290" s="17"/>
      <c r="AG290" s="17"/>
      <c r="AH290" s="17"/>
      <c r="AI290" s="17"/>
    </row>
    <row r="291" hidden="1">
      <c r="A291" s="34">
        <f t="shared" si="7"/>
        <v>290</v>
      </c>
      <c r="B291" s="35" t="s">
        <v>52</v>
      </c>
      <c r="C291" s="34" t="s">
        <v>3208</v>
      </c>
      <c r="D291" s="34" t="s">
        <v>8234</v>
      </c>
      <c r="E291" s="34">
        <v>22.171075999999999</v>
      </c>
      <c r="F291" s="34">
        <v>87.559454000000002</v>
      </c>
      <c r="G291" s="34" t="s">
        <v>7954</v>
      </c>
      <c r="H291" s="34" t="s">
        <v>7987</v>
      </c>
      <c r="I291" s="35" t="s">
        <v>2248</v>
      </c>
      <c r="J291" s="35">
        <v>9635120146</v>
      </c>
      <c r="K291" s="35" t="s">
        <v>2248</v>
      </c>
      <c r="L291" s="35">
        <v>8100154683</v>
      </c>
      <c r="M291" s="35"/>
      <c r="N291" s="17"/>
      <c r="O291" s="17"/>
      <c r="P291" s="17"/>
      <c r="Q291" s="17"/>
      <c r="R291" s="17"/>
      <c r="S291" s="17"/>
      <c r="T291" s="17"/>
      <c r="U291" s="17"/>
      <c r="V291" s="17"/>
      <c r="W291" s="17"/>
      <c r="X291" s="17"/>
      <c r="Y291" s="17"/>
      <c r="Z291" s="17"/>
      <c r="AA291" s="17"/>
      <c r="AB291" s="17"/>
      <c r="AC291" s="17"/>
      <c r="AD291" s="17"/>
      <c r="AE291" s="17"/>
      <c r="AF291" s="17"/>
      <c r="AG291" s="17"/>
      <c r="AH291" s="17"/>
      <c r="AI291" s="17"/>
    </row>
    <row r="292" hidden="1">
      <c r="A292" s="34">
        <f t="shared" si="7"/>
        <v>291</v>
      </c>
      <c r="B292" s="35" t="s">
        <v>52</v>
      </c>
      <c r="C292" s="34" t="s">
        <v>3212</v>
      </c>
      <c r="D292" s="34" t="s">
        <v>8235</v>
      </c>
      <c r="E292" s="34">
        <v>22.17231</v>
      </c>
      <c r="F292" s="34">
        <v>87.518000000000001</v>
      </c>
      <c r="G292" s="34" t="s">
        <v>7954</v>
      </c>
      <c r="H292" s="34" t="s">
        <v>7987</v>
      </c>
      <c r="I292" s="35" t="s">
        <v>2248</v>
      </c>
      <c r="J292" s="35">
        <v>9635120146</v>
      </c>
      <c r="K292" s="35" t="s">
        <v>2248</v>
      </c>
      <c r="L292" s="35">
        <v>8100154683</v>
      </c>
      <c r="M292" s="35"/>
      <c r="N292" s="17"/>
      <c r="O292" s="17"/>
      <c r="P292" s="17"/>
      <c r="Q292" s="17"/>
      <c r="R292" s="17"/>
      <c r="S292" s="17"/>
      <c r="T292" s="17"/>
      <c r="U292" s="17"/>
      <c r="V292" s="17"/>
      <c r="W292" s="17"/>
      <c r="X292" s="17"/>
      <c r="Y292" s="17"/>
      <c r="Z292" s="17"/>
      <c r="AA292" s="17"/>
      <c r="AB292" s="17"/>
      <c r="AC292" s="17"/>
      <c r="AD292" s="17"/>
      <c r="AE292" s="17"/>
      <c r="AF292" s="17"/>
      <c r="AG292" s="17"/>
      <c r="AH292" s="17"/>
      <c r="AI292" s="17"/>
    </row>
    <row r="293" ht="20.399999999999999" hidden="1">
      <c r="A293" s="34">
        <f t="shared" si="7"/>
        <v>292</v>
      </c>
      <c r="B293" s="35" t="s">
        <v>52</v>
      </c>
      <c r="C293" s="34" t="s">
        <v>3217</v>
      </c>
      <c r="D293" s="34" t="s">
        <v>8236</v>
      </c>
      <c r="E293" s="34">
        <v>22.098217999999999</v>
      </c>
      <c r="F293" s="34">
        <v>87.587746999999993</v>
      </c>
      <c r="G293" s="34" t="s">
        <v>7956</v>
      </c>
      <c r="H293" s="34" t="s">
        <v>7987</v>
      </c>
      <c r="I293" s="35" t="s">
        <v>3220</v>
      </c>
      <c r="J293" s="34"/>
      <c r="K293" s="122" t="s">
        <v>3220</v>
      </c>
      <c r="L293" s="34"/>
      <c r="M293" s="34"/>
      <c r="N293" s="17"/>
      <c r="O293" s="17"/>
      <c r="P293" s="17"/>
      <c r="Q293" s="17"/>
      <c r="R293" s="17"/>
      <c r="S293" s="17"/>
      <c r="T293" s="17"/>
      <c r="U293" s="17"/>
      <c r="V293" s="17"/>
      <c r="W293" s="17"/>
      <c r="X293" s="17"/>
      <c r="Y293" s="17"/>
      <c r="Z293" s="17"/>
      <c r="AA293" s="17"/>
      <c r="AB293" s="17"/>
      <c r="AC293" s="17"/>
      <c r="AD293" s="17"/>
      <c r="AE293" s="17"/>
      <c r="AF293" s="17"/>
      <c r="AG293" s="17"/>
      <c r="AH293" s="17"/>
      <c r="AI293" s="17"/>
    </row>
    <row r="294" ht="20.399999999999999" hidden="1">
      <c r="A294" s="34">
        <f t="shared" si="7"/>
        <v>293</v>
      </c>
      <c r="B294" s="35" t="s">
        <v>52</v>
      </c>
      <c r="C294" s="34" t="s">
        <v>3221</v>
      </c>
      <c r="D294" s="34" t="s">
        <v>3222</v>
      </c>
      <c r="E294" s="34">
        <v>22.183502000000001</v>
      </c>
      <c r="F294" s="34">
        <v>87.687512999999996</v>
      </c>
      <c r="G294" s="34" t="s">
        <v>7956</v>
      </c>
      <c r="H294" s="34" t="s">
        <v>8009</v>
      </c>
      <c r="I294" s="35" t="s">
        <v>3136</v>
      </c>
      <c r="J294" s="34">
        <v>6290825031</v>
      </c>
      <c r="K294" s="122" t="s">
        <v>3136</v>
      </c>
      <c r="L294" s="34">
        <v>6290825032</v>
      </c>
      <c r="M294" s="34"/>
      <c r="N294" s="17"/>
      <c r="O294" s="17"/>
      <c r="P294" s="17"/>
      <c r="Q294" s="17"/>
      <c r="R294" s="17"/>
      <c r="S294" s="17"/>
      <c r="T294" s="17"/>
      <c r="U294" s="17"/>
      <c r="V294" s="17"/>
      <c r="W294" s="17"/>
      <c r="X294" s="17"/>
      <c r="Y294" s="17"/>
      <c r="Z294" s="17"/>
      <c r="AA294" s="17"/>
      <c r="AB294" s="17"/>
      <c r="AC294" s="17"/>
      <c r="AD294" s="17"/>
      <c r="AE294" s="17"/>
      <c r="AF294" s="17"/>
      <c r="AG294" s="17"/>
      <c r="AH294" s="17"/>
      <c r="AI294" s="17"/>
    </row>
    <row r="295" hidden="1">
      <c r="A295" s="34">
        <f t="shared" si="7"/>
        <v>294</v>
      </c>
      <c r="B295" s="35" t="s">
        <v>52</v>
      </c>
      <c r="C295" s="34" t="s">
        <v>3224</v>
      </c>
      <c r="D295" s="34" t="s">
        <v>3225</v>
      </c>
      <c r="E295" s="34">
        <v>22.168310999999999</v>
      </c>
      <c r="F295" s="34">
        <v>87.537439000000006</v>
      </c>
      <c r="G295" s="34" t="s">
        <v>7956</v>
      </c>
      <c r="H295" s="34" t="s">
        <v>8009</v>
      </c>
      <c r="I295" s="35" t="s">
        <v>2248</v>
      </c>
      <c r="J295" s="35">
        <v>9635120146</v>
      </c>
      <c r="K295" s="35" t="s">
        <v>2248</v>
      </c>
      <c r="L295" s="35">
        <v>8100154683</v>
      </c>
      <c r="M295" s="35"/>
      <c r="N295" s="17"/>
      <c r="O295" s="17"/>
      <c r="P295" s="17"/>
      <c r="Q295" s="17"/>
      <c r="R295" s="17"/>
      <c r="S295" s="17"/>
      <c r="T295" s="17"/>
      <c r="U295" s="17"/>
      <c r="V295" s="17"/>
      <c r="W295" s="17"/>
      <c r="X295" s="17"/>
      <c r="Y295" s="17"/>
      <c r="Z295" s="17"/>
      <c r="AA295" s="17"/>
      <c r="AB295" s="17"/>
      <c r="AC295" s="17"/>
      <c r="AD295" s="17"/>
      <c r="AE295" s="17"/>
      <c r="AF295" s="17"/>
      <c r="AG295" s="17"/>
      <c r="AH295" s="17"/>
      <c r="AI295" s="17"/>
    </row>
    <row r="296" hidden="1">
      <c r="A296" s="34">
        <f t="shared" si="7"/>
        <v>295</v>
      </c>
      <c r="B296" s="35" t="s">
        <v>52</v>
      </c>
      <c r="C296" s="34" t="s">
        <v>3228</v>
      </c>
      <c r="D296" s="34" t="s">
        <v>8237</v>
      </c>
      <c r="E296" s="34">
        <v>22.226158999999999</v>
      </c>
      <c r="F296" s="34">
        <v>87.563316</v>
      </c>
      <c r="G296" s="34" t="s">
        <v>8104</v>
      </c>
      <c r="H296" s="34" t="s">
        <v>7987</v>
      </c>
      <c r="I296" s="35" t="s">
        <v>2680</v>
      </c>
      <c r="J296" s="34">
        <v>7797440223</v>
      </c>
      <c r="K296" s="34" t="s">
        <v>2680</v>
      </c>
      <c r="L296" s="34">
        <v>7797440223</v>
      </c>
      <c r="M296" s="34"/>
      <c r="N296" s="17"/>
      <c r="O296" s="17"/>
      <c r="P296" s="17"/>
      <c r="Q296" s="17"/>
      <c r="R296" s="17"/>
      <c r="S296" s="17"/>
      <c r="T296" s="17"/>
      <c r="U296" s="17"/>
      <c r="V296" s="17"/>
      <c r="W296" s="17"/>
      <c r="X296" s="17"/>
      <c r="Y296" s="17"/>
      <c r="Z296" s="17"/>
      <c r="AA296" s="17"/>
      <c r="AB296" s="17"/>
      <c r="AC296" s="17"/>
      <c r="AD296" s="17"/>
      <c r="AE296" s="17"/>
      <c r="AF296" s="17"/>
      <c r="AG296" s="17"/>
      <c r="AH296" s="17"/>
      <c r="AI296" s="17"/>
    </row>
    <row r="297" ht="20.399999999999999" hidden="1">
      <c r="A297" s="34">
        <f t="shared" si="7"/>
        <v>296</v>
      </c>
      <c r="B297" s="35" t="s">
        <v>52</v>
      </c>
      <c r="C297" s="34" t="s">
        <v>3231</v>
      </c>
      <c r="D297" s="34" t="s">
        <v>3232</v>
      </c>
      <c r="E297" s="34">
        <v>22.144321999999999</v>
      </c>
      <c r="F297" s="34">
        <v>87.620447999999996</v>
      </c>
      <c r="G297" s="34" t="s">
        <v>7956</v>
      </c>
      <c r="H297" s="34" t="s">
        <v>7987</v>
      </c>
      <c r="I297" s="35" t="s">
        <v>3136</v>
      </c>
      <c r="J297" s="34">
        <v>6290825031</v>
      </c>
      <c r="K297" s="122" t="s">
        <v>3136</v>
      </c>
      <c r="L297" s="35">
        <v>6290825031</v>
      </c>
      <c r="M297" s="35"/>
      <c r="N297" s="17"/>
      <c r="O297" s="17"/>
      <c r="P297" s="17"/>
      <c r="Q297" s="17"/>
      <c r="R297" s="17"/>
      <c r="S297" s="17"/>
      <c r="T297" s="17"/>
      <c r="U297" s="17"/>
      <c r="V297" s="17"/>
      <c r="W297" s="17"/>
      <c r="X297" s="17"/>
      <c r="Y297" s="17"/>
      <c r="Z297" s="17"/>
      <c r="AA297" s="17"/>
      <c r="AB297" s="17"/>
      <c r="AC297" s="17"/>
      <c r="AD297" s="17"/>
      <c r="AE297" s="17"/>
      <c r="AF297" s="17"/>
      <c r="AG297" s="17"/>
      <c r="AH297" s="17"/>
      <c r="AI297" s="17"/>
    </row>
    <row r="298" hidden="1">
      <c r="A298" s="34">
        <f t="shared" si="7"/>
        <v>297</v>
      </c>
      <c r="B298" s="35" t="s">
        <v>52</v>
      </c>
      <c r="C298" s="34" t="s">
        <v>3234</v>
      </c>
      <c r="D298" s="34" t="s">
        <v>3235</v>
      </c>
      <c r="E298" s="34">
        <v>22.224295000000001</v>
      </c>
      <c r="F298" s="34">
        <v>87.641659000000004</v>
      </c>
      <c r="G298" s="34" t="s">
        <v>7956</v>
      </c>
      <c r="H298" s="34" t="s">
        <v>7987</v>
      </c>
      <c r="I298" s="35" t="s">
        <v>166</v>
      </c>
      <c r="J298" s="34">
        <v>9775477549</v>
      </c>
      <c r="K298" s="34" t="s">
        <v>166</v>
      </c>
      <c r="L298" s="34">
        <v>9775477549</v>
      </c>
      <c r="M298" s="34"/>
      <c r="N298" s="17"/>
      <c r="O298" s="17"/>
      <c r="P298" s="17"/>
      <c r="Q298" s="17"/>
      <c r="R298" s="17"/>
      <c r="S298" s="17"/>
      <c r="T298" s="17"/>
      <c r="U298" s="17"/>
      <c r="V298" s="17"/>
      <c r="W298" s="17"/>
      <c r="X298" s="17"/>
      <c r="Y298" s="17"/>
      <c r="Z298" s="17"/>
      <c r="AA298" s="17"/>
      <c r="AB298" s="17"/>
      <c r="AC298" s="17"/>
      <c r="AD298" s="17"/>
      <c r="AE298" s="17"/>
      <c r="AF298" s="17"/>
      <c r="AG298" s="17"/>
      <c r="AH298" s="17"/>
      <c r="AI298" s="17"/>
    </row>
    <row r="299" hidden="1">
      <c r="A299" s="34">
        <f t="shared" si="7"/>
        <v>298</v>
      </c>
      <c r="B299" s="35" t="s">
        <v>52</v>
      </c>
      <c r="C299" s="34" t="s">
        <v>3237</v>
      </c>
      <c r="D299" s="34" t="s">
        <v>3238</v>
      </c>
      <c r="E299" s="34">
        <v>22.198357999999999</v>
      </c>
      <c r="F299" s="34">
        <v>87.709408999999994</v>
      </c>
      <c r="G299" s="34" t="s">
        <v>7956</v>
      </c>
      <c r="H299" s="34" t="s">
        <v>7987</v>
      </c>
      <c r="I299" s="35" t="s">
        <v>166</v>
      </c>
      <c r="J299" s="34">
        <v>9775477549</v>
      </c>
      <c r="K299" s="34" t="s">
        <v>166</v>
      </c>
      <c r="L299" s="34">
        <v>9775477549</v>
      </c>
      <c r="M299" s="34"/>
      <c r="N299" s="17"/>
      <c r="O299" s="17"/>
      <c r="P299" s="17"/>
      <c r="Q299" s="17"/>
      <c r="R299" s="17"/>
      <c r="S299" s="17"/>
      <c r="T299" s="17"/>
      <c r="U299" s="17"/>
      <c r="V299" s="17"/>
      <c r="W299" s="17"/>
      <c r="X299" s="17"/>
      <c r="Y299" s="17"/>
      <c r="Z299" s="17"/>
      <c r="AA299" s="17"/>
      <c r="AB299" s="17"/>
      <c r="AC299" s="17"/>
      <c r="AD299" s="17"/>
      <c r="AE299" s="17"/>
      <c r="AF299" s="17"/>
      <c r="AG299" s="17"/>
      <c r="AH299" s="17"/>
      <c r="AI299" s="17"/>
    </row>
    <row r="300" hidden="1">
      <c r="A300" s="34">
        <f t="shared" si="7"/>
        <v>299</v>
      </c>
      <c r="B300" s="35" t="s">
        <v>52</v>
      </c>
      <c r="C300" s="34" t="s">
        <v>3240</v>
      </c>
      <c r="D300" s="34" t="s">
        <v>8238</v>
      </c>
      <c r="E300" s="34">
        <v>22.160038</v>
      </c>
      <c r="F300" s="34">
        <v>87.497684000000007</v>
      </c>
      <c r="G300" s="34" t="s">
        <v>7956</v>
      </c>
      <c r="H300" s="34" t="s">
        <v>7987</v>
      </c>
      <c r="I300" s="35" t="s">
        <v>2248</v>
      </c>
      <c r="J300" s="35">
        <v>9635120146</v>
      </c>
      <c r="K300" s="35" t="s">
        <v>2248</v>
      </c>
      <c r="L300" s="35">
        <v>8100154683</v>
      </c>
      <c r="M300" s="35"/>
      <c r="N300" s="17"/>
      <c r="O300" s="17"/>
      <c r="P300" s="17"/>
      <c r="Q300" s="17"/>
      <c r="R300" s="17"/>
      <c r="S300" s="17"/>
      <c r="T300" s="17"/>
      <c r="U300" s="17"/>
      <c r="V300" s="17"/>
      <c r="W300" s="17"/>
      <c r="X300" s="17"/>
      <c r="Y300" s="17"/>
      <c r="Z300" s="17"/>
      <c r="AA300" s="17"/>
      <c r="AB300" s="17"/>
      <c r="AC300" s="17"/>
      <c r="AD300" s="17"/>
      <c r="AE300" s="17"/>
      <c r="AF300" s="17"/>
      <c r="AG300" s="17"/>
      <c r="AH300" s="17"/>
      <c r="AI300" s="17"/>
    </row>
    <row r="301" hidden="1">
      <c r="A301" s="34">
        <f t="shared" si="7"/>
        <v>300</v>
      </c>
      <c r="B301" s="35" t="s">
        <v>52</v>
      </c>
      <c r="C301" s="34" t="s">
        <v>3243</v>
      </c>
      <c r="D301" s="34" t="s">
        <v>3244</v>
      </c>
      <c r="E301" s="34">
        <v>22.111640999999999</v>
      </c>
      <c r="F301" s="34">
        <v>87.537302999999994</v>
      </c>
      <c r="G301" s="34" t="s">
        <v>7956</v>
      </c>
      <c r="H301" s="34" t="s">
        <v>7987</v>
      </c>
      <c r="I301" s="35" t="s">
        <v>2248</v>
      </c>
      <c r="J301" s="35">
        <v>9635120146</v>
      </c>
      <c r="K301" s="35" t="s">
        <v>2248</v>
      </c>
      <c r="L301" s="35">
        <v>8100154683</v>
      </c>
      <c r="M301" s="35"/>
      <c r="N301" s="17"/>
      <c r="O301" s="17"/>
      <c r="P301" s="17"/>
      <c r="Q301" s="17"/>
      <c r="R301" s="17"/>
      <c r="S301" s="17"/>
      <c r="T301" s="17"/>
      <c r="U301" s="17"/>
      <c r="V301" s="17"/>
      <c r="W301" s="17"/>
      <c r="X301" s="17"/>
      <c r="Y301" s="17"/>
      <c r="Z301" s="17"/>
      <c r="AA301" s="17"/>
      <c r="AB301" s="17"/>
      <c r="AC301" s="17"/>
      <c r="AD301" s="17"/>
      <c r="AE301" s="17"/>
      <c r="AF301" s="17"/>
      <c r="AG301" s="17"/>
      <c r="AH301" s="17"/>
      <c r="AI301" s="17"/>
    </row>
    <row r="302" ht="20.399999999999999" hidden="1">
      <c r="A302" s="34">
        <f t="shared" si="7"/>
        <v>301</v>
      </c>
      <c r="B302" s="35" t="s">
        <v>52</v>
      </c>
      <c r="C302" s="34" t="s">
        <v>3246</v>
      </c>
      <c r="D302" s="34" t="s">
        <v>8239</v>
      </c>
      <c r="E302" s="34">
        <v>22.198809000000001</v>
      </c>
      <c r="F302" s="34">
        <v>87.635220000000004</v>
      </c>
      <c r="G302" s="34" t="s">
        <v>7956</v>
      </c>
      <c r="H302" s="34" t="s">
        <v>7987</v>
      </c>
      <c r="I302" s="35" t="s">
        <v>3136</v>
      </c>
      <c r="J302" s="34">
        <v>6290825031</v>
      </c>
      <c r="K302" s="122" t="s">
        <v>3136</v>
      </c>
      <c r="L302" s="35">
        <v>6290825031</v>
      </c>
      <c r="M302" s="35"/>
      <c r="N302" s="17"/>
      <c r="O302" s="17"/>
      <c r="P302" s="17"/>
      <c r="Q302" s="17"/>
      <c r="R302" s="17"/>
      <c r="S302" s="17"/>
      <c r="T302" s="17"/>
      <c r="U302" s="17"/>
      <c r="V302" s="17"/>
      <c r="W302" s="17"/>
      <c r="X302" s="17"/>
      <c r="Y302" s="17"/>
      <c r="Z302" s="17"/>
      <c r="AA302" s="17"/>
      <c r="AB302" s="17"/>
      <c r="AC302" s="17"/>
      <c r="AD302" s="17"/>
      <c r="AE302" s="17"/>
      <c r="AF302" s="17"/>
      <c r="AG302" s="17"/>
      <c r="AH302" s="17"/>
      <c r="AI302" s="17"/>
    </row>
    <row r="303" ht="20.399999999999999" hidden="1">
      <c r="A303" s="34">
        <f t="shared" si="7"/>
        <v>302</v>
      </c>
      <c r="B303" s="35" t="s">
        <v>52</v>
      </c>
      <c r="C303" s="34" t="s">
        <v>3249</v>
      </c>
      <c r="D303" s="34" t="s">
        <v>8240</v>
      </c>
      <c r="E303" s="34">
        <v>22.172961999999998</v>
      </c>
      <c r="F303" s="34">
        <v>87.631578000000005</v>
      </c>
      <c r="G303" s="34" t="s">
        <v>7956</v>
      </c>
      <c r="H303" s="34" t="s">
        <v>7987</v>
      </c>
      <c r="I303" s="35" t="s">
        <v>3136</v>
      </c>
      <c r="J303" s="34">
        <v>6290825031</v>
      </c>
      <c r="K303" s="122" t="s">
        <v>3136</v>
      </c>
      <c r="L303" s="34">
        <v>6290825033</v>
      </c>
      <c r="M303" s="34"/>
      <c r="N303" s="17"/>
      <c r="O303" s="17"/>
      <c r="P303" s="17"/>
      <c r="Q303" s="17"/>
      <c r="R303" s="17"/>
      <c r="S303" s="17"/>
      <c r="T303" s="17"/>
      <c r="U303" s="17"/>
      <c r="V303" s="17"/>
      <c r="W303" s="17"/>
      <c r="X303" s="17"/>
      <c r="Y303" s="17"/>
      <c r="Z303" s="17"/>
      <c r="AA303" s="17"/>
      <c r="AB303" s="17"/>
      <c r="AC303" s="17"/>
      <c r="AD303" s="17"/>
      <c r="AE303" s="17"/>
      <c r="AF303" s="17"/>
      <c r="AG303" s="17"/>
      <c r="AH303" s="17"/>
      <c r="AI303" s="17"/>
    </row>
    <row r="304" ht="20.399999999999999" hidden="1">
      <c r="A304" s="34">
        <f t="shared" si="7"/>
        <v>303</v>
      </c>
      <c r="B304" s="35" t="s">
        <v>52</v>
      </c>
      <c r="C304" s="34" t="s">
        <v>3252</v>
      </c>
      <c r="D304" s="34" t="s">
        <v>8241</v>
      </c>
      <c r="E304" s="34">
        <v>22.208338000000001</v>
      </c>
      <c r="F304" s="34">
        <v>87.615870000000001</v>
      </c>
      <c r="G304" s="34" t="s">
        <v>7956</v>
      </c>
      <c r="H304" s="34" t="s">
        <v>7987</v>
      </c>
      <c r="I304" s="35" t="s">
        <v>3136</v>
      </c>
      <c r="J304" s="34">
        <v>6290825031</v>
      </c>
      <c r="K304" s="122" t="s">
        <v>3136</v>
      </c>
      <c r="L304" s="35">
        <v>6290825031</v>
      </c>
      <c r="M304" s="35"/>
      <c r="N304" s="17"/>
      <c r="O304" s="17"/>
      <c r="P304" s="17"/>
      <c r="Q304" s="17"/>
      <c r="R304" s="17"/>
      <c r="S304" s="17"/>
      <c r="T304" s="17"/>
      <c r="U304" s="17"/>
      <c r="V304" s="17"/>
      <c r="W304" s="17"/>
      <c r="X304" s="17"/>
      <c r="Y304" s="17"/>
      <c r="Z304" s="17"/>
      <c r="AA304" s="17"/>
      <c r="AB304" s="17"/>
      <c r="AC304" s="17"/>
      <c r="AD304" s="17"/>
      <c r="AE304" s="17"/>
      <c r="AF304" s="17"/>
      <c r="AG304" s="17"/>
      <c r="AH304" s="17"/>
      <c r="AI304" s="17"/>
    </row>
    <row r="305" ht="20.399999999999999" hidden="1">
      <c r="A305" s="34">
        <f t="shared" si="7"/>
        <v>304</v>
      </c>
      <c r="B305" s="35" t="s">
        <v>52</v>
      </c>
      <c r="C305" s="34" t="s">
        <v>3255</v>
      </c>
      <c r="D305" s="34" t="s">
        <v>8242</v>
      </c>
      <c r="E305" s="34">
        <v>22.153886</v>
      </c>
      <c r="F305" s="34">
        <v>87.699433999999997</v>
      </c>
      <c r="G305" s="34" t="s">
        <v>7956</v>
      </c>
      <c r="H305" s="34" t="s">
        <v>7987</v>
      </c>
      <c r="I305" s="35" t="s">
        <v>3136</v>
      </c>
      <c r="J305" s="34">
        <v>6290825031</v>
      </c>
      <c r="K305" s="122" t="s">
        <v>3136</v>
      </c>
      <c r="L305" s="35">
        <v>6290825031</v>
      </c>
      <c r="M305" s="35"/>
      <c r="N305" s="17"/>
      <c r="O305" s="17"/>
      <c r="P305" s="17"/>
      <c r="Q305" s="17"/>
      <c r="R305" s="17"/>
      <c r="S305" s="17"/>
      <c r="T305" s="17"/>
      <c r="U305" s="17"/>
      <c r="V305" s="17"/>
      <c r="W305" s="17"/>
      <c r="X305" s="17"/>
      <c r="Y305" s="17"/>
      <c r="Z305" s="17"/>
      <c r="AA305" s="17"/>
      <c r="AB305" s="17"/>
      <c r="AC305" s="17"/>
      <c r="AD305" s="17"/>
      <c r="AE305" s="17"/>
      <c r="AF305" s="17"/>
      <c r="AG305" s="17"/>
      <c r="AH305" s="17"/>
      <c r="AI305" s="17"/>
    </row>
    <row r="306" hidden="1">
      <c r="A306" s="34">
        <f t="shared" si="7"/>
        <v>305</v>
      </c>
      <c r="B306" s="35" t="s">
        <v>52</v>
      </c>
      <c r="C306" s="34" t="s">
        <v>3258</v>
      </c>
      <c r="D306" s="34" t="s">
        <v>3140</v>
      </c>
      <c r="E306" s="34">
        <v>22.138254</v>
      </c>
      <c r="F306" s="34">
        <v>87.556287999999995</v>
      </c>
      <c r="G306" s="34" t="s">
        <v>7956</v>
      </c>
      <c r="H306" s="34" t="s">
        <v>7987</v>
      </c>
      <c r="I306" s="35" t="s">
        <v>2248</v>
      </c>
      <c r="J306" s="35">
        <v>9635120146</v>
      </c>
      <c r="K306" s="35" t="s">
        <v>2248</v>
      </c>
      <c r="L306" s="35">
        <v>8100154683</v>
      </c>
      <c r="M306" s="35"/>
      <c r="N306" s="17"/>
      <c r="O306" s="17"/>
      <c r="P306" s="17"/>
      <c r="Q306" s="17"/>
      <c r="R306" s="17"/>
      <c r="S306" s="17"/>
      <c r="T306" s="17"/>
      <c r="U306" s="17"/>
      <c r="V306" s="17"/>
      <c r="W306" s="17"/>
      <c r="X306" s="17"/>
      <c r="Y306" s="17"/>
      <c r="Z306" s="17"/>
      <c r="AA306" s="17"/>
      <c r="AB306" s="17"/>
      <c r="AC306" s="17"/>
      <c r="AD306" s="17"/>
      <c r="AE306" s="17"/>
      <c r="AF306" s="17"/>
      <c r="AG306" s="17"/>
      <c r="AH306" s="17"/>
      <c r="AI306" s="17"/>
    </row>
    <row r="307" ht="20.399999999999999" hidden="1">
      <c r="A307" s="34">
        <f t="shared" si="7"/>
        <v>306</v>
      </c>
      <c r="B307" s="35" t="s">
        <v>52</v>
      </c>
      <c r="C307" s="34" t="s">
        <v>3260</v>
      </c>
      <c r="D307" s="34" t="s">
        <v>8243</v>
      </c>
      <c r="E307" s="34">
        <v>22.193062999999999</v>
      </c>
      <c r="F307" s="34">
        <v>87.674141000000006</v>
      </c>
      <c r="G307" s="34" t="s">
        <v>7956</v>
      </c>
      <c r="H307" s="34" t="s">
        <v>7987</v>
      </c>
      <c r="I307" s="35" t="s">
        <v>3136</v>
      </c>
      <c r="J307" s="34">
        <v>6290825031</v>
      </c>
      <c r="K307" s="122" t="s">
        <v>3136</v>
      </c>
      <c r="L307" s="35">
        <v>6290825031</v>
      </c>
      <c r="M307" s="35"/>
      <c r="N307" s="17"/>
      <c r="O307" s="17"/>
      <c r="P307" s="17"/>
      <c r="Q307" s="17"/>
      <c r="R307" s="17"/>
      <c r="S307" s="17"/>
      <c r="T307" s="17"/>
      <c r="U307" s="17"/>
      <c r="V307" s="17"/>
      <c r="W307" s="17"/>
      <c r="X307" s="17"/>
      <c r="Y307" s="17"/>
      <c r="Z307" s="17"/>
      <c r="AA307" s="17"/>
      <c r="AB307" s="17"/>
      <c r="AC307" s="17"/>
      <c r="AD307" s="17"/>
      <c r="AE307" s="17"/>
      <c r="AF307" s="17"/>
      <c r="AG307" s="17"/>
      <c r="AH307" s="17"/>
      <c r="AI307" s="17"/>
    </row>
    <row r="308" hidden="1">
      <c r="A308" s="34">
        <f t="shared" si="7"/>
        <v>307</v>
      </c>
      <c r="B308" s="35" t="s">
        <v>52</v>
      </c>
      <c r="C308" s="34" t="s">
        <v>3263</v>
      </c>
      <c r="D308" s="34" t="s">
        <v>3264</v>
      </c>
      <c r="E308" s="34">
        <v>22.148116000000002</v>
      </c>
      <c r="F308" s="34">
        <v>87.578699</v>
      </c>
      <c r="G308" s="34" t="s">
        <v>7956</v>
      </c>
      <c r="H308" s="34" t="s">
        <v>7987</v>
      </c>
      <c r="I308" s="35" t="s">
        <v>2248</v>
      </c>
      <c r="J308" s="35">
        <v>9635120146</v>
      </c>
      <c r="K308" s="35" t="s">
        <v>2248</v>
      </c>
      <c r="L308" s="35">
        <v>8100154683</v>
      </c>
      <c r="M308" s="35"/>
      <c r="N308" s="17"/>
      <c r="O308" s="17"/>
      <c r="P308" s="17"/>
      <c r="Q308" s="17"/>
      <c r="R308" s="17"/>
      <c r="S308" s="17"/>
      <c r="T308" s="17"/>
      <c r="U308" s="17"/>
      <c r="V308" s="17"/>
      <c r="W308" s="17"/>
      <c r="X308" s="17"/>
      <c r="Y308" s="17"/>
      <c r="Z308" s="17"/>
      <c r="AA308" s="17"/>
      <c r="AB308" s="17"/>
      <c r="AC308" s="17"/>
      <c r="AD308" s="17"/>
      <c r="AE308" s="17"/>
      <c r="AF308" s="17"/>
      <c r="AG308" s="17"/>
      <c r="AH308" s="17"/>
      <c r="AI308" s="17"/>
    </row>
    <row r="309" hidden="1">
      <c r="A309" s="34">
        <f t="shared" si="7"/>
        <v>308</v>
      </c>
      <c r="B309" s="35" t="s">
        <v>52</v>
      </c>
      <c r="C309" s="34" t="s">
        <v>3266</v>
      </c>
      <c r="D309" s="34" t="s">
        <v>3267</v>
      </c>
      <c r="E309" s="34">
        <v>22.221419999999998</v>
      </c>
      <c r="F309" s="34">
        <v>87.681509000000005</v>
      </c>
      <c r="G309" s="34" t="s">
        <v>7956</v>
      </c>
      <c r="H309" s="34" t="s">
        <v>7987</v>
      </c>
      <c r="I309" s="35" t="s">
        <v>166</v>
      </c>
      <c r="J309" s="34">
        <v>9775477549</v>
      </c>
      <c r="K309" s="34" t="s">
        <v>166</v>
      </c>
      <c r="L309" s="34">
        <v>9775477549</v>
      </c>
      <c r="M309" s="34"/>
      <c r="N309" s="17"/>
      <c r="O309" s="17"/>
      <c r="P309" s="17"/>
      <c r="Q309" s="17"/>
      <c r="R309" s="17"/>
      <c r="S309" s="17"/>
      <c r="T309" s="17"/>
      <c r="U309" s="17"/>
      <c r="V309" s="17"/>
      <c r="W309" s="17"/>
      <c r="X309" s="17"/>
      <c r="Y309" s="17"/>
      <c r="Z309" s="17"/>
      <c r="AA309" s="17"/>
      <c r="AB309" s="17"/>
      <c r="AC309" s="17"/>
      <c r="AD309" s="17"/>
      <c r="AE309" s="17"/>
      <c r="AF309" s="17"/>
      <c r="AG309" s="17"/>
      <c r="AH309" s="17"/>
      <c r="AI309" s="17"/>
    </row>
    <row r="310" ht="20.399999999999999" hidden="1">
      <c r="A310" s="34">
        <f t="shared" si="7"/>
        <v>309</v>
      </c>
      <c r="B310" s="35" t="s">
        <v>52</v>
      </c>
      <c r="C310" s="34" t="s">
        <v>3268</v>
      </c>
      <c r="D310" s="34" t="s">
        <v>3269</v>
      </c>
      <c r="E310" s="34">
        <v>22.123059000000001</v>
      </c>
      <c r="F310" s="34">
        <v>87.606476999999998</v>
      </c>
      <c r="G310" s="34" t="s">
        <v>7956</v>
      </c>
      <c r="H310" s="34" t="s">
        <v>7987</v>
      </c>
      <c r="I310" s="35" t="s">
        <v>3136</v>
      </c>
      <c r="J310" s="34">
        <v>6290825031</v>
      </c>
      <c r="K310" s="122" t="s">
        <v>3136</v>
      </c>
      <c r="L310" s="35">
        <v>6290825031</v>
      </c>
      <c r="M310" s="35"/>
      <c r="N310" s="17"/>
      <c r="O310" s="17"/>
      <c r="P310" s="17"/>
      <c r="Q310" s="17"/>
      <c r="R310" s="17"/>
      <c r="S310" s="17"/>
      <c r="T310" s="17"/>
      <c r="U310" s="17"/>
      <c r="V310" s="17"/>
      <c r="W310" s="17"/>
      <c r="X310" s="17"/>
      <c r="Y310" s="17"/>
      <c r="Z310" s="17"/>
      <c r="AA310" s="17"/>
      <c r="AB310" s="17"/>
      <c r="AC310" s="17"/>
      <c r="AD310" s="17"/>
      <c r="AE310" s="17"/>
      <c r="AF310" s="17"/>
      <c r="AG310" s="17"/>
      <c r="AH310" s="17"/>
      <c r="AI310" s="17"/>
    </row>
    <row r="311" hidden="1">
      <c r="A311" s="34">
        <f t="shared" si="7"/>
        <v>310</v>
      </c>
      <c r="B311" s="35" t="s">
        <v>52</v>
      </c>
      <c r="C311" s="34" t="s">
        <v>3271</v>
      </c>
      <c r="D311" s="34" t="s">
        <v>3272</v>
      </c>
      <c r="E311" s="34">
        <v>22.317117</v>
      </c>
      <c r="F311" s="34">
        <v>87.470321999999996</v>
      </c>
      <c r="G311" s="34" t="s">
        <v>7954</v>
      </c>
      <c r="H311" s="34" t="s">
        <v>7987</v>
      </c>
      <c r="I311" s="35" t="s">
        <v>2284</v>
      </c>
      <c r="J311" s="34">
        <v>6382439675</v>
      </c>
      <c r="K311" s="34" t="s">
        <v>2284</v>
      </c>
      <c r="L311" s="34">
        <v>6382439675</v>
      </c>
      <c r="M311" s="34"/>
      <c r="N311" s="17"/>
      <c r="O311" s="17"/>
      <c r="P311" s="17"/>
      <c r="Q311" s="17"/>
      <c r="R311" s="17"/>
      <c r="S311" s="17"/>
      <c r="T311" s="17"/>
      <c r="U311" s="17"/>
      <c r="V311" s="17"/>
      <c r="W311" s="17"/>
      <c r="X311" s="17"/>
      <c r="Y311" s="17"/>
      <c r="Z311" s="17"/>
      <c r="AA311" s="17"/>
      <c r="AB311" s="17"/>
      <c r="AC311" s="17"/>
      <c r="AD311" s="17"/>
      <c r="AE311" s="17"/>
      <c r="AF311" s="17"/>
      <c r="AG311" s="17"/>
      <c r="AH311" s="17"/>
      <c r="AI311" s="17"/>
    </row>
    <row r="312" hidden="1">
      <c r="A312" s="34">
        <f t="shared" si="7"/>
        <v>311</v>
      </c>
      <c r="B312" s="35" t="s">
        <v>52</v>
      </c>
      <c r="C312" s="34" t="s">
        <v>3277</v>
      </c>
      <c r="D312" s="34" t="s">
        <v>3278</v>
      </c>
      <c r="E312" s="34">
        <v>22.296036000000001</v>
      </c>
      <c r="F312" s="34">
        <v>87.615692999999993</v>
      </c>
      <c r="G312" s="34" t="s">
        <v>7955</v>
      </c>
      <c r="H312" s="34" t="s">
        <v>7987</v>
      </c>
      <c r="I312" s="35" t="s">
        <v>1579</v>
      </c>
      <c r="J312" s="34">
        <v>7003188299</v>
      </c>
      <c r="K312" s="34" t="s">
        <v>1579</v>
      </c>
      <c r="L312" s="34">
        <v>7003188299</v>
      </c>
      <c r="M312" s="34">
        <v>55</v>
      </c>
      <c r="N312" s="17"/>
      <c r="O312" s="17"/>
      <c r="P312" s="17"/>
      <c r="Q312" s="17"/>
      <c r="R312" s="17"/>
      <c r="S312" s="17"/>
      <c r="T312" s="17"/>
      <c r="U312" s="17"/>
      <c r="V312" s="17" t="s">
        <v>7991</v>
      </c>
      <c r="W312" s="17" t="s">
        <v>8006</v>
      </c>
      <c r="X312" s="17">
        <v>3</v>
      </c>
      <c r="Y312" s="17" t="s">
        <v>7991</v>
      </c>
      <c r="Z312" s="17" t="s">
        <v>8058</v>
      </c>
      <c r="AA312" s="17" t="s">
        <v>8244</v>
      </c>
      <c r="AB312" s="17" t="s">
        <v>8245</v>
      </c>
      <c r="AC312" s="17" t="s">
        <v>8246</v>
      </c>
      <c r="AD312" s="17"/>
      <c r="AE312" s="17"/>
      <c r="AF312" s="17"/>
      <c r="AG312" s="17"/>
      <c r="AH312" s="17"/>
      <c r="AI312" s="17"/>
    </row>
    <row r="313">
      <c r="A313" s="34">
        <f t="shared" si="7"/>
        <v>312</v>
      </c>
      <c r="B313" s="35" t="s">
        <v>52</v>
      </c>
      <c r="C313" s="34" t="s">
        <v>3283</v>
      </c>
      <c r="D313" s="34" t="s">
        <v>8247</v>
      </c>
      <c r="E313" s="34">
        <v>22.15099</v>
      </c>
      <c r="F313" s="34">
        <v>87.244960000000006</v>
      </c>
      <c r="G313" s="34" t="s">
        <v>7954</v>
      </c>
      <c r="H313" s="34" t="s">
        <v>8009</v>
      </c>
      <c r="I313" s="38" t="s">
        <v>2710</v>
      </c>
      <c r="J313" s="34">
        <v>9366758165</v>
      </c>
      <c r="K313" s="35" t="s">
        <v>8169</v>
      </c>
      <c r="L313" s="35">
        <v>8927909951</v>
      </c>
      <c r="M313" s="35"/>
      <c r="N313" s="17"/>
      <c r="O313" s="17"/>
      <c r="P313" s="17"/>
      <c r="Q313" s="17"/>
      <c r="R313" s="17"/>
      <c r="S313" s="17"/>
      <c r="T313" s="17"/>
      <c r="U313" s="17"/>
      <c r="V313" s="17"/>
      <c r="W313" s="17"/>
      <c r="X313" s="17"/>
      <c r="Y313" s="17"/>
      <c r="Z313" s="17"/>
      <c r="AA313" s="17"/>
      <c r="AB313" s="17"/>
      <c r="AC313" s="17"/>
      <c r="AD313" s="17"/>
      <c r="AE313" s="17"/>
      <c r="AF313" s="17"/>
      <c r="AG313" s="17"/>
      <c r="AH313" s="17"/>
      <c r="AI313" s="17"/>
    </row>
    <row r="314" hidden="1">
      <c r="A314" s="34">
        <f t="shared" si="7"/>
        <v>313</v>
      </c>
      <c r="B314" s="35" t="s">
        <v>52</v>
      </c>
      <c r="C314" s="34" t="s">
        <v>3286</v>
      </c>
      <c r="D314" s="34" t="s">
        <v>3287</v>
      </c>
      <c r="E314" s="34">
        <v>22.040818999999999</v>
      </c>
      <c r="F314" s="34">
        <v>87.319139000000007</v>
      </c>
      <c r="G314" s="34" t="s">
        <v>7959</v>
      </c>
      <c r="H314" s="34" t="s">
        <v>7987</v>
      </c>
      <c r="I314" s="35" t="s">
        <v>2223</v>
      </c>
      <c r="J314" s="35">
        <v>9734686687</v>
      </c>
      <c r="K314" s="35" t="s">
        <v>2223</v>
      </c>
      <c r="L314" s="35">
        <v>9734686688</v>
      </c>
      <c r="M314" s="35"/>
      <c r="N314" s="17"/>
      <c r="O314" s="17"/>
      <c r="P314" s="17"/>
      <c r="Q314" s="17"/>
      <c r="R314" s="17"/>
      <c r="S314" s="17"/>
      <c r="T314" s="17"/>
      <c r="U314" s="17"/>
      <c r="V314" s="17"/>
      <c r="W314" s="17"/>
      <c r="X314" s="17"/>
      <c r="Y314" s="17"/>
      <c r="Z314" s="17"/>
      <c r="AA314" s="17"/>
      <c r="AB314" s="17"/>
      <c r="AC314" s="17"/>
      <c r="AD314" s="17"/>
      <c r="AE314" s="17"/>
      <c r="AF314" s="17"/>
      <c r="AG314" s="17"/>
      <c r="AH314" s="17"/>
      <c r="AI314" s="17"/>
    </row>
    <row r="315">
      <c r="A315" s="34">
        <f t="shared" si="7"/>
        <v>314</v>
      </c>
      <c r="B315" s="35" t="s">
        <v>52</v>
      </c>
      <c r="C315" s="34" t="s">
        <v>3291</v>
      </c>
      <c r="D315" s="34" t="s">
        <v>3292</v>
      </c>
      <c r="E315" s="34">
        <v>22.193314999999998</v>
      </c>
      <c r="F315" s="34">
        <v>87.280844000000002</v>
      </c>
      <c r="G315" s="34" t="s">
        <v>7954</v>
      </c>
      <c r="H315" s="34" t="s">
        <v>7987</v>
      </c>
      <c r="I315" s="38" t="s">
        <v>2710</v>
      </c>
      <c r="J315" s="34">
        <v>9366758165</v>
      </c>
      <c r="K315" s="35" t="s">
        <v>8169</v>
      </c>
      <c r="L315" s="35">
        <v>8927909951</v>
      </c>
      <c r="M315" s="35"/>
      <c r="N315" s="17"/>
      <c r="O315" s="17"/>
      <c r="P315" s="17"/>
      <c r="Q315" s="17"/>
      <c r="R315" s="17"/>
      <c r="S315" s="17"/>
      <c r="T315" s="17"/>
      <c r="U315" s="17"/>
      <c r="V315" s="17"/>
      <c r="W315" s="17"/>
      <c r="X315" s="17"/>
      <c r="Y315" s="17"/>
      <c r="Z315" s="17"/>
      <c r="AA315" s="17"/>
      <c r="AB315" s="17"/>
      <c r="AC315" s="17"/>
      <c r="AD315" s="17"/>
      <c r="AE315" s="17"/>
      <c r="AF315" s="17"/>
      <c r="AG315" s="17"/>
      <c r="AH315" s="17"/>
      <c r="AI315" s="17"/>
    </row>
    <row r="316" hidden="1">
      <c r="A316" s="34">
        <f t="shared" si="7"/>
        <v>315</v>
      </c>
      <c r="B316" s="35" t="s">
        <v>52</v>
      </c>
      <c r="C316" s="34" t="s">
        <v>3294</v>
      </c>
      <c r="D316" s="34" t="s">
        <v>3295</v>
      </c>
      <c r="E316" s="34">
        <v>22.063071999999998</v>
      </c>
      <c r="F316" s="34">
        <v>87.283489000000003</v>
      </c>
      <c r="G316" s="34" t="s">
        <v>7954</v>
      </c>
      <c r="H316" s="34" t="s">
        <v>7987</v>
      </c>
      <c r="I316" s="35" t="s">
        <v>2223</v>
      </c>
      <c r="J316" s="35">
        <v>9734686687</v>
      </c>
      <c r="K316" s="35" t="s">
        <v>2223</v>
      </c>
      <c r="L316" s="35">
        <v>9734686689</v>
      </c>
      <c r="M316" s="35"/>
      <c r="N316" s="17"/>
      <c r="O316" s="17"/>
      <c r="P316" s="17"/>
      <c r="Q316" s="17"/>
      <c r="R316" s="17"/>
      <c r="S316" s="17"/>
      <c r="T316" s="17"/>
      <c r="U316" s="17"/>
      <c r="V316" s="17"/>
      <c r="W316" s="17"/>
      <c r="X316" s="17"/>
      <c r="Y316" s="17"/>
      <c r="Z316" s="17"/>
      <c r="AA316" s="17"/>
      <c r="AB316" s="17"/>
      <c r="AC316" s="17"/>
      <c r="AD316" s="17"/>
      <c r="AE316" s="17"/>
      <c r="AF316" s="17"/>
      <c r="AG316" s="17"/>
      <c r="AH316" s="17"/>
      <c r="AI316" s="17"/>
    </row>
    <row r="317" hidden="1">
      <c r="A317" s="34">
        <f t="shared" si="7"/>
        <v>316</v>
      </c>
      <c r="B317" s="35" t="s">
        <v>52</v>
      </c>
      <c r="C317" s="34" t="s">
        <v>3300</v>
      </c>
      <c r="D317" s="34" t="s">
        <v>3301</v>
      </c>
      <c r="E317" s="34">
        <v>22.068145999999999</v>
      </c>
      <c r="F317" s="34">
        <v>87.309059000000005</v>
      </c>
      <c r="G317" s="34" t="s">
        <v>7954</v>
      </c>
      <c r="H317" s="34" t="s">
        <v>7987</v>
      </c>
      <c r="I317" s="35" t="s">
        <v>2223</v>
      </c>
      <c r="J317" s="35">
        <v>9734686687</v>
      </c>
      <c r="K317" s="35" t="s">
        <v>2223</v>
      </c>
      <c r="L317" s="35">
        <v>9734686690</v>
      </c>
      <c r="M317" s="35"/>
      <c r="N317" s="17"/>
      <c r="O317" s="17"/>
      <c r="P317" s="17"/>
      <c r="Q317" s="17"/>
      <c r="R317" s="17"/>
      <c r="S317" s="17"/>
      <c r="T317" s="17"/>
      <c r="U317" s="17"/>
      <c r="V317" s="17"/>
      <c r="W317" s="17"/>
      <c r="X317" s="17"/>
      <c r="Y317" s="17"/>
      <c r="Z317" s="17"/>
      <c r="AA317" s="17"/>
      <c r="AB317" s="17"/>
      <c r="AC317" s="17"/>
      <c r="AD317" s="17"/>
      <c r="AE317" s="17"/>
      <c r="AF317" s="17"/>
      <c r="AG317" s="17"/>
      <c r="AH317" s="17"/>
      <c r="AI317" s="17"/>
    </row>
    <row r="318">
      <c r="A318" s="34">
        <f t="shared" si="7"/>
        <v>317</v>
      </c>
      <c r="B318" s="35" t="s">
        <v>52</v>
      </c>
      <c r="C318" s="34" t="s">
        <v>3307</v>
      </c>
      <c r="D318" s="34" t="s">
        <v>3308</v>
      </c>
      <c r="E318" s="34">
        <v>22.217077</v>
      </c>
      <c r="F318" s="34">
        <v>87.223388</v>
      </c>
      <c r="G318" s="34" t="s">
        <v>7954</v>
      </c>
      <c r="H318" s="34" t="s">
        <v>7987</v>
      </c>
      <c r="I318" s="38" t="s">
        <v>2710</v>
      </c>
      <c r="J318" s="34">
        <v>9366758165</v>
      </c>
      <c r="K318" s="35" t="s">
        <v>8169</v>
      </c>
      <c r="L318" s="35">
        <v>8927909951</v>
      </c>
      <c r="M318" s="35"/>
      <c r="N318" s="17"/>
      <c r="O318" s="17"/>
      <c r="P318" s="17"/>
      <c r="Q318" s="17"/>
      <c r="R318" s="17"/>
      <c r="S318" s="17"/>
      <c r="T318" s="17"/>
      <c r="U318" s="17"/>
      <c r="V318" s="17"/>
      <c r="W318" s="17"/>
      <c r="X318" s="17"/>
      <c r="Y318" s="17"/>
      <c r="Z318" s="17"/>
      <c r="AA318" s="17"/>
      <c r="AB318" s="17"/>
      <c r="AC318" s="17"/>
      <c r="AD318" s="17"/>
      <c r="AE318" s="17"/>
      <c r="AF318" s="17"/>
      <c r="AG318" s="17"/>
      <c r="AH318" s="17"/>
      <c r="AI318" s="17"/>
    </row>
    <row r="319">
      <c r="A319" s="34">
        <f t="shared" si="7"/>
        <v>318</v>
      </c>
      <c r="B319" s="35" t="s">
        <v>52</v>
      </c>
      <c r="C319" s="34" t="s">
        <v>3310</v>
      </c>
      <c r="D319" s="34" t="s">
        <v>3311</v>
      </c>
      <c r="E319" s="34">
        <v>22.163378999999999</v>
      </c>
      <c r="F319" s="34">
        <v>87.271167000000005</v>
      </c>
      <c r="G319" s="34" t="s">
        <v>7954</v>
      </c>
      <c r="H319" s="34" t="s">
        <v>7987</v>
      </c>
      <c r="I319" s="38" t="s">
        <v>2710</v>
      </c>
      <c r="J319" s="34">
        <v>9366758165</v>
      </c>
      <c r="K319" s="35" t="s">
        <v>8169</v>
      </c>
      <c r="L319" s="35">
        <v>8927909951</v>
      </c>
      <c r="M319" s="35"/>
      <c r="N319" s="17"/>
      <c r="O319" s="17"/>
      <c r="P319" s="17"/>
      <c r="Q319" s="17"/>
      <c r="R319" s="17"/>
      <c r="S319" s="17"/>
      <c r="T319" s="17"/>
      <c r="U319" s="17"/>
      <c r="V319" s="17"/>
      <c r="W319" s="17"/>
      <c r="X319" s="17"/>
      <c r="Y319" s="17"/>
      <c r="Z319" s="17"/>
      <c r="AA319" s="17"/>
      <c r="AB319" s="17"/>
      <c r="AC319" s="17"/>
      <c r="AD319" s="17"/>
      <c r="AE319" s="17"/>
      <c r="AF319" s="17"/>
      <c r="AG319" s="17"/>
      <c r="AH319" s="17"/>
      <c r="AI319" s="17"/>
    </row>
    <row r="320">
      <c r="A320" s="34">
        <f t="shared" si="7"/>
        <v>319</v>
      </c>
      <c r="B320" s="35" t="s">
        <v>52</v>
      </c>
      <c r="C320" s="34" t="s">
        <v>3313</v>
      </c>
      <c r="D320" s="34" t="s">
        <v>8248</v>
      </c>
      <c r="E320" s="34">
        <v>22.173793</v>
      </c>
      <c r="F320" s="34">
        <v>87.177790999999999</v>
      </c>
      <c r="G320" s="34" t="s">
        <v>7954</v>
      </c>
      <c r="H320" s="34" t="s">
        <v>7987</v>
      </c>
      <c r="I320" s="38" t="s">
        <v>2710</v>
      </c>
      <c r="J320" s="34">
        <v>9366758165</v>
      </c>
      <c r="K320" s="34" t="s">
        <v>2242</v>
      </c>
      <c r="L320" s="34">
        <v>7797496299</v>
      </c>
      <c r="M320" s="34"/>
      <c r="N320" s="17"/>
      <c r="O320" s="17"/>
      <c r="P320" s="17"/>
      <c r="Q320" s="17"/>
      <c r="R320" s="17"/>
      <c r="S320" s="17"/>
      <c r="T320" s="17"/>
      <c r="U320" s="17"/>
      <c r="V320" s="17"/>
      <c r="W320" s="17"/>
      <c r="X320" s="17"/>
      <c r="Y320" s="17"/>
      <c r="Z320" s="17"/>
      <c r="AA320" s="17"/>
      <c r="AB320" s="17"/>
      <c r="AC320" s="17"/>
      <c r="AD320" s="17"/>
      <c r="AE320" s="17"/>
      <c r="AF320" s="17"/>
      <c r="AG320" s="17"/>
      <c r="AH320" s="17"/>
      <c r="AI320" s="17"/>
    </row>
    <row r="321">
      <c r="A321" s="34">
        <f t="shared" si="7"/>
        <v>320</v>
      </c>
      <c r="B321" s="35" t="s">
        <v>52</v>
      </c>
      <c r="C321" s="34" t="s">
        <v>3316</v>
      </c>
      <c r="D321" s="34" t="s">
        <v>8249</v>
      </c>
      <c r="E321" s="34">
        <v>22.151602</v>
      </c>
      <c r="F321" s="34">
        <v>87.194676999999999</v>
      </c>
      <c r="G321" s="34" t="s">
        <v>7954</v>
      </c>
      <c r="H321" s="34" t="s">
        <v>7987</v>
      </c>
      <c r="I321" s="38" t="s">
        <v>2710</v>
      </c>
      <c r="J321" s="34">
        <v>9366758165</v>
      </c>
      <c r="K321" s="35" t="s">
        <v>8169</v>
      </c>
      <c r="L321" s="35">
        <v>8927909951</v>
      </c>
      <c r="M321" s="35"/>
      <c r="N321" s="17"/>
      <c r="O321" s="17"/>
      <c r="P321" s="17"/>
      <c r="Q321" s="17"/>
      <c r="R321" s="17"/>
      <c r="S321" s="17"/>
      <c r="T321" s="17"/>
      <c r="U321" s="17"/>
      <c r="V321" s="17"/>
      <c r="W321" s="17"/>
      <c r="X321" s="17"/>
      <c r="Y321" s="17"/>
      <c r="Z321" s="17"/>
      <c r="AA321" s="17"/>
      <c r="AB321" s="17"/>
      <c r="AC321" s="17"/>
      <c r="AD321" s="17"/>
      <c r="AE321" s="17"/>
      <c r="AF321" s="17"/>
      <c r="AG321" s="17"/>
      <c r="AH321" s="17"/>
      <c r="AI321" s="17"/>
    </row>
    <row r="322" hidden="1">
      <c r="A322" s="34">
        <f t="shared" si="7"/>
        <v>321</v>
      </c>
      <c r="B322" s="35" t="s">
        <v>52</v>
      </c>
      <c r="C322" s="34" t="s">
        <v>3319</v>
      </c>
      <c r="D322" s="34" t="s">
        <v>8250</v>
      </c>
      <c r="E322" s="34">
        <v>22.128813000000001</v>
      </c>
      <c r="F322" s="34">
        <v>87.191781000000006</v>
      </c>
      <c r="G322" s="34" t="s">
        <v>7954</v>
      </c>
      <c r="H322" s="34" t="s">
        <v>7987</v>
      </c>
      <c r="I322" s="35" t="s">
        <v>2242</v>
      </c>
      <c r="J322" s="34">
        <v>7797496299</v>
      </c>
      <c r="K322" s="34" t="s">
        <v>2242</v>
      </c>
      <c r="L322" s="34">
        <v>7797496299</v>
      </c>
      <c r="M322" s="34"/>
      <c r="N322" s="17"/>
      <c r="O322" s="17"/>
      <c r="P322" s="17"/>
      <c r="Q322" s="17" t="s">
        <v>7991</v>
      </c>
      <c r="R322" s="17" t="s">
        <v>8065</v>
      </c>
      <c r="S322" s="17" t="s">
        <v>8251</v>
      </c>
      <c r="T322" s="17"/>
      <c r="U322" s="17"/>
      <c r="V322" s="17" t="s">
        <v>7991</v>
      </c>
      <c r="W322" s="17" t="s">
        <v>8252</v>
      </c>
      <c r="X322" s="17">
        <v>3</v>
      </c>
      <c r="Y322" s="17" t="s">
        <v>7991</v>
      </c>
      <c r="Z322" s="17" t="s">
        <v>8034</v>
      </c>
      <c r="AA322" s="17" t="s">
        <v>8001</v>
      </c>
      <c r="AB322" s="17" t="s">
        <v>8253</v>
      </c>
      <c r="AC322" s="17" t="s">
        <v>8114</v>
      </c>
      <c r="AD322" s="17"/>
      <c r="AE322" s="17"/>
      <c r="AF322" s="17"/>
      <c r="AG322" s="17"/>
      <c r="AH322" s="17"/>
      <c r="AI322" s="17"/>
    </row>
    <row r="323" hidden="1">
      <c r="A323" s="34">
        <f t="shared" ref="A323:A386" si="8">A322+1</f>
        <v>322</v>
      </c>
      <c r="B323" s="35" t="s">
        <v>52</v>
      </c>
      <c r="C323" s="34" t="s">
        <v>3323</v>
      </c>
      <c r="D323" s="34" t="s">
        <v>8254</v>
      </c>
      <c r="E323" s="34">
        <v>22.120835</v>
      </c>
      <c r="F323" s="34">
        <v>87.173080999999996</v>
      </c>
      <c r="G323" s="34" t="s">
        <v>7954</v>
      </c>
      <c r="H323" s="34" t="s">
        <v>7987</v>
      </c>
      <c r="I323" s="35" t="s">
        <v>2242</v>
      </c>
      <c r="J323" s="34">
        <v>7797496299</v>
      </c>
      <c r="K323" s="34" t="s">
        <v>2242</v>
      </c>
      <c r="L323" s="34">
        <v>7797496299</v>
      </c>
      <c r="M323" s="34"/>
      <c r="N323" s="17"/>
      <c r="O323" s="17"/>
      <c r="P323" s="17"/>
      <c r="Q323" s="17"/>
      <c r="R323" s="17"/>
      <c r="S323" s="17"/>
      <c r="T323" s="17"/>
      <c r="U323" s="17"/>
      <c r="V323" s="17"/>
      <c r="W323" s="17"/>
      <c r="X323" s="17"/>
      <c r="Y323" s="17"/>
      <c r="Z323" s="17"/>
      <c r="AA323" s="17"/>
      <c r="AB323" s="17"/>
      <c r="AC323" s="17"/>
      <c r="AD323" s="17"/>
      <c r="AE323" s="17"/>
      <c r="AF323" s="17"/>
      <c r="AG323" s="17"/>
      <c r="AH323" s="17"/>
      <c r="AI323" s="17"/>
    </row>
    <row r="324" hidden="1">
      <c r="A324" s="34">
        <f t="shared" si="8"/>
        <v>323</v>
      </c>
      <c r="B324" s="35" t="s">
        <v>52</v>
      </c>
      <c r="C324" s="34" t="s">
        <v>3326</v>
      </c>
      <c r="D324" s="34" t="s">
        <v>8072</v>
      </c>
      <c r="E324" s="34">
        <v>22.111689999999999</v>
      </c>
      <c r="F324" s="34">
        <v>87.236896000000002</v>
      </c>
      <c r="G324" s="34" t="s">
        <v>7954</v>
      </c>
      <c r="H324" s="34" t="s">
        <v>7987</v>
      </c>
      <c r="I324" s="35" t="s">
        <v>2242</v>
      </c>
      <c r="J324" s="34">
        <v>7797496299</v>
      </c>
      <c r="K324" s="34" t="s">
        <v>2242</v>
      </c>
      <c r="L324" s="34">
        <v>7797496299</v>
      </c>
      <c r="M324" s="34"/>
      <c r="N324" s="17"/>
      <c r="O324" s="17"/>
      <c r="P324" s="17"/>
      <c r="Q324" s="17"/>
      <c r="R324" s="17"/>
      <c r="S324" s="17"/>
      <c r="T324" s="17"/>
      <c r="U324" s="17"/>
      <c r="V324" s="17"/>
      <c r="W324" s="17"/>
      <c r="X324" s="17"/>
      <c r="Y324" s="17"/>
      <c r="Z324" s="17"/>
      <c r="AA324" s="17"/>
      <c r="AB324" s="17"/>
      <c r="AC324" s="17"/>
      <c r="AD324" s="17"/>
      <c r="AE324" s="17"/>
      <c r="AF324" s="17"/>
      <c r="AG324" s="17"/>
      <c r="AH324" s="17"/>
      <c r="AI324" s="17"/>
    </row>
    <row r="325" hidden="1">
      <c r="A325" s="34">
        <f t="shared" si="8"/>
        <v>324</v>
      </c>
      <c r="B325" s="35" t="s">
        <v>52</v>
      </c>
      <c r="C325" s="34" t="s">
        <v>3330</v>
      </c>
      <c r="D325" s="34" t="s">
        <v>8255</v>
      </c>
      <c r="E325" s="34">
        <v>22.070706999999999</v>
      </c>
      <c r="F325" s="34">
        <v>87.182042999999993</v>
      </c>
      <c r="G325" s="34" t="s">
        <v>7954</v>
      </c>
      <c r="H325" s="34" t="s">
        <v>7987</v>
      </c>
      <c r="I325" s="35" t="s">
        <v>2242</v>
      </c>
      <c r="J325" s="34">
        <v>7797496299</v>
      </c>
      <c r="K325" s="34" t="s">
        <v>2242</v>
      </c>
      <c r="L325" s="34">
        <v>7797496299</v>
      </c>
      <c r="M325" s="34"/>
      <c r="N325" s="17"/>
      <c r="O325" s="17"/>
      <c r="P325" s="17"/>
      <c r="Q325" s="17"/>
      <c r="R325" s="17"/>
      <c r="S325" s="17"/>
      <c r="T325" s="17"/>
      <c r="U325" s="17"/>
      <c r="V325" s="17" t="s">
        <v>7991</v>
      </c>
      <c r="W325" s="17" t="s">
        <v>8014</v>
      </c>
      <c r="X325" s="17">
        <v>2</v>
      </c>
      <c r="Y325" s="17" t="s">
        <v>7991</v>
      </c>
      <c r="Z325" s="17" t="s">
        <v>8034</v>
      </c>
      <c r="AA325" s="17" t="s">
        <v>8001</v>
      </c>
      <c r="AB325" s="17" t="s">
        <v>8256</v>
      </c>
      <c r="AC325" s="17"/>
      <c r="AD325" s="17"/>
      <c r="AE325" s="17"/>
      <c r="AF325" s="17"/>
      <c r="AG325" s="17"/>
      <c r="AH325" s="17"/>
      <c r="AI325" s="17"/>
    </row>
    <row r="326" hidden="1">
      <c r="A326" s="34">
        <f t="shared" si="8"/>
        <v>325</v>
      </c>
      <c r="B326" s="35" t="s">
        <v>52</v>
      </c>
      <c r="C326" s="34" t="s">
        <v>3333</v>
      </c>
      <c r="D326" s="34" t="s">
        <v>8257</v>
      </c>
      <c r="E326" s="34">
        <v>22.085546999999998</v>
      </c>
      <c r="F326" s="34">
        <v>87.166912999999994</v>
      </c>
      <c r="G326" s="34" t="s">
        <v>7954</v>
      </c>
      <c r="H326" s="34" t="s">
        <v>7987</v>
      </c>
      <c r="I326" s="35" t="s">
        <v>2242</v>
      </c>
      <c r="J326" s="34">
        <v>7797496299</v>
      </c>
      <c r="K326" s="34" t="s">
        <v>2242</v>
      </c>
      <c r="L326" s="34">
        <v>7797496299</v>
      </c>
      <c r="M326" s="34"/>
      <c r="N326" s="17"/>
      <c r="O326" s="17"/>
      <c r="P326" s="17"/>
      <c r="Q326" s="17"/>
      <c r="R326" s="17"/>
      <c r="S326" s="17"/>
      <c r="T326" s="17"/>
      <c r="U326" s="17"/>
      <c r="V326" s="17"/>
      <c r="W326" s="17"/>
      <c r="X326" s="17"/>
      <c r="Y326" s="17"/>
      <c r="Z326" s="17"/>
      <c r="AA326" s="17"/>
      <c r="AB326" s="17"/>
      <c r="AC326" s="17"/>
      <c r="AD326" s="17"/>
      <c r="AE326" s="17"/>
      <c r="AF326" s="17"/>
      <c r="AG326" s="17"/>
      <c r="AH326" s="17"/>
      <c r="AI326" s="17"/>
    </row>
    <row r="327" hidden="1">
      <c r="A327" s="34">
        <f t="shared" si="8"/>
        <v>326</v>
      </c>
      <c r="B327" s="35" t="s">
        <v>52</v>
      </c>
      <c r="C327" s="34" t="s">
        <v>3336</v>
      </c>
      <c r="D327" s="34" t="s">
        <v>8258</v>
      </c>
      <c r="E327" s="34">
        <v>22.107196999999999</v>
      </c>
      <c r="F327" s="34">
        <v>87.166211000000004</v>
      </c>
      <c r="G327" s="34" t="s">
        <v>7954</v>
      </c>
      <c r="H327" s="34" t="s">
        <v>7987</v>
      </c>
      <c r="I327" s="35" t="s">
        <v>2242</v>
      </c>
      <c r="J327" s="34">
        <v>7797496299</v>
      </c>
      <c r="K327" s="34" t="s">
        <v>2242</v>
      </c>
      <c r="L327" s="34">
        <v>7797496299</v>
      </c>
      <c r="M327" s="34"/>
      <c r="N327" s="17"/>
      <c r="O327" s="17"/>
      <c r="P327" s="17"/>
      <c r="Q327" s="17" t="s">
        <v>7991</v>
      </c>
      <c r="R327" s="17" t="s">
        <v>8065</v>
      </c>
      <c r="S327" s="17" t="s">
        <v>8251</v>
      </c>
      <c r="T327" s="17"/>
      <c r="U327" s="17"/>
      <c r="V327" s="17" t="s">
        <v>7991</v>
      </c>
      <c r="W327" s="17" t="s">
        <v>8057</v>
      </c>
      <c r="X327" s="17">
        <v>1</v>
      </c>
      <c r="Y327" s="17" t="s">
        <v>7991</v>
      </c>
      <c r="Z327" s="17" t="s">
        <v>8034</v>
      </c>
      <c r="AA327" s="17" t="s">
        <v>8001</v>
      </c>
      <c r="AB327" s="17" t="s">
        <v>8259</v>
      </c>
      <c r="AC327" s="17"/>
      <c r="AD327" s="17"/>
      <c r="AE327" s="17"/>
      <c r="AF327" s="17"/>
      <c r="AG327" s="17" t="s">
        <v>8069</v>
      </c>
      <c r="AH327" s="17"/>
      <c r="AI327" s="17"/>
    </row>
    <row r="328" hidden="1">
      <c r="A328" s="34">
        <f t="shared" si="8"/>
        <v>327</v>
      </c>
      <c r="B328" s="35" t="s">
        <v>52</v>
      </c>
      <c r="C328" s="34" t="s">
        <v>3340</v>
      </c>
      <c r="D328" s="34" t="s">
        <v>8260</v>
      </c>
      <c r="E328" s="34">
        <v>22.112119</v>
      </c>
      <c r="F328" s="34">
        <v>87.212565999999995</v>
      </c>
      <c r="G328" s="34" t="s">
        <v>7954</v>
      </c>
      <c r="H328" s="34" t="s">
        <v>7987</v>
      </c>
      <c r="I328" s="35" t="s">
        <v>2242</v>
      </c>
      <c r="J328" s="34">
        <v>7797496299</v>
      </c>
      <c r="K328" s="34" t="s">
        <v>2242</v>
      </c>
      <c r="L328" s="34">
        <v>7797496299</v>
      </c>
      <c r="M328" s="34"/>
      <c r="N328" s="17"/>
      <c r="O328" s="17"/>
      <c r="P328" s="17"/>
      <c r="Q328" s="17"/>
      <c r="R328" s="17"/>
      <c r="S328" s="17"/>
      <c r="T328" s="17"/>
      <c r="U328" s="17"/>
      <c r="V328" s="17" t="s">
        <v>7991</v>
      </c>
      <c r="W328" s="17" t="s">
        <v>7992</v>
      </c>
      <c r="X328" s="17">
        <v>1</v>
      </c>
      <c r="Y328" s="17"/>
      <c r="Z328" s="17"/>
      <c r="AA328" s="17"/>
      <c r="AB328" s="17"/>
      <c r="AC328" s="17"/>
      <c r="AD328" s="17"/>
      <c r="AE328" s="17"/>
      <c r="AF328" s="17"/>
      <c r="AG328" s="17"/>
      <c r="AH328" s="17"/>
      <c r="AI328" s="17"/>
    </row>
    <row r="329" hidden="1">
      <c r="A329" s="34">
        <f t="shared" si="8"/>
        <v>328</v>
      </c>
      <c r="B329" s="35" t="s">
        <v>52</v>
      </c>
      <c r="C329" s="34" t="s">
        <v>3344</v>
      </c>
      <c r="D329" s="34" t="s">
        <v>8261</v>
      </c>
      <c r="E329" s="34">
        <v>22.053238</v>
      </c>
      <c r="F329" s="34">
        <v>87.251392999999993</v>
      </c>
      <c r="G329" s="34" t="s">
        <v>7954</v>
      </c>
      <c r="H329" s="34" t="s">
        <v>8009</v>
      </c>
      <c r="I329" s="35" t="s">
        <v>2223</v>
      </c>
      <c r="J329" s="35">
        <v>9734686687</v>
      </c>
      <c r="K329" s="35" t="s">
        <v>2223</v>
      </c>
      <c r="L329" s="35">
        <v>9734686691</v>
      </c>
      <c r="M329" s="35"/>
      <c r="N329" s="17"/>
      <c r="O329" s="17"/>
      <c r="P329" s="17"/>
      <c r="Q329" s="17"/>
      <c r="R329" s="17"/>
      <c r="S329" s="17"/>
      <c r="T329" s="17"/>
      <c r="U329" s="17"/>
      <c r="V329" s="17"/>
      <c r="W329" s="17"/>
      <c r="X329" s="17"/>
      <c r="Y329" s="17"/>
      <c r="Z329" s="17"/>
      <c r="AA329" s="17"/>
      <c r="AB329" s="17"/>
      <c r="AC329" s="17"/>
      <c r="AD329" s="17"/>
      <c r="AE329" s="17"/>
      <c r="AF329" s="17"/>
      <c r="AG329" s="17"/>
      <c r="AH329" s="17"/>
      <c r="AI329" s="17"/>
    </row>
    <row r="330" hidden="1">
      <c r="A330" s="34">
        <f t="shared" si="8"/>
        <v>329</v>
      </c>
      <c r="B330" s="35" t="s">
        <v>52</v>
      </c>
      <c r="C330" s="34" t="s">
        <v>3349</v>
      </c>
      <c r="D330" s="34" t="s">
        <v>8262</v>
      </c>
      <c r="E330" s="34">
        <v>22.077373999999999</v>
      </c>
      <c r="F330" s="34">
        <v>87.284808999999996</v>
      </c>
      <c r="G330" s="34" t="s">
        <v>7954</v>
      </c>
      <c r="H330" s="34" t="s">
        <v>7987</v>
      </c>
      <c r="I330" s="35" t="s">
        <v>2223</v>
      </c>
      <c r="J330" s="35">
        <v>9734686687</v>
      </c>
      <c r="K330" s="35" t="s">
        <v>2223</v>
      </c>
      <c r="L330" s="35">
        <v>9734686692</v>
      </c>
      <c r="M330" s="35"/>
      <c r="N330" s="17"/>
      <c r="O330" s="17"/>
      <c r="P330" s="17"/>
      <c r="Q330" s="17"/>
      <c r="R330" s="17"/>
      <c r="S330" s="17"/>
      <c r="T330" s="17"/>
      <c r="U330" s="17"/>
      <c r="V330" s="17"/>
      <c r="W330" s="17"/>
      <c r="X330" s="17"/>
      <c r="Y330" s="17"/>
      <c r="Z330" s="17"/>
      <c r="AA330" s="17"/>
      <c r="AB330" s="17"/>
      <c r="AC330" s="17"/>
      <c r="AD330" s="17"/>
      <c r="AE330" s="17"/>
      <c r="AF330" s="17"/>
      <c r="AG330" s="17"/>
      <c r="AH330" s="17"/>
      <c r="AI330" s="17"/>
    </row>
    <row r="331" hidden="1">
      <c r="A331" s="34">
        <f t="shared" si="8"/>
        <v>330</v>
      </c>
      <c r="B331" s="35" t="s">
        <v>52</v>
      </c>
      <c r="C331" s="34" t="s">
        <v>3353</v>
      </c>
      <c r="D331" s="34" t="s">
        <v>54</v>
      </c>
      <c r="E331" s="34">
        <v>22.054058999999999</v>
      </c>
      <c r="F331" s="34">
        <v>87.327152999999996</v>
      </c>
      <c r="G331" s="34" t="s">
        <v>7954</v>
      </c>
      <c r="H331" s="34" t="s">
        <v>7987</v>
      </c>
      <c r="I331" s="35" t="s">
        <v>2223</v>
      </c>
      <c r="J331" s="35">
        <v>9734686687</v>
      </c>
      <c r="K331" s="35" t="s">
        <v>2223</v>
      </c>
      <c r="L331" s="35">
        <v>9734686693</v>
      </c>
      <c r="M331" s="35"/>
      <c r="N331" s="17"/>
      <c r="O331" s="17"/>
      <c r="P331" s="17"/>
      <c r="Q331" s="17"/>
      <c r="R331" s="17"/>
      <c r="S331" s="17"/>
      <c r="T331" s="17"/>
      <c r="U331" s="17"/>
      <c r="V331" s="17"/>
      <c r="W331" s="17"/>
      <c r="X331" s="17"/>
      <c r="Y331" s="17"/>
      <c r="Z331" s="17"/>
      <c r="AA331" s="17"/>
      <c r="AB331" s="17"/>
      <c r="AC331" s="17"/>
      <c r="AD331" s="17"/>
      <c r="AE331" s="17"/>
      <c r="AF331" s="17"/>
      <c r="AG331" s="17"/>
      <c r="AH331" s="17"/>
      <c r="AI331" s="17"/>
    </row>
    <row r="332" hidden="1">
      <c r="A332" s="34">
        <f t="shared" si="8"/>
        <v>331</v>
      </c>
      <c r="B332" s="35" t="s">
        <v>52</v>
      </c>
      <c r="C332" s="34" t="s">
        <v>3358</v>
      </c>
      <c r="D332" s="34" t="s">
        <v>8263</v>
      </c>
      <c r="E332" s="34">
        <v>22.076485999999999</v>
      </c>
      <c r="F332" s="34">
        <v>87.233431999999993</v>
      </c>
      <c r="G332" s="34" t="s">
        <v>7954</v>
      </c>
      <c r="H332" s="34" t="s">
        <v>7987</v>
      </c>
      <c r="I332" s="35" t="s">
        <v>2242</v>
      </c>
      <c r="J332" s="34">
        <v>7797496299</v>
      </c>
      <c r="K332" s="34" t="s">
        <v>2242</v>
      </c>
      <c r="L332" s="34">
        <v>7797496299</v>
      </c>
      <c r="M332" s="34"/>
      <c r="N332" s="17"/>
      <c r="O332" s="17"/>
      <c r="P332" s="17"/>
      <c r="Q332" s="17"/>
      <c r="R332" s="17"/>
      <c r="S332" s="17"/>
      <c r="T332" s="17"/>
      <c r="U332" s="17"/>
      <c r="V332" s="17"/>
      <c r="W332" s="17"/>
      <c r="X332" s="17"/>
      <c r="Y332" s="17"/>
      <c r="Z332" s="17"/>
      <c r="AA332" s="17"/>
      <c r="AB332" s="17"/>
      <c r="AC332" s="17"/>
      <c r="AD332" s="17"/>
      <c r="AE332" s="17"/>
      <c r="AF332" s="17"/>
      <c r="AG332" s="17"/>
      <c r="AH332" s="17"/>
      <c r="AI332" s="17"/>
    </row>
    <row r="333">
      <c r="A333" s="34">
        <f t="shared" si="8"/>
        <v>332</v>
      </c>
      <c r="B333" s="35" t="s">
        <v>52</v>
      </c>
      <c r="C333" s="34" t="s">
        <v>3362</v>
      </c>
      <c r="D333" s="34" t="s">
        <v>8264</v>
      </c>
      <c r="E333" s="34">
        <v>22.183167999999998</v>
      </c>
      <c r="F333" s="34">
        <v>87.226177000000007</v>
      </c>
      <c r="G333" s="34" t="s">
        <v>7954</v>
      </c>
      <c r="H333" s="34" t="s">
        <v>7987</v>
      </c>
      <c r="I333" s="38" t="s">
        <v>2710</v>
      </c>
      <c r="J333" s="34">
        <v>9366758165</v>
      </c>
      <c r="K333" s="35" t="s">
        <v>8169</v>
      </c>
      <c r="L333" s="35">
        <v>8927909951</v>
      </c>
      <c r="M333" s="35"/>
      <c r="N333" s="17"/>
      <c r="O333" s="17"/>
      <c r="P333" s="17"/>
      <c r="Q333" s="17"/>
      <c r="R333" s="17"/>
      <c r="S333" s="17"/>
      <c r="T333" s="17"/>
      <c r="U333" s="17"/>
      <c r="V333" s="17"/>
      <c r="W333" s="17"/>
      <c r="X333" s="17"/>
      <c r="Y333" s="17"/>
      <c r="Z333" s="17"/>
      <c r="AA333" s="17"/>
      <c r="AB333" s="17"/>
      <c r="AC333" s="17"/>
      <c r="AD333" s="17"/>
      <c r="AE333" s="17"/>
      <c r="AF333" s="17"/>
      <c r="AG333" s="17"/>
      <c r="AH333" s="17"/>
      <c r="AI333" s="17"/>
    </row>
    <row r="334">
      <c r="A334" s="34">
        <f t="shared" si="8"/>
        <v>333</v>
      </c>
      <c r="B334" s="35" t="s">
        <v>52</v>
      </c>
      <c r="C334" s="34" t="s">
        <v>3365</v>
      </c>
      <c r="D334" s="34" t="s">
        <v>8265</v>
      </c>
      <c r="E334" s="34">
        <v>22.182500000000001</v>
      </c>
      <c r="F334" s="34">
        <v>87.253079999999997</v>
      </c>
      <c r="G334" s="34" t="s">
        <v>7954</v>
      </c>
      <c r="H334" s="34" t="s">
        <v>7987</v>
      </c>
      <c r="I334" s="38" t="s">
        <v>2710</v>
      </c>
      <c r="J334" s="34">
        <v>9366758165</v>
      </c>
      <c r="K334" s="35" t="s">
        <v>8169</v>
      </c>
      <c r="L334" s="35">
        <v>8927909951</v>
      </c>
      <c r="M334" s="35"/>
      <c r="N334" s="17"/>
      <c r="O334" s="17"/>
      <c r="P334" s="17"/>
      <c r="Q334" s="17"/>
      <c r="R334" s="17"/>
      <c r="S334" s="17"/>
      <c r="T334" s="17"/>
      <c r="U334" s="17"/>
      <c r="V334" s="17"/>
      <c r="W334" s="17"/>
      <c r="X334" s="17"/>
      <c r="Y334" s="17"/>
      <c r="Z334" s="17"/>
      <c r="AA334" s="17"/>
      <c r="AB334" s="17"/>
      <c r="AC334" s="17"/>
      <c r="AD334" s="17"/>
      <c r="AE334" s="17"/>
      <c r="AF334" s="17"/>
      <c r="AG334" s="17"/>
      <c r="AH334" s="17"/>
      <c r="AI334" s="17"/>
    </row>
    <row r="335" hidden="1">
      <c r="A335" s="34">
        <f t="shared" si="8"/>
        <v>334</v>
      </c>
      <c r="B335" s="35" t="s">
        <v>52</v>
      </c>
      <c r="C335" s="34" t="s">
        <v>3368</v>
      </c>
      <c r="D335" s="34" t="s">
        <v>8266</v>
      </c>
      <c r="E335" s="34">
        <v>22.047350000000002</v>
      </c>
      <c r="F335" s="34">
        <v>87.199399999999997</v>
      </c>
      <c r="G335" s="34" t="s">
        <v>7954</v>
      </c>
      <c r="H335" s="34" t="s">
        <v>7987</v>
      </c>
      <c r="I335" s="35" t="s">
        <v>2242</v>
      </c>
      <c r="J335" s="34">
        <v>7797496299</v>
      </c>
      <c r="K335" s="34" t="s">
        <v>2242</v>
      </c>
      <c r="L335" s="34">
        <v>7797496299</v>
      </c>
      <c r="M335" s="34"/>
      <c r="N335" s="17"/>
      <c r="O335" s="17"/>
      <c r="P335" s="17"/>
      <c r="Q335" s="17"/>
      <c r="R335" s="17"/>
      <c r="S335" s="17"/>
      <c r="T335" s="17"/>
      <c r="U335" s="17"/>
      <c r="V335" s="17"/>
      <c r="W335" s="17"/>
      <c r="X335" s="17"/>
      <c r="Y335" s="17"/>
      <c r="Z335" s="17"/>
      <c r="AA335" s="17"/>
      <c r="AB335" s="17"/>
      <c r="AC335" s="17"/>
      <c r="AD335" s="17"/>
      <c r="AE335" s="17"/>
      <c r="AF335" s="17"/>
      <c r="AG335" s="17"/>
      <c r="AH335" s="17"/>
      <c r="AI335" s="17"/>
    </row>
    <row r="336" hidden="1">
      <c r="A336" s="34">
        <f t="shared" si="8"/>
        <v>335</v>
      </c>
      <c r="B336" s="35" t="s">
        <v>52</v>
      </c>
      <c r="C336" s="34" t="s">
        <v>3371</v>
      </c>
      <c r="D336" s="34" t="s">
        <v>3372</v>
      </c>
      <c r="E336" s="34">
        <v>22.100933000000001</v>
      </c>
      <c r="F336" s="34">
        <v>87.144745</v>
      </c>
      <c r="G336" s="34" t="s">
        <v>7956</v>
      </c>
      <c r="H336" s="34" t="s">
        <v>7987</v>
      </c>
      <c r="I336" s="35" t="s">
        <v>2242</v>
      </c>
      <c r="J336" s="34">
        <v>7797496299</v>
      </c>
      <c r="K336" s="34" t="s">
        <v>2242</v>
      </c>
      <c r="L336" s="34">
        <v>7797496299</v>
      </c>
      <c r="M336" s="34"/>
      <c r="N336" s="17"/>
      <c r="O336" s="17"/>
      <c r="P336" s="17"/>
      <c r="Q336" s="17"/>
      <c r="R336" s="17"/>
      <c r="S336" s="17"/>
      <c r="T336" s="17"/>
      <c r="U336" s="17"/>
      <c r="V336" s="17"/>
      <c r="W336" s="17"/>
      <c r="X336" s="17"/>
      <c r="Y336" s="17"/>
      <c r="Z336" s="17"/>
      <c r="AA336" s="17"/>
      <c r="AB336" s="17"/>
      <c r="AC336" s="17"/>
      <c r="AD336" s="17"/>
      <c r="AE336" s="17"/>
      <c r="AF336" s="17"/>
      <c r="AG336" s="17"/>
      <c r="AH336" s="17"/>
      <c r="AI336" s="17"/>
    </row>
    <row r="337" hidden="1">
      <c r="A337" s="34">
        <f t="shared" si="8"/>
        <v>336</v>
      </c>
      <c r="B337" s="35" t="s">
        <v>52</v>
      </c>
      <c r="C337" s="34" t="s">
        <v>3374</v>
      </c>
      <c r="D337" s="34" t="s">
        <v>3375</v>
      </c>
      <c r="E337" s="34">
        <v>22.123849</v>
      </c>
      <c r="F337" s="34">
        <v>87.233438000000007</v>
      </c>
      <c r="G337" s="34" t="s">
        <v>7956</v>
      </c>
      <c r="H337" s="34" t="s">
        <v>7987</v>
      </c>
      <c r="I337" s="35" t="s">
        <v>2242</v>
      </c>
      <c r="J337" s="34">
        <v>7797496299</v>
      </c>
      <c r="K337" s="34" t="s">
        <v>2242</v>
      </c>
      <c r="L337" s="34">
        <v>7797496299</v>
      </c>
      <c r="M337" s="34"/>
      <c r="N337" s="17"/>
      <c r="O337" s="17"/>
      <c r="P337" s="17"/>
      <c r="Q337" s="17"/>
      <c r="R337" s="17"/>
      <c r="S337" s="17"/>
      <c r="T337" s="17"/>
      <c r="U337" s="17"/>
      <c r="V337" s="17"/>
      <c r="W337" s="17"/>
      <c r="X337" s="17"/>
      <c r="Y337" s="17"/>
      <c r="Z337" s="17"/>
      <c r="AA337" s="17"/>
      <c r="AB337" s="17"/>
      <c r="AC337" s="17"/>
      <c r="AD337" s="17"/>
      <c r="AE337" s="17"/>
      <c r="AF337" s="17"/>
      <c r="AG337" s="17"/>
      <c r="AH337" s="17"/>
      <c r="AI337" s="17"/>
    </row>
    <row r="338" hidden="1">
      <c r="A338" s="34">
        <f t="shared" si="8"/>
        <v>337</v>
      </c>
      <c r="B338" s="35" t="s">
        <v>52</v>
      </c>
      <c r="C338" s="34" t="s">
        <v>3377</v>
      </c>
      <c r="D338" s="34" t="s">
        <v>3378</v>
      </c>
      <c r="E338" s="34">
        <v>22.049385000000001</v>
      </c>
      <c r="F338" s="34">
        <v>87.230135000000004</v>
      </c>
      <c r="G338" s="34" t="s">
        <v>7956</v>
      </c>
      <c r="H338" s="34" t="s">
        <v>7987</v>
      </c>
      <c r="I338" s="35" t="s">
        <v>2242</v>
      </c>
      <c r="J338" s="34">
        <v>7797496299</v>
      </c>
      <c r="K338" s="34" t="s">
        <v>2242</v>
      </c>
      <c r="L338" s="34">
        <v>7797496299</v>
      </c>
      <c r="M338" s="34"/>
      <c r="N338" s="17"/>
      <c r="O338" s="17"/>
      <c r="P338" s="17"/>
      <c r="Q338" s="17"/>
      <c r="R338" s="17"/>
      <c r="S338" s="17"/>
      <c r="T338" s="17"/>
      <c r="U338" s="17"/>
      <c r="V338" s="17"/>
      <c r="W338" s="17"/>
      <c r="X338" s="17"/>
      <c r="Y338" s="17"/>
      <c r="Z338" s="17"/>
      <c r="AA338" s="17"/>
      <c r="AB338" s="17"/>
      <c r="AC338" s="17"/>
      <c r="AD338" s="17"/>
      <c r="AE338" s="17"/>
      <c r="AF338" s="17"/>
      <c r="AG338" s="17"/>
      <c r="AH338" s="17"/>
      <c r="AI338" s="17"/>
    </row>
    <row r="339" hidden="1">
      <c r="A339" s="34">
        <f t="shared" si="8"/>
        <v>338</v>
      </c>
      <c r="B339" s="35" t="s">
        <v>52</v>
      </c>
      <c r="C339" s="34" t="s">
        <v>3380</v>
      </c>
      <c r="D339" s="34" t="s">
        <v>3381</v>
      </c>
      <c r="E339" s="34">
        <v>22.064775999999998</v>
      </c>
      <c r="F339" s="34">
        <v>87.195549</v>
      </c>
      <c r="G339" s="34" t="s">
        <v>7956</v>
      </c>
      <c r="H339" s="34" t="s">
        <v>7987</v>
      </c>
      <c r="I339" s="35" t="s">
        <v>2242</v>
      </c>
      <c r="J339" s="34">
        <v>7797496299</v>
      </c>
      <c r="K339" s="34" t="s">
        <v>2242</v>
      </c>
      <c r="L339" s="34">
        <v>7797496299</v>
      </c>
      <c r="M339" s="34"/>
      <c r="N339" s="17"/>
      <c r="O339" s="17"/>
      <c r="P339" s="17"/>
      <c r="Q339" s="17"/>
      <c r="R339" s="17"/>
      <c r="S339" s="17"/>
      <c r="T339" s="17"/>
      <c r="U339" s="17"/>
      <c r="V339" s="17"/>
      <c r="W339" s="17"/>
      <c r="X339" s="17"/>
      <c r="Y339" s="17"/>
      <c r="Z339" s="17"/>
      <c r="AA339" s="17"/>
      <c r="AB339" s="17"/>
      <c r="AC339" s="17"/>
      <c r="AD339" s="17"/>
      <c r="AE339" s="17"/>
      <c r="AF339" s="17"/>
      <c r="AG339" s="17"/>
      <c r="AH339" s="17"/>
      <c r="AI339" s="17"/>
    </row>
    <row r="340" hidden="1">
      <c r="A340" s="34">
        <f t="shared" si="8"/>
        <v>339</v>
      </c>
      <c r="B340" s="35" t="s">
        <v>52</v>
      </c>
      <c r="C340" s="34" t="s">
        <v>3383</v>
      </c>
      <c r="D340" s="34" t="s">
        <v>3384</v>
      </c>
      <c r="E340" s="34">
        <v>22.08896</v>
      </c>
      <c r="F340" s="34">
        <v>87.221603000000002</v>
      </c>
      <c r="G340" s="34" t="s">
        <v>7956</v>
      </c>
      <c r="H340" s="34" t="s">
        <v>7987</v>
      </c>
      <c r="I340" s="35" t="s">
        <v>2242</v>
      </c>
      <c r="J340" s="34">
        <v>7797496299</v>
      </c>
      <c r="K340" s="34" t="s">
        <v>2242</v>
      </c>
      <c r="L340" s="34">
        <v>7797496299</v>
      </c>
      <c r="M340" s="34"/>
      <c r="N340" s="17"/>
      <c r="O340" s="17"/>
      <c r="P340" s="17"/>
      <c r="Q340" s="17"/>
      <c r="R340" s="17"/>
      <c r="S340" s="17"/>
      <c r="T340" s="17"/>
      <c r="U340" s="17"/>
      <c r="V340" s="17"/>
      <c r="W340" s="17"/>
      <c r="X340" s="17"/>
      <c r="Y340" s="17"/>
      <c r="Z340" s="17"/>
      <c r="AA340" s="17"/>
      <c r="AB340" s="17"/>
      <c r="AC340" s="17"/>
      <c r="AD340" s="17"/>
      <c r="AE340" s="17"/>
      <c r="AF340" s="17"/>
      <c r="AG340" s="17"/>
      <c r="AH340" s="17"/>
      <c r="AI340" s="17"/>
    </row>
    <row r="341" hidden="1">
      <c r="A341" s="34">
        <f t="shared" si="8"/>
        <v>340</v>
      </c>
      <c r="B341" s="35" t="s">
        <v>52</v>
      </c>
      <c r="C341" s="34" t="s">
        <v>3386</v>
      </c>
      <c r="D341" s="34" t="s">
        <v>3387</v>
      </c>
      <c r="E341" s="34">
        <v>22.100375</v>
      </c>
      <c r="F341" s="34">
        <v>87.184479999999994</v>
      </c>
      <c r="G341" s="34" t="s">
        <v>7956</v>
      </c>
      <c r="H341" s="34" t="s">
        <v>7987</v>
      </c>
      <c r="I341" s="35" t="s">
        <v>2242</v>
      </c>
      <c r="J341" s="34">
        <v>7797496299</v>
      </c>
      <c r="K341" s="34" t="s">
        <v>2242</v>
      </c>
      <c r="L341" s="34">
        <v>7797496299</v>
      </c>
      <c r="M341" s="34"/>
      <c r="N341" s="17"/>
      <c r="O341" s="17"/>
      <c r="P341" s="17"/>
      <c r="Q341" s="17"/>
      <c r="R341" s="17"/>
      <c r="S341" s="17"/>
      <c r="T341" s="17"/>
      <c r="U341" s="17"/>
      <c r="V341" s="17"/>
      <c r="W341" s="17"/>
      <c r="X341" s="17"/>
      <c r="Y341" s="17"/>
      <c r="Z341" s="17"/>
      <c r="AA341" s="17"/>
      <c r="AB341" s="17"/>
      <c r="AC341" s="17"/>
      <c r="AD341" s="17"/>
      <c r="AE341" s="17"/>
      <c r="AF341" s="17"/>
      <c r="AG341" s="17"/>
      <c r="AH341" s="17"/>
      <c r="AI341" s="17"/>
    </row>
    <row r="342" hidden="1">
      <c r="A342" s="34">
        <f t="shared" si="8"/>
        <v>341</v>
      </c>
      <c r="B342" s="35" t="s">
        <v>52</v>
      </c>
      <c r="C342" s="34" t="s">
        <v>3389</v>
      </c>
      <c r="D342" s="34" t="s">
        <v>8267</v>
      </c>
      <c r="E342" s="34">
        <v>22.137132000000001</v>
      </c>
      <c r="F342" s="34">
        <v>87.164760999999999</v>
      </c>
      <c r="G342" s="34" t="s">
        <v>7956</v>
      </c>
      <c r="H342" s="34" t="s">
        <v>7987</v>
      </c>
      <c r="I342" s="35" t="s">
        <v>2242</v>
      </c>
      <c r="J342" s="34">
        <v>7797496299</v>
      </c>
      <c r="K342" s="34" t="s">
        <v>2242</v>
      </c>
      <c r="L342" s="34">
        <v>7797496299</v>
      </c>
      <c r="M342" s="34"/>
      <c r="N342" s="17"/>
      <c r="O342" s="17"/>
      <c r="P342" s="17"/>
      <c r="Q342" s="17"/>
      <c r="R342" s="17"/>
      <c r="S342" s="17"/>
      <c r="T342" s="17"/>
      <c r="U342" s="17"/>
      <c r="V342" s="17"/>
      <c r="W342" s="17"/>
      <c r="X342" s="17"/>
      <c r="Y342" s="17"/>
      <c r="Z342" s="17"/>
      <c r="AA342" s="17"/>
      <c r="AB342" s="17"/>
      <c r="AC342" s="17"/>
      <c r="AD342" s="17"/>
      <c r="AE342" s="17"/>
      <c r="AF342" s="17"/>
      <c r="AG342" s="17"/>
      <c r="AH342" s="17"/>
      <c r="AI342" s="17"/>
    </row>
    <row r="343">
      <c r="A343" s="34">
        <f t="shared" si="8"/>
        <v>342</v>
      </c>
      <c r="B343" s="35" t="s">
        <v>52</v>
      </c>
      <c r="C343" s="34" t="s">
        <v>3392</v>
      </c>
      <c r="D343" s="34" t="s">
        <v>3393</v>
      </c>
      <c r="E343" s="34">
        <v>22.206088000000001</v>
      </c>
      <c r="F343" s="34">
        <v>87.190226999999993</v>
      </c>
      <c r="G343" s="34" t="s">
        <v>7956</v>
      </c>
      <c r="H343" s="34" t="s">
        <v>7987</v>
      </c>
      <c r="I343" s="38" t="s">
        <v>2710</v>
      </c>
      <c r="J343" s="34">
        <v>9366758165</v>
      </c>
      <c r="K343" s="35" t="s">
        <v>8169</v>
      </c>
      <c r="L343" s="35">
        <v>8927909951</v>
      </c>
      <c r="M343" s="35"/>
      <c r="N343" s="17"/>
      <c r="O343" s="17"/>
      <c r="P343" s="17"/>
      <c r="Q343" s="17"/>
      <c r="R343" s="17"/>
      <c r="S343" s="17"/>
      <c r="T343" s="17"/>
      <c r="U343" s="17"/>
      <c r="V343" s="17"/>
      <c r="W343" s="17"/>
      <c r="X343" s="17"/>
      <c r="Y343" s="17"/>
      <c r="Z343" s="17"/>
      <c r="AA343" s="17"/>
      <c r="AB343" s="17"/>
      <c r="AC343" s="17"/>
      <c r="AD343" s="17"/>
      <c r="AE343" s="17"/>
      <c r="AF343" s="17"/>
      <c r="AG343" s="17"/>
      <c r="AH343" s="17"/>
      <c r="AI343" s="17"/>
    </row>
    <row r="344" hidden="1">
      <c r="A344" s="34">
        <f t="shared" si="8"/>
        <v>343</v>
      </c>
      <c r="B344" s="35" t="s">
        <v>52</v>
      </c>
      <c r="C344" s="34" t="s">
        <v>3395</v>
      </c>
      <c r="D344" s="34" t="s">
        <v>3396</v>
      </c>
      <c r="E344" s="34">
        <v>22.095188</v>
      </c>
      <c r="F344" s="34">
        <v>87.304598999999996</v>
      </c>
      <c r="G344" s="34" t="s">
        <v>7956</v>
      </c>
      <c r="H344" s="34" t="s">
        <v>7987</v>
      </c>
      <c r="I344" s="35" t="s">
        <v>2242</v>
      </c>
      <c r="J344" s="34">
        <v>7797496299</v>
      </c>
      <c r="K344" s="34" t="s">
        <v>2242</v>
      </c>
      <c r="L344" s="34">
        <v>7797496299</v>
      </c>
      <c r="M344" s="34"/>
      <c r="N344" s="17"/>
      <c r="O344" s="17"/>
      <c r="P344" s="17"/>
      <c r="Q344" s="17"/>
      <c r="R344" s="17"/>
      <c r="S344" s="17"/>
      <c r="T344" s="17"/>
      <c r="U344" s="17"/>
      <c r="V344" s="17"/>
      <c r="W344" s="17"/>
      <c r="X344" s="17"/>
      <c r="Y344" s="17"/>
      <c r="Z344" s="17"/>
      <c r="AA344" s="17"/>
      <c r="AB344" s="17"/>
      <c r="AC344" s="17"/>
      <c r="AD344" s="17"/>
      <c r="AE344" s="17"/>
      <c r="AF344" s="17"/>
      <c r="AG344" s="17"/>
      <c r="AH344" s="17"/>
      <c r="AI344" s="17"/>
    </row>
    <row r="345">
      <c r="A345" s="34">
        <f t="shared" si="8"/>
        <v>344</v>
      </c>
      <c r="B345" s="35" t="s">
        <v>52</v>
      </c>
      <c r="C345" s="34" t="s">
        <v>3398</v>
      </c>
      <c r="D345" s="34" t="s">
        <v>3399</v>
      </c>
      <c r="E345" s="34">
        <v>22.209049</v>
      </c>
      <c r="F345" s="34">
        <v>87.258577000000002</v>
      </c>
      <c r="G345" s="34" t="s">
        <v>7956</v>
      </c>
      <c r="H345" s="34" t="s">
        <v>7987</v>
      </c>
      <c r="I345" s="38" t="s">
        <v>2710</v>
      </c>
      <c r="J345" s="34">
        <v>9366758165</v>
      </c>
      <c r="K345" s="35" t="s">
        <v>8169</v>
      </c>
      <c r="L345" s="35">
        <v>8927909951</v>
      </c>
      <c r="M345" s="35"/>
      <c r="N345" s="17"/>
      <c r="O345" s="17"/>
      <c r="P345" s="17"/>
      <c r="Q345" s="17"/>
      <c r="R345" s="17"/>
      <c r="S345" s="17"/>
      <c r="T345" s="17"/>
      <c r="U345" s="17"/>
      <c r="V345" s="17"/>
      <c r="W345" s="17"/>
      <c r="X345" s="17"/>
      <c r="Y345" s="17"/>
      <c r="Z345" s="17"/>
      <c r="AA345" s="17"/>
      <c r="AB345" s="17"/>
      <c r="AC345" s="17"/>
      <c r="AD345" s="17"/>
      <c r="AE345" s="17"/>
      <c r="AF345" s="17"/>
      <c r="AG345" s="17"/>
      <c r="AH345" s="17"/>
      <c r="AI345" s="17"/>
    </row>
    <row r="346" hidden="1">
      <c r="A346" s="34">
        <f t="shared" si="8"/>
        <v>345</v>
      </c>
      <c r="B346" s="35" t="s">
        <v>52</v>
      </c>
      <c r="C346" s="34" t="s">
        <v>3401</v>
      </c>
      <c r="D346" s="34" t="s">
        <v>3402</v>
      </c>
      <c r="E346" s="34">
        <v>22.112670999999999</v>
      </c>
      <c r="F346" s="34">
        <v>87.263795999999999</v>
      </c>
      <c r="G346" s="34" t="s">
        <v>7956</v>
      </c>
      <c r="H346" s="34" t="s">
        <v>7987</v>
      </c>
      <c r="I346" s="35" t="s">
        <v>2242</v>
      </c>
      <c r="J346" s="34">
        <v>7797496299</v>
      </c>
      <c r="K346" s="34" t="s">
        <v>2242</v>
      </c>
      <c r="L346" s="34">
        <v>7797496299</v>
      </c>
      <c r="M346" s="34"/>
      <c r="N346" s="17"/>
      <c r="O346" s="17"/>
      <c r="P346" s="17"/>
      <c r="Q346" s="17"/>
      <c r="R346" s="17"/>
      <c r="S346" s="17"/>
      <c r="T346" s="17"/>
      <c r="U346" s="17"/>
      <c r="V346" s="17"/>
      <c r="W346" s="17"/>
      <c r="X346" s="17"/>
      <c r="Y346" s="17"/>
      <c r="Z346" s="17"/>
      <c r="AA346" s="17"/>
      <c r="AB346" s="17"/>
      <c r="AC346" s="17"/>
      <c r="AD346" s="17"/>
      <c r="AE346" s="17"/>
      <c r="AF346" s="17"/>
      <c r="AG346" s="17"/>
      <c r="AH346" s="17"/>
      <c r="AI346" s="17"/>
    </row>
    <row r="347">
      <c r="A347" s="34">
        <f t="shared" si="8"/>
        <v>346</v>
      </c>
      <c r="B347" s="35" t="s">
        <v>52</v>
      </c>
      <c r="C347" s="34" t="s">
        <v>3404</v>
      </c>
      <c r="D347" s="34" t="s">
        <v>8268</v>
      </c>
      <c r="E347" s="34">
        <v>22.163553</v>
      </c>
      <c r="F347" s="34">
        <v>87.213142000000005</v>
      </c>
      <c r="G347" s="34" t="s">
        <v>7956</v>
      </c>
      <c r="H347" s="34" t="s">
        <v>7987</v>
      </c>
      <c r="I347" s="38" t="s">
        <v>2710</v>
      </c>
      <c r="J347" s="34">
        <v>9366758165</v>
      </c>
      <c r="K347" s="34" t="s">
        <v>2242</v>
      </c>
      <c r="L347" s="34">
        <v>7797496299</v>
      </c>
      <c r="M347" s="34"/>
      <c r="N347" s="17"/>
      <c r="O347" s="17"/>
      <c r="P347" s="17"/>
      <c r="Q347" s="17"/>
      <c r="R347" s="17"/>
      <c r="S347" s="17"/>
      <c r="T347" s="17"/>
      <c r="U347" s="17"/>
      <c r="V347" s="17"/>
      <c r="W347" s="17"/>
      <c r="X347" s="17"/>
      <c r="Y347" s="17"/>
      <c r="Z347" s="17"/>
      <c r="AA347" s="17"/>
      <c r="AB347" s="17"/>
      <c r="AC347" s="17"/>
      <c r="AD347" s="17"/>
      <c r="AE347" s="17"/>
      <c r="AF347" s="17"/>
      <c r="AG347" s="17"/>
      <c r="AH347" s="17"/>
      <c r="AI347" s="17"/>
    </row>
    <row r="348" hidden="1">
      <c r="A348" s="34">
        <f t="shared" si="8"/>
        <v>347</v>
      </c>
      <c r="B348" s="35" t="s">
        <v>52</v>
      </c>
      <c r="C348" s="34" t="s">
        <v>3407</v>
      </c>
      <c r="D348" s="34" t="s">
        <v>3408</v>
      </c>
      <c r="E348" s="34">
        <v>22.125900999999999</v>
      </c>
      <c r="F348" s="34">
        <v>87.290600999999995</v>
      </c>
      <c r="G348" s="34" t="s">
        <v>7956</v>
      </c>
      <c r="H348" s="34" t="s">
        <v>7987</v>
      </c>
      <c r="I348" s="35" t="s">
        <v>2242</v>
      </c>
      <c r="J348" s="34">
        <v>7797496299</v>
      </c>
      <c r="K348" s="34" t="s">
        <v>2242</v>
      </c>
      <c r="L348" s="34">
        <v>7797496299</v>
      </c>
      <c r="M348" s="34"/>
      <c r="N348" s="17"/>
      <c r="O348" s="17"/>
      <c r="P348" s="17"/>
      <c r="Q348" s="17"/>
      <c r="R348" s="17"/>
      <c r="S348" s="17"/>
      <c r="T348" s="17"/>
      <c r="U348" s="17"/>
      <c r="V348" s="17"/>
      <c r="W348" s="17"/>
      <c r="X348" s="17"/>
      <c r="Y348" s="17"/>
      <c r="Z348" s="17"/>
      <c r="AA348" s="17"/>
      <c r="AB348" s="17"/>
      <c r="AC348" s="17"/>
      <c r="AD348" s="17"/>
      <c r="AE348" s="17"/>
      <c r="AF348" s="17"/>
      <c r="AG348" s="17"/>
      <c r="AH348" s="17"/>
      <c r="AI348" s="17"/>
    </row>
    <row r="349" hidden="1">
      <c r="A349" s="34">
        <f t="shared" si="8"/>
        <v>348</v>
      </c>
      <c r="B349" s="35" t="s">
        <v>52</v>
      </c>
      <c r="C349" s="34" t="s">
        <v>3410</v>
      </c>
      <c r="D349" s="34" t="s">
        <v>3411</v>
      </c>
      <c r="E349" s="34">
        <v>22.087136999999998</v>
      </c>
      <c r="F349" s="34">
        <v>87.261176000000006</v>
      </c>
      <c r="G349" s="34" t="s">
        <v>7956</v>
      </c>
      <c r="H349" s="34" t="s">
        <v>7987</v>
      </c>
      <c r="I349" s="35" t="s">
        <v>2242</v>
      </c>
      <c r="J349" s="34">
        <v>7797496299</v>
      </c>
      <c r="K349" s="34" t="s">
        <v>2242</v>
      </c>
      <c r="L349" s="34">
        <v>7797496299</v>
      </c>
      <c r="M349" s="34"/>
      <c r="N349" s="17"/>
      <c r="O349" s="17"/>
      <c r="P349" s="17"/>
      <c r="Q349" s="17"/>
      <c r="R349" s="17"/>
      <c r="S349" s="17"/>
      <c r="T349" s="17"/>
      <c r="U349" s="17"/>
      <c r="V349" s="17"/>
      <c r="W349" s="17"/>
      <c r="X349" s="17"/>
      <c r="Y349" s="17"/>
      <c r="Z349" s="17"/>
      <c r="AA349" s="17"/>
      <c r="AB349" s="17"/>
      <c r="AC349" s="17"/>
      <c r="AD349" s="17"/>
      <c r="AE349" s="17"/>
      <c r="AF349" s="17"/>
      <c r="AG349" s="17"/>
      <c r="AH349" s="17"/>
      <c r="AI349" s="17"/>
    </row>
    <row r="350" ht="20.399999999999999" hidden="1">
      <c r="A350" s="34">
        <f t="shared" si="8"/>
        <v>349</v>
      </c>
      <c r="B350" s="35" t="s">
        <v>52</v>
      </c>
      <c r="C350" s="34" t="s">
        <v>332</v>
      </c>
      <c r="D350" s="34" t="s">
        <v>333</v>
      </c>
      <c r="E350" s="34">
        <v>22.132406</v>
      </c>
      <c r="F350" s="34">
        <v>87.824346000000006</v>
      </c>
      <c r="G350" s="34" t="s">
        <v>7956</v>
      </c>
      <c r="H350" s="34" t="s">
        <v>7987</v>
      </c>
      <c r="I350" s="35" t="s">
        <v>3136</v>
      </c>
      <c r="J350" s="34">
        <v>6290825031</v>
      </c>
      <c r="K350" s="122" t="s">
        <v>3136</v>
      </c>
      <c r="L350" s="34">
        <v>6290825034</v>
      </c>
      <c r="M350" s="34"/>
      <c r="N350" s="17"/>
      <c r="O350" s="17"/>
      <c r="P350" s="17"/>
      <c r="Q350" s="17"/>
      <c r="R350" s="17"/>
      <c r="S350" s="17"/>
      <c r="T350" s="17"/>
      <c r="U350" s="17"/>
      <c r="V350" s="17"/>
      <c r="W350" s="17"/>
      <c r="X350" s="17"/>
      <c r="Y350" s="17"/>
      <c r="Z350" s="17"/>
      <c r="AA350" s="17"/>
      <c r="AB350" s="17"/>
      <c r="AC350" s="17"/>
      <c r="AD350" s="17"/>
      <c r="AE350" s="17"/>
      <c r="AF350" s="17"/>
      <c r="AG350" s="17"/>
      <c r="AH350" s="17"/>
      <c r="AI350" s="17"/>
    </row>
    <row r="351" hidden="1">
      <c r="A351" s="34">
        <f t="shared" si="8"/>
        <v>350</v>
      </c>
      <c r="B351" s="35" t="s">
        <v>52</v>
      </c>
      <c r="C351" s="34" t="s">
        <v>3413</v>
      </c>
      <c r="D351" s="34" t="s">
        <v>3710</v>
      </c>
      <c r="E351" s="34">
        <v>22.279927000000001</v>
      </c>
      <c r="F351" s="34">
        <v>87.645561000000001</v>
      </c>
      <c r="G351" s="34" t="s">
        <v>7954</v>
      </c>
      <c r="H351" s="34" t="s">
        <v>7987</v>
      </c>
      <c r="I351" s="35" t="s">
        <v>2680</v>
      </c>
      <c r="J351" s="34">
        <v>7797440223</v>
      </c>
      <c r="K351" s="34" t="s">
        <v>2680</v>
      </c>
      <c r="L351" s="34">
        <v>7797440223</v>
      </c>
      <c r="M351" s="34"/>
      <c r="N351" s="17"/>
      <c r="O351" s="17"/>
      <c r="P351" s="17"/>
      <c r="Q351" s="17"/>
      <c r="R351" s="17"/>
      <c r="S351" s="17"/>
      <c r="T351" s="17"/>
      <c r="U351" s="17"/>
      <c r="V351" s="17"/>
      <c r="W351" s="17"/>
      <c r="X351" s="17"/>
      <c r="Y351" s="17"/>
      <c r="Z351" s="17"/>
      <c r="AA351" s="17"/>
      <c r="AB351" s="17"/>
      <c r="AC351" s="17"/>
      <c r="AD351" s="17"/>
      <c r="AE351" s="17"/>
      <c r="AF351" s="17"/>
      <c r="AG351" s="17"/>
      <c r="AH351" s="17"/>
      <c r="AI351" s="17"/>
    </row>
    <row r="352" ht="20.399999999999999" hidden="1">
      <c r="A352" s="34">
        <f t="shared" si="8"/>
        <v>351</v>
      </c>
      <c r="B352" s="35" t="s">
        <v>52</v>
      </c>
      <c r="C352" s="34" t="s">
        <v>3417</v>
      </c>
      <c r="D352" s="42" t="s">
        <v>8269</v>
      </c>
      <c r="E352" s="34">
        <v>22.178899999999999</v>
      </c>
      <c r="F352" s="34">
        <v>87.681200000000004</v>
      </c>
      <c r="G352" s="34" t="s">
        <v>7954</v>
      </c>
      <c r="H352" s="34" t="s">
        <v>7987</v>
      </c>
      <c r="I352" s="35" t="s">
        <v>3136</v>
      </c>
      <c r="J352" s="34">
        <v>6290825031</v>
      </c>
      <c r="K352" s="122" t="s">
        <v>3136</v>
      </c>
      <c r="L352" s="35">
        <v>6290825031</v>
      </c>
      <c r="M352" s="35"/>
      <c r="N352" s="17"/>
      <c r="O352" s="17"/>
      <c r="P352" s="17"/>
      <c r="Q352" s="17"/>
      <c r="R352" s="17"/>
      <c r="S352" s="17"/>
      <c r="T352" s="17"/>
      <c r="U352" s="17"/>
      <c r="V352" s="17"/>
      <c r="W352" s="17"/>
      <c r="X352" s="17"/>
      <c r="Y352" s="17"/>
      <c r="Z352" s="17"/>
      <c r="AA352" s="17"/>
      <c r="AB352" s="17"/>
      <c r="AC352" s="17"/>
      <c r="AD352" s="17"/>
      <c r="AE352" s="17"/>
      <c r="AF352" s="17"/>
      <c r="AG352" s="17"/>
      <c r="AH352" s="17"/>
      <c r="AI352" s="17"/>
    </row>
    <row r="353" hidden="1">
      <c r="A353" s="34">
        <f t="shared" si="8"/>
        <v>352</v>
      </c>
      <c r="B353" s="35" t="s">
        <v>52</v>
      </c>
      <c r="C353" s="34" t="s">
        <v>3419</v>
      </c>
      <c r="D353" s="34" t="s">
        <v>3420</v>
      </c>
      <c r="E353" s="34">
        <v>21.845676999999998</v>
      </c>
      <c r="F353" s="34">
        <v>87.423383999999999</v>
      </c>
      <c r="G353" s="34" t="s">
        <v>7955</v>
      </c>
      <c r="H353" s="34" t="s">
        <v>8009</v>
      </c>
      <c r="I353" s="35" t="s">
        <v>2484</v>
      </c>
      <c r="J353" s="35">
        <v>7003158683</v>
      </c>
      <c r="K353" s="35" t="s">
        <v>2484</v>
      </c>
      <c r="L353" s="35">
        <v>7003158683</v>
      </c>
      <c r="M353" s="35"/>
      <c r="N353" s="17"/>
      <c r="O353" s="17"/>
      <c r="P353" s="17"/>
      <c r="Q353" s="17"/>
      <c r="R353" s="17"/>
      <c r="S353" s="17"/>
      <c r="T353" s="17"/>
      <c r="U353" s="17"/>
      <c r="V353" s="17"/>
      <c r="W353" s="17"/>
      <c r="X353" s="17"/>
      <c r="Y353" s="17" t="s">
        <v>7991</v>
      </c>
      <c r="Z353" s="17" t="s">
        <v>8000</v>
      </c>
      <c r="AA353" s="17" t="s">
        <v>8093</v>
      </c>
      <c r="AB353" s="17" t="s">
        <v>8270</v>
      </c>
      <c r="AC353" s="17"/>
      <c r="AD353" s="17" t="s">
        <v>8003</v>
      </c>
      <c r="AE353" s="17"/>
      <c r="AF353" s="17"/>
      <c r="AG353" s="17"/>
      <c r="AH353" s="17"/>
      <c r="AI353" s="17"/>
    </row>
    <row r="354" hidden="1">
      <c r="A354" s="34">
        <f t="shared" si="8"/>
        <v>353</v>
      </c>
      <c r="B354" s="35" t="s">
        <v>52</v>
      </c>
      <c r="C354" s="34" t="s">
        <v>3424</v>
      </c>
      <c r="D354" s="34" t="s">
        <v>8271</v>
      </c>
      <c r="E354" s="34">
        <v>21.863672999999999</v>
      </c>
      <c r="F354" s="34">
        <v>87.388558000000003</v>
      </c>
      <c r="G354" s="34" t="s">
        <v>7954</v>
      </c>
      <c r="H354" s="34" t="s">
        <v>7987</v>
      </c>
      <c r="I354" s="35" t="s">
        <v>2484</v>
      </c>
      <c r="J354" s="35">
        <v>7003158683</v>
      </c>
      <c r="K354" s="35" t="s">
        <v>2484</v>
      </c>
      <c r="L354" s="35">
        <v>7003158683</v>
      </c>
      <c r="M354" s="35"/>
      <c r="N354" s="17"/>
      <c r="O354" s="17"/>
      <c r="P354" s="17"/>
      <c r="Q354" s="17"/>
      <c r="R354" s="17"/>
      <c r="S354" s="17"/>
      <c r="T354" s="17"/>
      <c r="U354" s="17"/>
      <c r="V354" s="17"/>
      <c r="W354" s="17"/>
      <c r="X354" s="17"/>
      <c r="Y354" s="17"/>
      <c r="Z354" s="17"/>
      <c r="AA354" s="17"/>
      <c r="AB354" s="17"/>
      <c r="AC354" s="17"/>
      <c r="AD354" s="17"/>
      <c r="AE354" s="17"/>
      <c r="AF354" s="17"/>
      <c r="AG354" s="17"/>
      <c r="AH354" s="17"/>
      <c r="AI354" s="17"/>
    </row>
    <row r="355" hidden="1">
      <c r="A355" s="34">
        <f t="shared" si="8"/>
        <v>354</v>
      </c>
      <c r="B355" s="35" t="s">
        <v>52</v>
      </c>
      <c r="C355" s="34" t="s">
        <v>3429</v>
      </c>
      <c r="D355" s="34" t="s">
        <v>8272</v>
      </c>
      <c r="E355" s="34">
        <v>21.826591000000001</v>
      </c>
      <c r="F355" s="34">
        <v>87.350916999999995</v>
      </c>
      <c r="G355" s="34" t="s">
        <v>7954</v>
      </c>
      <c r="H355" s="34" t="s">
        <v>7987</v>
      </c>
      <c r="I355" s="35" t="s">
        <v>2484</v>
      </c>
      <c r="J355" s="35">
        <v>7003158683</v>
      </c>
      <c r="K355" s="35" t="s">
        <v>2484</v>
      </c>
      <c r="L355" s="35">
        <v>7003158683</v>
      </c>
      <c r="M355" s="35"/>
      <c r="N355" s="17"/>
      <c r="O355" s="17"/>
      <c r="P355" s="17"/>
      <c r="Q355" s="17"/>
      <c r="R355" s="17"/>
      <c r="S355" s="17"/>
      <c r="T355" s="17"/>
      <c r="U355" s="17"/>
      <c r="V355" s="17"/>
      <c r="W355" s="17"/>
      <c r="X355" s="17"/>
      <c r="Y355" s="17" t="s">
        <v>7991</v>
      </c>
      <c r="Z355" s="17" t="s">
        <v>8000</v>
      </c>
      <c r="AA355" s="17" t="s">
        <v>8093</v>
      </c>
      <c r="AB355" s="17" t="s">
        <v>8273</v>
      </c>
      <c r="AC355" s="17" t="s">
        <v>8114</v>
      </c>
      <c r="AD355" s="17"/>
      <c r="AE355" s="17"/>
      <c r="AF355" s="17"/>
      <c r="AG355" s="17"/>
      <c r="AH355" s="17"/>
      <c r="AI355" s="17"/>
    </row>
    <row r="356" hidden="1">
      <c r="A356" s="34">
        <f t="shared" si="8"/>
        <v>355</v>
      </c>
      <c r="B356" s="35" t="s">
        <v>52</v>
      </c>
      <c r="C356" s="34" t="s">
        <v>3433</v>
      </c>
      <c r="D356" s="34" t="s">
        <v>8274</v>
      </c>
      <c r="E356" s="34">
        <v>21.894134999999999</v>
      </c>
      <c r="F356" s="34">
        <v>87.425655000000006</v>
      </c>
      <c r="G356" s="34" t="s">
        <v>7954</v>
      </c>
      <c r="H356" s="34" t="s">
        <v>7987</v>
      </c>
      <c r="I356" s="35" t="s">
        <v>2484</v>
      </c>
      <c r="J356" s="35">
        <v>7003158683</v>
      </c>
      <c r="K356" s="35" t="s">
        <v>2484</v>
      </c>
      <c r="L356" s="35">
        <v>7003158683</v>
      </c>
      <c r="M356" s="35"/>
      <c r="N356" s="17"/>
      <c r="O356" s="17"/>
      <c r="P356" s="17"/>
      <c r="Q356" s="17"/>
      <c r="R356" s="17"/>
      <c r="S356" s="17"/>
      <c r="T356" s="17"/>
      <c r="U356" s="17"/>
      <c r="V356" s="17"/>
      <c r="W356" s="17"/>
      <c r="X356" s="17"/>
      <c r="Y356" s="17"/>
      <c r="Z356" s="17"/>
      <c r="AA356" s="17"/>
      <c r="AB356" s="17"/>
      <c r="AC356" s="17"/>
      <c r="AD356" s="17"/>
      <c r="AE356" s="17"/>
      <c r="AF356" s="17"/>
      <c r="AG356" s="17"/>
      <c r="AH356" s="17"/>
      <c r="AI356" s="17"/>
    </row>
    <row r="357" hidden="1">
      <c r="A357" s="34">
        <f t="shared" si="8"/>
        <v>356</v>
      </c>
      <c r="B357" s="35" t="s">
        <v>52</v>
      </c>
      <c r="C357" s="34" t="s">
        <v>3436</v>
      </c>
      <c r="D357" s="34" t="s">
        <v>8275</v>
      </c>
      <c r="E357" s="34">
        <v>21.808268999999999</v>
      </c>
      <c r="F357" s="34">
        <v>87.344318000000001</v>
      </c>
      <c r="G357" s="34" t="s">
        <v>7954</v>
      </c>
      <c r="H357" s="34" t="s">
        <v>7987</v>
      </c>
      <c r="I357" s="35" t="s">
        <v>2484</v>
      </c>
      <c r="J357" s="35">
        <v>7003158683</v>
      </c>
      <c r="K357" s="35" t="s">
        <v>2484</v>
      </c>
      <c r="L357" s="35">
        <v>7003158683</v>
      </c>
      <c r="M357" s="35"/>
      <c r="N357" s="17"/>
      <c r="O357" s="17"/>
      <c r="P357" s="17"/>
      <c r="Q357" s="17" t="s">
        <v>7991</v>
      </c>
      <c r="R357" s="17" t="s">
        <v>7995</v>
      </c>
      <c r="S357" s="17" t="s">
        <v>8276</v>
      </c>
      <c r="T357" s="17"/>
      <c r="U357" s="17"/>
      <c r="V357" s="17"/>
      <c r="W357" s="17"/>
      <c r="X357" s="17"/>
      <c r="Y357" s="17"/>
      <c r="Z357" s="17"/>
      <c r="AA357" s="17"/>
      <c r="AB357" s="17"/>
      <c r="AC357" s="17"/>
      <c r="AD357" s="17"/>
      <c r="AE357" s="17"/>
      <c r="AF357" s="17"/>
      <c r="AG357" s="17"/>
      <c r="AH357" s="17"/>
      <c r="AI357" s="17"/>
    </row>
    <row r="358" hidden="1">
      <c r="A358" s="34">
        <f t="shared" si="8"/>
        <v>357</v>
      </c>
      <c r="B358" s="35" t="s">
        <v>52</v>
      </c>
      <c r="C358" s="34" t="s">
        <v>3441</v>
      </c>
      <c r="D358" s="34" t="s">
        <v>8277</v>
      </c>
      <c r="E358" s="34">
        <v>21.864706000000002</v>
      </c>
      <c r="F358" s="34">
        <v>87.435124999999999</v>
      </c>
      <c r="G358" s="34" t="s">
        <v>7954</v>
      </c>
      <c r="H358" s="34" t="s">
        <v>7987</v>
      </c>
      <c r="I358" s="35" t="s">
        <v>2484</v>
      </c>
      <c r="J358" s="35">
        <v>7003158683</v>
      </c>
      <c r="K358" s="35" t="s">
        <v>2484</v>
      </c>
      <c r="L358" s="35">
        <v>7003158683</v>
      </c>
      <c r="M358" s="35"/>
      <c r="N358" s="17"/>
      <c r="O358" s="17"/>
      <c r="P358" s="17"/>
      <c r="Q358" s="17"/>
      <c r="R358" s="17"/>
      <c r="S358" s="17"/>
      <c r="T358" s="17" t="s">
        <v>7995</v>
      </c>
      <c r="U358" s="17">
        <v>1</v>
      </c>
      <c r="V358" s="17"/>
      <c r="W358" s="17"/>
      <c r="X358" s="17"/>
      <c r="Y358" s="17" t="s">
        <v>7991</v>
      </c>
      <c r="Z358" s="17" t="s">
        <v>8148</v>
      </c>
      <c r="AA358" s="17" t="s">
        <v>8093</v>
      </c>
      <c r="AB358" s="17" t="s">
        <v>2625</v>
      </c>
      <c r="AC358" s="17" t="s">
        <v>8114</v>
      </c>
      <c r="AD358" s="17"/>
      <c r="AE358" s="17"/>
      <c r="AF358" s="17"/>
      <c r="AG358" s="17" t="s">
        <v>8007</v>
      </c>
      <c r="AH358" s="17"/>
      <c r="AI358" s="17"/>
    </row>
    <row r="359" hidden="1">
      <c r="A359" s="34">
        <f t="shared" si="8"/>
        <v>358</v>
      </c>
      <c r="B359" s="35" t="s">
        <v>52</v>
      </c>
      <c r="C359" s="34" t="s">
        <v>3445</v>
      </c>
      <c r="D359" s="34" t="s">
        <v>8278</v>
      </c>
      <c r="E359" s="34">
        <v>21.852456</v>
      </c>
      <c r="F359" s="34">
        <v>87.401317000000006</v>
      </c>
      <c r="G359" s="34" t="s">
        <v>7954</v>
      </c>
      <c r="H359" s="34" t="s">
        <v>7987</v>
      </c>
      <c r="I359" s="35" t="s">
        <v>2484</v>
      </c>
      <c r="J359" s="35">
        <v>7003158683</v>
      </c>
      <c r="K359" s="35" t="s">
        <v>2484</v>
      </c>
      <c r="L359" s="35">
        <v>7003158683</v>
      </c>
      <c r="M359" s="35"/>
      <c r="N359" s="17"/>
      <c r="O359" s="17"/>
      <c r="P359" s="17"/>
      <c r="Q359" s="17"/>
      <c r="R359" s="17"/>
      <c r="S359" s="17"/>
      <c r="T359" s="17"/>
      <c r="U359" s="17"/>
      <c r="V359" s="17"/>
      <c r="W359" s="17"/>
      <c r="X359" s="17"/>
      <c r="Y359" s="17"/>
      <c r="Z359" s="17"/>
      <c r="AA359" s="17"/>
      <c r="AB359" s="17"/>
      <c r="AC359" s="17"/>
      <c r="AD359" s="17"/>
      <c r="AE359" s="17"/>
      <c r="AF359" s="17"/>
      <c r="AG359" s="17"/>
      <c r="AH359" s="17"/>
      <c r="AI359" s="17"/>
    </row>
    <row r="360" hidden="1">
      <c r="A360" s="34">
        <f t="shared" si="8"/>
        <v>359</v>
      </c>
      <c r="B360" s="35" t="s">
        <v>52</v>
      </c>
      <c r="C360" s="34" t="s">
        <v>3449</v>
      </c>
      <c r="D360" s="34" t="s">
        <v>8279</v>
      </c>
      <c r="E360" s="34">
        <v>21.801843000000002</v>
      </c>
      <c r="F360" s="34">
        <v>87.40804</v>
      </c>
      <c r="G360" s="34" t="s">
        <v>7954</v>
      </c>
      <c r="H360" s="34" t="s">
        <v>7987</v>
      </c>
      <c r="I360" s="35" t="s">
        <v>2484</v>
      </c>
      <c r="J360" s="35">
        <v>7003158683</v>
      </c>
      <c r="K360" s="35" t="s">
        <v>2484</v>
      </c>
      <c r="L360" s="35">
        <v>7003158683</v>
      </c>
      <c r="M360" s="35"/>
      <c r="N360" s="17"/>
      <c r="O360" s="17"/>
      <c r="P360" s="17"/>
      <c r="Q360" s="17"/>
      <c r="R360" s="17"/>
      <c r="S360" s="17"/>
      <c r="T360" s="17"/>
      <c r="U360" s="17"/>
      <c r="V360" s="17"/>
      <c r="W360" s="17"/>
      <c r="X360" s="17"/>
      <c r="Y360" s="17" t="s">
        <v>7991</v>
      </c>
      <c r="Z360" s="17" t="s">
        <v>8000</v>
      </c>
      <c r="AA360" s="17" t="s">
        <v>8093</v>
      </c>
      <c r="AB360" s="17" t="s">
        <v>8280</v>
      </c>
      <c r="AC360" s="17"/>
      <c r="AD360" s="17"/>
      <c r="AE360" s="17"/>
      <c r="AF360" s="17"/>
      <c r="AG360" s="17"/>
      <c r="AH360" s="17"/>
      <c r="AI360" s="17"/>
    </row>
    <row r="361" hidden="1">
      <c r="A361" s="34">
        <f t="shared" si="8"/>
        <v>360</v>
      </c>
      <c r="B361" s="35" t="s">
        <v>52</v>
      </c>
      <c r="C361" s="34" t="s">
        <v>3453</v>
      </c>
      <c r="D361" s="34" t="s">
        <v>8281</v>
      </c>
      <c r="E361" s="34">
        <v>21.87979</v>
      </c>
      <c r="F361" s="34">
        <v>87.420500000000004</v>
      </c>
      <c r="G361" s="34" t="s">
        <v>7954</v>
      </c>
      <c r="H361" s="34" t="s">
        <v>7987</v>
      </c>
      <c r="I361" s="35" t="s">
        <v>2484</v>
      </c>
      <c r="J361" s="35">
        <v>7003158683</v>
      </c>
      <c r="K361" s="35" t="s">
        <v>2484</v>
      </c>
      <c r="L361" s="35">
        <v>7003158683</v>
      </c>
      <c r="M361" s="35"/>
      <c r="N361" s="17"/>
      <c r="O361" s="17"/>
      <c r="P361" s="17"/>
      <c r="Q361" s="17"/>
      <c r="R361" s="17"/>
      <c r="S361" s="17"/>
      <c r="T361" s="17"/>
      <c r="U361" s="17"/>
      <c r="V361" s="17"/>
      <c r="W361" s="17"/>
      <c r="X361" s="17"/>
      <c r="Y361" s="17"/>
      <c r="Z361" s="17"/>
      <c r="AA361" s="17"/>
      <c r="AB361" s="17"/>
      <c r="AC361" s="17"/>
      <c r="AD361" s="17"/>
      <c r="AE361" s="17"/>
      <c r="AF361" s="17"/>
      <c r="AG361" s="17"/>
      <c r="AH361" s="17"/>
      <c r="AI361" s="17"/>
    </row>
    <row r="362" hidden="1">
      <c r="A362" s="34">
        <f t="shared" si="8"/>
        <v>361</v>
      </c>
      <c r="B362" s="35" t="s">
        <v>52</v>
      </c>
      <c r="C362" s="34" t="s">
        <v>3457</v>
      </c>
      <c r="D362" s="34" t="s">
        <v>5616</v>
      </c>
      <c r="E362" s="34">
        <v>21.844010000000001</v>
      </c>
      <c r="F362" s="34">
        <v>87.422600000000003</v>
      </c>
      <c r="G362" s="34" t="s">
        <v>7954</v>
      </c>
      <c r="H362" s="34" t="s">
        <v>7987</v>
      </c>
      <c r="I362" s="35" t="s">
        <v>2484</v>
      </c>
      <c r="J362" s="35">
        <v>7003158683</v>
      </c>
      <c r="K362" s="35" t="s">
        <v>2484</v>
      </c>
      <c r="L362" s="35">
        <v>7003158683</v>
      </c>
      <c r="M362" s="35"/>
      <c r="N362" s="17"/>
      <c r="O362" s="17"/>
      <c r="P362" s="17"/>
      <c r="Q362" s="17"/>
      <c r="R362" s="17"/>
      <c r="S362" s="17"/>
      <c r="T362" s="17"/>
      <c r="U362" s="17"/>
      <c r="V362" s="17"/>
      <c r="W362" s="17"/>
      <c r="X362" s="17"/>
      <c r="Y362" s="17"/>
      <c r="Z362" s="17"/>
      <c r="AA362" s="17"/>
      <c r="AB362" s="17"/>
      <c r="AC362" s="17"/>
      <c r="AD362" s="17" t="s">
        <v>8003</v>
      </c>
      <c r="AE362" s="17"/>
      <c r="AF362" s="17"/>
      <c r="AG362" s="17"/>
      <c r="AH362" s="17"/>
      <c r="AI362" s="17"/>
    </row>
    <row r="363" hidden="1">
      <c r="A363" s="34">
        <f t="shared" si="8"/>
        <v>362</v>
      </c>
      <c r="B363" s="35" t="s">
        <v>52</v>
      </c>
      <c r="C363" s="34" t="s">
        <v>3460</v>
      </c>
      <c r="D363" s="34" t="s">
        <v>8282</v>
      </c>
      <c r="E363" s="34">
        <v>21.818159000000001</v>
      </c>
      <c r="F363" s="34">
        <v>87.430965999999998</v>
      </c>
      <c r="G363" s="34" t="s">
        <v>7956</v>
      </c>
      <c r="H363" s="34" t="s">
        <v>7987</v>
      </c>
      <c r="I363" s="35" t="s">
        <v>2484</v>
      </c>
      <c r="J363" s="35">
        <v>7003158683</v>
      </c>
      <c r="K363" s="35" t="s">
        <v>2484</v>
      </c>
      <c r="L363" s="35">
        <v>7003158683</v>
      </c>
      <c r="M363" s="35"/>
      <c r="N363" s="17"/>
      <c r="O363" s="17"/>
      <c r="P363" s="17"/>
      <c r="Q363" s="17"/>
      <c r="R363" s="17"/>
      <c r="S363" s="17"/>
      <c r="T363" s="17"/>
      <c r="U363" s="17"/>
      <c r="V363" s="17"/>
      <c r="W363" s="17"/>
      <c r="X363" s="17"/>
      <c r="Y363" s="17"/>
      <c r="Z363" s="17"/>
      <c r="AA363" s="17"/>
      <c r="AB363" s="17"/>
      <c r="AC363" s="17"/>
      <c r="AD363" s="17"/>
      <c r="AE363" s="17"/>
      <c r="AF363" s="17"/>
      <c r="AG363" s="17"/>
      <c r="AH363" s="17"/>
      <c r="AI363" s="17"/>
    </row>
    <row r="364" hidden="1">
      <c r="A364" s="34">
        <f t="shared" si="8"/>
        <v>363</v>
      </c>
      <c r="B364" s="35" t="s">
        <v>52</v>
      </c>
      <c r="C364" s="34" t="s">
        <v>3463</v>
      </c>
      <c r="D364" s="34" t="s">
        <v>3458</v>
      </c>
      <c r="E364" s="34">
        <v>21.777059000000001</v>
      </c>
      <c r="F364" s="34">
        <v>87.430381999999994</v>
      </c>
      <c r="G364" s="34" t="s">
        <v>7956</v>
      </c>
      <c r="H364" s="34" t="s">
        <v>8009</v>
      </c>
      <c r="I364" s="35" t="s">
        <v>2484</v>
      </c>
      <c r="J364" s="35">
        <v>7003158683</v>
      </c>
      <c r="K364" s="35" t="s">
        <v>2484</v>
      </c>
      <c r="L364" s="35">
        <v>7003158683</v>
      </c>
      <c r="M364" s="35"/>
      <c r="N364" s="17"/>
      <c r="O364" s="17"/>
      <c r="P364" s="17"/>
      <c r="Q364" s="17"/>
      <c r="R364" s="17"/>
      <c r="S364" s="17"/>
      <c r="T364" s="17"/>
      <c r="U364" s="17"/>
      <c r="V364" s="17"/>
      <c r="W364" s="17"/>
      <c r="X364" s="17"/>
      <c r="Y364" s="17"/>
      <c r="Z364" s="17"/>
      <c r="AA364" s="17"/>
      <c r="AB364" s="17"/>
      <c r="AC364" s="17"/>
      <c r="AD364" s="17"/>
      <c r="AE364" s="17"/>
      <c r="AF364" s="17"/>
      <c r="AG364" s="17"/>
      <c r="AH364" s="17"/>
      <c r="AI364" s="17"/>
    </row>
    <row r="365" hidden="1">
      <c r="A365" s="34">
        <f t="shared" si="8"/>
        <v>364</v>
      </c>
      <c r="B365" s="35" t="s">
        <v>52</v>
      </c>
      <c r="C365" s="34" t="s">
        <v>3465</v>
      </c>
      <c r="D365" s="34" t="s">
        <v>3466</v>
      </c>
      <c r="E365" s="34">
        <v>21.793873999999999</v>
      </c>
      <c r="F365" s="34">
        <v>87.372023999999996</v>
      </c>
      <c r="G365" s="34" t="s">
        <v>7956</v>
      </c>
      <c r="H365" s="34" t="s">
        <v>7987</v>
      </c>
      <c r="I365" s="35" t="s">
        <v>2484</v>
      </c>
      <c r="J365" s="35">
        <v>7003158683</v>
      </c>
      <c r="K365" s="35" t="s">
        <v>2484</v>
      </c>
      <c r="L365" s="35">
        <v>7003158683</v>
      </c>
      <c r="M365" s="35"/>
      <c r="N365" s="17"/>
      <c r="O365" s="17"/>
      <c r="P365" s="17"/>
      <c r="Q365" s="17"/>
      <c r="R365" s="17"/>
      <c r="S365" s="17"/>
      <c r="T365" s="17"/>
      <c r="U365" s="17"/>
      <c r="V365" s="17"/>
      <c r="W365" s="17"/>
      <c r="X365" s="17"/>
      <c r="Y365" s="17"/>
      <c r="Z365" s="17"/>
      <c r="AA365" s="17"/>
      <c r="AB365" s="17"/>
      <c r="AC365" s="17"/>
      <c r="AD365" s="17"/>
      <c r="AE365" s="17"/>
      <c r="AF365" s="17"/>
      <c r="AG365" s="17"/>
      <c r="AH365" s="17"/>
      <c r="AI365" s="17"/>
    </row>
    <row r="366" hidden="1">
      <c r="A366" s="34">
        <f t="shared" si="8"/>
        <v>365</v>
      </c>
      <c r="B366" s="35" t="s">
        <v>52</v>
      </c>
      <c r="C366" s="34" t="s">
        <v>3468</v>
      </c>
      <c r="D366" s="34" t="s">
        <v>3469</v>
      </c>
      <c r="E366" s="34">
        <v>21.853373999999999</v>
      </c>
      <c r="F366" s="34">
        <v>87.444753000000006</v>
      </c>
      <c r="G366" s="34" t="s">
        <v>7956</v>
      </c>
      <c r="H366" s="34" t="s">
        <v>8009</v>
      </c>
      <c r="I366" s="35" t="s">
        <v>2484</v>
      </c>
      <c r="J366" s="35">
        <v>7003158683</v>
      </c>
      <c r="K366" s="35" t="s">
        <v>2484</v>
      </c>
      <c r="L366" s="35">
        <v>7003158683</v>
      </c>
      <c r="M366" s="35"/>
      <c r="N366" s="17"/>
      <c r="O366" s="17"/>
      <c r="P366" s="17"/>
      <c r="Q366" s="17"/>
      <c r="R366" s="17"/>
      <c r="S366" s="17"/>
      <c r="T366" s="17"/>
      <c r="U366" s="17"/>
      <c r="V366" s="17"/>
      <c r="W366" s="17"/>
      <c r="X366" s="17"/>
      <c r="Y366" s="17"/>
      <c r="Z366" s="17"/>
      <c r="AA366" s="17"/>
      <c r="AB366" s="17"/>
      <c r="AC366" s="17"/>
      <c r="AD366" s="17"/>
      <c r="AE366" s="17"/>
      <c r="AF366" s="17"/>
      <c r="AG366" s="17"/>
      <c r="AH366" s="17"/>
      <c r="AI366" s="17"/>
    </row>
    <row r="367" hidden="1">
      <c r="A367" s="34">
        <f t="shared" si="8"/>
        <v>366</v>
      </c>
      <c r="B367" s="35" t="s">
        <v>52</v>
      </c>
      <c r="C367" s="34" t="s">
        <v>3471</v>
      </c>
      <c r="D367" s="34" t="s">
        <v>8283</v>
      </c>
      <c r="E367" s="34">
        <v>21.886213999999999</v>
      </c>
      <c r="F367" s="34">
        <v>87.400469999999999</v>
      </c>
      <c r="G367" s="34" t="s">
        <v>7956</v>
      </c>
      <c r="H367" s="34" t="s">
        <v>7987</v>
      </c>
      <c r="I367" s="35" t="s">
        <v>2484</v>
      </c>
      <c r="J367" s="35">
        <v>7003158683</v>
      </c>
      <c r="K367" s="35" t="s">
        <v>2484</v>
      </c>
      <c r="L367" s="35">
        <v>7003158683</v>
      </c>
      <c r="M367" s="35"/>
      <c r="N367" s="17"/>
      <c r="O367" s="17"/>
      <c r="P367" s="17"/>
      <c r="Q367" s="17"/>
      <c r="R367" s="17"/>
      <c r="S367" s="17"/>
      <c r="T367" s="17"/>
      <c r="U367" s="17"/>
      <c r="V367" s="17"/>
      <c r="W367" s="17"/>
      <c r="X367" s="17"/>
      <c r="Y367" s="17"/>
      <c r="Z367" s="17"/>
      <c r="AA367" s="17"/>
      <c r="AB367" s="17"/>
      <c r="AC367" s="17"/>
      <c r="AD367" s="17"/>
      <c r="AE367" s="17"/>
      <c r="AF367" s="17"/>
      <c r="AG367" s="17"/>
      <c r="AH367" s="17"/>
      <c r="AI367" s="17"/>
    </row>
    <row r="368" hidden="1">
      <c r="A368" s="34">
        <f t="shared" si="8"/>
        <v>367</v>
      </c>
      <c r="B368" s="35" t="s">
        <v>52</v>
      </c>
      <c r="C368" s="34" t="s">
        <v>3474</v>
      </c>
      <c r="D368" s="34" t="s">
        <v>8284</v>
      </c>
      <c r="E368" s="34">
        <v>21.787444000000001</v>
      </c>
      <c r="F368" s="34">
        <v>87.413684000000003</v>
      </c>
      <c r="G368" s="34" t="s">
        <v>7956</v>
      </c>
      <c r="H368" s="34" t="s">
        <v>7987</v>
      </c>
      <c r="I368" s="35" t="s">
        <v>2484</v>
      </c>
      <c r="J368" s="35">
        <v>7003158683</v>
      </c>
      <c r="K368" s="35" t="s">
        <v>2484</v>
      </c>
      <c r="L368" s="35">
        <v>7003158683</v>
      </c>
      <c r="M368" s="35"/>
      <c r="N368" s="17"/>
      <c r="O368" s="17"/>
      <c r="P368" s="17"/>
      <c r="Q368" s="17"/>
      <c r="R368" s="17"/>
      <c r="S368" s="17"/>
      <c r="T368" s="17"/>
      <c r="U368" s="17"/>
      <c r="V368" s="17"/>
      <c r="W368" s="17"/>
      <c r="X368" s="17"/>
      <c r="Y368" s="17"/>
      <c r="Z368" s="17"/>
      <c r="AA368" s="17"/>
      <c r="AB368" s="17"/>
      <c r="AC368" s="17"/>
      <c r="AD368" s="17"/>
      <c r="AE368" s="17"/>
      <c r="AF368" s="17"/>
      <c r="AG368" s="17"/>
      <c r="AH368" s="17"/>
      <c r="AI368" s="17"/>
    </row>
    <row r="369" hidden="1">
      <c r="A369" s="34">
        <f t="shared" si="8"/>
        <v>368</v>
      </c>
      <c r="B369" s="35" t="s">
        <v>52</v>
      </c>
      <c r="C369" s="34" t="s">
        <v>3476</v>
      </c>
      <c r="D369" s="34" t="s">
        <v>3477</v>
      </c>
      <c r="E369" s="34">
        <v>21.853000999999999</v>
      </c>
      <c r="F369" s="34">
        <v>87.349349000000004</v>
      </c>
      <c r="G369" s="34" t="s">
        <v>7956</v>
      </c>
      <c r="H369" s="34" t="s">
        <v>7987</v>
      </c>
      <c r="I369" s="35" t="s">
        <v>2484</v>
      </c>
      <c r="J369" s="35">
        <v>7003158683</v>
      </c>
      <c r="K369" s="35" t="s">
        <v>2484</v>
      </c>
      <c r="L369" s="35">
        <v>7003158683</v>
      </c>
      <c r="M369" s="35"/>
      <c r="N369" s="17"/>
      <c r="O369" s="17"/>
      <c r="P369" s="17"/>
      <c r="Q369" s="17"/>
      <c r="R369" s="17"/>
      <c r="S369" s="17"/>
      <c r="T369" s="17"/>
      <c r="U369" s="17"/>
      <c r="V369" s="17"/>
      <c r="W369" s="17"/>
      <c r="X369" s="17"/>
      <c r="Y369" s="17"/>
      <c r="Z369" s="17"/>
      <c r="AA369" s="17"/>
      <c r="AB369" s="17"/>
      <c r="AC369" s="17"/>
      <c r="AD369" s="17"/>
      <c r="AE369" s="17"/>
      <c r="AF369" s="17"/>
      <c r="AG369" s="17"/>
      <c r="AH369" s="17"/>
      <c r="AI369" s="17"/>
    </row>
    <row r="370" hidden="1">
      <c r="A370" s="34">
        <f t="shared" si="8"/>
        <v>369</v>
      </c>
      <c r="B370" s="35" t="s">
        <v>52</v>
      </c>
      <c r="C370" s="34" t="s">
        <v>3479</v>
      </c>
      <c r="D370" s="34" t="s">
        <v>8285</v>
      </c>
      <c r="E370" s="34">
        <v>21.817928999999999</v>
      </c>
      <c r="F370" s="34">
        <v>87.396248</v>
      </c>
      <c r="G370" s="34" t="s">
        <v>7956</v>
      </c>
      <c r="H370" s="34" t="s">
        <v>7987</v>
      </c>
      <c r="I370" s="35" t="s">
        <v>2484</v>
      </c>
      <c r="J370" s="35">
        <v>7003158683</v>
      </c>
      <c r="K370" s="35" t="s">
        <v>2484</v>
      </c>
      <c r="L370" s="35">
        <v>7003158683</v>
      </c>
      <c r="M370" s="35"/>
      <c r="N370" s="17"/>
      <c r="O370" s="17"/>
      <c r="P370" s="17"/>
      <c r="Q370" s="17"/>
      <c r="R370" s="17"/>
      <c r="S370" s="17"/>
      <c r="T370" s="17"/>
      <c r="U370" s="17"/>
      <c r="V370" s="17"/>
      <c r="W370" s="17"/>
      <c r="X370" s="17"/>
      <c r="Y370" s="17"/>
      <c r="Z370" s="17"/>
      <c r="AA370" s="17"/>
      <c r="AB370" s="17"/>
      <c r="AC370" s="17"/>
      <c r="AD370" s="17"/>
      <c r="AE370" s="17"/>
      <c r="AF370" s="17"/>
      <c r="AG370" s="17"/>
      <c r="AH370" s="17"/>
      <c r="AI370" s="17"/>
    </row>
    <row r="371" hidden="1">
      <c r="A371" s="34">
        <f t="shared" si="8"/>
        <v>370</v>
      </c>
      <c r="B371" s="35" t="s">
        <v>52</v>
      </c>
      <c r="C371" s="34" t="s">
        <v>3482</v>
      </c>
      <c r="D371" s="34" t="s">
        <v>8286</v>
      </c>
      <c r="E371" s="42">
        <v>21.831842999999999</v>
      </c>
      <c r="F371" s="42">
        <v>87.394059999999996</v>
      </c>
      <c r="G371" s="34" t="s">
        <v>7960</v>
      </c>
      <c r="H371" s="34" t="s">
        <v>7987</v>
      </c>
      <c r="I371" s="35" t="s">
        <v>2484</v>
      </c>
      <c r="J371" s="35">
        <v>7003158683</v>
      </c>
      <c r="K371" s="35" t="s">
        <v>2484</v>
      </c>
      <c r="L371" s="35">
        <v>7003158683</v>
      </c>
      <c r="M371" s="35"/>
      <c r="N371" s="17"/>
      <c r="O371" s="17"/>
      <c r="P371" s="17"/>
      <c r="Q371" s="17"/>
      <c r="R371" s="17"/>
      <c r="S371" s="17"/>
      <c r="T371" s="17"/>
      <c r="U371" s="17"/>
      <c r="V371" s="17"/>
      <c r="W371" s="17"/>
      <c r="X371" s="17"/>
      <c r="Y371" s="17"/>
      <c r="Z371" s="17"/>
      <c r="AA371" s="17"/>
      <c r="AB371" s="17"/>
      <c r="AC371" s="17"/>
      <c r="AD371" s="17"/>
      <c r="AE371" s="17"/>
      <c r="AF371" s="17"/>
      <c r="AG371" s="17"/>
      <c r="AH371" s="17"/>
      <c r="AI371" s="17"/>
    </row>
    <row r="372" hidden="1">
      <c r="A372" s="34">
        <f t="shared" si="8"/>
        <v>371</v>
      </c>
      <c r="B372" s="35" t="s">
        <v>52</v>
      </c>
      <c r="C372" s="34" t="s">
        <v>3483</v>
      </c>
      <c r="D372" s="34" t="s">
        <v>8287</v>
      </c>
      <c r="E372" s="34">
        <v>22.170869</v>
      </c>
      <c r="F372" s="34">
        <v>87.384459000000007</v>
      </c>
      <c r="G372" s="34" t="s">
        <v>7955</v>
      </c>
      <c r="H372" s="34" t="s">
        <v>7987</v>
      </c>
      <c r="I372" s="34" t="s">
        <v>2695</v>
      </c>
      <c r="J372" s="34">
        <v>6201045379</v>
      </c>
      <c r="K372" s="34" t="s">
        <v>8164</v>
      </c>
      <c r="L372" s="34">
        <v>8016415030</v>
      </c>
      <c r="M372" s="34"/>
      <c r="N372" s="17"/>
      <c r="O372" s="17"/>
      <c r="P372" s="17"/>
      <c r="Q372" s="17"/>
      <c r="R372" s="17"/>
      <c r="S372" s="17"/>
      <c r="T372" s="17"/>
      <c r="U372" s="17"/>
      <c r="V372" s="17"/>
      <c r="W372" s="17"/>
      <c r="X372" s="17"/>
      <c r="Y372" s="17"/>
      <c r="Z372" s="17"/>
      <c r="AA372" s="17"/>
      <c r="AB372" s="17"/>
      <c r="AC372" s="17"/>
      <c r="AD372" s="17"/>
      <c r="AE372" s="17"/>
      <c r="AF372" s="17"/>
      <c r="AG372" s="17"/>
      <c r="AH372" s="17"/>
      <c r="AI372" s="17"/>
    </row>
    <row r="373" hidden="1">
      <c r="A373" s="34">
        <f t="shared" si="8"/>
        <v>372</v>
      </c>
      <c r="B373" s="35" t="s">
        <v>52</v>
      </c>
      <c r="C373" s="34" t="s">
        <v>3486</v>
      </c>
      <c r="D373" s="34" t="s">
        <v>8288</v>
      </c>
      <c r="E373" s="34">
        <v>22.013618000000001</v>
      </c>
      <c r="F373" s="34">
        <v>87.414209999999997</v>
      </c>
      <c r="G373" s="34" t="s">
        <v>7955</v>
      </c>
      <c r="H373" s="34" t="s">
        <v>7987</v>
      </c>
      <c r="I373" s="35" t="s">
        <v>2223</v>
      </c>
      <c r="J373" s="35">
        <v>9734686687</v>
      </c>
      <c r="K373" s="42" t="s">
        <v>2603</v>
      </c>
      <c r="L373" s="42">
        <v>8348990604</v>
      </c>
      <c r="M373" s="42"/>
      <c r="N373" s="17"/>
      <c r="O373" s="17"/>
      <c r="P373" s="17"/>
      <c r="Q373" s="17"/>
      <c r="R373" s="17"/>
      <c r="S373" s="17"/>
      <c r="T373" s="17"/>
      <c r="U373" s="17"/>
      <c r="V373" s="17"/>
      <c r="W373" s="17"/>
      <c r="X373" s="17"/>
      <c r="Y373" s="17"/>
      <c r="Z373" s="17"/>
      <c r="AA373" s="17"/>
      <c r="AB373" s="17"/>
      <c r="AC373" s="17"/>
      <c r="AD373" s="17"/>
      <c r="AE373" s="17"/>
      <c r="AF373" s="17"/>
      <c r="AG373" s="17"/>
      <c r="AH373" s="17"/>
      <c r="AI373" s="17"/>
    </row>
    <row r="374" hidden="1">
      <c r="A374" s="34">
        <f t="shared" si="8"/>
        <v>373</v>
      </c>
      <c r="B374" s="35" t="s">
        <v>52</v>
      </c>
      <c r="C374" s="34" t="s">
        <v>3490</v>
      </c>
      <c r="D374" s="34" t="s">
        <v>8289</v>
      </c>
      <c r="E374" s="34">
        <v>22.211694000000001</v>
      </c>
      <c r="F374" s="34">
        <v>87.386263</v>
      </c>
      <c r="G374" s="34" t="s">
        <v>7959</v>
      </c>
      <c r="H374" s="34" t="s">
        <v>7987</v>
      </c>
      <c r="I374" s="34" t="s">
        <v>2695</v>
      </c>
      <c r="J374" s="34">
        <v>6201045379</v>
      </c>
      <c r="K374" s="34" t="s">
        <v>8164</v>
      </c>
      <c r="L374" s="34">
        <v>8016415030</v>
      </c>
      <c r="M374" s="34"/>
      <c r="N374" s="17"/>
      <c r="O374" s="17"/>
      <c r="P374" s="17"/>
      <c r="Q374" s="17"/>
      <c r="R374" s="17"/>
      <c r="S374" s="17"/>
      <c r="T374" s="17"/>
      <c r="U374" s="17"/>
      <c r="V374" s="17"/>
      <c r="W374" s="17"/>
      <c r="X374" s="17"/>
      <c r="Y374" s="17"/>
      <c r="Z374" s="17"/>
      <c r="AA374" s="17"/>
      <c r="AB374" s="17"/>
      <c r="AC374" s="17"/>
      <c r="AD374" s="17"/>
      <c r="AE374" s="17"/>
      <c r="AF374" s="17"/>
      <c r="AG374" s="17"/>
      <c r="AH374" s="17"/>
      <c r="AI374" s="17"/>
    </row>
    <row r="375" hidden="1">
      <c r="A375" s="34">
        <f t="shared" si="8"/>
        <v>374</v>
      </c>
      <c r="B375" s="35" t="s">
        <v>52</v>
      </c>
      <c r="C375" s="34" t="s">
        <v>3493</v>
      </c>
      <c r="D375" s="34" t="s">
        <v>8290</v>
      </c>
      <c r="E375" s="34">
        <v>22.104378000000001</v>
      </c>
      <c r="F375" s="34">
        <v>87.354625999999996</v>
      </c>
      <c r="G375" s="34" t="s">
        <v>7954</v>
      </c>
      <c r="H375" s="34" t="s">
        <v>7987</v>
      </c>
      <c r="I375" s="35" t="s">
        <v>2223</v>
      </c>
      <c r="J375" s="35">
        <v>9734686687</v>
      </c>
      <c r="K375" s="35" t="s">
        <v>2223</v>
      </c>
      <c r="L375" s="35">
        <v>9734686694</v>
      </c>
      <c r="M375" s="35"/>
      <c r="N375" s="17"/>
      <c r="O375" s="17"/>
      <c r="P375" s="17"/>
      <c r="Q375" s="17"/>
      <c r="R375" s="17"/>
      <c r="S375" s="17"/>
      <c r="T375" s="17"/>
      <c r="U375" s="17"/>
      <c r="V375" s="17"/>
      <c r="W375" s="17"/>
      <c r="X375" s="17"/>
      <c r="Y375" s="17"/>
      <c r="Z375" s="17"/>
      <c r="AA375" s="17"/>
      <c r="AB375" s="17"/>
      <c r="AC375" s="17"/>
      <c r="AD375" s="17"/>
      <c r="AE375" s="17"/>
      <c r="AF375" s="17"/>
      <c r="AG375" s="17"/>
      <c r="AH375" s="17"/>
      <c r="AI375" s="17"/>
    </row>
    <row r="376" hidden="1">
      <c r="A376" s="34">
        <f t="shared" si="8"/>
        <v>375</v>
      </c>
      <c r="B376" s="35" t="s">
        <v>52</v>
      </c>
      <c r="C376" s="34" t="s">
        <v>3501</v>
      </c>
      <c r="D376" s="34" t="s">
        <v>3502</v>
      </c>
      <c r="E376" s="34">
        <v>22.137459</v>
      </c>
      <c r="F376" s="34">
        <v>87.381271999999996</v>
      </c>
      <c r="G376" s="34" t="s">
        <v>7954</v>
      </c>
      <c r="H376" s="34" t="s">
        <v>7987</v>
      </c>
      <c r="I376" s="35" t="s">
        <v>2223</v>
      </c>
      <c r="J376" s="35">
        <v>9734686687</v>
      </c>
      <c r="K376" s="35" t="s">
        <v>2223</v>
      </c>
      <c r="L376" s="35">
        <v>9734686700</v>
      </c>
      <c r="M376" s="35"/>
      <c r="N376" s="17"/>
      <c r="O376" s="17"/>
      <c r="P376" s="17"/>
      <c r="Q376" s="17"/>
      <c r="R376" s="17"/>
      <c r="S376" s="17"/>
      <c r="T376" s="17"/>
      <c r="U376" s="17"/>
      <c r="V376" s="17"/>
      <c r="W376" s="17"/>
      <c r="X376" s="17"/>
      <c r="Y376" s="17"/>
      <c r="Z376" s="17"/>
      <c r="AA376" s="17"/>
      <c r="AB376" s="17"/>
      <c r="AC376" s="17"/>
      <c r="AD376" s="17"/>
      <c r="AE376" s="17"/>
      <c r="AF376" s="17"/>
      <c r="AG376" s="17"/>
      <c r="AH376" s="17"/>
      <c r="AI376" s="17"/>
    </row>
    <row r="377" hidden="1">
      <c r="A377" s="34">
        <f t="shared" si="8"/>
        <v>376</v>
      </c>
      <c r="B377" s="35" t="s">
        <v>52</v>
      </c>
      <c r="C377" s="34" t="s">
        <v>3505</v>
      </c>
      <c r="D377" s="34" t="s">
        <v>8291</v>
      </c>
      <c r="E377" s="34">
        <v>22.245079</v>
      </c>
      <c r="F377" s="34">
        <v>87.393097999999995</v>
      </c>
      <c r="G377" s="34" t="s">
        <v>7954</v>
      </c>
      <c r="H377" s="34" t="s">
        <v>7987</v>
      </c>
      <c r="I377" s="34" t="s">
        <v>2695</v>
      </c>
      <c r="J377" s="34">
        <v>6201045379</v>
      </c>
      <c r="K377" s="34" t="s">
        <v>8164</v>
      </c>
      <c r="L377" s="34">
        <v>8016415030</v>
      </c>
      <c r="M377" s="34"/>
      <c r="N377" s="17"/>
      <c r="O377" s="17"/>
      <c r="P377" s="17"/>
      <c r="Q377" s="17"/>
      <c r="R377" s="17"/>
      <c r="S377" s="17"/>
      <c r="T377" s="17"/>
      <c r="U377" s="17"/>
      <c r="V377" s="17"/>
      <c r="W377" s="17"/>
      <c r="X377" s="17"/>
      <c r="Y377" s="17"/>
      <c r="Z377" s="17"/>
      <c r="AA377" s="17"/>
      <c r="AB377" s="17"/>
      <c r="AC377" s="17"/>
      <c r="AD377" s="17"/>
      <c r="AE377" s="17"/>
      <c r="AF377" s="17"/>
      <c r="AG377" s="17"/>
      <c r="AH377" s="17"/>
      <c r="AI377" s="17"/>
    </row>
    <row r="378" hidden="1">
      <c r="A378" s="34">
        <f t="shared" si="8"/>
        <v>377</v>
      </c>
      <c r="B378" s="35" t="s">
        <v>52</v>
      </c>
      <c r="C378" s="34" t="s">
        <v>3508</v>
      </c>
      <c r="D378" s="34" t="s">
        <v>8292</v>
      </c>
      <c r="E378" s="34">
        <v>22.005483999999999</v>
      </c>
      <c r="F378" s="34">
        <v>87.304060000000007</v>
      </c>
      <c r="G378" s="34" t="s">
        <v>7954</v>
      </c>
      <c r="H378" s="34" t="s">
        <v>7987</v>
      </c>
      <c r="I378" s="35" t="s">
        <v>2223</v>
      </c>
      <c r="J378" s="35">
        <v>9734686687</v>
      </c>
      <c r="K378" s="35" t="s">
        <v>2223</v>
      </c>
      <c r="L378" s="35">
        <v>9734686695</v>
      </c>
      <c r="M378" s="35"/>
      <c r="N378" s="17"/>
      <c r="O378" s="17"/>
      <c r="P378" s="17"/>
      <c r="Q378" s="17"/>
      <c r="R378" s="17"/>
      <c r="S378" s="17"/>
      <c r="T378" s="17"/>
      <c r="U378" s="17"/>
      <c r="V378" s="17"/>
      <c r="W378" s="17"/>
      <c r="X378" s="17"/>
      <c r="Y378" s="17"/>
      <c r="Z378" s="17"/>
      <c r="AA378" s="17"/>
      <c r="AB378" s="17"/>
      <c r="AC378" s="17"/>
      <c r="AD378" s="17"/>
      <c r="AE378" s="17"/>
      <c r="AF378" s="17"/>
      <c r="AG378" s="17"/>
      <c r="AH378" s="17"/>
      <c r="AI378" s="17"/>
    </row>
    <row r="379" hidden="1">
      <c r="A379" s="34">
        <f t="shared" si="8"/>
        <v>378</v>
      </c>
      <c r="B379" s="35" t="s">
        <v>52</v>
      </c>
      <c r="C379" s="34" t="s">
        <v>3512</v>
      </c>
      <c r="D379" s="34" t="s">
        <v>8293</v>
      </c>
      <c r="E379" s="34">
        <v>22.119987999999999</v>
      </c>
      <c r="F379" s="34">
        <v>87.502696</v>
      </c>
      <c r="G379" s="34" t="s">
        <v>7960</v>
      </c>
      <c r="H379" s="34" t="s">
        <v>7987</v>
      </c>
      <c r="I379" s="35" t="s">
        <v>2248</v>
      </c>
      <c r="J379" s="35">
        <v>9635120146</v>
      </c>
      <c r="K379" s="35" t="s">
        <v>2248</v>
      </c>
      <c r="L379" s="35">
        <v>8100154683</v>
      </c>
      <c r="M379" s="35"/>
      <c r="N379" s="17"/>
      <c r="O379" s="17"/>
      <c r="P379" s="17"/>
      <c r="Q379" s="17"/>
      <c r="R379" s="17"/>
      <c r="S379" s="17"/>
      <c r="T379" s="17"/>
      <c r="U379" s="17"/>
      <c r="V379" s="17"/>
      <c r="W379" s="17"/>
      <c r="X379" s="17"/>
      <c r="Y379" s="17"/>
      <c r="Z379" s="17"/>
      <c r="AA379" s="17"/>
      <c r="AB379" s="17"/>
      <c r="AC379" s="17"/>
      <c r="AD379" s="17"/>
      <c r="AE379" s="17"/>
      <c r="AF379" s="17"/>
      <c r="AG379" s="17"/>
      <c r="AH379" s="17"/>
      <c r="AI379" s="17"/>
    </row>
    <row r="380" hidden="1">
      <c r="A380" s="34">
        <f t="shared" si="8"/>
        <v>379</v>
      </c>
      <c r="B380" s="35" t="s">
        <v>52</v>
      </c>
      <c r="C380" s="34" t="s">
        <v>3516</v>
      </c>
      <c r="D380" s="34" t="s">
        <v>3517</v>
      </c>
      <c r="E380" s="34">
        <v>22.105504</v>
      </c>
      <c r="F380" s="34">
        <v>87.482973000000001</v>
      </c>
      <c r="G380" s="34" t="s">
        <v>7954</v>
      </c>
      <c r="H380" s="34" t="s">
        <v>7987</v>
      </c>
      <c r="I380" s="35" t="s">
        <v>2248</v>
      </c>
      <c r="J380" s="35">
        <v>9635120146</v>
      </c>
      <c r="K380" s="35" t="s">
        <v>2248</v>
      </c>
      <c r="L380" s="35">
        <v>8100154683</v>
      </c>
      <c r="M380" s="35"/>
      <c r="N380" s="17"/>
      <c r="O380" s="17"/>
      <c r="P380" s="17"/>
      <c r="Q380" s="17"/>
      <c r="R380" s="17"/>
      <c r="S380" s="17"/>
      <c r="T380" s="17"/>
      <c r="U380" s="17"/>
      <c r="V380" s="17"/>
      <c r="W380" s="17"/>
      <c r="X380" s="17"/>
      <c r="Y380" s="17"/>
      <c r="Z380" s="17"/>
      <c r="AA380" s="17"/>
      <c r="AB380" s="17"/>
      <c r="AC380" s="17"/>
      <c r="AD380" s="17"/>
      <c r="AE380" s="17"/>
      <c r="AF380" s="17"/>
      <c r="AG380" s="17"/>
      <c r="AH380" s="17"/>
      <c r="AI380" s="17"/>
    </row>
    <row r="381" hidden="1">
      <c r="A381" s="34">
        <f t="shared" si="8"/>
        <v>380</v>
      </c>
      <c r="B381" s="35" t="s">
        <v>52</v>
      </c>
      <c r="C381" s="34" t="s">
        <v>3520</v>
      </c>
      <c r="D381" s="34" t="s">
        <v>8294</v>
      </c>
      <c r="E381" s="34">
        <v>22.165164000000001</v>
      </c>
      <c r="F381" s="34">
        <v>87.466768000000002</v>
      </c>
      <c r="G381" s="34" t="s">
        <v>7954</v>
      </c>
      <c r="H381" s="34" t="s">
        <v>7987</v>
      </c>
      <c r="I381" s="35" t="s">
        <v>2248</v>
      </c>
      <c r="J381" s="35">
        <v>9635120146</v>
      </c>
      <c r="K381" s="35" t="s">
        <v>2248</v>
      </c>
      <c r="L381" s="35">
        <v>8100154683</v>
      </c>
      <c r="M381" s="35"/>
      <c r="N381" s="17"/>
      <c r="O381" s="17"/>
      <c r="P381" s="17"/>
      <c r="Q381" s="17"/>
      <c r="R381" s="17"/>
      <c r="S381" s="17"/>
      <c r="T381" s="17"/>
      <c r="U381" s="17"/>
      <c r="V381" s="17"/>
      <c r="W381" s="17"/>
      <c r="X381" s="17"/>
      <c r="Y381" s="17"/>
      <c r="Z381" s="17"/>
      <c r="AA381" s="17"/>
      <c r="AB381" s="17"/>
      <c r="AC381" s="17"/>
      <c r="AD381" s="17"/>
      <c r="AE381" s="17"/>
      <c r="AF381" s="17"/>
      <c r="AG381" s="17"/>
      <c r="AH381" s="17"/>
      <c r="AI381" s="17"/>
    </row>
    <row r="382" hidden="1">
      <c r="A382" s="34">
        <f t="shared" si="8"/>
        <v>381</v>
      </c>
      <c r="B382" s="35" t="s">
        <v>52</v>
      </c>
      <c r="C382" s="34" t="s">
        <v>3524</v>
      </c>
      <c r="D382" s="34" t="s">
        <v>8295</v>
      </c>
      <c r="E382" s="34">
        <v>22.028099000000001</v>
      </c>
      <c r="F382" s="34">
        <v>87.379610999999997</v>
      </c>
      <c r="G382" s="34" t="s">
        <v>7954</v>
      </c>
      <c r="H382" s="34" t="s">
        <v>7987</v>
      </c>
      <c r="I382" s="35" t="s">
        <v>2223</v>
      </c>
      <c r="J382" s="35">
        <v>9734686687</v>
      </c>
      <c r="K382" s="35" t="s">
        <v>2223</v>
      </c>
      <c r="L382" s="35">
        <v>9734686696</v>
      </c>
      <c r="M382" s="35"/>
      <c r="N382" s="17"/>
      <c r="O382" s="17"/>
      <c r="P382" s="17"/>
      <c r="Q382" s="17"/>
      <c r="R382" s="17"/>
      <c r="S382" s="17"/>
      <c r="T382" s="17"/>
      <c r="U382" s="17"/>
      <c r="V382" s="17"/>
      <c r="W382" s="17"/>
      <c r="X382" s="17"/>
      <c r="Y382" s="17"/>
      <c r="Z382" s="17"/>
      <c r="AA382" s="17"/>
      <c r="AB382" s="17"/>
      <c r="AC382" s="17"/>
      <c r="AD382" s="17"/>
      <c r="AE382" s="17"/>
      <c r="AF382" s="17"/>
      <c r="AG382" s="17"/>
      <c r="AH382" s="17"/>
      <c r="AI382" s="17"/>
    </row>
    <row r="383" hidden="1">
      <c r="A383" s="34">
        <f t="shared" si="8"/>
        <v>382</v>
      </c>
      <c r="B383" s="35" t="s">
        <v>52</v>
      </c>
      <c r="C383" s="34" t="s">
        <v>3531</v>
      </c>
      <c r="D383" s="34" t="s">
        <v>8296</v>
      </c>
      <c r="E383" s="34">
        <v>22.058114</v>
      </c>
      <c r="F383" s="34">
        <v>87.449449000000001</v>
      </c>
      <c r="G383" s="34" t="s">
        <v>7954</v>
      </c>
      <c r="H383" s="34" t="s">
        <v>7987</v>
      </c>
      <c r="I383" s="35" t="s">
        <v>2223</v>
      </c>
      <c r="J383" s="35">
        <v>9734686687</v>
      </c>
      <c r="K383" s="42" t="s">
        <v>2603</v>
      </c>
      <c r="L383" s="42">
        <v>8348990605</v>
      </c>
      <c r="M383" s="42"/>
      <c r="N383" s="17"/>
      <c r="O383" s="17"/>
      <c r="P383" s="17"/>
      <c r="Q383" s="17"/>
      <c r="R383" s="17"/>
      <c r="S383" s="17"/>
      <c r="T383" s="17"/>
      <c r="U383" s="17"/>
      <c r="V383" s="17"/>
      <c r="W383" s="17"/>
      <c r="X383" s="17"/>
      <c r="Y383" s="17"/>
      <c r="Z383" s="17"/>
      <c r="AA383" s="17"/>
      <c r="AB383" s="17"/>
      <c r="AC383" s="17"/>
      <c r="AD383" s="17"/>
      <c r="AE383" s="17"/>
      <c r="AF383" s="17"/>
      <c r="AG383" s="17"/>
      <c r="AH383" s="17"/>
      <c r="AI383" s="17"/>
    </row>
    <row r="384">
      <c r="A384" s="34">
        <f t="shared" si="8"/>
        <v>383</v>
      </c>
      <c r="B384" s="35" t="s">
        <v>52</v>
      </c>
      <c r="C384" s="34" t="s">
        <v>3536</v>
      </c>
      <c r="D384" s="34" t="s">
        <v>8297</v>
      </c>
      <c r="E384" s="34">
        <v>22.169419999999999</v>
      </c>
      <c r="F384" s="34">
        <v>87.300211000000004</v>
      </c>
      <c r="G384" s="34" t="s">
        <v>7954</v>
      </c>
      <c r="H384" s="34" t="s">
        <v>7987</v>
      </c>
      <c r="I384" s="38" t="s">
        <v>2710</v>
      </c>
      <c r="J384" s="34">
        <v>9366758165</v>
      </c>
      <c r="K384" s="35" t="s">
        <v>8169</v>
      </c>
      <c r="L384" s="35">
        <v>8927909951</v>
      </c>
      <c r="M384" s="35"/>
      <c r="N384" s="17"/>
      <c r="O384" s="17"/>
      <c r="P384" s="17"/>
      <c r="Q384" s="17"/>
      <c r="R384" s="17"/>
      <c r="S384" s="17"/>
      <c r="T384" s="17"/>
      <c r="U384" s="17"/>
      <c r="V384" s="17"/>
      <c r="W384" s="17"/>
      <c r="X384" s="17"/>
      <c r="Y384" s="17"/>
      <c r="Z384" s="17"/>
      <c r="AA384" s="17"/>
      <c r="AB384" s="17"/>
      <c r="AC384" s="17"/>
      <c r="AD384" s="17"/>
      <c r="AE384" s="17"/>
      <c r="AF384" s="17"/>
      <c r="AG384" s="17"/>
      <c r="AH384" s="17"/>
      <c r="AI384" s="17"/>
    </row>
    <row r="385" hidden="1">
      <c r="A385" s="34">
        <f t="shared" si="8"/>
        <v>384</v>
      </c>
      <c r="B385" s="35" t="s">
        <v>52</v>
      </c>
      <c r="C385" s="34" t="s">
        <v>3539</v>
      </c>
      <c r="D385" s="34" t="s">
        <v>3540</v>
      </c>
      <c r="E385" s="34">
        <v>22.205586</v>
      </c>
      <c r="F385" s="34">
        <v>87.460999000000001</v>
      </c>
      <c r="G385" s="34" t="s">
        <v>7954</v>
      </c>
      <c r="H385" s="34" t="s">
        <v>7987</v>
      </c>
      <c r="I385" s="35" t="s">
        <v>2248</v>
      </c>
      <c r="J385" s="35">
        <v>9635120146</v>
      </c>
      <c r="K385" s="35" t="s">
        <v>2248</v>
      </c>
      <c r="L385" s="35">
        <v>8100154683</v>
      </c>
      <c r="M385" s="35"/>
      <c r="N385" s="17"/>
      <c r="O385" s="17"/>
      <c r="P385" s="17"/>
      <c r="Q385" s="17"/>
      <c r="R385" s="17"/>
      <c r="S385" s="17"/>
      <c r="T385" s="17"/>
      <c r="U385" s="17"/>
      <c r="V385" s="17"/>
      <c r="W385" s="17"/>
      <c r="X385" s="17"/>
      <c r="Y385" s="17"/>
      <c r="Z385" s="17"/>
      <c r="AA385" s="17"/>
      <c r="AB385" s="17"/>
      <c r="AC385" s="17"/>
      <c r="AD385" s="17"/>
      <c r="AE385" s="17"/>
      <c r="AF385" s="17"/>
      <c r="AG385" s="17"/>
      <c r="AH385" s="17"/>
      <c r="AI385" s="17"/>
    </row>
    <row r="386" hidden="1">
      <c r="A386" s="34">
        <f t="shared" si="8"/>
        <v>385</v>
      </c>
      <c r="B386" s="35" t="s">
        <v>52</v>
      </c>
      <c r="C386" s="34" t="s">
        <v>3544</v>
      </c>
      <c r="D386" s="34" t="s">
        <v>8298</v>
      </c>
      <c r="E386" s="34">
        <v>22.124870000000001</v>
      </c>
      <c r="F386" s="34">
        <v>87.436570000000003</v>
      </c>
      <c r="G386" s="34" t="s">
        <v>7954</v>
      </c>
      <c r="H386" s="34" t="s">
        <v>7987</v>
      </c>
      <c r="I386" s="35" t="s">
        <v>2248</v>
      </c>
      <c r="J386" s="35">
        <v>9635120146</v>
      </c>
      <c r="K386" s="35" t="s">
        <v>2248</v>
      </c>
      <c r="L386" s="35">
        <v>8100154683</v>
      </c>
      <c r="M386" s="35"/>
      <c r="N386" s="17"/>
      <c r="O386" s="17"/>
      <c r="P386" s="17"/>
      <c r="Q386" s="17"/>
      <c r="R386" s="17"/>
      <c r="S386" s="17"/>
      <c r="T386" s="17"/>
      <c r="U386" s="17"/>
      <c r="V386" s="17"/>
      <c r="W386" s="17"/>
      <c r="X386" s="17"/>
      <c r="Y386" s="17"/>
      <c r="Z386" s="17"/>
      <c r="AA386" s="17"/>
      <c r="AB386" s="17"/>
      <c r="AC386" s="17"/>
      <c r="AD386" s="17"/>
      <c r="AE386" s="17"/>
      <c r="AF386" s="17"/>
      <c r="AG386" s="17"/>
      <c r="AH386" s="17"/>
      <c r="AI386" s="17"/>
    </row>
    <row r="387" hidden="1">
      <c r="A387" s="34">
        <f t="shared" ref="A387:A450" si="9">A386+1</f>
        <v>386</v>
      </c>
      <c r="B387" s="35" t="s">
        <v>52</v>
      </c>
      <c r="C387" s="34" t="s">
        <v>3549</v>
      </c>
      <c r="D387" s="34" t="s">
        <v>3550</v>
      </c>
      <c r="E387" s="34">
        <v>22.136758</v>
      </c>
      <c r="F387" s="34">
        <v>87.460560999999998</v>
      </c>
      <c r="G387" s="34" t="s">
        <v>7954</v>
      </c>
      <c r="H387" s="34" t="s">
        <v>7987</v>
      </c>
      <c r="I387" s="35" t="s">
        <v>2248</v>
      </c>
      <c r="J387" s="35">
        <v>9635120146</v>
      </c>
      <c r="K387" s="35" t="s">
        <v>2248</v>
      </c>
      <c r="L387" s="35">
        <v>8100154683</v>
      </c>
      <c r="M387" s="35"/>
      <c r="N387" s="17"/>
      <c r="O387" s="17"/>
      <c r="P387" s="17"/>
      <c r="Q387" s="17"/>
      <c r="R387" s="17"/>
      <c r="S387" s="17"/>
      <c r="T387" s="17"/>
      <c r="U387" s="17"/>
      <c r="V387" s="17"/>
      <c r="W387" s="17"/>
      <c r="X387" s="17"/>
      <c r="Y387" s="17"/>
      <c r="Z387" s="17"/>
      <c r="AA387" s="17"/>
      <c r="AB387" s="17"/>
      <c r="AC387" s="17"/>
      <c r="AD387" s="17"/>
      <c r="AE387" s="17"/>
      <c r="AF387" s="17"/>
      <c r="AG387" s="17"/>
      <c r="AH387" s="17"/>
      <c r="AI387" s="17"/>
    </row>
    <row r="388" hidden="1">
      <c r="A388" s="34">
        <f t="shared" si="9"/>
        <v>387</v>
      </c>
      <c r="B388" s="35" t="s">
        <v>52</v>
      </c>
      <c r="C388" s="34" t="s">
        <v>3553</v>
      </c>
      <c r="D388" s="34" t="s">
        <v>3554</v>
      </c>
      <c r="E388" s="34">
        <v>22.186332</v>
      </c>
      <c r="F388" s="34">
        <v>87.369968</v>
      </c>
      <c r="G388" s="34" t="s">
        <v>7954</v>
      </c>
      <c r="H388" s="34" t="s">
        <v>8299</v>
      </c>
      <c r="I388" s="34" t="s">
        <v>2695</v>
      </c>
      <c r="J388" s="34">
        <v>6201045379</v>
      </c>
      <c r="K388" s="34" t="s">
        <v>8164</v>
      </c>
      <c r="L388" s="34">
        <v>8016415030</v>
      </c>
      <c r="M388" s="34"/>
      <c r="N388" s="17"/>
      <c r="O388" s="17"/>
      <c r="P388" s="17"/>
      <c r="Q388" s="17"/>
      <c r="R388" s="17"/>
      <c r="S388" s="17"/>
      <c r="T388" s="17"/>
      <c r="U388" s="17"/>
      <c r="V388" s="17"/>
      <c r="W388" s="17"/>
      <c r="X388" s="17"/>
      <c r="Y388" s="17"/>
      <c r="Z388" s="17"/>
      <c r="AA388" s="17"/>
      <c r="AB388" s="17"/>
      <c r="AC388" s="17"/>
      <c r="AD388" s="17"/>
      <c r="AE388" s="17"/>
      <c r="AF388" s="17"/>
      <c r="AG388" s="17"/>
      <c r="AH388" s="17"/>
      <c r="AI388" s="17"/>
    </row>
    <row r="389" hidden="1">
      <c r="A389" s="34">
        <f t="shared" si="9"/>
        <v>388</v>
      </c>
      <c r="B389" s="35" t="s">
        <v>52</v>
      </c>
      <c r="C389" s="34" t="s">
        <v>3556</v>
      </c>
      <c r="D389" s="34" t="s">
        <v>3557</v>
      </c>
      <c r="E389" s="34">
        <v>22.173048999999999</v>
      </c>
      <c r="F389" s="34">
        <v>87.345301000000006</v>
      </c>
      <c r="G389" s="34" t="s">
        <v>7954</v>
      </c>
      <c r="H389" s="34" t="s">
        <v>8299</v>
      </c>
      <c r="I389" s="34" t="s">
        <v>2695</v>
      </c>
      <c r="J389" s="34">
        <v>6201045379</v>
      </c>
      <c r="K389" s="34" t="s">
        <v>8164</v>
      </c>
      <c r="L389" s="34">
        <v>8016415030</v>
      </c>
      <c r="M389" s="34"/>
      <c r="N389" s="17"/>
      <c r="O389" s="17"/>
      <c r="P389" s="17"/>
      <c r="Q389" s="17"/>
      <c r="R389" s="17"/>
      <c r="S389" s="17"/>
      <c r="T389" s="17"/>
      <c r="U389" s="17"/>
      <c r="V389" s="17"/>
      <c r="W389" s="17"/>
      <c r="X389" s="17"/>
      <c r="Y389" s="17"/>
      <c r="Z389" s="17"/>
      <c r="AA389" s="17"/>
      <c r="AB389" s="17"/>
      <c r="AC389" s="17"/>
      <c r="AD389" s="17"/>
      <c r="AE389" s="17"/>
      <c r="AF389" s="17"/>
      <c r="AG389" s="17"/>
      <c r="AH389" s="17"/>
      <c r="AI389" s="17"/>
    </row>
    <row r="390" hidden="1">
      <c r="A390" s="34">
        <f t="shared" si="9"/>
        <v>389</v>
      </c>
      <c r="B390" s="35" t="s">
        <v>52</v>
      </c>
      <c r="C390" s="34" t="s">
        <v>3559</v>
      </c>
      <c r="D390" s="34" t="s">
        <v>3560</v>
      </c>
      <c r="E390" s="34">
        <v>22.222224000000001</v>
      </c>
      <c r="F390" s="34">
        <v>87.362482</v>
      </c>
      <c r="G390" s="34" t="s">
        <v>7954</v>
      </c>
      <c r="H390" s="34" t="s">
        <v>7987</v>
      </c>
      <c r="I390" s="34" t="s">
        <v>2695</v>
      </c>
      <c r="J390" s="34">
        <v>6201045379</v>
      </c>
      <c r="K390" s="34" t="s">
        <v>8164</v>
      </c>
      <c r="L390" s="34">
        <v>8016415030</v>
      </c>
      <c r="M390" s="34"/>
      <c r="N390" s="17"/>
      <c r="O390" s="17"/>
      <c r="P390" s="17"/>
      <c r="Q390" s="17"/>
      <c r="R390" s="17"/>
      <c r="S390" s="17"/>
      <c r="T390" s="17"/>
      <c r="U390" s="17"/>
      <c r="V390" s="17"/>
      <c r="W390" s="17"/>
      <c r="X390" s="17"/>
      <c r="Y390" s="17"/>
      <c r="Z390" s="17"/>
      <c r="AA390" s="17"/>
      <c r="AB390" s="17"/>
      <c r="AC390" s="17"/>
      <c r="AD390" s="17"/>
      <c r="AE390" s="17"/>
      <c r="AF390" s="17"/>
      <c r="AG390" s="17"/>
      <c r="AH390" s="17"/>
      <c r="AI390" s="17"/>
    </row>
    <row r="391" hidden="1">
      <c r="A391" s="34">
        <f t="shared" si="9"/>
        <v>390</v>
      </c>
      <c r="B391" s="35" t="s">
        <v>52</v>
      </c>
      <c r="C391" s="34" t="s">
        <v>3562</v>
      </c>
      <c r="D391" s="34" t="s">
        <v>1006</v>
      </c>
      <c r="E391" s="34">
        <v>22.023903000000001</v>
      </c>
      <c r="F391" s="34">
        <v>87.432665999999998</v>
      </c>
      <c r="G391" s="34" t="s">
        <v>7954</v>
      </c>
      <c r="H391" s="34" t="s">
        <v>7987</v>
      </c>
      <c r="I391" s="35" t="s">
        <v>2223</v>
      </c>
      <c r="J391" s="35">
        <v>9734686687</v>
      </c>
      <c r="K391" s="42" t="s">
        <v>2603</v>
      </c>
      <c r="L391" s="42">
        <v>8348990606</v>
      </c>
      <c r="M391" s="42"/>
      <c r="N391" s="17"/>
      <c r="O391" s="17"/>
      <c r="P391" s="17"/>
      <c r="Q391" s="17"/>
      <c r="R391" s="17"/>
      <c r="S391" s="17"/>
      <c r="T391" s="17"/>
      <c r="U391" s="17"/>
      <c r="V391" s="17"/>
      <c r="W391" s="17"/>
      <c r="X391" s="17"/>
      <c r="Y391" s="17"/>
      <c r="Z391" s="17"/>
      <c r="AA391" s="17"/>
      <c r="AB391" s="17"/>
      <c r="AC391" s="17"/>
      <c r="AD391" s="17"/>
      <c r="AE391" s="17"/>
      <c r="AF391" s="17"/>
      <c r="AG391" s="17"/>
      <c r="AH391" s="17"/>
      <c r="AI391" s="17"/>
    </row>
    <row r="392" hidden="1">
      <c r="A392" s="34">
        <f t="shared" si="9"/>
        <v>391</v>
      </c>
      <c r="B392" s="35" t="s">
        <v>52</v>
      </c>
      <c r="C392" s="34" t="s">
        <v>3567</v>
      </c>
      <c r="D392" s="34" t="s">
        <v>3484</v>
      </c>
      <c r="E392" s="34">
        <v>22.194949999999999</v>
      </c>
      <c r="F392" s="34">
        <v>87.390460000000004</v>
      </c>
      <c r="G392" s="34" t="s">
        <v>7954</v>
      </c>
      <c r="H392" s="34" t="s">
        <v>7987</v>
      </c>
      <c r="I392" s="34" t="s">
        <v>2695</v>
      </c>
      <c r="J392" s="34">
        <v>6201045379</v>
      </c>
      <c r="K392" s="34" t="s">
        <v>8164</v>
      </c>
      <c r="L392" s="34">
        <v>8016415030</v>
      </c>
      <c r="M392" s="34"/>
      <c r="N392" s="17"/>
      <c r="O392" s="17"/>
      <c r="P392" s="17"/>
      <c r="Q392" s="17"/>
      <c r="R392" s="17"/>
      <c r="S392" s="17"/>
      <c r="T392" s="17"/>
      <c r="U392" s="17"/>
      <c r="V392" s="17"/>
      <c r="W392" s="17"/>
      <c r="X392" s="17"/>
      <c r="Y392" s="17"/>
      <c r="Z392" s="17"/>
      <c r="AA392" s="17"/>
      <c r="AB392" s="17"/>
      <c r="AC392" s="17"/>
      <c r="AD392" s="17"/>
      <c r="AE392" s="17"/>
      <c r="AF392" s="17"/>
      <c r="AG392" s="17"/>
      <c r="AH392" s="17"/>
      <c r="AI392" s="17"/>
    </row>
    <row r="393" hidden="1">
      <c r="A393" s="34">
        <f t="shared" si="9"/>
        <v>392</v>
      </c>
      <c r="B393" s="35" t="s">
        <v>52</v>
      </c>
      <c r="C393" s="34" t="s">
        <v>3569</v>
      </c>
      <c r="D393" s="34" t="s">
        <v>8300</v>
      </c>
      <c r="E393" s="34">
        <v>22.154218</v>
      </c>
      <c r="F393" s="34">
        <v>87.387186</v>
      </c>
      <c r="G393" s="34" t="s">
        <v>7954</v>
      </c>
      <c r="H393" s="34" t="s">
        <v>7987</v>
      </c>
      <c r="I393" s="34" t="s">
        <v>2695</v>
      </c>
      <c r="J393" s="34">
        <v>6201045379</v>
      </c>
      <c r="K393" s="34" t="s">
        <v>8164</v>
      </c>
      <c r="L393" s="34">
        <v>8016415030</v>
      </c>
      <c r="M393" s="34"/>
      <c r="N393" s="17"/>
      <c r="O393" s="17"/>
      <c r="P393" s="17"/>
      <c r="Q393" s="17"/>
      <c r="R393" s="17"/>
      <c r="S393" s="17"/>
      <c r="T393" s="17"/>
      <c r="U393" s="17"/>
      <c r="V393" s="17"/>
      <c r="W393" s="17"/>
      <c r="X393" s="17"/>
      <c r="Y393" s="17"/>
      <c r="Z393" s="17"/>
      <c r="AA393" s="17"/>
      <c r="AB393" s="17"/>
      <c r="AC393" s="17"/>
      <c r="AD393" s="17"/>
      <c r="AE393" s="17"/>
      <c r="AF393" s="17"/>
      <c r="AG393" s="17"/>
      <c r="AH393" s="17"/>
      <c r="AI393" s="17"/>
    </row>
    <row r="394" hidden="1">
      <c r="A394" s="34">
        <f t="shared" si="9"/>
        <v>393</v>
      </c>
      <c r="B394" s="35" t="s">
        <v>52</v>
      </c>
      <c r="C394" s="34" t="s">
        <v>3572</v>
      </c>
      <c r="D394" s="34" t="s">
        <v>8301</v>
      </c>
      <c r="E394" s="34">
        <v>22.156815999999999</v>
      </c>
      <c r="F394" s="34">
        <v>87.437950000000001</v>
      </c>
      <c r="G394" s="34" t="s">
        <v>7954</v>
      </c>
      <c r="H394" s="34" t="s">
        <v>7987</v>
      </c>
      <c r="I394" s="35" t="s">
        <v>2248</v>
      </c>
      <c r="J394" s="35">
        <v>9635120146</v>
      </c>
      <c r="K394" s="35" t="s">
        <v>2248</v>
      </c>
      <c r="L394" s="35">
        <v>9635120146</v>
      </c>
      <c r="M394" s="35"/>
      <c r="N394" s="17"/>
      <c r="O394" s="17"/>
      <c r="P394" s="17"/>
      <c r="Q394" s="17"/>
      <c r="R394" s="17"/>
      <c r="S394" s="17"/>
      <c r="T394" s="17"/>
      <c r="U394" s="17"/>
      <c r="V394" s="17"/>
      <c r="W394" s="17"/>
      <c r="X394" s="17"/>
      <c r="Y394" s="17"/>
      <c r="Z394" s="17"/>
      <c r="AA394" s="17"/>
      <c r="AB394" s="17"/>
      <c r="AC394" s="17"/>
      <c r="AD394" s="17"/>
      <c r="AE394" s="17"/>
      <c r="AF394" s="17"/>
      <c r="AG394" s="17"/>
      <c r="AH394" s="17"/>
      <c r="AI394" s="17"/>
    </row>
    <row r="395" hidden="1">
      <c r="A395" s="34">
        <f t="shared" si="9"/>
        <v>394</v>
      </c>
      <c r="B395" s="35" t="s">
        <v>52</v>
      </c>
      <c r="C395" s="34" t="s">
        <v>3576</v>
      </c>
      <c r="D395" s="34" t="s">
        <v>8302</v>
      </c>
      <c r="E395" s="34">
        <v>22.066255999999999</v>
      </c>
      <c r="F395" s="34">
        <v>87.398657</v>
      </c>
      <c r="G395" s="34" t="s">
        <v>7954</v>
      </c>
      <c r="H395" s="34" t="s">
        <v>7987</v>
      </c>
      <c r="I395" s="35" t="s">
        <v>2223</v>
      </c>
      <c r="J395" s="35">
        <v>9734686687</v>
      </c>
      <c r="K395" s="35" t="s">
        <v>2223</v>
      </c>
      <c r="L395" s="35">
        <v>9734686697</v>
      </c>
      <c r="M395" s="35"/>
      <c r="N395" s="17"/>
      <c r="O395" s="17"/>
      <c r="P395" s="17"/>
      <c r="Q395" s="17"/>
      <c r="R395" s="17"/>
      <c r="S395" s="17"/>
      <c r="T395" s="17"/>
      <c r="U395" s="17"/>
      <c r="V395" s="17"/>
      <c r="W395" s="17"/>
      <c r="X395" s="17"/>
      <c r="Y395" s="17"/>
      <c r="Z395" s="17"/>
      <c r="AA395" s="17"/>
      <c r="AB395" s="17"/>
      <c r="AC395" s="17"/>
      <c r="AD395" s="17"/>
      <c r="AE395" s="17"/>
      <c r="AF395" s="17"/>
      <c r="AG395" s="17"/>
      <c r="AH395" s="17"/>
      <c r="AI395" s="17"/>
    </row>
    <row r="396" hidden="1">
      <c r="A396" s="34">
        <f t="shared" si="9"/>
        <v>395</v>
      </c>
      <c r="B396" s="35" t="s">
        <v>52</v>
      </c>
      <c r="C396" s="34" t="s">
        <v>3579</v>
      </c>
      <c r="D396" s="34" t="s">
        <v>8303</v>
      </c>
      <c r="E396" s="34">
        <v>22.092084</v>
      </c>
      <c r="F396" s="34">
        <v>87.398077999999998</v>
      </c>
      <c r="G396" s="34" t="s">
        <v>7954</v>
      </c>
      <c r="H396" s="34" t="s">
        <v>7987</v>
      </c>
      <c r="I396" s="35" t="s">
        <v>2223</v>
      </c>
      <c r="J396" s="35">
        <v>9734686687</v>
      </c>
      <c r="K396" s="35" t="s">
        <v>2223</v>
      </c>
      <c r="L396" s="35">
        <v>9734686698</v>
      </c>
      <c r="M396" s="35"/>
      <c r="N396" s="17"/>
      <c r="O396" s="17"/>
      <c r="P396" s="17"/>
      <c r="Q396" s="17"/>
      <c r="R396" s="17"/>
      <c r="S396" s="17"/>
      <c r="T396" s="17"/>
      <c r="U396" s="17"/>
      <c r="V396" s="17"/>
      <c r="W396" s="17"/>
      <c r="X396" s="17"/>
      <c r="Y396" s="17"/>
      <c r="Z396" s="17"/>
      <c r="AA396" s="17"/>
      <c r="AB396" s="17"/>
      <c r="AC396" s="17"/>
      <c r="AD396" s="17"/>
      <c r="AE396" s="17"/>
      <c r="AF396" s="17"/>
      <c r="AG396" s="17"/>
      <c r="AH396" s="17"/>
      <c r="AI396" s="17"/>
    </row>
    <row r="397" hidden="1">
      <c r="A397" s="34">
        <f t="shared" si="9"/>
        <v>396</v>
      </c>
      <c r="B397" s="35" t="s">
        <v>52</v>
      </c>
      <c r="C397" s="34" t="s">
        <v>3583</v>
      </c>
      <c r="D397" s="34" t="s">
        <v>8304</v>
      </c>
      <c r="E397" s="34">
        <v>22.031586999999998</v>
      </c>
      <c r="F397" s="34">
        <v>87.351917</v>
      </c>
      <c r="G397" s="34" t="s">
        <v>7954</v>
      </c>
      <c r="H397" s="34" t="s">
        <v>7987</v>
      </c>
      <c r="I397" s="35" t="s">
        <v>2223</v>
      </c>
      <c r="J397" s="35">
        <v>9734686687</v>
      </c>
      <c r="K397" s="35" t="s">
        <v>2223</v>
      </c>
      <c r="L397" s="35">
        <v>9734686699</v>
      </c>
      <c r="M397" s="35"/>
      <c r="N397" s="17"/>
      <c r="O397" s="17"/>
      <c r="P397" s="17"/>
      <c r="Q397" s="17"/>
      <c r="R397" s="17"/>
      <c r="S397" s="17"/>
      <c r="T397" s="17"/>
      <c r="U397" s="17"/>
      <c r="V397" s="17"/>
      <c r="W397" s="17"/>
      <c r="X397" s="17"/>
      <c r="Y397" s="17"/>
      <c r="Z397" s="17"/>
      <c r="AA397" s="17"/>
      <c r="AB397" s="17"/>
      <c r="AC397" s="17"/>
      <c r="AD397" s="17"/>
      <c r="AE397" s="17"/>
      <c r="AF397" s="17"/>
      <c r="AG397" s="17"/>
      <c r="AH397" s="17"/>
      <c r="AI397" s="17"/>
    </row>
    <row r="398" hidden="1">
      <c r="A398" s="34">
        <f t="shared" si="9"/>
        <v>397</v>
      </c>
      <c r="B398" s="35" t="s">
        <v>52</v>
      </c>
      <c r="C398" s="34" t="s">
        <v>3588</v>
      </c>
      <c r="D398" s="34" t="s">
        <v>8305</v>
      </c>
      <c r="E398" s="34">
        <v>22.046164000000001</v>
      </c>
      <c r="F398" s="34">
        <v>87.350122999999996</v>
      </c>
      <c r="G398" s="34" t="s">
        <v>7954</v>
      </c>
      <c r="H398" s="34" t="s">
        <v>7987</v>
      </c>
      <c r="I398" s="35" t="s">
        <v>2223</v>
      </c>
      <c r="J398" s="35">
        <v>9734686687</v>
      </c>
      <c r="K398" s="35" t="s">
        <v>2223</v>
      </c>
      <c r="L398" s="35">
        <v>9734686701</v>
      </c>
      <c r="M398" s="35"/>
      <c r="N398" s="17"/>
      <c r="O398" s="17"/>
      <c r="P398" s="17"/>
      <c r="Q398" s="17"/>
      <c r="R398" s="17"/>
      <c r="S398" s="17"/>
      <c r="T398" s="17"/>
      <c r="U398" s="17"/>
      <c r="V398" s="17"/>
      <c r="W398" s="17"/>
      <c r="X398" s="17"/>
      <c r="Y398" s="17"/>
      <c r="Z398" s="17"/>
      <c r="AA398" s="17"/>
      <c r="AB398" s="17"/>
      <c r="AC398" s="17"/>
      <c r="AD398" s="17"/>
      <c r="AE398" s="17"/>
      <c r="AF398" s="17"/>
      <c r="AG398" s="17"/>
      <c r="AH398" s="17"/>
      <c r="AI398" s="17"/>
    </row>
    <row r="399" hidden="1">
      <c r="A399" s="34">
        <f t="shared" si="9"/>
        <v>398</v>
      </c>
      <c r="B399" s="35" t="s">
        <v>52</v>
      </c>
      <c r="C399" s="34" t="s">
        <v>3593</v>
      </c>
      <c r="D399" s="34" t="s">
        <v>8306</v>
      </c>
      <c r="E399" s="34">
        <v>22.201392999999999</v>
      </c>
      <c r="F399" s="34">
        <v>87.342830000000006</v>
      </c>
      <c r="G399" s="34" t="s">
        <v>7954</v>
      </c>
      <c r="H399" s="34" t="s">
        <v>7987</v>
      </c>
      <c r="I399" s="34" t="s">
        <v>2695</v>
      </c>
      <c r="J399" s="34">
        <v>6201045379</v>
      </c>
      <c r="K399" s="34" t="s">
        <v>8164</v>
      </c>
      <c r="L399" s="34">
        <v>8016415030</v>
      </c>
      <c r="M399" s="34"/>
      <c r="N399" s="17"/>
      <c r="O399" s="17"/>
      <c r="P399" s="17"/>
      <c r="Q399" s="17"/>
      <c r="R399" s="17"/>
      <c r="S399" s="17"/>
      <c r="T399" s="17"/>
      <c r="U399" s="17"/>
      <c r="V399" s="17"/>
      <c r="W399" s="17"/>
      <c r="X399" s="17"/>
      <c r="Y399" s="17"/>
      <c r="Z399" s="17"/>
      <c r="AA399" s="17"/>
      <c r="AB399" s="17"/>
      <c r="AC399" s="17"/>
      <c r="AD399" s="17"/>
      <c r="AE399" s="17"/>
      <c r="AF399" s="17"/>
      <c r="AG399" s="17"/>
      <c r="AH399" s="17"/>
      <c r="AI399" s="17"/>
    </row>
    <row r="400" hidden="1">
      <c r="A400" s="34">
        <f t="shared" si="9"/>
        <v>399</v>
      </c>
      <c r="B400" s="35" t="s">
        <v>52</v>
      </c>
      <c r="C400" s="34" t="s">
        <v>3596</v>
      </c>
      <c r="D400" s="34" t="s">
        <v>8307</v>
      </c>
      <c r="E400" s="34">
        <v>22.015063999999999</v>
      </c>
      <c r="F400" s="34">
        <v>87.339056999999997</v>
      </c>
      <c r="G400" s="34" t="s">
        <v>7954</v>
      </c>
      <c r="H400" s="34" t="s">
        <v>7987</v>
      </c>
      <c r="I400" s="35" t="s">
        <v>2223</v>
      </c>
      <c r="J400" s="35">
        <v>9734686687</v>
      </c>
      <c r="K400" s="35" t="s">
        <v>2223</v>
      </c>
      <c r="L400" s="35">
        <v>9734686702</v>
      </c>
      <c r="M400" s="35"/>
      <c r="N400" s="17"/>
      <c r="O400" s="17"/>
      <c r="P400" s="17"/>
      <c r="Q400" s="17"/>
      <c r="R400" s="17"/>
      <c r="S400" s="17"/>
      <c r="T400" s="17"/>
      <c r="U400" s="17"/>
      <c r="V400" s="17"/>
      <c r="W400" s="17"/>
      <c r="X400" s="17"/>
      <c r="Y400" s="17"/>
      <c r="Z400" s="17"/>
      <c r="AA400" s="17"/>
      <c r="AB400" s="17"/>
      <c r="AC400" s="17"/>
      <c r="AD400" s="17"/>
      <c r="AE400" s="17"/>
      <c r="AF400" s="17"/>
      <c r="AG400" s="17"/>
      <c r="AH400" s="17"/>
      <c r="AI400" s="17"/>
    </row>
    <row r="401">
      <c r="A401" s="34">
        <f t="shared" si="9"/>
        <v>400</v>
      </c>
      <c r="B401" s="35" t="s">
        <v>52</v>
      </c>
      <c r="C401" s="34" t="s">
        <v>3600</v>
      </c>
      <c r="D401" s="34" t="s">
        <v>8308</v>
      </c>
      <c r="E401" s="34">
        <v>22.153535000000002</v>
      </c>
      <c r="F401" s="34">
        <v>87.314487999999997</v>
      </c>
      <c r="G401" s="34" t="s">
        <v>7954</v>
      </c>
      <c r="H401" s="34" t="s">
        <v>7987</v>
      </c>
      <c r="I401" s="38" t="s">
        <v>2710</v>
      </c>
      <c r="J401" s="34">
        <v>6382439675</v>
      </c>
      <c r="K401" s="34" t="s">
        <v>8164</v>
      </c>
      <c r="L401" s="34">
        <v>8016415030</v>
      </c>
      <c r="M401" s="34"/>
      <c r="N401" s="17"/>
      <c r="O401" s="17"/>
      <c r="P401" s="17"/>
      <c r="Q401" s="17"/>
      <c r="R401" s="17"/>
      <c r="S401" s="17"/>
      <c r="T401" s="17"/>
      <c r="U401" s="17"/>
      <c r="V401" s="17"/>
      <c r="W401" s="17"/>
      <c r="X401" s="17"/>
      <c r="Y401" s="17"/>
      <c r="Z401" s="17"/>
      <c r="AA401" s="17"/>
      <c r="AB401" s="17"/>
      <c r="AC401" s="17"/>
      <c r="AD401" s="17"/>
      <c r="AE401" s="17"/>
      <c r="AF401" s="17"/>
      <c r="AG401" s="17"/>
      <c r="AH401" s="17"/>
      <c r="AI401" s="17"/>
    </row>
    <row r="402" hidden="1">
      <c r="A402" s="34">
        <f t="shared" si="9"/>
        <v>401</v>
      </c>
      <c r="B402" s="35" t="s">
        <v>52</v>
      </c>
      <c r="C402" s="34" t="s">
        <v>3603</v>
      </c>
      <c r="D402" s="34" t="s">
        <v>8309</v>
      </c>
      <c r="E402" s="34">
        <v>22.218260000000001</v>
      </c>
      <c r="F402" s="34">
        <v>87.408032000000006</v>
      </c>
      <c r="G402" s="34" t="s">
        <v>7954</v>
      </c>
      <c r="H402" s="34" t="s">
        <v>7987</v>
      </c>
      <c r="I402" s="34" t="s">
        <v>2695</v>
      </c>
      <c r="J402" s="34">
        <v>6201045379</v>
      </c>
      <c r="K402" s="34" t="s">
        <v>8164</v>
      </c>
      <c r="L402" s="34">
        <v>8016415030</v>
      </c>
      <c r="M402" s="34"/>
      <c r="N402" s="17"/>
      <c r="O402" s="17"/>
      <c r="P402" s="17"/>
      <c r="Q402" s="17"/>
      <c r="R402" s="17"/>
      <c r="S402" s="17"/>
      <c r="T402" s="17"/>
      <c r="U402" s="17"/>
      <c r="V402" s="17"/>
      <c r="W402" s="17"/>
      <c r="X402" s="17"/>
      <c r="Y402" s="17"/>
      <c r="Z402" s="17"/>
      <c r="AA402" s="17"/>
      <c r="AB402" s="17"/>
      <c r="AC402" s="17"/>
      <c r="AD402" s="17"/>
      <c r="AE402" s="17"/>
      <c r="AF402" s="17"/>
      <c r="AG402" s="17"/>
      <c r="AH402" s="17"/>
      <c r="AI402" s="17"/>
    </row>
    <row r="403" hidden="1">
      <c r="A403" s="34">
        <f t="shared" si="9"/>
        <v>402</v>
      </c>
      <c r="B403" s="35" t="s">
        <v>52</v>
      </c>
      <c r="C403" s="34" t="s">
        <v>3606</v>
      </c>
      <c r="D403" s="34" t="s">
        <v>8310</v>
      </c>
      <c r="E403" s="34">
        <v>22.020600000000002</v>
      </c>
      <c r="F403" s="34">
        <v>87.400747999999993</v>
      </c>
      <c r="G403" s="34" t="s">
        <v>7954</v>
      </c>
      <c r="H403" s="34" t="s">
        <v>7987</v>
      </c>
      <c r="I403" s="35" t="s">
        <v>2223</v>
      </c>
      <c r="J403" s="35">
        <v>9734686687</v>
      </c>
      <c r="K403" s="42" t="s">
        <v>2603</v>
      </c>
      <c r="L403" s="42">
        <v>8348990607</v>
      </c>
      <c r="M403" s="42"/>
      <c r="N403" s="17"/>
      <c r="O403" s="17"/>
      <c r="P403" s="17"/>
      <c r="Q403" s="17"/>
      <c r="R403" s="17"/>
      <c r="S403" s="17"/>
      <c r="T403" s="17"/>
      <c r="U403" s="17"/>
      <c r="V403" s="17"/>
      <c r="W403" s="17"/>
      <c r="X403" s="17"/>
      <c r="Y403" s="17"/>
      <c r="Z403" s="17"/>
      <c r="AA403" s="17"/>
      <c r="AB403" s="17"/>
      <c r="AC403" s="17"/>
      <c r="AD403" s="17"/>
      <c r="AE403" s="17"/>
      <c r="AF403" s="17"/>
      <c r="AG403" s="17"/>
      <c r="AH403" s="17"/>
      <c r="AI403" s="17"/>
    </row>
    <row r="404" hidden="1">
      <c r="A404" s="34">
        <f t="shared" si="9"/>
        <v>403</v>
      </c>
      <c r="B404" s="35" t="s">
        <v>52</v>
      </c>
      <c r="C404" s="34" t="s">
        <v>3609</v>
      </c>
      <c r="D404" s="34" t="s">
        <v>8311</v>
      </c>
      <c r="E404" s="34">
        <v>22.032945999999999</v>
      </c>
      <c r="F404" s="34">
        <v>87.293115</v>
      </c>
      <c r="G404" s="34" t="s">
        <v>7954</v>
      </c>
      <c r="H404" s="34" t="s">
        <v>7987</v>
      </c>
      <c r="I404" s="35" t="s">
        <v>2223</v>
      </c>
      <c r="J404" s="35">
        <v>9734686687</v>
      </c>
      <c r="K404" s="35" t="s">
        <v>2223</v>
      </c>
      <c r="L404" s="35">
        <v>9734686703</v>
      </c>
      <c r="M404" s="35"/>
      <c r="N404" s="17"/>
      <c r="O404" s="17"/>
      <c r="P404" s="17"/>
      <c r="Q404" s="17"/>
      <c r="R404" s="17"/>
      <c r="S404" s="17"/>
      <c r="T404" s="17"/>
      <c r="U404" s="17"/>
      <c r="V404" s="17"/>
      <c r="W404" s="17"/>
      <c r="X404" s="17"/>
      <c r="Y404" s="17"/>
      <c r="Z404" s="17"/>
      <c r="AA404" s="17"/>
      <c r="AB404" s="17"/>
      <c r="AC404" s="17"/>
      <c r="AD404" s="17"/>
      <c r="AE404" s="17"/>
      <c r="AF404" s="17"/>
      <c r="AG404" s="17"/>
      <c r="AH404" s="17"/>
      <c r="AI404" s="17"/>
    </row>
    <row r="405" hidden="1">
      <c r="A405" s="34">
        <f t="shared" si="9"/>
        <v>404</v>
      </c>
      <c r="B405" s="35" t="s">
        <v>52</v>
      </c>
      <c r="C405" s="34" t="s">
        <v>3613</v>
      </c>
      <c r="D405" s="34" t="s">
        <v>8312</v>
      </c>
      <c r="E405" s="34">
        <v>22.127576000000001</v>
      </c>
      <c r="F405" s="34">
        <v>87.421592000000004</v>
      </c>
      <c r="G405" s="34" t="s">
        <v>7954</v>
      </c>
      <c r="H405" s="34" t="s">
        <v>8027</v>
      </c>
      <c r="I405" s="35" t="s">
        <v>2695</v>
      </c>
      <c r="J405" s="34">
        <v>6201045379</v>
      </c>
      <c r="K405" s="35" t="s">
        <v>2248</v>
      </c>
      <c r="L405" s="35">
        <v>8100154683</v>
      </c>
      <c r="M405" s="35"/>
      <c r="N405" s="17"/>
      <c r="O405" s="17"/>
      <c r="P405" s="17"/>
      <c r="Q405" s="17"/>
      <c r="R405" s="17"/>
      <c r="S405" s="17"/>
      <c r="T405" s="17"/>
      <c r="U405" s="17"/>
      <c r="V405" s="17"/>
      <c r="W405" s="17"/>
      <c r="X405" s="17"/>
      <c r="Y405" s="17"/>
      <c r="Z405" s="17"/>
      <c r="AA405" s="17"/>
      <c r="AB405" s="17"/>
      <c r="AC405" s="17"/>
      <c r="AD405" s="17"/>
      <c r="AE405" s="17"/>
      <c r="AF405" s="17"/>
      <c r="AG405" s="17"/>
      <c r="AH405" s="17"/>
      <c r="AI405" s="17"/>
    </row>
    <row r="406" hidden="1">
      <c r="A406" s="34">
        <f t="shared" si="9"/>
        <v>405</v>
      </c>
      <c r="B406" s="35" t="s">
        <v>52</v>
      </c>
      <c r="C406" s="34" t="s">
        <v>3616</v>
      </c>
      <c r="D406" s="34" t="s">
        <v>8313</v>
      </c>
      <c r="E406" s="34">
        <v>22.082892999999999</v>
      </c>
      <c r="F406" s="34">
        <v>87.419634000000002</v>
      </c>
      <c r="G406" s="34" t="s">
        <v>7954</v>
      </c>
      <c r="H406" s="34" t="s">
        <v>7987</v>
      </c>
      <c r="I406" s="35" t="s">
        <v>2223</v>
      </c>
      <c r="J406" s="35">
        <v>9734686687</v>
      </c>
      <c r="K406" s="35" t="s">
        <v>2223</v>
      </c>
      <c r="L406" s="35">
        <v>9734686704</v>
      </c>
      <c r="M406" s="35"/>
      <c r="N406" s="17"/>
      <c r="O406" s="17"/>
      <c r="P406" s="17"/>
      <c r="Q406" s="17"/>
      <c r="R406" s="17"/>
      <c r="S406" s="17"/>
      <c r="T406" s="17"/>
      <c r="U406" s="17"/>
      <c r="V406" s="17"/>
      <c r="W406" s="17"/>
      <c r="X406" s="17"/>
      <c r="Y406" s="17"/>
      <c r="Z406" s="17"/>
      <c r="AA406" s="17"/>
      <c r="AB406" s="17"/>
      <c r="AC406" s="17"/>
      <c r="AD406" s="17"/>
      <c r="AE406" s="17"/>
      <c r="AF406" s="17"/>
      <c r="AG406" s="17"/>
      <c r="AH406" s="17"/>
      <c r="AI406" s="17"/>
    </row>
    <row r="407" hidden="1">
      <c r="A407" s="34">
        <f t="shared" si="9"/>
        <v>406</v>
      </c>
      <c r="B407" s="35" t="s">
        <v>52</v>
      </c>
      <c r="C407" s="34" t="s">
        <v>3620</v>
      </c>
      <c r="D407" s="34" t="s">
        <v>8314</v>
      </c>
      <c r="E407" s="34">
        <v>22.10125</v>
      </c>
      <c r="F407" s="34">
        <v>87.451920000000001</v>
      </c>
      <c r="G407" s="34" t="s">
        <v>7954</v>
      </c>
      <c r="H407" s="34" t="s">
        <v>7987</v>
      </c>
      <c r="I407" s="35" t="s">
        <v>2223</v>
      </c>
      <c r="J407" s="35">
        <v>9734686687</v>
      </c>
      <c r="K407" s="35" t="s">
        <v>2223</v>
      </c>
      <c r="L407" s="35">
        <v>9734686705</v>
      </c>
      <c r="M407" s="35"/>
      <c r="N407" s="17"/>
      <c r="O407" s="17"/>
      <c r="P407" s="17"/>
      <c r="Q407" s="17"/>
      <c r="R407" s="17"/>
      <c r="S407" s="17"/>
      <c r="T407" s="17"/>
      <c r="U407" s="17"/>
      <c r="V407" s="17"/>
      <c r="W407" s="17"/>
      <c r="X407" s="17"/>
      <c r="Y407" s="17"/>
      <c r="Z407" s="17"/>
      <c r="AA407" s="17"/>
      <c r="AB407" s="17"/>
      <c r="AC407" s="17"/>
      <c r="AD407" s="17"/>
      <c r="AE407" s="17"/>
      <c r="AF407" s="17"/>
      <c r="AG407" s="17"/>
      <c r="AH407" s="17"/>
      <c r="AI407" s="17"/>
    </row>
    <row r="408" hidden="1">
      <c r="A408" s="34">
        <f t="shared" si="9"/>
        <v>407</v>
      </c>
      <c r="B408" s="35" t="s">
        <v>52</v>
      </c>
      <c r="C408" s="34" t="s">
        <v>3624</v>
      </c>
      <c r="D408" s="34" t="s">
        <v>8315</v>
      </c>
      <c r="E408" s="34">
        <v>22.034189000000001</v>
      </c>
      <c r="F408" s="34">
        <v>87.451492999999999</v>
      </c>
      <c r="G408" s="34" t="s">
        <v>7954</v>
      </c>
      <c r="H408" s="34" t="s">
        <v>7987</v>
      </c>
      <c r="I408" s="35" t="s">
        <v>2223</v>
      </c>
      <c r="J408" s="35">
        <v>9734686687</v>
      </c>
      <c r="K408" s="42" t="s">
        <v>2603</v>
      </c>
      <c r="L408" s="42">
        <v>8348990608</v>
      </c>
      <c r="M408" s="42"/>
      <c r="N408" s="17"/>
      <c r="O408" s="17"/>
      <c r="P408" s="17"/>
      <c r="Q408" s="17"/>
      <c r="R408" s="17"/>
      <c r="S408" s="17"/>
      <c r="T408" s="17"/>
      <c r="U408" s="17"/>
      <c r="V408" s="17"/>
      <c r="W408" s="17"/>
      <c r="X408" s="17"/>
      <c r="Y408" s="17"/>
      <c r="Z408" s="17"/>
      <c r="AA408" s="17"/>
      <c r="AB408" s="17"/>
      <c r="AC408" s="17"/>
      <c r="AD408" s="17"/>
      <c r="AE408" s="17"/>
      <c r="AF408" s="17"/>
      <c r="AG408" s="17"/>
      <c r="AH408" s="17"/>
      <c r="AI408" s="17"/>
    </row>
    <row r="409" hidden="1">
      <c r="A409" s="34">
        <f t="shared" si="9"/>
        <v>408</v>
      </c>
      <c r="B409" s="35" t="s">
        <v>52</v>
      </c>
      <c r="C409" s="34" t="s">
        <v>3628</v>
      </c>
      <c r="D409" s="34" t="s">
        <v>8316</v>
      </c>
      <c r="E409" s="34">
        <v>22.229555999999999</v>
      </c>
      <c r="F409" s="34">
        <v>87.454195999999996</v>
      </c>
      <c r="G409" s="34" t="s">
        <v>7954</v>
      </c>
      <c r="H409" s="34" t="s">
        <v>7987</v>
      </c>
      <c r="I409" s="34" t="s">
        <v>2695</v>
      </c>
      <c r="J409" s="34">
        <v>6201045379</v>
      </c>
      <c r="K409" s="34" t="s">
        <v>8164</v>
      </c>
      <c r="L409" s="34">
        <v>8016415030</v>
      </c>
      <c r="M409" s="34"/>
      <c r="N409" s="17"/>
      <c r="O409" s="17"/>
      <c r="P409" s="17"/>
      <c r="Q409" s="17"/>
      <c r="R409" s="17"/>
      <c r="S409" s="17"/>
      <c r="T409" s="17"/>
      <c r="U409" s="17"/>
      <c r="V409" s="17"/>
      <c r="W409" s="17"/>
      <c r="X409" s="17"/>
      <c r="Y409" s="17"/>
      <c r="Z409" s="17"/>
      <c r="AA409" s="17"/>
      <c r="AB409" s="17"/>
      <c r="AC409" s="17"/>
      <c r="AD409" s="17"/>
      <c r="AE409" s="17"/>
      <c r="AF409" s="17"/>
      <c r="AG409" s="17"/>
      <c r="AH409" s="17"/>
      <c r="AI409" s="17"/>
    </row>
    <row r="410" hidden="1">
      <c r="A410" s="34">
        <f t="shared" si="9"/>
        <v>409</v>
      </c>
      <c r="B410" s="35" t="s">
        <v>52</v>
      </c>
      <c r="C410" s="34" t="s">
        <v>3631</v>
      </c>
      <c r="D410" s="34" t="s">
        <v>8317</v>
      </c>
      <c r="E410" s="34">
        <v>22.133382000000001</v>
      </c>
      <c r="F410" s="34">
        <v>87.483902</v>
      </c>
      <c r="G410" s="34" t="s">
        <v>7954</v>
      </c>
      <c r="H410" s="34" t="s">
        <v>7987</v>
      </c>
      <c r="I410" s="35" t="s">
        <v>2248</v>
      </c>
      <c r="J410" s="35">
        <v>9635120146</v>
      </c>
      <c r="K410" s="35" t="s">
        <v>2248</v>
      </c>
      <c r="L410" s="35">
        <v>8100154683</v>
      </c>
      <c r="M410" s="35"/>
      <c r="N410" s="17"/>
      <c r="O410" s="17"/>
      <c r="P410" s="17"/>
      <c r="Q410" s="17"/>
      <c r="R410" s="17"/>
      <c r="S410" s="17"/>
      <c r="T410" s="17"/>
      <c r="U410" s="17"/>
      <c r="V410" s="17"/>
      <c r="W410" s="17"/>
      <c r="X410" s="17"/>
      <c r="Y410" s="17"/>
      <c r="Z410" s="17"/>
      <c r="AA410" s="17"/>
      <c r="AB410" s="17"/>
      <c r="AC410" s="17"/>
      <c r="AD410" s="17"/>
      <c r="AE410" s="17"/>
      <c r="AF410" s="17"/>
      <c r="AG410" s="17"/>
      <c r="AH410" s="17"/>
      <c r="AI410" s="17"/>
    </row>
    <row r="411" hidden="1">
      <c r="A411" s="34">
        <f t="shared" si="9"/>
        <v>410</v>
      </c>
      <c r="B411" s="35" t="s">
        <v>52</v>
      </c>
      <c r="C411" s="34" t="s">
        <v>3634</v>
      </c>
      <c r="D411" s="34" t="s">
        <v>8318</v>
      </c>
      <c r="E411" s="34">
        <v>22.220659999999999</v>
      </c>
      <c r="F411" s="34">
        <v>87.494479999999996</v>
      </c>
      <c r="G411" s="34" t="s">
        <v>7954</v>
      </c>
      <c r="H411" s="34" t="s">
        <v>7987</v>
      </c>
      <c r="I411" s="35" t="s">
        <v>2248</v>
      </c>
      <c r="J411" s="35">
        <v>9635120146</v>
      </c>
      <c r="K411" s="35" t="s">
        <v>2248</v>
      </c>
      <c r="L411" s="35">
        <v>8100154683</v>
      </c>
      <c r="M411" s="35"/>
      <c r="N411" s="17"/>
      <c r="O411" s="17"/>
      <c r="P411" s="17"/>
      <c r="Q411" s="17"/>
      <c r="R411" s="17"/>
      <c r="S411" s="17"/>
      <c r="T411" s="17"/>
      <c r="U411" s="17"/>
      <c r="V411" s="17"/>
      <c r="W411" s="17"/>
      <c r="X411" s="17"/>
      <c r="Y411" s="17"/>
      <c r="Z411" s="17"/>
      <c r="AA411" s="17"/>
      <c r="AB411" s="17"/>
      <c r="AC411" s="17"/>
      <c r="AD411" s="17"/>
      <c r="AE411" s="17"/>
      <c r="AF411" s="17"/>
      <c r="AG411" s="17"/>
      <c r="AH411" s="17"/>
      <c r="AI411" s="17"/>
    </row>
    <row r="412" hidden="1">
      <c r="A412" s="34">
        <f t="shared" si="9"/>
        <v>411</v>
      </c>
      <c r="B412" s="35" t="s">
        <v>52</v>
      </c>
      <c r="C412" s="34" t="s">
        <v>3639</v>
      </c>
      <c r="D412" s="34" t="s">
        <v>8319</v>
      </c>
      <c r="E412" s="34">
        <v>22.104600000000001</v>
      </c>
      <c r="F412" s="34">
        <v>87.334800000000001</v>
      </c>
      <c r="G412" s="34" t="s">
        <v>7954</v>
      </c>
      <c r="H412" s="34" t="s">
        <v>7987</v>
      </c>
      <c r="I412" s="35" t="s">
        <v>2223</v>
      </c>
      <c r="J412" s="35">
        <v>9734686687</v>
      </c>
      <c r="K412" s="35" t="s">
        <v>2223</v>
      </c>
      <c r="L412" s="35">
        <v>9734686706</v>
      </c>
      <c r="M412" s="35"/>
      <c r="N412" s="17"/>
      <c r="O412" s="17"/>
      <c r="P412" s="17"/>
      <c r="Q412" s="17"/>
      <c r="R412" s="17"/>
      <c r="S412" s="17"/>
      <c r="T412" s="17"/>
      <c r="U412" s="17"/>
      <c r="V412" s="17"/>
      <c r="W412" s="17"/>
      <c r="X412" s="17"/>
      <c r="Y412" s="17"/>
      <c r="Z412" s="17"/>
      <c r="AA412" s="17"/>
      <c r="AB412" s="17"/>
      <c r="AC412" s="17"/>
      <c r="AD412" s="17"/>
      <c r="AE412" s="17"/>
      <c r="AF412" s="17"/>
      <c r="AG412" s="17"/>
      <c r="AH412" s="17"/>
      <c r="AI412" s="17"/>
    </row>
    <row r="413" hidden="1">
      <c r="A413" s="34">
        <f t="shared" si="9"/>
        <v>412</v>
      </c>
      <c r="B413" s="35" t="s">
        <v>52</v>
      </c>
      <c r="C413" s="34" t="s">
        <v>3643</v>
      </c>
      <c r="D413" s="34" t="s">
        <v>8320</v>
      </c>
      <c r="E413" s="34">
        <v>22.122350000000001</v>
      </c>
      <c r="F413" s="34">
        <v>87.3643</v>
      </c>
      <c r="G413" s="34" t="s">
        <v>7954</v>
      </c>
      <c r="H413" s="34" t="s">
        <v>7987</v>
      </c>
      <c r="I413" s="35" t="s">
        <v>2223</v>
      </c>
      <c r="J413" s="35">
        <v>9734686687</v>
      </c>
      <c r="K413" s="35" t="s">
        <v>2223</v>
      </c>
      <c r="L413" s="35">
        <v>9734686678</v>
      </c>
      <c r="M413" s="35"/>
      <c r="N413" s="17"/>
      <c r="O413" s="17"/>
      <c r="P413" s="17"/>
      <c r="Q413" s="17"/>
      <c r="R413" s="17"/>
      <c r="S413" s="17"/>
      <c r="T413" s="17"/>
      <c r="U413" s="17"/>
      <c r="V413" s="17"/>
      <c r="W413" s="17"/>
      <c r="X413" s="17"/>
      <c r="Y413" s="17"/>
      <c r="Z413" s="17"/>
      <c r="AA413" s="17"/>
      <c r="AB413" s="17"/>
      <c r="AC413" s="17"/>
      <c r="AD413" s="17"/>
      <c r="AE413" s="17"/>
      <c r="AF413" s="17"/>
      <c r="AG413" s="17"/>
      <c r="AH413" s="17"/>
      <c r="AI413" s="17"/>
    </row>
    <row r="414" hidden="1">
      <c r="A414" s="34">
        <f t="shared" si="9"/>
        <v>413</v>
      </c>
      <c r="B414" s="35" t="s">
        <v>52</v>
      </c>
      <c r="C414" s="34" t="s">
        <v>3646</v>
      </c>
      <c r="D414" s="34" t="s">
        <v>8321</v>
      </c>
      <c r="E414" s="34">
        <v>22.135912999999999</v>
      </c>
      <c r="F414" s="34">
        <v>87.342557999999997</v>
      </c>
      <c r="G414" s="34" t="s">
        <v>7954</v>
      </c>
      <c r="H414" s="34" t="s">
        <v>7987</v>
      </c>
      <c r="I414" s="35" t="s">
        <v>2223</v>
      </c>
      <c r="J414" s="35">
        <v>9734686687</v>
      </c>
      <c r="K414" s="35" t="s">
        <v>2223</v>
      </c>
      <c r="L414" s="35">
        <v>9734686708</v>
      </c>
      <c r="M414" s="35"/>
      <c r="N414" s="17"/>
      <c r="O414" s="17"/>
      <c r="P414" s="17"/>
      <c r="Q414" s="17"/>
      <c r="R414" s="17"/>
      <c r="S414" s="17"/>
      <c r="T414" s="17"/>
      <c r="U414" s="17"/>
      <c r="V414" s="17"/>
      <c r="W414" s="17"/>
      <c r="X414" s="17"/>
      <c r="Y414" s="17"/>
      <c r="Z414" s="17"/>
      <c r="AA414" s="17"/>
      <c r="AB414" s="17"/>
      <c r="AC414" s="17"/>
      <c r="AD414" s="17"/>
      <c r="AE414" s="17"/>
      <c r="AF414" s="17"/>
      <c r="AG414" s="17"/>
      <c r="AH414" s="17"/>
      <c r="AI414" s="17"/>
    </row>
    <row r="415" hidden="1">
      <c r="A415" s="34">
        <f t="shared" si="9"/>
        <v>414</v>
      </c>
      <c r="B415" s="35" t="s">
        <v>52</v>
      </c>
      <c r="C415" s="34" t="s">
        <v>3650</v>
      </c>
      <c r="D415" s="34" t="s">
        <v>3651</v>
      </c>
      <c r="E415" s="34">
        <v>21.993390000000002</v>
      </c>
      <c r="F415" s="34">
        <v>87.379957000000005</v>
      </c>
      <c r="G415" s="34" t="s">
        <v>7954</v>
      </c>
      <c r="H415" s="34" t="s">
        <v>7987</v>
      </c>
      <c r="I415" s="35" t="s">
        <v>2223</v>
      </c>
      <c r="J415" s="35">
        <v>9734686687</v>
      </c>
      <c r="K415" s="42" t="s">
        <v>2603</v>
      </c>
      <c r="L415" s="42">
        <v>8348990609</v>
      </c>
      <c r="M415" s="42"/>
      <c r="N415" s="17"/>
      <c r="O415" s="17"/>
      <c r="P415" s="17"/>
      <c r="Q415" s="17"/>
      <c r="R415" s="17"/>
      <c r="S415" s="17"/>
      <c r="T415" s="17"/>
      <c r="U415" s="17"/>
      <c r="V415" s="17"/>
      <c r="W415" s="17"/>
      <c r="X415" s="17"/>
      <c r="Y415" s="17"/>
      <c r="Z415" s="17"/>
      <c r="AA415" s="17"/>
      <c r="AB415" s="17"/>
      <c r="AC415" s="17"/>
      <c r="AD415" s="17"/>
      <c r="AE415" s="17"/>
      <c r="AF415" s="17"/>
      <c r="AG415" s="17"/>
      <c r="AH415" s="17"/>
      <c r="AI415" s="17"/>
    </row>
    <row r="416" hidden="1">
      <c r="A416" s="34">
        <f t="shared" si="9"/>
        <v>415</v>
      </c>
      <c r="B416" s="35" t="s">
        <v>52</v>
      </c>
      <c r="C416" s="34" t="s">
        <v>3654</v>
      </c>
      <c r="D416" s="34" t="s">
        <v>8322</v>
      </c>
      <c r="E416" s="34">
        <v>22.102180000000001</v>
      </c>
      <c r="F416" s="34">
        <v>87.41713</v>
      </c>
      <c r="G416" s="34" t="s">
        <v>7954</v>
      </c>
      <c r="H416" s="34" t="s">
        <v>7987</v>
      </c>
      <c r="I416" s="35" t="s">
        <v>2223</v>
      </c>
      <c r="J416" s="35">
        <v>9734686687</v>
      </c>
      <c r="K416" s="35" t="s">
        <v>2223</v>
      </c>
      <c r="L416" s="35">
        <v>9734686707</v>
      </c>
      <c r="M416" s="35"/>
      <c r="N416" s="17"/>
      <c r="O416" s="17"/>
      <c r="P416" s="17"/>
      <c r="Q416" s="17"/>
      <c r="R416" s="17"/>
      <c r="S416" s="17"/>
      <c r="T416" s="17"/>
      <c r="U416" s="17"/>
      <c r="V416" s="17"/>
      <c r="W416" s="17"/>
      <c r="X416" s="17"/>
      <c r="Y416" s="17"/>
      <c r="Z416" s="17"/>
      <c r="AA416" s="17"/>
      <c r="AB416" s="17"/>
      <c r="AC416" s="17"/>
      <c r="AD416" s="17"/>
      <c r="AE416" s="17"/>
      <c r="AF416" s="17"/>
      <c r="AG416" s="17"/>
      <c r="AH416" s="17"/>
      <c r="AI416" s="17"/>
    </row>
    <row r="417" hidden="1">
      <c r="A417" s="34">
        <f t="shared" si="9"/>
        <v>416</v>
      </c>
      <c r="B417" s="35" t="s">
        <v>52</v>
      </c>
      <c r="C417" s="34" t="s">
        <v>3659</v>
      </c>
      <c r="D417" s="34" t="s">
        <v>8323</v>
      </c>
      <c r="E417" s="34">
        <v>22.230599999999999</v>
      </c>
      <c r="F417" s="34">
        <v>87.395510000000002</v>
      </c>
      <c r="G417" s="34" t="s">
        <v>7954</v>
      </c>
      <c r="H417" s="34" t="s">
        <v>7987</v>
      </c>
      <c r="I417" s="34" t="s">
        <v>2695</v>
      </c>
      <c r="J417" s="34">
        <v>6201045379</v>
      </c>
      <c r="K417" s="34" t="s">
        <v>8164</v>
      </c>
      <c r="L417" s="34">
        <v>8016415030</v>
      </c>
      <c r="M417" s="34"/>
      <c r="N417" s="17"/>
      <c r="O417" s="17"/>
      <c r="P417" s="17"/>
      <c r="Q417" s="17"/>
      <c r="R417" s="17"/>
      <c r="S417" s="17"/>
      <c r="T417" s="17"/>
      <c r="U417" s="17"/>
      <c r="V417" s="17"/>
      <c r="W417" s="17"/>
      <c r="X417" s="17"/>
      <c r="Y417" s="17"/>
      <c r="Z417" s="17"/>
      <c r="AA417" s="17"/>
      <c r="AB417" s="17"/>
      <c r="AC417" s="17"/>
      <c r="AD417" s="17"/>
      <c r="AE417" s="17"/>
      <c r="AF417" s="17"/>
      <c r="AG417" s="17"/>
      <c r="AH417" s="17"/>
      <c r="AI417" s="17"/>
    </row>
    <row r="418" hidden="1">
      <c r="A418" s="34">
        <f t="shared" si="9"/>
        <v>417</v>
      </c>
      <c r="B418" s="35" t="s">
        <v>52</v>
      </c>
      <c r="C418" s="34" t="s">
        <v>3661</v>
      </c>
      <c r="D418" s="34" t="s">
        <v>8324</v>
      </c>
      <c r="E418" s="34">
        <v>22.095548000000001</v>
      </c>
      <c r="F418" s="34">
        <v>87.437889999999996</v>
      </c>
      <c r="G418" s="34" t="s">
        <v>7956</v>
      </c>
      <c r="H418" s="34" t="s">
        <v>7987</v>
      </c>
      <c r="I418" s="35" t="s">
        <v>2223</v>
      </c>
      <c r="J418" s="35">
        <v>9734686687</v>
      </c>
      <c r="K418" s="34" t="s">
        <v>8164</v>
      </c>
      <c r="L418" s="34">
        <v>8016415030</v>
      </c>
      <c r="M418" s="34"/>
      <c r="N418" s="17"/>
      <c r="O418" s="17"/>
      <c r="P418" s="17"/>
      <c r="Q418" s="17"/>
      <c r="R418" s="17"/>
      <c r="S418" s="17"/>
      <c r="T418" s="17"/>
      <c r="U418" s="17"/>
      <c r="V418" s="17"/>
      <c r="W418" s="17"/>
      <c r="X418" s="17"/>
      <c r="Y418" s="17"/>
      <c r="Z418" s="17"/>
      <c r="AA418" s="17"/>
      <c r="AB418" s="17"/>
      <c r="AC418" s="17"/>
      <c r="AD418" s="17"/>
      <c r="AE418" s="17"/>
      <c r="AF418" s="17"/>
      <c r="AG418" s="17"/>
      <c r="AH418" s="17"/>
      <c r="AI418" s="17"/>
    </row>
    <row r="419" hidden="1">
      <c r="A419" s="34">
        <f t="shared" si="9"/>
        <v>418</v>
      </c>
      <c r="B419" s="35" t="s">
        <v>52</v>
      </c>
      <c r="C419" s="34" t="s">
        <v>3664</v>
      </c>
      <c r="D419" s="34" t="s">
        <v>3665</v>
      </c>
      <c r="E419" s="34">
        <v>22.082343000000002</v>
      </c>
      <c r="F419" s="34">
        <v>87.377386000000001</v>
      </c>
      <c r="G419" s="34" t="s">
        <v>7956</v>
      </c>
      <c r="H419" s="34" t="s">
        <v>7987</v>
      </c>
      <c r="I419" s="35" t="s">
        <v>2223</v>
      </c>
      <c r="J419" s="35">
        <v>9734686687</v>
      </c>
      <c r="K419" s="34" t="s">
        <v>8164</v>
      </c>
      <c r="L419" s="34">
        <v>8016415030</v>
      </c>
      <c r="M419" s="34"/>
      <c r="N419" s="17"/>
      <c r="O419" s="17"/>
      <c r="P419" s="17"/>
      <c r="Q419" s="17"/>
      <c r="R419" s="17"/>
      <c r="S419" s="17"/>
      <c r="T419" s="17"/>
      <c r="U419" s="17"/>
      <c r="V419" s="17"/>
      <c r="W419" s="17"/>
      <c r="X419" s="17"/>
      <c r="Y419" s="17"/>
      <c r="Z419" s="17"/>
      <c r="AA419" s="17"/>
      <c r="AB419" s="17"/>
      <c r="AC419" s="17"/>
      <c r="AD419" s="17"/>
      <c r="AE419" s="17"/>
      <c r="AF419" s="17"/>
      <c r="AG419" s="17"/>
      <c r="AH419" s="17"/>
      <c r="AI419" s="17"/>
    </row>
    <row r="420" hidden="1">
      <c r="A420" s="34">
        <f t="shared" si="9"/>
        <v>419</v>
      </c>
      <c r="B420" s="35" t="s">
        <v>52</v>
      </c>
      <c r="C420" s="34" t="s">
        <v>3667</v>
      </c>
      <c r="D420" s="34" t="s">
        <v>3668</v>
      </c>
      <c r="E420" s="34">
        <v>22.074847999999999</v>
      </c>
      <c r="F420" s="34">
        <v>87.462524000000002</v>
      </c>
      <c r="G420" s="34" t="s">
        <v>7956</v>
      </c>
      <c r="H420" s="34" t="s">
        <v>8009</v>
      </c>
      <c r="I420" s="35" t="s">
        <v>2223</v>
      </c>
      <c r="J420" s="35">
        <v>9734686687</v>
      </c>
      <c r="K420" s="42" t="s">
        <v>2603</v>
      </c>
      <c r="L420" s="42">
        <v>8348990610</v>
      </c>
      <c r="M420" s="42"/>
      <c r="N420" s="17"/>
      <c r="O420" s="17"/>
      <c r="P420" s="17"/>
      <c r="Q420" s="17"/>
      <c r="R420" s="17"/>
      <c r="S420" s="17"/>
      <c r="T420" s="17"/>
      <c r="U420" s="17"/>
      <c r="V420" s="17"/>
      <c r="W420" s="17"/>
      <c r="X420" s="17"/>
      <c r="Y420" s="17"/>
      <c r="Z420" s="17"/>
      <c r="AA420" s="17"/>
      <c r="AB420" s="17"/>
      <c r="AC420" s="17"/>
      <c r="AD420" s="17"/>
      <c r="AE420" s="17"/>
      <c r="AF420" s="17"/>
      <c r="AG420" s="17"/>
      <c r="AH420" s="17"/>
      <c r="AI420" s="17"/>
    </row>
    <row r="421" hidden="1">
      <c r="A421" s="34">
        <f t="shared" si="9"/>
        <v>420</v>
      </c>
      <c r="B421" s="35" t="s">
        <v>52</v>
      </c>
      <c r="C421" s="34" t="s">
        <v>3670</v>
      </c>
      <c r="D421" s="34" t="s">
        <v>3671</v>
      </c>
      <c r="E421" s="34">
        <v>22.225055000000001</v>
      </c>
      <c r="F421" s="34">
        <v>87.431319999999999</v>
      </c>
      <c r="G421" s="34" t="s">
        <v>8104</v>
      </c>
      <c r="H421" s="34" t="s">
        <v>7987</v>
      </c>
      <c r="I421" s="34" t="s">
        <v>2695</v>
      </c>
      <c r="J421" s="34">
        <v>6201045379</v>
      </c>
      <c r="K421" s="34" t="s">
        <v>8164</v>
      </c>
      <c r="L421" s="34">
        <v>8016415030</v>
      </c>
      <c r="M421" s="34"/>
      <c r="N421" s="17"/>
      <c r="O421" s="17"/>
      <c r="P421" s="17"/>
      <c r="Q421" s="17"/>
      <c r="R421" s="17"/>
      <c r="S421" s="17"/>
      <c r="T421" s="17"/>
      <c r="U421" s="17"/>
      <c r="V421" s="17"/>
      <c r="W421" s="17"/>
      <c r="X421" s="17"/>
      <c r="Y421" s="17"/>
      <c r="Z421" s="17"/>
      <c r="AA421" s="17"/>
      <c r="AB421" s="17"/>
      <c r="AC421" s="17"/>
      <c r="AD421" s="17"/>
      <c r="AE421" s="17"/>
      <c r="AF421" s="17"/>
      <c r="AG421" s="17"/>
      <c r="AH421" s="17"/>
      <c r="AI421" s="17"/>
    </row>
    <row r="422" hidden="1">
      <c r="A422" s="34">
        <f t="shared" si="9"/>
        <v>421</v>
      </c>
      <c r="B422" s="35" t="s">
        <v>52</v>
      </c>
      <c r="C422" s="34" t="s">
        <v>3673</v>
      </c>
      <c r="D422" s="34" t="s">
        <v>3674</v>
      </c>
      <c r="E422" s="34">
        <v>22.198194999999998</v>
      </c>
      <c r="F422" s="34">
        <v>87.513649000000001</v>
      </c>
      <c r="G422" s="34" t="s">
        <v>7956</v>
      </c>
      <c r="H422" s="34" t="s">
        <v>7987</v>
      </c>
      <c r="I422" s="35" t="s">
        <v>2680</v>
      </c>
      <c r="J422" s="34">
        <v>7797440223</v>
      </c>
      <c r="K422" s="34" t="s">
        <v>2680</v>
      </c>
      <c r="L422" s="34">
        <v>7797440223</v>
      </c>
      <c r="M422" s="34"/>
      <c r="N422" s="17"/>
      <c r="O422" s="17"/>
      <c r="P422" s="17"/>
      <c r="Q422" s="17"/>
      <c r="R422" s="17"/>
      <c r="S422" s="17"/>
      <c r="T422" s="17"/>
      <c r="U422" s="17"/>
      <c r="V422" s="17"/>
      <c r="W422" s="17"/>
      <c r="X422" s="17"/>
      <c r="Y422" s="17"/>
      <c r="Z422" s="17"/>
      <c r="AA422" s="17"/>
      <c r="AB422" s="17"/>
      <c r="AC422" s="17"/>
      <c r="AD422" s="17"/>
      <c r="AE422" s="17"/>
      <c r="AF422" s="17"/>
      <c r="AG422" s="17"/>
      <c r="AH422" s="17"/>
      <c r="AI422" s="17"/>
    </row>
    <row r="423" hidden="1">
      <c r="A423" s="34">
        <f t="shared" si="9"/>
        <v>422</v>
      </c>
      <c r="B423" s="35" t="s">
        <v>52</v>
      </c>
      <c r="C423" s="34" t="s">
        <v>3676</v>
      </c>
      <c r="D423" s="34" t="s">
        <v>8325</v>
      </c>
      <c r="E423" s="34">
        <v>22.123024000000001</v>
      </c>
      <c r="F423" s="34">
        <v>87.399084000000002</v>
      </c>
      <c r="G423" s="34" t="s">
        <v>7956</v>
      </c>
      <c r="H423" s="34" t="s">
        <v>7987</v>
      </c>
      <c r="I423" s="34" t="s">
        <v>2695</v>
      </c>
      <c r="J423" s="34">
        <v>6201045379</v>
      </c>
      <c r="K423" s="34" t="s">
        <v>8164</v>
      </c>
      <c r="L423" s="34">
        <v>8016415030</v>
      </c>
      <c r="M423" s="34"/>
      <c r="N423" s="17"/>
      <c r="O423" s="17"/>
      <c r="P423" s="17"/>
      <c r="Q423" s="17"/>
      <c r="R423" s="17"/>
      <c r="S423" s="17"/>
      <c r="T423" s="17"/>
      <c r="U423" s="17"/>
      <c r="V423" s="17"/>
      <c r="W423" s="17"/>
      <c r="X423" s="17"/>
      <c r="Y423" s="17"/>
      <c r="Z423" s="17"/>
      <c r="AA423" s="17"/>
      <c r="AB423" s="17"/>
      <c r="AC423" s="17"/>
      <c r="AD423" s="17"/>
      <c r="AE423" s="17"/>
      <c r="AF423" s="17"/>
      <c r="AG423" s="17"/>
      <c r="AH423" s="17"/>
      <c r="AI423" s="17"/>
    </row>
    <row r="424" hidden="1">
      <c r="A424" s="34">
        <f t="shared" si="9"/>
        <v>423</v>
      </c>
      <c r="B424" s="35" t="s">
        <v>52</v>
      </c>
      <c r="C424" s="34" t="s">
        <v>3678</v>
      </c>
      <c r="D424" s="34" t="s">
        <v>3679</v>
      </c>
      <c r="E424" s="34">
        <v>22.189488000000001</v>
      </c>
      <c r="F424" s="34">
        <v>87.427121999999997</v>
      </c>
      <c r="G424" s="34" t="s">
        <v>7956</v>
      </c>
      <c r="H424" s="34" t="s">
        <v>7987</v>
      </c>
      <c r="I424" s="34" t="s">
        <v>2695</v>
      </c>
      <c r="J424" s="34">
        <v>6201045379</v>
      </c>
      <c r="K424" s="34" t="s">
        <v>8164</v>
      </c>
      <c r="L424" s="34">
        <v>8016415030</v>
      </c>
      <c r="M424" s="34"/>
      <c r="N424" s="17"/>
      <c r="O424" s="17"/>
      <c r="P424" s="17"/>
      <c r="Q424" s="17"/>
      <c r="R424" s="17"/>
      <c r="S424" s="17"/>
      <c r="T424" s="17"/>
      <c r="U424" s="17"/>
      <c r="V424" s="17"/>
      <c r="W424" s="17"/>
      <c r="X424" s="17"/>
      <c r="Y424" s="17"/>
      <c r="Z424" s="17"/>
      <c r="AA424" s="17"/>
      <c r="AB424" s="17"/>
      <c r="AC424" s="17"/>
      <c r="AD424" s="17"/>
      <c r="AE424" s="17"/>
      <c r="AF424" s="17"/>
      <c r="AG424" s="17"/>
      <c r="AH424" s="17"/>
      <c r="AI424" s="17"/>
    </row>
    <row r="425" hidden="1">
      <c r="A425" s="34">
        <f t="shared" si="9"/>
        <v>424</v>
      </c>
      <c r="B425" s="35" t="s">
        <v>52</v>
      </c>
      <c r="C425" s="34" t="s">
        <v>3681</v>
      </c>
      <c r="D425" s="34" t="s">
        <v>8326</v>
      </c>
      <c r="E425" s="34">
        <v>22.015411</v>
      </c>
      <c r="F425" s="34">
        <v>87.361503999999996</v>
      </c>
      <c r="G425" s="34" t="s">
        <v>7956</v>
      </c>
      <c r="H425" s="34" t="s">
        <v>7987</v>
      </c>
      <c r="I425" s="35" t="s">
        <v>2223</v>
      </c>
      <c r="J425" s="35">
        <v>9734686687</v>
      </c>
      <c r="K425" s="35" t="s">
        <v>2223</v>
      </c>
      <c r="L425" s="35">
        <v>9734686709</v>
      </c>
      <c r="M425" s="35"/>
      <c r="N425" s="17"/>
      <c r="O425" s="17"/>
      <c r="P425" s="17"/>
      <c r="Q425" s="17"/>
      <c r="R425" s="17"/>
      <c r="S425" s="17"/>
      <c r="T425" s="17"/>
      <c r="U425" s="17"/>
      <c r="V425" s="17"/>
      <c r="W425" s="17"/>
      <c r="X425" s="17"/>
      <c r="Y425" s="17"/>
      <c r="Z425" s="17"/>
      <c r="AA425" s="17"/>
      <c r="AB425" s="17"/>
      <c r="AC425" s="17"/>
      <c r="AD425" s="17"/>
      <c r="AE425" s="17"/>
      <c r="AF425" s="17"/>
      <c r="AG425" s="17"/>
      <c r="AH425" s="17"/>
      <c r="AI425" s="17"/>
    </row>
    <row r="426" hidden="1">
      <c r="A426" s="34">
        <f t="shared" si="9"/>
        <v>425</v>
      </c>
      <c r="B426" s="35" t="s">
        <v>52</v>
      </c>
      <c r="C426" s="34" t="s">
        <v>3684</v>
      </c>
      <c r="D426" s="34" t="s">
        <v>3685</v>
      </c>
      <c r="E426" s="34">
        <v>22.224972999999999</v>
      </c>
      <c r="F426" s="34">
        <v>87.513334</v>
      </c>
      <c r="G426" s="34" t="s">
        <v>7956</v>
      </c>
      <c r="H426" s="34" t="s">
        <v>7987</v>
      </c>
      <c r="I426" s="35" t="s">
        <v>2680</v>
      </c>
      <c r="J426" s="34">
        <v>7797440223</v>
      </c>
      <c r="K426" s="34" t="s">
        <v>2680</v>
      </c>
      <c r="L426" s="34">
        <v>7797440223</v>
      </c>
      <c r="M426" s="34"/>
      <c r="N426" s="17"/>
      <c r="O426" s="17"/>
      <c r="P426" s="17"/>
      <c r="Q426" s="17"/>
      <c r="R426" s="17"/>
      <c r="S426" s="17"/>
      <c r="T426" s="17"/>
      <c r="U426" s="17"/>
      <c r="V426" s="17"/>
      <c r="W426" s="17"/>
      <c r="X426" s="17"/>
      <c r="Y426" s="17"/>
      <c r="Z426" s="17"/>
      <c r="AA426" s="17"/>
      <c r="AB426" s="17"/>
      <c r="AC426" s="17"/>
      <c r="AD426" s="17"/>
      <c r="AE426" s="17"/>
      <c r="AF426" s="17"/>
      <c r="AG426" s="17"/>
      <c r="AH426" s="17"/>
      <c r="AI426" s="17"/>
    </row>
    <row r="427" hidden="1">
      <c r="A427" s="34">
        <f t="shared" si="9"/>
        <v>426</v>
      </c>
      <c r="B427" s="35" t="s">
        <v>52</v>
      </c>
      <c r="C427" s="34" t="s">
        <v>3687</v>
      </c>
      <c r="D427" s="34" t="s">
        <v>3688</v>
      </c>
      <c r="E427" s="34">
        <v>22.046747</v>
      </c>
      <c r="F427" s="34">
        <v>87.383504000000002</v>
      </c>
      <c r="G427" s="34" t="s">
        <v>7956</v>
      </c>
      <c r="H427" s="34" t="s">
        <v>7987</v>
      </c>
      <c r="I427" s="35" t="s">
        <v>2223</v>
      </c>
      <c r="J427" s="35">
        <v>9734686687</v>
      </c>
      <c r="K427" s="35" t="s">
        <v>2223</v>
      </c>
      <c r="L427" s="35">
        <v>9734686710</v>
      </c>
      <c r="M427" s="35"/>
      <c r="N427" s="17"/>
      <c r="O427" s="17"/>
      <c r="P427" s="17"/>
      <c r="Q427" s="17"/>
      <c r="R427" s="17"/>
      <c r="S427" s="17"/>
      <c r="T427" s="17"/>
      <c r="U427" s="17"/>
      <c r="V427" s="17"/>
      <c r="W427" s="17"/>
      <c r="X427" s="17"/>
      <c r="Y427" s="17"/>
      <c r="Z427" s="17"/>
      <c r="AA427" s="17"/>
      <c r="AB427" s="17"/>
      <c r="AC427" s="17"/>
      <c r="AD427" s="17"/>
      <c r="AE427" s="17"/>
      <c r="AF427" s="17"/>
      <c r="AG427" s="17"/>
      <c r="AH427" s="17"/>
      <c r="AI427" s="17"/>
    </row>
    <row r="428" hidden="1">
      <c r="A428" s="34">
        <f t="shared" si="9"/>
        <v>427</v>
      </c>
      <c r="B428" s="35" t="s">
        <v>52</v>
      </c>
      <c r="C428" s="34" t="s">
        <v>3690</v>
      </c>
      <c r="D428" s="34" t="s">
        <v>3691</v>
      </c>
      <c r="E428" s="34">
        <v>22.066213999999999</v>
      </c>
      <c r="F428" s="34">
        <v>87.346176</v>
      </c>
      <c r="G428" s="34" t="s">
        <v>7956</v>
      </c>
      <c r="H428" s="34" t="s">
        <v>8009</v>
      </c>
      <c r="I428" s="35" t="s">
        <v>2223</v>
      </c>
      <c r="J428" s="35">
        <v>9734686687</v>
      </c>
      <c r="K428" s="35" t="s">
        <v>2223</v>
      </c>
      <c r="L428" s="35">
        <v>9734686711</v>
      </c>
      <c r="M428" s="35"/>
      <c r="N428" s="17"/>
      <c r="O428" s="17"/>
      <c r="P428" s="17"/>
      <c r="Q428" s="17"/>
      <c r="R428" s="17"/>
      <c r="S428" s="17"/>
      <c r="T428" s="17"/>
      <c r="U428" s="17"/>
      <c r="V428" s="17"/>
      <c r="W428" s="17"/>
      <c r="X428" s="17"/>
      <c r="Y428" s="17"/>
      <c r="Z428" s="17"/>
      <c r="AA428" s="17"/>
      <c r="AB428" s="17"/>
      <c r="AC428" s="17"/>
      <c r="AD428" s="17"/>
      <c r="AE428" s="17"/>
      <c r="AF428" s="17"/>
      <c r="AG428" s="17"/>
      <c r="AH428" s="17"/>
      <c r="AI428" s="17"/>
    </row>
    <row r="429" hidden="1">
      <c r="A429" s="34">
        <f t="shared" si="9"/>
        <v>428</v>
      </c>
      <c r="B429" s="35" t="s">
        <v>52</v>
      </c>
      <c r="C429" s="34" t="s">
        <v>3693</v>
      </c>
      <c r="D429" s="34" t="s">
        <v>3694</v>
      </c>
      <c r="E429" s="34">
        <v>22.058519</v>
      </c>
      <c r="F429" s="34">
        <v>87.421908000000002</v>
      </c>
      <c r="G429" s="34" t="s">
        <v>7956</v>
      </c>
      <c r="H429" s="34" t="s">
        <v>7987</v>
      </c>
      <c r="I429" s="35" t="s">
        <v>2223</v>
      </c>
      <c r="J429" s="35">
        <v>9734686687</v>
      </c>
      <c r="K429" s="42" t="s">
        <v>2603</v>
      </c>
      <c r="L429" s="42">
        <v>8348990611</v>
      </c>
      <c r="M429" s="42"/>
      <c r="N429" s="17"/>
      <c r="O429" s="17"/>
      <c r="P429" s="17"/>
      <c r="Q429" s="17"/>
      <c r="R429" s="17"/>
      <c r="S429" s="17"/>
      <c r="T429" s="17"/>
      <c r="U429" s="17"/>
      <c r="V429" s="17"/>
      <c r="W429" s="17"/>
      <c r="X429" s="17"/>
      <c r="Y429" s="17"/>
      <c r="Z429" s="17"/>
      <c r="AA429" s="17"/>
      <c r="AB429" s="17"/>
      <c r="AC429" s="17"/>
      <c r="AD429" s="17"/>
      <c r="AE429" s="17"/>
      <c r="AF429" s="17"/>
      <c r="AG429" s="17"/>
      <c r="AH429" s="17"/>
      <c r="AI429" s="17"/>
    </row>
    <row r="430" hidden="1">
      <c r="A430" s="34">
        <f t="shared" si="9"/>
        <v>429</v>
      </c>
      <c r="B430" s="35" t="s">
        <v>52</v>
      </c>
      <c r="C430" s="34" t="s">
        <v>3696</v>
      </c>
      <c r="D430" s="34" t="s">
        <v>3697</v>
      </c>
      <c r="E430" s="34">
        <v>22.223756000000002</v>
      </c>
      <c r="F430" s="34">
        <v>87.480373</v>
      </c>
      <c r="G430" s="34" t="s">
        <v>7956</v>
      </c>
      <c r="H430" s="34" t="s">
        <v>7987</v>
      </c>
      <c r="I430" s="34" t="s">
        <v>2695</v>
      </c>
      <c r="J430" s="34">
        <v>6201045379</v>
      </c>
      <c r="K430" s="34" t="s">
        <v>8164</v>
      </c>
      <c r="L430" s="34">
        <v>8016415030</v>
      </c>
      <c r="M430" s="34"/>
      <c r="N430" s="17"/>
      <c r="O430" s="17"/>
      <c r="P430" s="17"/>
      <c r="Q430" s="17"/>
      <c r="R430" s="17"/>
      <c r="S430" s="17"/>
      <c r="T430" s="17"/>
      <c r="U430" s="17"/>
      <c r="V430" s="17"/>
      <c r="W430" s="17"/>
      <c r="X430" s="17"/>
      <c r="Y430" s="17"/>
      <c r="Z430" s="17"/>
      <c r="AA430" s="17"/>
      <c r="AB430" s="17"/>
      <c r="AC430" s="17"/>
      <c r="AD430" s="17"/>
      <c r="AE430" s="17"/>
      <c r="AF430" s="17"/>
      <c r="AG430" s="17"/>
      <c r="AH430" s="17"/>
      <c r="AI430" s="17"/>
    </row>
    <row r="431" hidden="1">
      <c r="A431" s="34">
        <f t="shared" si="9"/>
        <v>430</v>
      </c>
      <c r="B431" s="35" t="s">
        <v>52</v>
      </c>
      <c r="C431" s="34" t="s">
        <v>3699</v>
      </c>
      <c r="D431" s="34" t="s">
        <v>3517</v>
      </c>
      <c r="E431" s="34">
        <v>22.104165999999999</v>
      </c>
      <c r="F431" s="34">
        <v>87.486260999999999</v>
      </c>
      <c r="G431" s="34" t="s">
        <v>7956</v>
      </c>
      <c r="H431" s="34" t="s">
        <v>7987</v>
      </c>
      <c r="I431" s="35" t="s">
        <v>2248</v>
      </c>
      <c r="J431" s="35">
        <v>9635120146</v>
      </c>
      <c r="K431" s="35" t="s">
        <v>2248</v>
      </c>
      <c r="L431" s="35">
        <v>8100154683</v>
      </c>
      <c r="M431" s="35"/>
      <c r="N431" s="17"/>
      <c r="O431" s="17"/>
      <c r="P431" s="17"/>
      <c r="Q431" s="17"/>
      <c r="R431" s="17"/>
      <c r="S431" s="17"/>
      <c r="T431" s="17"/>
      <c r="U431" s="17"/>
      <c r="V431" s="17"/>
      <c r="W431" s="17"/>
      <c r="X431" s="17"/>
      <c r="Y431" s="17"/>
      <c r="Z431" s="17"/>
      <c r="AA431" s="17"/>
      <c r="AB431" s="17"/>
      <c r="AC431" s="17"/>
      <c r="AD431" s="17"/>
      <c r="AE431" s="17"/>
      <c r="AF431" s="17"/>
      <c r="AG431" s="17"/>
      <c r="AH431" s="17"/>
      <c r="AI431" s="17"/>
    </row>
    <row r="432" hidden="1">
      <c r="A432" s="34">
        <f t="shared" si="9"/>
        <v>431</v>
      </c>
      <c r="B432" s="35" t="s">
        <v>52</v>
      </c>
      <c r="C432" s="34" t="s">
        <v>3701</v>
      </c>
      <c r="D432" s="34" t="s">
        <v>8327</v>
      </c>
      <c r="E432" s="34">
        <v>22.061959000000002</v>
      </c>
      <c r="F432" s="34">
        <v>87.337556000000006</v>
      </c>
      <c r="G432" s="34" t="s">
        <v>7956</v>
      </c>
      <c r="H432" s="34" t="s">
        <v>7987</v>
      </c>
      <c r="I432" s="35" t="s">
        <v>2223</v>
      </c>
      <c r="J432" s="35">
        <v>9734686687</v>
      </c>
      <c r="K432" s="34" t="s">
        <v>8164</v>
      </c>
      <c r="L432" s="34">
        <v>8016415030</v>
      </c>
      <c r="M432" s="34"/>
      <c r="N432" s="17"/>
      <c r="O432" s="17"/>
      <c r="P432" s="17"/>
      <c r="Q432" s="17"/>
      <c r="R432" s="17"/>
      <c r="S432" s="17"/>
      <c r="T432" s="17"/>
      <c r="U432" s="17"/>
      <c r="V432" s="17"/>
      <c r="W432" s="17"/>
      <c r="X432" s="17"/>
      <c r="Y432" s="17"/>
      <c r="Z432" s="17"/>
      <c r="AA432" s="17"/>
      <c r="AB432" s="17"/>
      <c r="AC432" s="17"/>
      <c r="AD432" s="17"/>
      <c r="AE432" s="17"/>
      <c r="AF432" s="17"/>
      <c r="AG432" s="17"/>
      <c r="AH432" s="17"/>
      <c r="AI432" s="17"/>
    </row>
    <row r="433" hidden="1">
      <c r="A433" s="34">
        <f t="shared" si="9"/>
        <v>432</v>
      </c>
      <c r="B433" s="35" t="s">
        <v>52</v>
      </c>
      <c r="C433" s="34" t="s">
        <v>3704</v>
      </c>
      <c r="D433" s="34" t="s">
        <v>3705</v>
      </c>
      <c r="E433" s="34">
        <v>22.166931000000002</v>
      </c>
      <c r="F433" s="34">
        <v>87.404916999999998</v>
      </c>
      <c r="G433" s="34" t="s">
        <v>7956</v>
      </c>
      <c r="H433" s="34" t="s">
        <v>7987</v>
      </c>
      <c r="I433" s="34" t="s">
        <v>2695</v>
      </c>
      <c r="J433" s="34">
        <v>6201045379</v>
      </c>
      <c r="K433" s="34" t="s">
        <v>8164</v>
      </c>
      <c r="L433" s="34">
        <v>8016415030</v>
      </c>
      <c r="M433" s="34"/>
      <c r="N433" s="17"/>
      <c r="O433" s="17"/>
      <c r="P433" s="17"/>
      <c r="Q433" s="17"/>
      <c r="R433" s="17"/>
      <c r="S433" s="17"/>
      <c r="T433" s="17"/>
      <c r="U433" s="17"/>
      <c r="V433" s="17"/>
      <c r="W433" s="17"/>
      <c r="X433" s="17"/>
      <c r="Y433" s="17"/>
      <c r="Z433" s="17"/>
      <c r="AA433" s="17"/>
      <c r="AB433" s="17"/>
      <c r="AC433" s="17"/>
      <c r="AD433" s="17"/>
      <c r="AE433" s="17"/>
      <c r="AF433" s="17"/>
      <c r="AG433" s="17"/>
      <c r="AH433" s="17"/>
      <c r="AI433" s="17"/>
    </row>
    <row r="434" hidden="1">
      <c r="A434" s="34">
        <f t="shared" si="9"/>
        <v>433</v>
      </c>
      <c r="B434" s="35" t="s">
        <v>52</v>
      </c>
      <c r="C434" s="34" t="s">
        <v>3706</v>
      </c>
      <c r="D434" s="34" t="s">
        <v>8328</v>
      </c>
      <c r="E434" s="34">
        <v>22.06549</v>
      </c>
      <c r="F434" s="34">
        <v>87.367936999999998</v>
      </c>
      <c r="G434" s="34" t="s">
        <v>7956</v>
      </c>
      <c r="H434" s="34" t="s">
        <v>7987</v>
      </c>
      <c r="I434" s="35" t="s">
        <v>2223</v>
      </c>
      <c r="J434" s="35">
        <v>9734686687</v>
      </c>
      <c r="K434" s="35" t="s">
        <v>2223</v>
      </c>
      <c r="L434" s="35">
        <v>9734686713</v>
      </c>
      <c r="M434" s="35"/>
      <c r="N434" s="17"/>
      <c r="O434" s="17"/>
      <c r="P434" s="17"/>
      <c r="Q434" s="17"/>
      <c r="R434" s="17"/>
      <c r="S434" s="17"/>
      <c r="T434" s="17"/>
      <c r="U434" s="17"/>
      <c r="V434" s="17"/>
      <c r="W434" s="17"/>
      <c r="X434" s="17"/>
      <c r="Y434" s="17"/>
      <c r="Z434" s="17"/>
      <c r="AA434" s="17"/>
      <c r="AB434" s="17"/>
      <c r="AC434" s="17"/>
      <c r="AD434" s="17"/>
      <c r="AE434" s="17"/>
      <c r="AF434" s="17"/>
      <c r="AG434" s="17"/>
      <c r="AH434" s="17"/>
      <c r="AI434" s="17"/>
    </row>
    <row r="435" hidden="1">
      <c r="A435" s="34">
        <f t="shared" si="9"/>
        <v>434</v>
      </c>
      <c r="B435" s="35" t="s">
        <v>52</v>
      </c>
      <c r="C435" s="34" t="s">
        <v>3709</v>
      </c>
      <c r="D435" s="34" t="s">
        <v>3710</v>
      </c>
      <c r="E435" s="34">
        <v>22.265588000000001</v>
      </c>
      <c r="F435" s="34">
        <v>87.640754000000001</v>
      </c>
      <c r="G435" s="34" t="s">
        <v>7955</v>
      </c>
      <c r="H435" s="34" t="s">
        <v>7987</v>
      </c>
      <c r="I435" s="35" t="s">
        <v>2680</v>
      </c>
      <c r="J435" s="34">
        <v>7797440223</v>
      </c>
      <c r="K435" s="34" t="s">
        <v>2680</v>
      </c>
      <c r="L435" s="34">
        <v>7797440223</v>
      </c>
      <c r="M435" s="34"/>
      <c r="N435" s="17"/>
      <c r="O435" s="17"/>
      <c r="P435" s="17"/>
      <c r="Q435" s="17"/>
      <c r="R435" s="17"/>
      <c r="S435" s="17"/>
      <c r="T435" s="17"/>
      <c r="U435" s="17"/>
      <c r="V435" s="17"/>
      <c r="W435" s="17"/>
      <c r="X435" s="17"/>
      <c r="Y435" s="17"/>
      <c r="Z435" s="17"/>
      <c r="AA435" s="17"/>
      <c r="AB435" s="17"/>
      <c r="AC435" s="17"/>
      <c r="AD435" s="17"/>
      <c r="AE435" s="17"/>
      <c r="AF435" s="17"/>
      <c r="AG435" s="17"/>
      <c r="AH435" s="17"/>
      <c r="AI435" s="17"/>
    </row>
    <row r="436" hidden="1">
      <c r="A436" s="34">
        <f t="shared" si="9"/>
        <v>435</v>
      </c>
      <c r="B436" s="35" t="s">
        <v>52</v>
      </c>
      <c r="C436" s="34" t="s">
        <v>3714</v>
      </c>
      <c r="D436" s="34" t="s">
        <v>3715</v>
      </c>
      <c r="E436" s="34">
        <v>22.276219000000001</v>
      </c>
      <c r="F436" s="34">
        <v>87.585256999999999</v>
      </c>
      <c r="G436" s="34" t="s">
        <v>7955</v>
      </c>
      <c r="H436" s="34" t="s">
        <v>7987</v>
      </c>
      <c r="I436" s="35" t="s">
        <v>2680</v>
      </c>
      <c r="J436" s="34">
        <v>7797440223</v>
      </c>
      <c r="K436" s="34" t="s">
        <v>2680</v>
      </c>
      <c r="L436" s="34">
        <v>7797440223</v>
      </c>
      <c r="M436" s="34"/>
      <c r="N436" s="17"/>
      <c r="O436" s="17"/>
      <c r="P436" s="17"/>
      <c r="Q436" s="17"/>
      <c r="R436" s="17"/>
      <c r="S436" s="17"/>
      <c r="T436" s="17"/>
      <c r="U436" s="17"/>
      <c r="V436" s="17"/>
      <c r="W436" s="17"/>
      <c r="X436" s="17"/>
      <c r="Y436" s="17"/>
      <c r="Z436" s="17"/>
      <c r="AA436" s="17"/>
      <c r="AB436" s="17"/>
      <c r="AC436" s="17"/>
      <c r="AD436" s="17"/>
      <c r="AE436" s="17"/>
      <c r="AF436" s="17"/>
      <c r="AG436" s="17"/>
      <c r="AH436" s="17"/>
      <c r="AI436" s="17"/>
    </row>
    <row r="437" hidden="1">
      <c r="A437" s="34">
        <f t="shared" si="9"/>
        <v>436</v>
      </c>
      <c r="B437" s="35" t="s">
        <v>52</v>
      </c>
      <c r="C437" s="34" t="s">
        <v>3718</v>
      </c>
      <c r="D437" s="34" t="s">
        <v>3719</v>
      </c>
      <c r="E437" s="34">
        <v>22.249452999999999</v>
      </c>
      <c r="F437" s="34">
        <v>87.616378999999995</v>
      </c>
      <c r="G437" s="34" t="s">
        <v>7954</v>
      </c>
      <c r="H437" s="34" t="s">
        <v>7987</v>
      </c>
      <c r="I437" s="35" t="s">
        <v>2680</v>
      </c>
      <c r="J437" s="34">
        <v>7797440223</v>
      </c>
      <c r="K437" s="34" t="s">
        <v>2680</v>
      </c>
      <c r="L437" s="34">
        <v>7797440223</v>
      </c>
      <c r="M437" s="34"/>
      <c r="N437" s="17"/>
      <c r="O437" s="17"/>
      <c r="P437" s="17"/>
      <c r="Q437" s="17"/>
      <c r="R437" s="17"/>
      <c r="S437" s="17"/>
      <c r="T437" s="17"/>
      <c r="U437" s="17"/>
      <c r="V437" s="17"/>
      <c r="W437" s="17"/>
      <c r="X437" s="17"/>
      <c r="Y437" s="17"/>
      <c r="Z437" s="17"/>
      <c r="AA437" s="17"/>
      <c r="AB437" s="17"/>
      <c r="AC437" s="17"/>
      <c r="AD437" s="17"/>
      <c r="AE437" s="17"/>
      <c r="AF437" s="17"/>
      <c r="AG437" s="17"/>
      <c r="AH437" s="17"/>
      <c r="AI437" s="17"/>
    </row>
    <row r="438" hidden="1">
      <c r="A438" s="34">
        <f t="shared" si="9"/>
        <v>437</v>
      </c>
      <c r="B438" s="35" t="s">
        <v>52</v>
      </c>
      <c r="C438" s="34" t="s">
        <v>3723</v>
      </c>
      <c r="D438" s="34" t="s">
        <v>8329</v>
      </c>
      <c r="E438" s="34">
        <v>22.273389999999999</v>
      </c>
      <c r="F438" s="34">
        <v>87.504974000000004</v>
      </c>
      <c r="G438" s="34" t="s">
        <v>7954</v>
      </c>
      <c r="H438" s="34" t="s">
        <v>7987</v>
      </c>
      <c r="I438" s="35" t="s">
        <v>2680</v>
      </c>
      <c r="J438" s="34">
        <v>7797440223</v>
      </c>
      <c r="K438" s="34" t="s">
        <v>2680</v>
      </c>
      <c r="L438" s="34">
        <v>7797440223</v>
      </c>
      <c r="M438" s="34"/>
      <c r="N438" s="17"/>
      <c r="O438" s="17"/>
      <c r="P438" s="17"/>
      <c r="Q438" s="17"/>
      <c r="R438" s="17"/>
      <c r="S438" s="17"/>
      <c r="T438" s="17"/>
      <c r="U438" s="17"/>
      <c r="V438" s="17"/>
      <c r="W438" s="17"/>
      <c r="X438" s="17"/>
      <c r="Y438" s="17"/>
      <c r="Z438" s="17"/>
      <c r="AA438" s="17"/>
      <c r="AB438" s="17"/>
      <c r="AC438" s="17"/>
      <c r="AD438" s="17"/>
      <c r="AE438" s="17"/>
      <c r="AF438" s="17"/>
      <c r="AG438" s="17"/>
      <c r="AH438" s="17"/>
      <c r="AI438" s="17"/>
    </row>
    <row r="439" hidden="1">
      <c r="A439" s="34">
        <f t="shared" si="9"/>
        <v>438</v>
      </c>
      <c r="B439" s="35" t="s">
        <v>52</v>
      </c>
      <c r="C439" s="34" t="s">
        <v>3728</v>
      </c>
      <c r="D439" s="34" t="s">
        <v>8330</v>
      </c>
      <c r="E439" s="34">
        <v>22.299327999999999</v>
      </c>
      <c r="F439" s="34">
        <v>87.584365000000005</v>
      </c>
      <c r="G439" s="34" t="s">
        <v>7954</v>
      </c>
      <c r="H439" s="34" t="s">
        <v>7987</v>
      </c>
      <c r="I439" s="35" t="s">
        <v>2680</v>
      </c>
      <c r="J439" s="34">
        <v>7797440223</v>
      </c>
      <c r="K439" s="34" t="s">
        <v>2680</v>
      </c>
      <c r="L439" s="34">
        <v>7797440223</v>
      </c>
      <c r="M439" s="34"/>
      <c r="N439" s="17"/>
      <c r="O439" s="17"/>
      <c r="P439" s="17"/>
      <c r="Q439" s="17"/>
      <c r="R439" s="17"/>
      <c r="S439" s="17"/>
      <c r="T439" s="17"/>
      <c r="U439" s="17"/>
      <c r="V439" s="17"/>
      <c r="W439" s="17"/>
      <c r="X439" s="17"/>
      <c r="Y439" s="17"/>
      <c r="Z439" s="17"/>
      <c r="AA439" s="17"/>
      <c r="AB439" s="17"/>
      <c r="AC439" s="17"/>
      <c r="AD439" s="17"/>
      <c r="AE439" s="17"/>
      <c r="AF439" s="17"/>
      <c r="AG439" s="17"/>
      <c r="AH439" s="17"/>
      <c r="AI439" s="17"/>
    </row>
    <row r="440" hidden="1">
      <c r="A440" s="34">
        <f t="shared" si="9"/>
        <v>439</v>
      </c>
      <c r="B440" s="35" t="s">
        <v>52</v>
      </c>
      <c r="C440" s="34" t="s">
        <v>3732</v>
      </c>
      <c r="D440" s="34" t="s">
        <v>8331</v>
      </c>
      <c r="E440" s="34">
        <v>22.231534</v>
      </c>
      <c r="F440" s="34">
        <v>87.684421999999998</v>
      </c>
      <c r="G440" s="34" t="s">
        <v>7954</v>
      </c>
      <c r="H440" s="34" t="s">
        <v>7987</v>
      </c>
      <c r="I440" s="35" t="s">
        <v>166</v>
      </c>
      <c r="J440" s="34">
        <v>9775477549</v>
      </c>
      <c r="K440" s="34" t="s">
        <v>166</v>
      </c>
      <c r="L440" s="34">
        <v>9775477549</v>
      </c>
      <c r="M440" s="34">
        <v>40</v>
      </c>
      <c r="N440" s="17"/>
      <c r="O440" s="17"/>
      <c r="P440" s="17"/>
      <c r="Q440" s="17"/>
      <c r="R440" s="17"/>
      <c r="S440" s="17"/>
      <c r="T440" s="17" t="s">
        <v>8332</v>
      </c>
      <c r="U440" s="17">
        <v>1</v>
      </c>
      <c r="V440" s="17"/>
      <c r="W440" s="17" t="s">
        <v>7992</v>
      </c>
      <c r="X440" s="17">
        <v>4</v>
      </c>
      <c r="Y440" s="17"/>
      <c r="Z440" s="17"/>
      <c r="AA440" s="17"/>
      <c r="AB440" s="17"/>
      <c r="AC440" s="17"/>
      <c r="AD440" s="17"/>
      <c r="AE440" s="17"/>
      <c r="AF440" s="17"/>
      <c r="AG440" s="17" t="s">
        <v>8333</v>
      </c>
      <c r="AH440" s="17"/>
      <c r="AI440" s="17"/>
    </row>
    <row r="441" hidden="1">
      <c r="A441" s="34">
        <f t="shared" si="9"/>
        <v>440</v>
      </c>
      <c r="B441" s="35" t="s">
        <v>52</v>
      </c>
      <c r="C441" s="34" t="s">
        <v>3736</v>
      </c>
      <c r="D441" s="34" t="s">
        <v>8334</v>
      </c>
      <c r="E441" s="34">
        <v>22.322379000000002</v>
      </c>
      <c r="F441" s="34">
        <v>87.679404000000005</v>
      </c>
      <c r="G441" s="34" t="s">
        <v>7954</v>
      </c>
      <c r="H441" s="34" t="s">
        <v>7987</v>
      </c>
      <c r="I441" s="35" t="s">
        <v>166</v>
      </c>
      <c r="J441" s="34">
        <v>9775477549</v>
      </c>
      <c r="K441" s="34" t="s">
        <v>166</v>
      </c>
      <c r="L441" s="34">
        <v>9775477549</v>
      </c>
      <c r="M441" s="34"/>
      <c r="N441" s="17"/>
      <c r="O441" s="17"/>
      <c r="P441" s="17"/>
      <c r="Q441" s="17"/>
      <c r="R441" s="17"/>
      <c r="S441" s="17"/>
      <c r="T441" s="17"/>
      <c r="U441" s="17"/>
      <c r="V441" s="17"/>
      <c r="W441" s="17"/>
      <c r="X441" s="17"/>
      <c r="Y441" s="17" t="s">
        <v>7991</v>
      </c>
      <c r="Z441" s="17" t="s">
        <v>8000</v>
      </c>
      <c r="AA441" s="17" t="s">
        <v>8335</v>
      </c>
      <c r="AB441" s="17" t="s">
        <v>8336</v>
      </c>
      <c r="AC441" s="17" t="s">
        <v>8337</v>
      </c>
      <c r="AD441" s="17"/>
      <c r="AE441" s="17"/>
      <c r="AF441" s="17"/>
      <c r="AG441" s="17"/>
      <c r="AH441" s="17"/>
      <c r="AI441" s="17"/>
    </row>
    <row r="442" hidden="1">
      <c r="A442" s="34">
        <f t="shared" si="9"/>
        <v>441</v>
      </c>
      <c r="B442" s="35" t="s">
        <v>52</v>
      </c>
      <c r="C442" s="34" t="s">
        <v>3741</v>
      </c>
      <c r="D442" s="34" t="s">
        <v>8338</v>
      </c>
      <c r="E442" s="34">
        <v>22.251746000000001</v>
      </c>
      <c r="F442" s="34">
        <v>87.641651999999993</v>
      </c>
      <c r="G442" s="34" t="s">
        <v>7954</v>
      </c>
      <c r="H442" s="34" t="s">
        <v>7987</v>
      </c>
      <c r="I442" s="35" t="s">
        <v>2680</v>
      </c>
      <c r="J442" s="34">
        <v>7797440223</v>
      </c>
      <c r="K442" s="34" t="s">
        <v>2680</v>
      </c>
      <c r="L442" s="34">
        <v>7797440223</v>
      </c>
      <c r="M442" s="34"/>
      <c r="N442" s="17"/>
      <c r="O442" s="17"/>
      <c r="P442" s="17"/>
      <c r="Q442" s="17"/>
      <c r="R442" s="17"/>
      <c r="S442" s="17"/>
      <c r="T442" s="17"/>
      <c r="U442" s="17"/>
      <c r="V442" s="17"/>
      <c r="W442" s="17"/>
      <c r="X442" s="17"/>
      <c r="Y442" s="17"/>
      <c r="Z442" s="17"/>
      <c r="AA442" s="17"/>
      <c r="AB442" s="17"/>
      <c r="AC442" s="17"/>
      <c r="AD442" s="17"/>
      <c r="AE442" s="17"/>
      <c r="AF442" s="17"/>
      <c r="AG442" s="17"/>
      <c r="AH442" s="17"/>
      <c r="AI442" s="17"/>
    </row>
    <row r="443" hidden="1">
      <c r="A443" s="34">
        <f t="shared" si="9"/>
        <v>442</v>
      </c>
      <c r="B443" s="35" t="s">
        <v>52</v>
      </c>
      <c r="C443" s="34" t="s">
        <v>3745</v>
      </c>
      <c r="D443" s="34" t="s">
        <v>8339</v>
      </c>
      <c r="E443" s="34">
        <v>22.245452</v>
      </c>
      <c r="F443" s="34">
        <v>87.558132000000001</v>
      </c>
      <c r="G443" s="34" t="s">
        <v>7954</v>
      </c>
      <c r="H443" s="34" t="s">
        <v>7987</v>
      </c>
      <c r="I443" s="35" t="s">
        <v>2680</v>
      </c>
      <c r="J443" s="34">
        <v>7797440223</v>
      </c>
      <c r="K443" s="34" t="s">
        <v>2680</v>
      </c>
      <c r="L443" s="34">
        <v>7797440223</v>
      </c>
      <c r="M443" s="34"/>
      <c r="N443" s="17"/>
      <c r="O443" s="17"/>
      <c r="P443" s="17"/>
      <c r="Q443" s="17"/>
      <c r="R443" s="17"/>
      <c r="S443" s="17"/>
      <c r="T443" s="17"/>
      <c r="U443" s="17"/>
      <c r="V443" s="17"/>
      <c r="W443" s="17"/>
      <c r="X443" s="17"/>
      <c r="Y443" s="17"/>
      <c r="Z443" s="17"/>
      <c r="AA443" s="17"/>
      <c r="AB443" s="17"/>
      <c r="AC443" s="17"/>
      <c r="AD443" s="17"/>
      <c r="AE443" s="17"/>
      <c r="AF443" s="17"/>
      <c r="AG443" s="17"/>
      <c r="AH443" s="17"/>
      <c r="AI443" s="17"/>
    </row>
    <row r="444" hidden="1">
      <c r="A444" s="34">
        <f t="shared" si="9"/>
        <v>443</v>
      </c>
      <c r="B444" s="35" t="s">
        <v>52</v>
      </c>
      <c r="C444" s="34" t="s">
        <v>3750</v>
      </c>
      <c r="D444" s="34" t="s">
        <v>8340</v>
      </c>
      <c r="E444" s="34">
        <v>22.261109999999999</v>
      </c>
      <c r="F444" s="34">
        <v>87.529129999999995</v>
      </c>
      <c r="G444" s="34" t="s">
        <v>7954</v>
      </c>
      <c r="H444" s="34" t="s">
        <v>7987</v>
      </c>
      <c r="I444" s="35" t="s">
        <v>2680</v>
      </c>
      <c r="J444" s="34">
        <v>7797440223</v>
      </c>
      <c r="K444" s="34" t="s">
        <v>2680</v>
      </c>
      <c r="L444" s="34">
        <v>7797440223</v>
      </c>
      <c r="M444" s="34"/>
      <c r="N444" s="17"/>
      <c r="O444" s="17"/>
      <c r="P444" s="17"/>
      <c r="Q444" s="17"/>
      <c r="R444" s="17"/>
      <c r="S444" s="17"/>
      <c r="T444" s="17"/>
      <c r="U444" s="17"/>
      <c r="V444" s="17"/>
      <c r="W444" s="17"/>
      <c r="X444" s="17"/>
      <c r="Y444" s="17"/>
      <c r="Z444" s="17"/>
      <c r="AA444" s="17"/>
      <c r="AB444" s="17"/>
      <c r="AC444" s="17"/>
      <c r="AD444" s="17"/>
      <c r="AE444" s="17"/>
      <c r="AF444" s="17"/>
      <c r="AG444" s="17"/>
      <c r="AH444" s="17"/>
      <c r="AI444" s="17"/>
    </row>
    <row r="445" hidden="1">
      <c r="A445" s="34">
        <f t="shared" si="9"/>
        <v>444</v>
      </c>
      <c r="B445" s="35" t="s">
        <v>52</v>
      </c>
      <c r="C445" s="34" t="s">
        <v>3752</v>
      </c>
      <c r="D445" s="34" t="s">
        <v>8341</v>
      </c>
      <c r="E445" s="34">
        <v>22.286760000000001</v>
      </c>
      <c r="F445" s="34">
        <v>87.685890000000001</v>
      </c>
      <c r="G445" s="34" t="s">
        <v>7954</v>
      </c>
      <c r="H445" s="34" t="s">
        <v>7987</v>
      </c>
      <c r="I445" s="35" t="s">
        <v>166</v>
      </c>
      <c r="J445" s="34">
        <v>9775477549</v>
      </c>
      <c r="K445" s="34" t="s">
        <v>166</v>
      </c>
      <c r="L445" s="34">
        <v>9775477549</v>
      </c>
      <c r="M445" s="34"/>
      <c r="N445" s="17"/>
      <c r="O445" s="17"/>
      <c r="P445" s="17"/>
      <c r="Q445" s="17"/>
      <c r="R445" s="17"/>
      <c r="S445" s="17"/>
      <c r="T445" s="17"/>
      <c r="U445" s="17"/>
      <c r="V445" s="17" t="s">
        <v>7991</v>
      </c>
      <c r="W445" s="17" t="s">
        <v>8342</v>
      </c>
      <c r="X445" s="17">
        <v>5</v>
      </c>
      <c r="Y445" s="17"/>
      <c r="Z445" s="17"/>
      <c r="AA445" s="17"/>
      <c r="AB445" s="17"/>
      <c r="AC445" s="17"/>
      <c r="AD445" s="17"/>
      <c r="AE445" s="17"/>
      <c r="AF445" s="17"/>
      <c r="AG445" s="17"/>
      <c r="AH445" s="17"/>
      <c r="AI445" s="17"/>
    </row>
    <row r="446" hidden="1">
      <c r="A446" s="34">
        <f t="shared" si="9"/>
        <v>445</v>
      </c>
      <c r="B446" s="35" t="s">
        <v>52</v>
      </c>
      <c r="C446" s="34" t="s">
        <v>3755</v>
      </c>
      <c r="D446" s="34" t="s">
        <v>8343</v>
      </c>
      <c r="E446" s="34">
        <v>22.32526</v>
      </c>
      <c r="F446" s="34">
        <v>87.718549999999993</v>
      </c>
      <c r="G446" s="34" t="s">
        <v>7954</v>
      </c>
      <c r="H446" s="34" t="s">
        <v>7987</v>
      </c>
      <c r="I446" s="35" t="s">
        <v>166</v>
      </c>
      <c r="J446" s="34">
        <v>9775477549</v>
      </c>
      <c r="K446" s="34" t="s">
        <v>166</v>
      </c>
      <c r="L446" s="34">
        <v>9775477549</v>
      </c>
      <c r="M446" s="34"/>
      <c r="N446" s="17"/>
      <c r="O446" s="17"/>
      <c r="P446" s="17"/>
      <c r="Q446" s="17"/>
      <c r="R446" s="17"/>
      <c r="S446" s="17"/>
      <c r="T446" s="17"/>
      <c r="U446" s="17"/>
      <c r="V446" s="17"/>
      <c r="W446" s="17"/>
      <c r="X446" s="17"/>
      <c r="Y446" s="17" t="s">
        <v>7991</v>
      </c>
      <c r="Z446" s="17" t="s">
        <v>8000</v>
      </c>
      <c r="AA446" s="17" t="s">
        <v>8344</v>
      </c>
      <c r="AB446" s="17" t="s">
        <v>8280</v>
      </c>
      <c r="AC446" s="17"/>
      <c r="AD446" s="17"/>
      <c r="AE446" s="17"/>
      <c r="AF446" s="17"/>
      <c r="AG446" s="17"/>
      <c r="AH446" s="17"/>
      <c r="AI446" s="17"/>
    </row>
    <row r="447" hidden="1">
      <c r="A447" s="34">
        <f t="shared" si="9"/>
        <v>446</v>
      </c>
      <c r="B447" s="35" t="s">
        <v>52</v>
      </c>
      <c r="C447" s="34" t="s">
        <v>3758</v>
      </c>
      <c r="D447" s="34" t="s">
        <v>8345</v>
      </c>
      <c r="E447" s="34">
        <v>22.303922</v>
      </c>
      <c r="F447" s="34">
        <v>87.553340000000006</v>
      </c>
      <c r="G447" s="34" t="s">
        <v>7954</v>
      </c>
      <c r="H447" s="34" t="s">
        <v>7987</v>
      </c>
      <c r="I447" s="35" t="s">
        <v>2680</v>
      </c>
      <c r="J447" s="34">
        <v>7797440223</v>
      </c>
      <c r="K447" s="34" t="s">
        <v>2680</v>
      </c>
      <c r="L447" s="34">
        <v>7797440223</v>
      </c>
      <c r="M447" s="34"/>
      <c r="N447" s="17"/>
      <c r="O447" s="17"/>
      <c r="P447" s="17"/>
      <c r="Q447" s="17"/>
      <c r="R447" s="17"/>
      <c r="S447" s="17"/>
      <c r="T447" s="17"/>
      <c r="U447" s="17"/>
      <c r="V447" s="17"/>
      <c r="W447" s="17"/>
      <c r="X447" s="17"/>
      <c r="Y447" s="17"/>
      <c r="Z447" s="17"/>
      <c r="AA447" s="17"/>
      <c r="AB447" s="17"/>
      <c r="AC447" s="17"/>
      <c r="AD447" s="17"/>
      <c r="AE447" s="17"/>
      <c r="AF447" s="17"/>
      <c r="AG447" s="17"/>
      <c r="AH447" s="17"/>
      <c r="AI447" s="17"/>
    </row>
    <row r="448" hidden="1">
      <c r="A448" s="34">
        <f t="shared" si="9"/>
        <v>447</v>
      </c>
      <c r="B448" s="35" t="s">
        <v>52</v>
      </c>
      <c r="C448" s="34" t="s">
        <v>3761</v>
      </c>
      <c r="D448" s="34" t="s">
        <v>8346</v>
      </c>
      <c r="E448" s="34">
        <v>22.298817</v>
      </c>
      <c r="F448" s="34">
        <v>87.676349999999999</v>
      </c>
      <c r="G448" s="34" t="s">
        <v>7956</v>
      </c>
      <c r="H448" s="34" t="s">
        <v>7987</v>
      </c>
      <c r="I448" s="35" t="s">
        <v>166</v>
      </c>
      <c r="J448" s="34">
        <v>9775477549</v>
      </c>
      <c r="K448" s="34" t="s">
        <v>166</v>
      </c>
      <c r="L448" s="34">
        <v>9775477549</v>
      </c>
      <c r="M448" s="34"/>
      <c r="N448" s="17"/>
      <c r="O448" s="17"/>
      <c r="P448" s="17"/>
      <c r="Q448" s="17"/>
      <c r="R448" s="17"/>
      <c r="S448" s="17"/>
      <c r="T448" s="17"/>
      <c r="U448" s="17"/>
      <c r="V448" s="17"/>
      <c r="W448" s="17"/>
      <c r="X448" s="17"/>
      <c r="Y448" s="17"/>
      <c r="Z448" s="17"/>
      <c r="AA448" s="17"/>
      <c r="AB448" s="17"/>
      <c r="AC448" s="17"/>
      <c r="AD448" s="17"/>
      <c r="AE448" s="17"/>
      <c r="AF448" s="17"/>
      <c r="AG448" s="17"/>
      <c r="AH448" s="17"/>
      <c r="AI448" s="17"/>
    </row>
    <row r="449" hidden="1">
      <c r="A449" s="34">
        <f t="shared" si="9"/>
        <v>448</v>
      </c>
      <c r="B449" s="35" t="s">
        <v>52</v>
      </c>
      <c r="C449" s="34" t="s">
        <v>3764</v>
      </c>
      <c r="D449" s="34" t="s">
        <v>8347</v>
      </c>
      <c r="E449" s="34">
        <v>22.256947</v>
      </c>
      <c r="F449" s="34">
        <v>87.657839999999993</v>
      </c>
      <c r="G449" s="34" t="s">
        <v>7956</v>
      </c>
      <c r="H449" s="34" t="s">
        <v>7987</v>
      </c>
      <c r="I449" s="35" t="s">
        <v>2680</v>
      </c>
      <c r="J449" s="34">
        <v>7797440223</v>
      </c>
      <c r="K449" s="34" t="s">
        <v>2680</v>
      </c>
      <c r="L449" s="34">
        <v>7797440223</v>
      </c>
      <c r="M449" s="34"/>
      <c r="N449" s="17"/>
      <c r="O449" s="17"/>
      <c r="P449" s="17"/>
      <c r="Q449" s="17"/>
      <c r="R449" s="17"/>
      <c r="S449" s="17"/>
      <c r="T449" s="17"/>
      <c r="U449" s="17"/>
      <c r="V449" s="17"/>
      <c r="W449" s="17"/>
      <c r="X449" s="17"/>
      <c r="Y449" s="17"/>
      <c r="Z449" s="17"/>
      <c r="AA449" s="17"/>
      <c r="AB449" s="17"/>
      <c r="AC449" s="17"/>
      <c r="AD449" s="17"/>
      <c r="AE449" s="17"/>
      <c r="AF449" s="17"/>
      <c r="AG449" s="17"/>
      <c r="AH449" s="17"/>
      <c r="AI449" s="17"/>
    </row>
    <row r="450" hidden="1">
      <c r="A450" s="34">
        <f t="shared" si="9"/>
        <v>449</v>
      </c>
      <c r="B450" s="35" t="s">
        <v>52</v>
      </c>
      <c r="C450" s="34" t="s">
        <v>3766</v>
      </c>
      <c r="D450" s="34" t="s">
        <v>8348</v>
      </c>
      <c r="E450" s="34">
        <v>22.293885</v>
      </c>
      <c r="F450" s="34">
        <v>87.503707000000006</v>
      </c>
      <c r="G450" s="34" t="s">
        <v>7956</v>
      </c>
      <c r="H450" s="34" t="s">
        <v>8009</v>
      </c>
      <c r="I450" s="35" t="s">
        <v>2680</v>
      </c>
      <c r="J450" s="34">
        <v>7797440223</v>
      </c>
      <c r="K450" s="34" t="s">
        <v>2680</v>
      </c>
      <c r="L450" s="34">
        <v>7797440223</v>
      </c>
      <c r="M450" s="34"/>
      <c r="N450" s="17"/>
      <c r="O450" s="17"/>
      <c r="P450" s="17"/>
      <c r="Q450" s="17"/>
      <c r="R450" s="17"/>
      <c r="S450" s="17"/>
      <c r="T450" s="17"/>
      <c r="U450" s="17"/>
      <c r="V450" s="17"/>
      <c r="W450" s="17"/>
      <c r="X450" s="17"/>
      <c r="Y450" s="17"/>
      <c r="Z450" s="17"/>
      <c r="AA450" s="17"/>
      <c r="AB450" s="17"/>
      <c r="AC450" s="17"/>
      <c r="AD450" s="17"/>
      <c r="AE450" s="17"/>
      <c r="AF450" s="17"/>
      <c r="AG450" s="17"/>
      <c r="AH450" s="17"/>
      <c r="AI450" s="17"/>
    </row>
    <row r="451" hidden="1">
      <c r="A451" s="34">
        <f t="shared" ref="A451:A465" si="10">A450+1</f>
        <v>450</v>
      </c>
      <c r="B451" s="35" t="s">
        <v>52</v>
      </c>
      <c r="C451" s="34" t="s">
        <v>3771</v>
      </c>
      <c r="D451" s="34" t="s">
        <v>3772</v>
      </c>
      <c r="E451" s="34">
        <v>22.278711999999999</v>
      </c>
      <c r="F451" s="34">
        <v>87.549221000000003</v>
      </c>
      <c r="G451" s="34" t="s">
        <v>8104</v>
      </c>
      <c r="H451" s="34" t="s">
        <v>7987</v>
      </c>
      <c r="I451" s="35" t="s">
        <v>2680</v>
      </c>
      <c r="J451" s="34">
        <v>7797440223</v>
      </c>
      <c r="K451" s="34" t="s">
        <v>2680</v>
      </c>
      <c r="L451" s="34">
        <v>7797440223</v>
      </c>
      <c r="M451" s="34"/>
      <c r="N451" s="17"/>
      <c r="O451" s="17"/>
      <c r="P451" s="17"/>
      <c r="Q451" s="17"/>
      <c r="R451" s="17"/>
      <c r="S451" s="17"/>
      <c r="T451" s="17"/>
      <c r="U451" s="17"/>
      <c r="V451" s="17"/>
      <c r="W451" s="17"/>
      <c r="X451" s="17"/>
      <c r="Y451" s="17"/>
      <c r="Z451" s="17"/>
      <c r="AA451" s="17"/>
      <c r="AB451" s="17"/>
      <c r="AC451" s="17"/>
      <c r="AD451" s="17"/>
      <c r="AE451" s="17"/>
      <c r="AF451" s="17"/>
      <c r="AG451" s="17"/>
      <c r="AH451" s="17"/>
      <c r="AI451" s="17"/>
    </row>
    <row r="452" hidden="1">
      <c r="A452" s="34">
        <f t="shared" si="10"/>
        <v>451</v>
      </c>
      <c r="B452" s="35" t="s">
        <v>52</v>
      </c>
      <c r="C452" s="34" t="s">
        <v>3774</v>
      </c>
      <c r="D452" s="34" t="s">
        <v>8349</v>
      </c>
      <c r="E452" s="34">
        <v>22.318776</v>
      </c>
      <c r="F452" s="34">
        <v>87.661141000000001</v>
      </c>
      <c r="G452" s="34" t="s">
        <v>7956</v>
      </c>
      <c r="H452" s="34" t="s">
        <v>7987</v>
      </c>
      <c r="I452" s="35" t="s">
        <v>1579</v>
      </c>
      <c r="J452" s="34">
        <v>7003188299</v>
      </c>
      <c r="K452" s="34" t="s">
        <v>1579</v>
      </c>
      <c r="L452" s="34">
        <v>7003188299</v>
      </c>
      <c r="M452" s="34"/>
      <c r="N452" s="17"/>
      <c r="O452" s="17"/>
      <c r="P452" s="17"/>
      <c r="Q452" s="17"/>
      <c r="R452" s="17"/>
      <c r="S452" s="17"/>
      <c r="T452" s="17"/>
      <c r="U452" s="17"/>
      <c r="V452" s="17"/>
      <c r="W452" s="17"/>
      <c r="X452" s="17"/>
      <c r="Y452" s="17"/>
      <c r="Z452" s="17"/>
      <c r="AA452" s="17"/>
      <c r="AB452" s="17"/>
      <c r="AC452" s="17"/>
      <c r="AD452" s="17"/>
      <c r="AE452" s="17"/>
      <c r="AF452" s="17"/>
      <c r="AG452" s="17"/>
      <c r="AH452" s="17"/>
      <c r="AI452" s="17"/>
    </row>
    <row r="453" hidden="1">
      <c r="A453" s="34">
        <f t="shared" si="10"/>
        <v>452</v>
      </c>
      <c r="B453" s="35" t="s">
        <v>52</v>
      </c>
      <c r="C453" s="34" t="s">
        <v>3777</v>
      </c>
      <c r="D453" s="34" t="s">
        <v>8350</v>
      </c>
      <c r="E453" s="34">
        <v>22.236243999999999</v>
      </c>
      <c r="F453" s="34">
        <v>87.543225000000007</v>
      </c>
      <c r="G453" s="34" t="s">
        <v>7956</v>
      </c>
      <c r="H453" s="34" t="s">
        <v>7987</v>
      </c>
      <c r="I453" s="35" t="s">
        <v>2680</v>
      </c>
      <c r="J453" s="34">
        <v>7797440223</v>
      </c>
      <c r="K453" s="34" t="s">
        <v>2680</v>
      </c>
      <c r="L453" s="34">
        <v>7797440223</v>
      </c>
      <c r="M453" s="34"/>
      <c r="N453" s="17"/>
      <c r="O453" s="17"/>
      <c r="P453" s="17"/>
      <c r="Q453" s="17"/>
      <c r="R453" s="17"/>
      <c r="S453" s="17"/>
      <c r="T453" s="17"/>
      <c r="U453" s="17"/>
      <c r="V453" s="17"/>
      <c r="W453" s="17"/>
      <c r="X453" s="17"/>
      <c r="Y453" s="17"/>
      <c r="Z453" s="17"/>
      <c r="AA453" s="17"/>
      <c r="AB453" s="17"/>
      <c r="AC453" s="17"/>
      <c r="AD453" s="17"/>
      <c r="AE453" s="17"/>
      <c r="AF453" s="17"/>
      <c r="AG453" s="17"/>
      <c r="AH453" s="17"/>
      <c r="AI453" s="17"/>
    </row>
    <row r="454" hidden="1">
      <c r="A454" s="34">
        <f t="shared" si="10"/>
        <v>453</v>
      </c>
      <c r="B454" s="35" t="s">
        <v>52</v>
      </c>
      <c r="C454" s="34" t="s">
        <v>3780</v>
      </c>
      <c r="D454" s="34" t="s">
        <v>3781</v>
      </c>
      <c r="E454" s="34">
        <v>22.232811000000002</v>
      </c>
      <c r="F454" s="34">
        <v>87.588125000000005</v>
      </c>
      <c r="G454" s="34" t="s">
        <v>7956</v>
      </c>
      <c r="H454" s="34" t="s">
        <v>7987</v>
      </c>
      <c r="I454" s="35" t="s">
        <v>2680</v>
      </c>
      <c r="J454" s="34">
        <v>7797440223</v>
      </c>
      <c r="K454" s="34" t="s">
        <v>2680</v>
      </c>
      <c r="L454" s="34">
        <v>7797440223</v>
      </c>
      <c r="M454" s="34"/>
      <c r="N454" s="17"/>
      <c r="O454" s="17"/>
      <c r="P454" s="17"/>
      <c r="Q454" s="17"/>
      <c r="R454" s="17"/>
      <c r="S454" s="17"/>
      <c r="T454" s="17"/>
      <c r="U454" s="17"/>
      <c r="V454" s="17"/>
      <c r="W454" s="17"/>
      <c r="X454" s="17"/>
      <c r="Y454" s="17"/>
      <c r="Z454" s="17"/>
      <c r="AA454" s="17"/>
      <c r="AB454" s="17"/>
      <c r="AC454" s="17"/>
      <c r="AD454" s="17"/>
      <c r="AE454" s="17"/>
      <c r="AF454" s="17"/>
      <c r="AG454" s="17"/>
      <c r="AH454" s="17"/>
      <c r="AI454" s="17"/>
    </row>
    <row r="455" hidden="1">
      <c r="A455" s="34">
        <f t="shared" si="10"/>
        <v>454</v>
      </c>
      <c r="B455" s="35" t="s">
        <v>52</v>
      </c>
      <c r="C455" s="34" t="s">
        <v>3783</v>
      </c>
      <c r="D455" s="34" t="s">
        <v>8351</v>
      </c>
      <c r="E455" s="34">
        <v>22.256</v>
      </c>
      <c r="F455" s="34">
        <v>87.565754999999996</v>
      </c>
      <c r="G455" s="34" t="s">
        <v>7956</v>
      </c>
      <c r="H455" s="34" t="s">
        <v>7987</v>
      </c>
      <c r="I455" s="35" t="s">
        <v>2680</v>
      </c>
      <c r="J455" s="34">
        <v>7797440223</v>
      </c>
      <c r="K455" s="34" t="s">
        <v>2680</v>
      </c>
      <c r="L455" s="34">
        <v>7797440223</v>
      </c>
      <c r="M455" s="34"/>
      <c r="N455" s="17"/>
      <c r="O455" s="17"/>
      <c r="P455" s="17"/>
      <c r="Q455" s="17"/>
      <c r="R455" s="17"/>
      <c r="S455" s="17"/>
      <c r="T455" s="17"/>
      <c r="U455" s="17"/>
      <c r="V455" s="17"/>
      <c r="W455" s="17"/>
      <c r="X455" s="17"/>
      <c r="Y455" s="17"/>
      <c r="Z455" s="17"/>
      <c r="AA455" s="17"/>
      <c r="AB455" s="17"/>
      <c r="AC455" s="17"/>
      <c r="AD455" s="17"/>
      <c r="AE455" s="17"/>
      <c r="AF455" s="17"/>
      <c r="AG455" s="17"/>
      <c r="AH455" s="17"/>
      <c r="AI455" s="17"/>
    </row>
    <row r="456" hidden="1">
      <c r="A456" s="34">
        <f t="shared" si="10"/>
        <v>455</v>
      </c>
      <c r="B456" s="35" t="s">
        <v>52</v>
      </c>
      <c r="C456" s="34" t="s">
        <v>3785</v>
      </c>
      <c r="D456" s="34" t="s">
        <v>3786</v>
      </c>
      <c r="E456" s="34">
        <v>22.271808</v>
      </c>
      <c r="F456" s="34">
        <v>87.670232999999996</v>
      </c>
      <c r="G456" s="34" t="s">
        <v>7956</v>
      </c>
      <c r="H456" s="34" t="s">
        <v>7987</v>
      </c>
      <c r="I456" s="35" t="s">
        <v>166</v>
      </c>
      <c r="J456" s="34">
        <v>9775477549</v>
      </c>
      <c r="K456" s="34" t="s">
        <v>166</v>
      </c>
      <c r="L456" s="34">
        <v>9775477549</v>
      </c>
      <c r="M456" s="34"/>
      <c r="N456" s="17"/>
      <c r="O456" s="17"/>
      <c r="P456" s="17"/>
      <c r="Q456" s="17"/>
      <c r="R456" s="17"/>
      <c r="S456" s="17"/>
      <c r="T456" s="17"/>
      <c r="U456" s="17"/>
      <c r="V456" s="17"/>
      <c r="W456" s="17"/>
      <c r="X456" s="17"/>
      <c r="Y456" s="17"/>
      <c r="Z456" s="17"/>
      <c r="AA456" s="17"/>
      <c r="AB456" s="17"/>
      <c r="AC456" s="17"/>
      <c r="AD456" s="17"/>
      <c r="AE456" s="17"/>
      <c r="AF456" s="17"/>
      <c r="AG456" s="17"/>
      <c r="AH456" s="17"/>
      <c r="AI456" s="17"/>
    </row>
    <row r="457" hidden="1">
      <c r="A457" s="34">
        <f t="shared" si="10"/>
        <v>456</v>
      </c>
      <c r="B457" s="35" t="s">
        <v>52</v>
      </c>
      <c r="C457" s="34" t="s">
        <v>3788</v>
      </c>
      <c r="D457" s="34" t="s">
        <v>3789</v>
      </c>
      <c r="E457" s="34">
        <v>22.277152999999998</v>
      </c>
      <c r="F457" s="34">
        <v>87.617625000000004</v>
      </c>
      <c r="G457" s="34" t="s">
        <v>7956</v>
      </c>
      <c r="H457" s="34" t="s">
        <v>7987</v>
      </c>
      <c r="I457" s="35" t="s">
        <v>2680</v>
      </c>
      <c r="J457" s="34">
        <v>7797440223</v>
      </c>
      <c r="K457" s="34" t="s">
        <v>2680</v>
      </c>
      <c r="L457" s="34">
        <v>7797440223</v>
      </c>
      <c r="M457" s="34"/>
      <c r="N457" s="17"/>
      <c r="O457" s="17"/>
      <c r="P457" s="17"/>
      <c r="Q457" s="17"/>
      <c r="R457" s="17"/>
      <c r="S457" s="17"/>
      <c r="T457" s="17"/>
      <c r="U457" s="17"/>
      <c r="V457" s="17"/>
      <c r="W457" s="17"/>
      <c r="X457" s="17"/>
      <c r="Y457" s="17"/>
      <c r="Z457" s="17"/>
      <c r="AA457" s="17"/>
      <c r="AB457" s="17"/>
      <c r="AC457" s="17"/>
      <c r="AD457" s="17"/>
      <c r="AE457" s="17"/>
      <c r="AF457" s="17"/>
      <c r="AG457" s="17"/>
      <c r="AH457" s="17"/>
      <c r="AI457" s="17"/>
    </row>
    <row r="458" hidden="1">
      <c r="A458" s="34">
        <f t="shared" si="10"/>
        <v>457</v>
      </c>
      <c r="B458" s="35" t="s">
        <v>52</v>
      </c>
      <c r="C458" s="34" t="s">
        <v>3791</v>
      </c>
      <c r="D458" s="34" t="s">
        <v>8352</v>
      </c>
      <c r="E458" s="34">
        <v>22.309239000000002</v>
      </c>
      <c r="F458" s="34">
        <v>87.523595999999998</v>
      </c>
      <c r="G458" s="34" t="s">
        <v>7956</v>
      </c>
      <c r="H458" s="34" t="s">
        <v>7987</v>
      </c>
      <c r="I458" s="35" t="s">
        <v>2680</v>
      </c>
      <c r="J458" s="34">
        <v>7797440223</v>
      </c>
      <c r="K458" s="34" t="s">
        <v>2680</v>
      </c>
      <c r="L458" s="34">
        <v>7797440223</v>
      </c>
      <c r="M458" s="34"/>
      <c r="N458" s="17"/>
      <c r="O458" s="17"/>
      <c r="P458" s="17"/>
      <c r="Q458" s="17"/>
      <c r="R458" s="17"/>
      <c r="S458" s="17"/>
      <c r="T458" s="17"/>
      <c r="U458" s="17"/>
      <c r="V458" s="17"/>
      <c r="W458" s="17"/>
      <c r="X458" s="17"/>
      <c r="Y458" s="17"/>
      <c r="Z458" s="17"/>
      <c r="AA458" s="17"/>
      <c r="AB458" s="17"/>
      <c r="AC458" s="17"/>
      <c r="AD458" s="17"/>
      <c r="AE458" s="17"/>
      <c r="AF458" s="17"/>
      <c r="AG458" s="17"/>
      <c r="AH458" s="17"/>
      <c r="AI458" s="17"/>
    </row>
    <row r="459" hidden="1">
      <c r="A459" s="34">
        <f t="shared" si="10"/>
        <v>458</v>
      </c>
      <c r="B459" s="35" t="s">
        <v>52</v>
      </c>
      <c r="C459" s="34" t="s">
        <v>3794</v>
      </c>
      <c r="D459" s="34" t="s">
        <v>8353</v>
      </c>
      <c r="E459" s="34">
        <v>22.311700999999999</v>
      </c>
      <c r="F459" s="34">
        <v>87.623113000000004</v>
      </c>
      <c r="G459" s="34" t="s">
        <v>7956</v>
      </c>
      <c r="H459" s="34" t="s">
        <v>7987</v>
      </c>
      <c r="I459" s="35" t="s">
        <v>1579</v>
      </c>
      <c r="J459" s="34">
        <v>7003188299</v>
      </c>
      <c r="K459" s="35" t="s">
        <v>1579</v>
      </c>
      <c r="L459" s="35">
        <v>7003188299</v>
      </c>
      <c r="M459" s="35"/>
      <c r="N459" s="17"/>
      <c r="O459" s="17"/>
      <c r="P459" s="17"/>
      <c r="Q459" s="17"/>
      <c r="R459" s="17"/>
      <c r="S459" s="17"/>
      <c r="T459" s="17"/>
      <c r="U459" s="17"/>
      <c r="V459" s="17"/>
      <c r="W459" s="17"/>
      <c r="X459" s="17"/>
      <c r="Y459" s="17"/>
      <c r="Z459" s="17"/>
      <c r="AA459" s="17"/>
      <c r="AB459" s="17"/>
      <c r="AC459" s="17"/>
      <c r="AD459" s="17"/>
      <c r="AE459" s="17"/>
      <c r="AF459" s="17"/>
      <c r="AG459" s="17"/>
      <c r="AH459" s="17"/>
      <c r="AI459" s="17"/>
    </row>
    <row r="460" hidden="1">
      <c r="A460" s="34">
        <f t="shared" si="10"/>
        <v>459</v>
      </c>
      <c r="B460" s="35" t="s">
        <v>52</v>
      </c>
      <c r="C460" s="34" t="s">
        <v>3796</v>
      </c>
      <c r="D460" s="34" t="s">
        <v>8354</v>
      </c>
      <c r="E460" s="34">
        <v>22.334886000000001</v>
      </c>
      <c r="F460" s="34">
        <v>87.331120999999996</v>
      </c>
      <c r="G460" s="34" t="s">
        <v>7954</v>
      </c>
      <c r="H460" s="34" t="s">
        <v>7987</v>
      </c>
      <c r="I460" s="34" t="s">
        <v>2824</v>
      </c>
      <c r="J460" s="34">
        <v>9262971230</v>
      </c>
      <c r="K460" s="35" t="s">
        <v>8115</v>
      </c>
      <c r="L460" s="35">
        <v>9046419785</v>
      </c>
      <c r="M460" s="35"/>
      <c r="N460" s="17"/>
      <c r="O460" s="17"/>
      <c r="P460" s="17"/>
      <c r="Q460" s="17"/>
      <c r="R460" s="17"/>
      <c r="S460" s="17"/>
      <c r="T460" s="17"/>
      <c r="U460" s="17"/>
      <c r="V460" s="17"/>
      <c r="W460" s="17"/>
      <c r="X460" s="17"/>
      <c r="Y460" s="17"/>
      <c r="Z460" s="17"/>
      <c r="AA460" s="17"/>
      <c r="AB460" s="17"/>
      <c r="AC460" s="17"/>
      <c r="AD460" s="17"/>
      <c r="AE460" s="17"/>
      <c r="AF460" s="17"/>
      <c r="AG460" s="17"/>
      <c r="AH460" s="17"/>
      <c r="AI460" s="17"/>
    </row>
    <row r="461" hidden="1">
      <c r="A461" s="34">
        <f t="shared" si="10"/>
        <v>460</v>
      </c>
      <c r="B461" s="35" t="s">
        <v>52</v>
      </c>
      <c r="C461" s="34" t="s">
        <v>3799</v>
      </c>
      <c r="D461" s="34" t="s">
        <v>8355</v>
      </c>
      <c r="E461" s="34">
        <v>22.342383999999999</v>
      </c>
      <c r="F461" s="34">
        <v>87.320420999999996</v>
      </c>
      <c r="G461" s="34" t="s">
        <v>7954</v>
      </c>
      <c r="H461" s="34" t="s">
        <v>7987</v>
      </c>
      <c r="I461" s="34" t="s">
        <v>2824</v>
      </c>
      <c r="J461" s="34">
        <v>9262971230</v>
      </c>
      <c r="K461" s="35" t="s">
        <v>8115</v>
      </c>
      <c r="L461" s="35">
        <v>9046419785</v>
      </c>
      <c r="M461" s="35"/>
      <c r="N461" s="17"/>
      <c r="O461" s="17"/>
      <c r="P461" s="17"/>
      <c r="Q461" s="17"/>
      <c r="R461" s="17"/>
      <c r="S461" s="17"/>
      <c r="T461" s="17"/>
      <c r="U461" s="17"/>
      <c r="V461" s="17"/>
      <c r="W461" s="17"/>
      <c r="X461" s="17"/>
      <c r="Y461" s="17"/>
      <c r="Z461" s="17"/>
      <c r="AA461" s="17"/>
      <c r="AB461" s="17"/>
      <c r="AC461" s="17"/>
      <c r="AD461" s="17"/>
      <c r="AE461" s="17"/>
      <c r="AF461" s="17"/>
      <c r="AG461" s="17"/>
      <c r="AH461" s="17"/>
      <c r="AI461" s="17"/>
    </row>
    <row r="462" hidden="1">
      <c r="A462" s="34">
        <f t="shared" si="10"/>
        <v>461</v>
      </c>
      <c r="B462" s="35" t="s">
        <v>52</v>
      </c>
      <c r="C462" s="34" t="s">
        <v>3802</v>
      </c>
      <c r="D462" s="34" t="s">
        <v>8356</v>
      </c>
      <c r="E462" s="34">
        <v>22.335175</v>
      </c>
      <c r="F462" s="34">
        <v>87.315951999999996</v>
      </c>
      <c r="G462" s="34" t="s">
        <v>7954</v>
      </c>
      <c r="H462" s="34" t="s">
        <v>7987</v>
      </c>
      <c r="I462" s="34" t="s">
        <v>2824</v>
      </c>
      <c r="J462" s="34">
        <v>9262971230</v>
      </c>
      <c r="K462" s="35" t="s">
        <v>8115</v>
      </c>
      <c r="L462" s="35">
        <v>9046419785</v>
      </c>
      <c r="M462" s="35"/>
      <c r="N462" s="17"/>
      <c r="O462" s="17"/>
      <c r="P462" s="17"/>
      <c r="Q462" s="17"/>
      <c r="R462" s="17"/>
      <c r="S462" s="17"/>
      <c r="T462" s="17"/>
      <c r="U462" s="17"/>
      <c r="V462" s="17"/>
      <c r="W462" s="17"/>
      <c r="X462" s="17"/>
      <c r="Y462" s="17"/>
      <c r="Z462" s="17"/>
      <c r="AA462" s="17"/>
      <c r="AB462" s="17"/>
      <c r="AC462" s="17"/>
      <c r="AD462" s="17"/>
      <c r="AE462" s="17"/>
      <c r="AF462" s="17"/>
      <c r="AG462" s="17"/>
      <c r="AH462" s="17"/>
      <c r="AI462" s="17"/>
    </row>
    <row r="463" hidden="1">
      <c r="A463" s="34">
        <f t="shared" si="10"/>
        <v>462</v>
      </c>
      <c r="B463" s="35" t="s">
        <v>52</v>
      </c>
      <c r="C463" s="34" t="s">
        <v>3804</v>
      </c>
      <c r="D463" s="34" t="s">
        <v>8357</v>
      </c>
      <c r="E463" s="34">
        <v>22.344808</v>
      </c>
      <c r="F463" s="34">
        <v>87.330871999999999</v>
      </c>
      <c r="G463" s="34" t="s">
        <v>7954</v>
      </c>
      <c r="H463" s="34" t="s">
        <v>7987</v>
      </c>
      <c r="I463" s="35" t="s">
        <v>2691</v>
      </c>
      <c r="J463" s="34">
        <v>6297992853</v>
      </c>
      <c r="K463" s="35" t="s">
        <v>8115</v>
      </c>
      <c r="L463" s="35">
        <v>9046419785</v>
      </c>
      <c r="M463" s="35"/>
      <c r="N463" s="17"/>
      <c r="O463" s="17"/>
      <c r="P463" s="17"/>
      <c r="Q463" s="17"/>
      <c r="R463" s="17"/>
      <c r="S463" s="17"/>
      <c r="T463" s="17"/>
      <c r="U463" s="17"/>
      <c r="V463" s="17"/>
      <c r="W463" s="17"/>
      <c r="X463" s="17"/>
      <c r="Y463" s="17"/>
      <c r="Z463" s="17"/>
      <c r="AA463" s="17"/>
      <c r="AB463" s="17"/>
      <c r="AC463" s="17"/>
      <c r="AD463" s="17"/>
      <c r="AE463" s="17"/>
      <c r="AF463" s="17"/>
      <c r="AG463" s="17"/>
      <c r="AH463" s="17"/>
      <c r="AI463" s="17"/>
    </row>
    <row r="464" hidden="1">
      <c r="A464" s="34">
        <f t="shared" si="10"/>
        <v>463</v>
      </c>
      <c r="B464" s="35" t="s">
        <v>52</v>
      </c>
      <c r="C464" s="34" t="s">
        <v>3806</v>
      </c>
      <c r="D464" s="34" t="s">
        <v>8358</v>
      </c>
      <c r="E464" s="34">
        <v>22.339960000000001</v>
      </c>
      <c r="F464" s="34">
        <v>87.310299999999998</v>
      </c>
      <c r="G464" s="34" t="s">
        <v>7954</v>
      </c>
      <c r="H464" s="34" t="s">
        <v>7987</v>
      </c>
      <c r="I464" s="34" t="s">
        <v>2824</v>
      </c>
      <c r="J464" s="34">
        <v>9262971230</v>
      </c>
      <c r="K464" s="34" t="s">
        <v>8144</v>
      </c>
      <c r="L464" s="34">
        <v>8967916588</v>
      </c>
      <c r="M464" s="34"/>
      <c r="N464" s="17"/>
      <c r="O464" s="17"/>
      <c r="P464" s="17"/>
      <c r="Q464" s="17"/>
      <c r="R464" s="17"/>
      <c r="S464" s="17"/>
      <c r="T464" s="17"/>
      <c r="U464" s="17"/>
      <c r="V464" s="17"/>
      <c r="W464" s="17"/>
      <c r="X464" s="17"/>
      <c r="Y464" s="17"/>
      <c r="Z464" s="17"/>
      <c r="AA464" s="17"/>
      <c r="AB464" s="17"/>
      <c r="AC464" s="17"/>
      <c r="AD464" s="17"/>
      <c r="AE464" s="17"/>
      <c r="AF464" s="17"/>
      <c r="AG464" s="17"/>
      <c r="AH464" s="17"/>
      <c r="AI464" s="17"/>
    </row>
    <row r="465" hidden="1">
      <c r="A465" s="34">
        <f t="shared" si="10"/>
        <v>464</v>
      </c>
      <c r="B465" s="35" t="s">
        <v>52</v>
      </c>
      <c r="C465" s="34" t="s">
        <v>3809</v>
      </c>
      <c r="D465" s="34" t="s">
        <v>8359</v>
      </c>
      <c r="E465" s="34">
        <v>22.339122</v>
      </c>
      <c r="F465" s="34">
        <v>87.279032000000001</v>
      </c>
      <c r="G465" s="34" t="s">
        <v>7954</v>
      </c>
      <c r="H465" s="34" t="s">
        <v>7987</v>
      </c>
      <c r="I465" s="34" t="s">
        <v>2824</v>
      </c>
      <c r="J465" s="34">
        <v>9262971230</v>
      </c>
      <c r="K465" s="34" t="s">
        <v>8144</v>
      </c>
      <c r="L465" s="34">
        <v>8967916588</v>
      </c>
      <c r="M465" s="34"/>
      <c r="N465" s="17"/>
      <c r="O465" s="17"/>
      <c r="P465" s="17"/>
      <c r="Q465" s="17"/>
      <c r="R465" s="17"/>
      <c r="S465" s="17"/>
      <c r="T465" s="17"/>
      <c r="U465" s="17"/>
      <c r="V465" s="17"/>
      <c r="W465" s="17"/>
      <c r="X465" s="17"/>
      <c r="Y465" s="17"/>
      <c r="Z465" s="17"/>
      <c r="AA465" s="17"/>
      <c r="AB465" s="17"/>
      <c r="AC465" s="17"/>
      <c r="AD465" s="17"/>
      <c r="AE465" s="17"/>
      <c r="AF465" s="17"/>
      <c r="AG465" s="17"/>
      <c r="AH465" s="17"/>
      <c r="AI465" s="17"/>
    </row>
    <row r="466" hidden="1">
      <c r="A466" s="17"/>
      <c r="B466" s="35" t="s">
        <v>52</v>
      </c>
      <c r="C466" s="41" t="s">
        <v>3811</v>
      </c>
      <c r="D466" s="41" t="s">
        <v>8360</v>
      </c>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row>
    <row r="467" hidden="1">
      <c r="A467" s="17"/>
      <c r="B467" s="35" t="s">
        <v>52</v>
      </c>
      <c r="C467" s="41" t="s">
        <v>3812</v>
      </c>
      <c r="D467" s="41" t="s">
        <v>8361</v>
      </c>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row>
    <row r="468" hidden="1">
      <c r="A468" s="17"/>
      <c r="B468" s="35" t="s">
        <v>52</v>
      </c>
      <c r="C468" s="41" t="s">
        <v>3813</v>
      </c>
      <c r="D468" s="41" t="s">
        <v>8362</v>
      </c>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row>
    <row r="469" hidden="1">
      <c r="A469" s="17"/>
      <c r="B469" s="35" t="s">
        <v>52</v>
      </c>
      <c r="C469" s="41" t="s">
        <v>3814</v>
      </c>
      <c r="D469" s="41" t="s">
        <v>8010</v>
      </c>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row>
    <row r="470" hidden="1">
      <c r="A470" s="17"/>
      <c r="B470" s="35" t="s">
        <v>52</v>
      </c>
      <c r="C470" s="41" t="s">
        <v>3815</v>
      </c>
      <c r="D470" s="41" t="s">
        <v>8363</v>
      </c>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row>
    <row r="471" hidden="1">
      <c r="A471" s="17"/>
      <c r="B471" s="35" t="s">
        <v>52</v>
      </c>
      <c r="C471" s="41" t="s">
        <v>3816</v>
      </c>
      <c r="D471" s="41" t="s">
        <v>8364</v>
      </c>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row>
    <row r="472" hidden="1">
      <c r="A472" s="17"/>
      <c r="B472" s="35" t="s">
        <v>52</v>
      </c>
      <c r="C472" s="41" t="s">
        <v>3817</v>
      </c>
      <c r="D472" s="41" t="s">
        <v>8365</v>
      </c>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row>
    <row r="473" hidden="1">
      <c r="A473" s="17"/>
      <c r="B473" s="35" t="s">
        <v>52</v>
      </c>
      <c r="C473" s="41" t="s">
        <v>3818</v>
      </c>
      <c r="D473" s="41" t="s">
        <v>8366</v>
      </c>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row>
    <row r="474" hidden="1">
      <c r="A474" s="17"/>
      <c r="B474" s="35" t="s">
        <v>52</v>
      </c>
      <c r="C474" s="41" t="s">
        <v>3819</v>
      </c>
      <c r="D474" s="41" t="s">
        <v>8367</v>
      </c>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row>
    <row r="475" hidden="1">
      <c r="A475" s="17"/>
      <c r="B475" s="35" t="s">
        <v>52</v>
      </c>
      <c r="C475" s="41" t="s">
        <v>3820</v>
      </c>
      <c r="D475" s="41" t="s">
        <v>8368</v>
      </c>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row>
    <row r="476" hidden="1">
      <c r="A476" s="17"/>
      <c r="B476" s="35" t="s">
        <v>52</v>
      </c>
      <c r="C476" s="41" t="s">
        <v>3821</v>
      </c>
      <c r="D476" s="41" t="s">
        <v>8369</v>
      </c>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row>
    <row r="477" hidden="1">
      <c r="A477" s="17"/>
      <c r="B477" s="35" t="s">
        <v>52</v>
      </c>
      <c r="C477" s="41" t="s">
        <v>3822</v>
      </c>
      <c r="D477" s="41" t="s">
        <v>8370</v>
      </c>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row>
    <row r="478" hidden="1">
      <c r="A478" s="17"/>
      <c r="B478" s="35" t="s">
        <v>52</v>
      </c>
      <c r="C478" s="41" t="s">
        <v>3823</v>
      </c>
      <c r="D478" s="41" t="s">
        <v>8371</v>
      </c>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row>
    <row r="479" hidden="1">
      <c r="A479" s="17"/>
      <c r="B479" s="35" t="s">
        <v>52</v>
      </c>
      <c r="C479" s="41" t="s">
        <v>3824</v>
      </c>
      <c r="D479" s="41" t="s">
        <v>8372</v>
      </c>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row>
    <row r="480" hidden="1">
      <c r="A480" s="17"/>
      <c r="B480" s="35" t="s">
        <v>52</v>
      </c>
      <c r="C480" s="41" t="s">
        <v>3825</v>
      </c>
      <c r="D480" s="41" t="s">
        <v>8373</v>
      </c>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row>
    <row r="481" hidden="1">
      <c r="A481" s="17"/>
      <c r="B481" s="35" t="s">
        <v>52</v>
      </c>
      <c r="C481" s="41" t="s">
        <v>3826</v>
      </c>
      <c r="D481" s="41" t="s">
        <v>8374</v>
      </c>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row>
    <row r="482" hidden="1">
      <c r="A482" s="17"/>
      <c r="B482" s="35" t="s">
        <v>52</v>
      </c>
      <c r="C482" s="41" t="s">
        <v>3827</v>
      </c>
      <c r="D482" s="41" t="s">
        <v>8375</v>
      </c>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row>
    <row r="483" hidden="1">
      <c r="A483" s="17"/>
      <c r="B483" s="35" t="s">
        <v>52</v>
      </c>
      <c r="C483" s="41" t="s">
        <v>3828</v>
      </c>
      <c r="D483" s="41" t="s">
        <v>8376</v>
      </c>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row>
    <row r="484" hidden="1">
      <c r="A484" s="17"/>
      <c r="B484" s="35" t="s">
        <v>52</v>
      </c>
      <c r="C484" s="41" t="s">
        <v>3829</v>
      </c>
      <c r="D484" s="41" t="s">
        <v>8377</v>
      </c>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row>
    <row r="485" hidden="1">
      <c r="A485" s="17"/>
      <c r="B485" s="35" t="s">
        <v>52</v>
      </c>
      <c r="C485" s="41" t="s">
        <v>3830</v>
      </c>
      <c r="D485" s="41" t="s">
        <v>8378</v>
      </c>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row>
    <row r="486" hidden="1">
      <c r="A486" s="17"/>
      <c r="B486" s="35" t="s">
        <v>52</v>
      </c>
      <c r="C486" s="41" t="s">
        <v>3831</v>
      </c>
      <c r="D486" s="41" t="s">
        <v>8379</v>
      </c>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row>
    <row r="487" hidden="1">
      <c r="A487" s="17"/>
      <c r="B487" s="35" t="s">
        <v>52</v>
      </c>
      <c r="C487" s="41" t="s">
        <v>3832</v>
      </c>
      <c r="D487" s="41" t="s">
        <v>8380</v>
      </c>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row>
    <row r="488" hidden="1">
      <c r="A488" s="17"/>
      <c r="B488" s="35" t="s">
        <v>52</v>
      </c>
      <c r="C488" s="41" t="s">
        <v>3833</v>
      </c>
      <c r="D488" s="41" t="s">
        <v>8381</v>
      </c>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row>
    <row r="489" hidden="1">
      <c r="A489" s="17"/>
      <c r="B489" s="35" t="s">
        <v>52</v>
      </c>
      <c r="C489" s="41" t="s">
        <v>3834</v>
      </c>
      <c r="D489" s="41" t="s">
        <v>8382</v>
      </c>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row>
    <row r="490" hidden="1">
      <c r="A490" s="17"/>
      <c r="B490" s="35" t="s">
        <v>52</v>
      </c>
      <c r="C490" s="41" t="s">
        <v>3835</v>
      </c>
      <c r="D490" s="41" t="s">
        <v>8383</v>
      </c>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row>
    <row r="491" hidden="1">
      <c r="A491" s="17"/>
      <c r="B491" s="35" t="s">
        <v>52</v>
      </c>
      <c r="C491" s="41" t="s">
        <v>3836</v>
      </c>
      <c r="D491" s="41" t="s">
        <v>8384</v>
      </c>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row>
    <row r="492" hidden="1">
      <c r="A492" s="17"/>
      <c r="B492" s="35" t="s">
        <v>52</v>
      </c>
      <c r="C492" s="41" t="s">
        <v>3837</v>
      </c>
      <c r="D492" s="41" t="s">
        <v>8370</v>
      </c>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row>
    <row r="493" hidden="1">
      <c r="A493" s="17"/>
      <c r="B493" s="35" t="s">
        <v>52</v>
      </c>
      <c r="C493" s="41" t="s">
        <v>3838</v>
      </c>
      <c r="D493" s="41" t="s">
        <v>8385</v>
      </c>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row>
    <row r="494" hidden="1">
      <c r="A494" s="17"/>
      <c r="B494" s="35" t="s">
        <v>52</v>
      </c>
      <c r="C494" s="41" t="s">
        <v>3839</v>
      </c>
      <c r="D494" s="41" t="s">
        <v>8386</v>
      </c>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row>
    <row r="495" hidden="1">
      <c r="A495" s="17"/>
      <c r="B495" s="35" t="s">
        <v>52</v>
      </c>
      <c r="C495" s="41" t="s">
        <v>3840</v>
      </c>
      <c r="D495" s="41" t="s">
        <v>8387</v>
      </c>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row>
    <row r="496" hidden="1">
      <c r="A496" s="17"/>
      <c r="B496" s="35" t="s">
        <v>52</v>
      </c>
      <c r="C496" s="41" t="s">
        <v>3841</v>
      </c>
      <c r="D496" s="41" t="s">
        <v>8388</v>
      </c>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row>
    <row r="497" hidden="1">
      <c r="A497" s="17"/>
      <c r="B497" s="35" t="s">
        <v>52</v>
      </c>
      <c r="C497" s="41" t="s">
        <v>3842</v>
      </c>
      <c r="D497" s="41" t="s">
        <v>8374</v>
      </c>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row>
    <row r="498" hidden="1">
      <c r="A498" s="17"/>
      <c r="B498" s="35" t="s">
        <v>52</v>
      </c>
      <c r="C498" s="41" t="s">
        <v>3843</v>
      </c>
      <c r="D498" s="41" t="s">
        <v>8389</v>
      </c>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row>
    <row r="499" hidden="1">
      <c r="A499" s="17"/>
      <c r="B499" s="35" t="s">
        <v>52</v>
      </c>
      <c r="C499" s="41" t="s">
        <v>3844</v>
      </c>
      <c r="D499" s="41" t="s">
        <v>8390</v>
      </c>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row>
    <row r="500" hidden="1">
      <c r="A500" s="17"/>
      <c r="B500" s="35" t="s">
        <v>52</v>
      </c>
      <c r="C500" s="41" t="s">
        <v>3845</v>
      </c>
      <c r="D500" s="41" t="s">
        <v>8391</v>
      </c>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row>
    <row r="501" hidden="1">
      <c r="A501" s="17"/>
      <c r="B501" s="35" t="s">
        <v>52</v>
      </c>
      <c r="C501" s="41" t="s">
        <v>3846</v>
      </c>
      <c r="D501" s="41" t="s">
        <v>8392</v>
      </c>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row>
    <row r="502" hidden="1">
      <c r="A502" s="17"/>
      <c r="B502" s="35" t="s">
        <v>52</v>
      </c>
      <c r="C502" s="41" t="s">
        <v>3847</v>
      </c>
      <c r="D502" s="41" t="s">
        <v>8393</v>
      </c>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row>
    <row r="503" hidden="1">
      <c r="A503" s="17"/>
      <c r="B503" s="35" t="s">
        <v>52</v>
      </c>
      <c r="C503" s="41" t="s">
        <v>3848</v>
      </c>
      <c r="D503" s="41" t="s">
        <v>8394</v>
      </c>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row>
    <row r="504" hidden="1">
      <c r="A504" s="17"/>
      <c r="B504" s="35" t="s">
        <v>52</v>
      </c>
      <c r="C504" s="41" t="s">
        <v>3849</v>
      </c>
      <c r="D504" s="41" t="s">
        <v>8395</v>
      </c>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row>
    <row r="505" hidden="1">
      <c r="A505" s="17"/>
      <c r="B505" s="35" t="s">
        <v>52</v>
      </c>
      <c r="C505" s="41" t="s">
        <v>3850</v>
      </c>
      <c r="D505" s="41" t="s">
        <v>8396</v>
      </c>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row>
    <row r="506" hidden="1">
      <c r="A506" s="17"/>
      <c r="B506" s="35" t="s">
        <v>52</v>
      </c>
      <c r="C506" s="41" t="s">
        <v>3851</v>
      </c>
      <c r="D506" s="41" t="s">
        <v>8397</v>
      </c>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row>
    <row r="507" hidden="1">
      <c r="A507" s="17"/>
      <c r="B507" s="35" t="s">
        <v>52</v>
      </c>
      <c r="C507" s="41" t="s">
        <v>3852</v>
      </c>
      <c r="D507" s="41" t="s">
        <v>8398</v>
      </c>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row>
    <row r="508" hidden="1">
      <c r="A508" s="17"/>
      <c r="B508" s="35" t="s">
        <v>52</v>
      </c>
      <c r="C508" s="41" t="s">
        <v>3853</v>
      </c>
      <c r="D508" s="41" t="s">
        <v>8399</v>
      </c>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row>
    <row r="509" hidden="1">
      <c r="A509" s="17"/>
      <c r="B509" s="35" t="s">
        <v>52</v>
      </c>
      <c r="C509" s="41" t="s">
        <v>3854</v>
      </c>
      <c r="D509" s="41" t="s">
        <v>8400</v>
      </c>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row>
    <row r="510" hidden="1">
      <c r="A510" s="17"/>
      <c r="B510" s="35" t="s">
        <v>52</v>
      </c>
      <c r="C510" s="41" t="s">
        <v>3855</v>
      </c>
      <c r="D510" s="41" t="s">
        <v>8401</v>
      </c>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row>
    <row r="511" hidden="1">
      <c r="A511" s="17"/>
      <c r="B511" s="35" t="s">
        <v>52</v>
      </c>
      <c r="C511" s="41" t="s">
        <v>3856</v>
      </c>
      <c r="D511" s="41" t="s">
        <v>8402</v>
      </c>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row>
    <row r="512" hidden="1">
      <c r="A512" s="17"/>
      <c r="B512" s="35" t="s">
        <v>52</v>
      </c>
      <c r="C512" s="41" t="s">
        <v>3857</v>
      </c>
      <c r="D512" s="41" t="s">
        <v>8360</v>
      </c>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row>
    <row r="513" hidden="1">
      <c r="A513" s="17"/>
      <c r="B513" s="35" t="s">
        <v>52</v>
      </c>
      <c r="C513" s="41" t="s">
        <v>3858</v>
      </c>
      <c r="D513" s="41" t="s">
        <v>8403</v>
      </c>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row>
    <row r="514" hidden="1">
      <c r="A514" s="17"/>
      <c r="B514" s="35" t="s">
        <v>52</v>
      </c>
      <c r="C514" s="41" t="s">
        <v>3859</v>
      </c>
      <c r="D514" s="41" t="s">
        <v>8360</v>
      </c>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row>
    <row r="515" hidden="1">
      <c r="A515" s="17"/>
      <c r="B515" s="35" t="s">
        <v>52</v>
      </c>
      <c r="C515" s="41" t="s">
        <v>3860</v>
      </c>
      <c r="D515" s="41" t="s">
        <v>8404</v>
      </c>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row>
    <row r="516" hidden="1">
      <c r="A516" s="17"/>
      <c r="B516" s="35" t="s">
        <v>52</v>
      </c>
      <c r="C516" s="41" t="s">
        <v>3861</v>
      </c>
      <c r="D516" s="41" t="s">
        <v>8405</v>
      </c>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row>
    <row r="517" hidden="1">
      <c r="A517" s="17"/>
      <c r="B517" s="35" t="s">
        <v>52</v>
      </c>
      <c r="C517" s="41" t="s">
        <v>3862</v>
      </c>
      <c r="D517" s="41" t="s">
        <v>8406</v>
      </c>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row>
    <row r="518" hidden="1">
      <c r="A518" s="17"/>
      <c r="B518" s="35" t="s">
        <v>52</v>
      </c>
      <c r="C518" s="41" t="s">
        <v>3863</v>
      </c>
      <c r="D518" s="41" t="s">
        <v>8407</v>
      </c>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row>
    <row r="519" hidden="1">
      <c r="A519" s="17"/>
      <c r="B519" s="35" t="s">
        <v>52</v>
      </c>
      <c r="C519" s="41" t="s">
        <v>3864</v>
      </c>
      <c r="D519" s="41" t="s">
        <v>8408</v>
      </c>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row>
    <row r="520" hidden="1">
      <c r="A520" s="17"/>
      <c r="B520" s="35" t="s">
        <v>52</v>
      </c>
      <c r="C520" s="41" t="s">
        <v>3865</v>
      </c>
      <c r="D520" s="41" t="s">
        <v>8409</v>
      </c>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row>
    <row r="521" hidden="1">
      <c r="A521" s="17"/>
      <c r="B521" s="35" t="s">
        <v>52</v>
      </c>
      <c r="C521" s="41" t="s">
        <v>3866</v>
      </c>
      <c r="D521" s="41" t="s">
        <v>8410</v>
      </c>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row>
    <row r="522" hidden="1">
      <c r="A522" s="17"/>
      <c r="B522" s="35" t="s">
        <v>52</v>
      </c>
      <c r="C522" s="41" t="s">
        <v>3867</v>
      </c>
      <c r="D522" s="41" t="s">
        <v>8411</v>
      </c>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row>
    <row r="523" hidden="1">
      <c r="A523" s="17"/>
      <c r="B523" s="35" t="s">
        <v>52</v>
      </c>
      <c r="C523" s="41" t="s">
        <v>3868</v>
      </c>
      <c r="D523" s="41" t="s">
        <v>8412</v>
      </c>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row>
    <row r="524" hidden="1">
      <c r="A524" s="17"/>
      <c r="B524" s="35" t="s">
        <v>52</v>
      </c>
      <c r="C524" s="41" t="s">
        <v>3869</v>
      </c>
      <c r="D524" s="41" t="s">
        <v>8413</v>
      </c>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row>
    <row r="525" hidden="1">
      <c r="A525" s="17"/>
      <c r="B525" s="35" t="s">
        <v>52</v>
      </c>
      <c r="C525" s="41" t="s">
        <v>3870</v>
      </c>
      <c r="D525" s="41" t="s">
        <v>8414</v>
      </c>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row>
    <row r="526" hidden="1">
      <c r="A526" s="17"/>
      <c r="B526" s="35" t="s">
        <v>52</v>
      </c>
      <c r="C526" s="41" t="s">
        <v>3871</v>
      </c>
      <c r="D526" s="41" t="s">
        <v>8415</v>
      </c>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row>
    <row r="527" hidden="1">
      <c r="A527" s="17"/>
      <c r="B527" s="35" t="s">
        <v>52</v>
      </c>
      <c r="C527" s="41" t="s">
        <v>3872</v>
      </c>
      <c r="D527" s="41" t="s">
        <v>8416</v>
      </c>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row>
    <row r="528" hidden="1">
      <c r="A528" s="17"/>
      <c r="B528" s="35" t="s">
        <v>52</v>
      </c>
      <c r="C528" s="41" t="s">
        <v>3873</v>
      </c>
      <c r="D528" s="41" t="s">
        <v>8392</v>
      </c>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row>
    <row r="529" hidden="1">
      <c r="A529" s="17"/>
      <c r="B529" s="35" t="s">
        <v>52</v>
      </c>
      <c r="C529" s="41" t="s">
        <v>3874</v>
      </c>
      <c r="D529" s="41" t="s">
        <v>8417</v>
      </c>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row>
    <row r="530" hidden="1">
      <c r="A530" s="17"/>
      <c r="B530" s="35" t="s">
        <v>52</v>
      </c>
      <c r="C530" s="41" t="s">
        <v>3875</v>
      </c>
      <c r="D530" s="41" t="s">
        <v>8418</v>
      </c>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row>
    <row r="531" hidden="1">
      <c r="A531" s="17"/>
      <c r="B531" s="35" t="s">
        <v>52</v>
      </c>
      <c r="C531" s="41" t="s">
        <v>3876</v>
      </c>
      <c r="D531" s="41" t="s">
        <v>8360</v>
      </c>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row>
    <row r="532" hidden="1">
      <c r="A532" s="17"/>
      <c r="B532" s="35" t="s">
        <v>52</v>
      </c>
      <c r="C532" s="41" t="s">
        <v>3877</v>
      </c>
      <c r="D532" s="41" t="s">
        <v>8419</v>
      </c>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row>
    <row r="533" hidden="1">
      <c r="A533" s="17"/>
      <c r="B533" s="35" t="s">
        <v>52</v>
      </c>
      <c r="C533" s="41" t="s">
        <v>3878</v>
      </c>
      <c r="D533" s="41" t="s">
        <v>8420</v>
      </c>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row>
    <row r="534" hidden="1">
      <c r="A534" s="17"/>
      <c r="B534" s="35" t="s">
        <v>52</v>
      </c>
      <c r="C534" s="41" t="s">
        <v>3879</v>
      </c>
      <c r="D534" s="41" t="s">
        <v>7094</v>
      </c>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row>
    <row r="535" hidden="1">
      <c r="A535" s="17"/>
      <c r="B535" s="35" t="s">
        <v>52</v>
      </c>
      <c r="C535" s="41" t="s">
        <v>3880</v>
      </c>
      <c r="D535" s="41" t="s">
        <v>8421</v>
      </c>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row>
    <row r="536" hidden="1">
      <c r="A536" s="17"/>
      <c r="B536" s="35" t="s">
        <v>52</v>
      </c>
      <c r="C536" s="41" t="s">
        <v>3881</v>
      </c>
      <c r="D536" s="123" t="s">
        <v>3144</v>
      </c>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row>
    <row r="537" hidden="1">
      <c r="A537" s="17"/>
      <c r="B537" s="35" t="s">
        <v>52</v>
      </c>
      <c r="C537" s="41" t="s">
        <v>3882</v>
      </c>
      <c r="D537" s="124" t="s">
        <v>8422</v>
      </c>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row>
    <row r="538" hidden="1">
      <c r="A538" s="17"/>
      <c r="B538" s="35" t="s">
        <v>52</v>
      </c>
      <c r="C538" s="42" t="s">
        <v>3883</v>
      </c>
      <c r="D538" s="124" t="s">
        <v>8423</v>
      </c>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row>
    <row r="539" hidden="1">
      <c r="A539" s="17"/>
      <c r="B539" s="35" t="s">
        <v>52</v>
      </c>
      <c r="C539" s="42" t="s">
        <v>3884</v>
      </c>
      <c r="D539" s="124" t="s">
        <v>8424</v>
      </c>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row>
  </sheetData>
  <autoFilter ref="A1:AI539">
    <filterColumn colId="8">
      <filters>
        <filter val="Abhishek Raj"/>
      </filters>
    </filterColumn>
  </autoFilter>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 id="{A78AE77C-4426-4221-B85C-A63EC19A17F4}">
            <x14:dxf>
              <font>
                <color rgb="FF9C0006"/>
              </font>
              <fill>
                <patternFill patternType="solid">
                  <fgColor rgb="FFFFC7CE"/>
                  <bgColor rgb="FFFFC7CE"/>
                </patternFill>
              </fill>
            </x14:dxf>
          </x14:cfRule>
          <xm:sqref>C1:C465</xm:sqref>
        </x14:conditionalFormatting>
        <x14:conditionalFormatting xmlns:xm="http://schemas.microsoft.com/office/excel/2006/main">
          <x14:cfRule type="duplicateValues" priority="2" id="{76129513-7F85-4B82-85C7-8C6F8B2FE902}">
            <x14:dxf>
              <font>
                <color rgb="FF9C0006"/>
              </font>
              <fill>
                <patternFill patternType="solid">
                  <fgColor rgb="FFFFC7CE"/>
                  <bgColor rgb="FFFFC7CE"/>
                </patternFill>
              </fill>
            </x14:dxf>
          </x14:cfRule>
          <xm:sqref>C1:C465</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538" zoomScale="100" workbookViewId="0">
      <selection activeCell="E2" activeCellId="0" sqref="E2:E538"/>
    </sheetView>
  </sheetViews>
  <sheetFormatPr defaultRowHeight="14.4"/>
  <cols>
    <col bestFit="1" customWidth="1" min="2" max="2" width="8.44140625"/>
    <col bestFit="1" customWidth="1" min="3" max="3" width="14.88671875"/>
    <col bestFit="1" customWidth="1" min="4" max="4" width="23.21875"/>
    <col bestFit="1" customWidth="1" min="5" max="5" width="19.33203125"/>
  </cols>
  <sheetData>
    <row r="1" ht="24">
      <c r="B1" t="s">
        <v>0</v>
      </c>
      <c r="C1" s="125" t="s">
        <v>8425</v>
      </c>
      <c r="D1" s="125" t="s">
        <v>4</v>
      </c>
      <c r="E1" s="126" t="s">
        <v>8426</v>
      </c>
    </row>
    <row r="2">
      <c r="B2">
        <v>1</v>
      </c>
      <c r="C2" s="127" t="s">
        <v>3885</v>
      </c>
      <c r="D2" s="127" t="s">
        <v>3887</v>
      </c>
      <c r="E2" s="128" t="s">
        <v>3889</v>
      </c>
    </row>
    <row r="3">
      <c r="B3">
        <v>2</v>
      </c>
      <c r="C3" s="127" t="s">
        <v>3890</v>
      </c>
      <c r="D3" s="127" t="s">
        <v>3891</v>
      </c>
      <c r="E3" s="128" t="s">
        <v>3893</v>
      </c>
    </row>
    <row r="4">
      <c r="B4">
        <v>3</v>
      </c>
      <c r="C4" s="127" t="s">
        <v>3895</v>
      </c>
      <c r="D4" s="127" t="s">
        <v>3896</v>
      </c>
      <c r="E4" s="128" t="s">
        <v>3889</v>
      </c>
    </row>
    <row r="5">
      <c r="B5">
        <v>4</v>
      </c>
      <c r="C5" s="127" t="s">
        <v>3898</v>
      </c>
      <c r="D5" s="127" t="s">
        <v>3899</v>
      </c>
      <c r="E5" s="128" t="s">
        <v>3889</v>
      </c>
    </row>
    <row r="6">
      <c r="B6">
        <v>5</v>
      </c>
      <c r="C6" s="127" t="s">
        <v>3901</v>
      </c>
      <c r="D6" s="127" t="s">
        <v>3902</v>
      </c>
      <c r="E6" s="128" t="s">
        <v>3893</v>
      </c>
    </row>
    <row r="7">
      <c r="B7">
        <v>6</v>
      </c>
      <c r="C7" s="127" t="s">
        <v>3904</v>
      </c>
      <c r="D7" s="127" t="s">
        <v>3905</v>
      </c>
      <c r="E7" s="128" t="s">
        <v>3893</v>
      </c>
    </row>
    <row r="8">
      <c r="B8">
        <v>7</v>
      </c>
      <c r="C8" s="127" t="s">
        <v>3907</v>
      </c>
      <c r="D8" s="127" t="s">
        <v>3908</v>
      </c>
      <c r="E8" s="128" t="s">
        <v>3893</v>
      </c>
    </row>
    <row r="9">
      <c r="B9">
        <v>8</v>
      </c>
      <c r="C9" s="127" t="s">
        <v>3910</v>
      </c>
      <c r="D9" s="127" t="s">
        <v>3911</v>
      </c>
      <c r="E9" s="128" t="s">
        <v>3889</v>
      </c>
    </row>
    <row r="10">
      <c r="B10">
        <v>9</v>
      </c>
      <c r="C10" s="127" t="s">
        <v>3913</v>
      </c>
      <c r="D10" s="127" t="s">
        <v>3914</v>
      </c>
      <c r="E10" s="128" t="s">
        <v>3889</v>
      </c>
    </row>
    <row r="11">
      <c r="B11">
        <v>10</v>
      </c>
      <c r="C11" s="127" t="s">
        <v>3916</v>
      </c>
      <c r="D11" s="127" t="s">
        <v>3917</v>
      </c>
      <c r="E11" s="128" t="s">
        <v>3889</v>
      </c>
    </row>
    <row r="12">
      <c r="B12">
        <v>11</v>
      </c>
      <c r="C12" s="127" t="s">
        <v>3919</v>
      </c>
      <c r="D12" s="127" t="s">
        <v>3920</v>
      </c>
      <c r="E12" s="128" t="s">
        <v>3893</v>
      </c>
    </row>
    <row r="13">
      <c r="B13">
        <v>12</v>
      </c>
      <c r="C13" s="127" t="s">
        <v>3922</v>
      </c>
      <c r="D13" s="127" t="s">
        <v>3923</v>
      </c>
      <c r="E13" s="128" t="s">
        <v>3893</v>
      </c>
    </row>
    <row r="14">
      <c r="B14">
        <v>13</v>
      </c>
      <c r="C14" s="127" t="s">
        <v>3925</v>
      </c>
      <c r="D14" s="127" t="s">
        <v>3926</v>
      </c>
      <c r="E14" s="128" t="s">
        <v>3893</v>
      </c>
    </row>
    <row r="15">
      <c r="B15">
        <v>14</v>
      </c>
      <c r="C15" s="127" t="s">
        <v>3928</v>
      </c>
      <c r="D15" s="127" t="s">
        <v>3929</v>
      </c>
      <c r="E15" s="128" t="s">
        <v>3889</v>
      </c>
    </row>
    <row r="16">
      <c r="B16">
        <v>15</v>
      </c>
      <c r="C16" s="127" t="s">
        <v>3931</v>
      </c>
      <c r="D16" s="127" t="s">
        <v>3932</v>
      </c>
      <c r="E16" s="128" t="s">
        <v>3889</v>
      </c>
    </row>
    <row r="17">
      <c r="B17">
        <v>16</v>
      </c>
      <c r="C17" s="127" t="s">
        <v>3934</v>
      </c>
      <c r="D17" s="127" t="s">
        <v>3935</v>
      </c>
      <c r="E17" s="128" t="s">
        <v>3889</v>
      </c>
    </row>
    <row r="18">
      <c r="B18">
        <v>17</v>
      </c>
      <c r="C18" s="127" t="s">
        <v>3937</v>
      </c>
      <c r="D18" s="127" t="s">
        <v>3938</v>
      </c>
      <c r="E18" s="128" t="s">
        <v>3889</v>
      </c>
    </row>
    <row r="19">
      <c r="B19">
        <v>18</v>
      </c>
      <c r="C19" s="127" t="s">
        <v>3940</v>
      </c>
      <c r="D19" s="127" t="s">
        <v>3941</v>
      </c>
      <c r="E19" s="128" t="s">
        <v>3889</v>
      </c>
    </row>
    <row r="20">
      <c r="B20">
        <v>19</v>
      </c>
      <c r="C20" s="127" t="s">
        <v>3943</v>
      </c>
      <c r="D20" s="127" t="s">
        <v>3944</v>
      </c>
      <c r="E20" s="128" t="s">
        <v>3889</v>
      </c>
    </row>
    <row r="21">
      <c r="B21">
        <v>20</v>
      </c>
      <c r="C21" s="127" t="s">
        <v>3946</v>
      </c>
      <c r="D21" s="127" t="s">
        <v>3947</v>
      </c>
      <c r="E21" s="128" t="s">
        <v>3889</v>
      </c>
    </row>
    <row r="22">
      <c r="B22">
        <v>21</v>
      </c>
      <c r="C22" s="127" t="s">
        <v>3949</v>
      </c>
      <c r="D22" s="127" t="s">
        <v>3950</v>
      </c>
      <c r="E22" s="128" t="s">
        <v>3889</v>
      </c>
    </row>
    <row r="23">
      <c r="B23">
        <v>22</v>
      </c>
      <c r="C23" s="127" t="s">
        <v>3952</v>
      </c>
      <c r="D23" s="127" t="s">
        <v>3953</v>
      </c>
      <c r="E23" s="128" t="s">
        <v>3893</v>
      </c>
    </row>
    <row r="24">
      <c r="B24">
        <v>23</v>
      </c>
      <c r="C24" s="127" t="s">
        <v>3955</v>
      </c>
      <c r="D24" s="127" t="s">
        <v>3956</v>
      </c>
      <c r="E24" s="128" t="s">
        <v>3893</v>
      </c>
    </row>
    <row r="25">
      <c r="B25">
        <v>24</v>
      </c>
      <c r="C25" s="127" t="s">
        <v>3958</v>
      </c>
      <c r="D25" s="127" t="s">
        <v>3959</v>
      </c>
      <c r="E25" s="128" t="s">
        <v>3889</v>
      </c>
    </row>
    <row r="26">
      <c r="B26">
        <v>25</v>
      </c>
      <c r="C26" s="127" t="s">
        <v>3961</v>
      </c>
      <c r="D26" s="127" t="s">
        <v>3962</v>
      </c>
      <c r="E26" s="128" t="s">
        <v>3893</v>
      </c>
    </row>
    <row r="27">
      <c r="B27">
        <v>26</v>
      </c>
      <c r="C27" s="127" t="s">
        <v>3964</v>
      </c>
      <c r="D27" s="127" t="s">
        <v>3965</v>
      </c>
      <c r="E27" s="128" t="s">
        <v>3967</v>
      </c>
    </row>
    <row r="28">
      <c r="B28">
        <v>27</v>
      </c>
      <c r="C28" s="127" t="s">
        <v>3968</v>
      </c>
      <c r="D28" s="127" t="s">
        <v>3969</v>
      </c>
      <c r="E28" s="128" t="s">
        <v>3967</v>
      </c>
    </row>
    <row r="29">
      <c r="B29">
        <v>28</v>
      </c>
      <c r="C29" s="127" t="s">
        <v>3973</v>
      </c>
      <c r="D29" s="127" t="s">
        <v>3974</v>
      </c>
      <c r="E29" s="128" t="s">
        <v>3967</v>
      </c>
    </row>
    <row r="30">
      <c r="B30">
        <v>29</v>
      </c>
      <c r="C30" s="127" t="s">
        <v>3977</v>
      </c>
      <c r="D30" s="127" t="s">
        <v>3978</v>
      </c>
      <c r="E30" s="128" t="s">
        <v>3967</v>
      </c>
    </row>
    <row r="31">
      <c r="B31">
        <v>30</v>
      </c>
      <c r="C31" s="127" t="s">
        <v>3984</v>
      </c>
      <c r="D31" s="127" t="s">
        <v>3985</v>
      </c>
      <c r="E31" s="128" t="s">
        <v>3987</v>
      </c>
    </row>
    <row r="32">
      <c r="B32">
        <v>31</v>
      </c>
      <c r="C32" s="127" t="s">
        <v>3988</v>
      </c>
      <c r="D32" s="127" t="s">
        <v>3989</v>
      </c>
      <c r="E32" s="128" t="s">
        <v>3987</v>
      </c>
    </row>
    <row r="33">
      <c r="B33">
        <v>32</v>
      </c>
      <c r="C33" s="127" t="s">
        <v>3991</v>
      </c>
      <c r="D33" s="127" t="s">
        <v>3992</v>
      </c>
      <c r="E33" s="128" t="s">
        <v>3987</v>
      </c>
    </row>
    <row r="34">
      <c r="B34">
        <v>33</v>
      </c>
      <c r="C34" s="127" t="s">
        <v>3994</v>
      </c>
      <c r="D34" s="127" t="s">
        <v>3995</v>
      </c>
      <c r="E34" s="128" t="s">
        <v>3987</v>
      </c>
    </row>
    <row r="35">
      <c r="B35">
        <v>34</v>
      </c>
      <c r="C35" s="127" t="s">
        <v>3997</v>
      </c>
      <c r="D35" s="127" t="s">
        <v>3998</v>
      </c>
      <c r="E35" s="128" t="s">
        <v>4000</v>
      </c>
    </row>
    <row r="36">
      <c r="B36">
        <v>35</v>
      </c>
      <c r="C36" s="127" t="s">
        <v>4001</v>
      </c>
      <c r="D36" s="127" t="s">
        <v>4002</v>
      </c>
      <c r="E36" s="128" t="s">
        <v>4004</v>
      </c>
    </row>
    <row r="37">
      <c r="B37">
        <v>36</v>
      </c>
      <c r="C37" s="127" t="s">
        <v>4008</v>
      </c>
      <c r="D37" s="127" t="s">
        <v>4009</v>
      </c>
      <c r="E37" s="128" t="s">
        <v>4011</v>
      </c>
    </row>
    <row r="38">
      <c r="B38">
        <v>37</v>
      </c>
      <c r="C38" s="127" t="s">
        <v>4013</v>
      </c>
      <c r="D38" s="127" t="s">
        <v>4014</v>
      </c>
      <c r="E38" s="128" t="s">
        <v>4016</v>
      </c>
    </row>
    <row r="39">
      <c r="B39">
        <v>38</v>
      </c>
      <c r="C39" s="127" t="s">
        <v>4017</v>
      </c>
      <c r="D39" s="127" t="s">
        <v>4018</v>
      </c>
      <c r="E39" s="128" t="s">
        <v>3893</v>
      </c>
    </row>
    <row r="40">
      <c r="B40">
        <v>39</v>
      </c>
      <c r="C40" s="127" t="s">
        <v>4020</v>
      </c>
      <c r="D40" s="127" t="s">
        <v>4021</v>
      </c>
      <c r="E40" s="128" t="s">
        <v>3889</v>
      </c>
    </row>
    <row r="41">
      <c r="B41">
        <v>40</v>
      </c>
      <c r="C41" s="127" t="s">
        <v>4023</v>
      </c>
      <c r="D41" s="127" t="s">
        <v>4024</v>
      </c>
      <c r="E41" s="128" t="s">
        <v>4011</v>
      </c>
    </row>
    <row r="42">
      <c r="B42">
        <v>41</v>
      </c>
      <c r="C42" s="127" t="s">
        <v>4027</v>
      </c>
      <c r="D42" s="127" t="s">
        <v>4028</v>
      </c>
      <c r="E42" s="128" t="s">
        <v>3893</v>
      </c>
    </row>
    <row r="43">
      <c r="B43">
        <v>42</v>
      </c>
      <c r="C43" s="127" t="s">
        <v>4030</v>
      </c>
      <c r="D43" s="127" t="s">
        <v>4031</v>
      </c>
      <c r="E43" s="128" t="s">
        <v>4033</v>
      </c>
    </row>
    <row r="44">
      <c r="B44">
        <v>43</v>
      </c>
      <c r="C44" s="127" t="s">
        <v>4035</v>
      </c>
      <c r="D44" s="127" t="s">
        <v>4036</v>
      </c>
      <c r="E44" s="128" t="s">
        <v>4038</v>
      </c>
    </row>
    <row r="45">
      <c r="B45">
        <v>44</v>
      </c>
      <c r="C45" s="127" t="s">
        <v>4039</v>
      </c>
      <c r="D45" s="127" t="s">
        <v>4040</v>
      </c>
      <c r="E45" s="128" t="s">
        <v>4038</v>
      </c>
    </row>
    <row r="46">
      <c r="B46">
        <v>45</v>
      </c>
      <c r="C46" s="127" t="s">
        <v>4042</v>
      </c>
      <c r="D46" s="127" t="s">
        <v>4043</v>
      </c>
      <c r="E46" s="128" t="s">
        <v>4045</v>
      </c>
    </row>
    <row r="47">
      <c r="B47">
        <v>46</v>
      </c>
      <c r="C47" s="127" t="s">
        <v>4047</v>
      </c>
      <c r="D47" s="127" t="s">
        <v>4048</v>
      </c>
      <c r="E47" s="128" t="s">
        <v>3967</v>
      </c>
    </row>
    <row r="48">
      <c r="B48">
        <v>47</v>
      </c>
      <c r="C48" s="127" t="s">
        <v>4050</v>
      </c>
      <c r="D48" s="127" t="s">
        <v>4051</v>
      </c>
      <c r="E48" s="128" t="s">
        <v>4045</v>
      </c>
    </row>
    <row r="49">
      <c r="B49">
        <v>48</v>
      </c>
      <c r="C49" s="127" t="s">
        <v>4054</v>
      </c>
      <c r="D49" s="127" t="s">
        <v>4055</v>
      </c>
      <c r="E49" s="128" t="s">
        <v>4033</v>
      </c>
    </row>
    <row r="50">
      <c r="B50">
        <v>49</v>
      </c>
      <c r="C50" s="127" t="s">
        <v>4057</v>
      </c>
      <c r="D50" s="127" t="s">
        <v>4058</v>
      </c>
      <c r="E50" s="128" t="s">
        <v>3967</v>
      </c>
    </row>
    <row r="51">
      <c r="B51">
        <v>50</v>
      </c>
      <c r="C51" s="127" t="s">
        <v>4060</v>
      </c>
      <c r="D51" s="127" t="s">
        <v>3956</v>
      </c>
      <c r="E51" s="128" t="s">
        <v>3967</v>
      </c>
    </row>
    <row r="52">
      <c r="B52">
        <v>51</v>
      </c>
      <c r="C52" s="127" t="s">
        <v>4062</v>
      </c>
      <c r="D52" s="127" t="s">
        <v>4063</v>
      </c>
      <c r="E52" s="128" t="s">
        <v>3967</v>
      </c>
    </row>
    <row r="53">
      <c r="B53">
        <v>52</v>
      </c>
      <c r="C53" s="127" t="s">
        <v>4065</v>
      </c>
      <c r="D53" s="127" t="s">
        <v>4066</v>
      </c>
      <c r="E53" s="128" t="s">
        <v>4045</v>
      </c>
    </row>
    <row r="54">
      <c r="B54">
        <v>53</v>
      </c>
      <c r="C54" s="127" t="s">
        <v>4069</v>
      </c>
      <c r="D54" s="127" t="s">
        <v>4070</v>
      </c>
      <c r="E54" s="128" t="s">
        <v>4033</v>
      </c>
    </row>
    <row r="55">
      <c r="B55">
        <v>54</v>
      </c>
      <c r="C55" s="127" t="s">
        <v>4072</v>
      </c>
      <c r="D55" s="127" t="s">
        <v>4073</v>
      </c>
      <c r="E55" s="128" t="s">
        <v>4033</v>
      </c>
    </row>
    <row r="56">
      <c r="B56">
        <v>55</v>
      </c>
      <c r="C56" s="127" t="s">
        <v>4075</v>
      </c>
      <c r="D56" s="127" t="s">
        <v>4076</v>
      </c>
      <c r="E56" s="128" t="s">
        <v>3889</v>
      </c>
    </row>
    <row r="57">
      <c r="B57">
        <v>56</v>
      </c>
      <c r="C57" s="127" t="s">
        <v>4078</v>
      </c>
      <c r="D57" s="127" t="s">
        <v>4079</v>
      </c>
      <c r="E57" s="128" t="s">
        <v>3889</v>
      </c>
    </row>
    <row r="58">
      <c r="B58">
        <v>57</v>
      </c>
      <c r="C58" s="127" t="s">
        <v>4081</v>
      </c>
      <c r="D58" s="127" t="s">
        <v>4082</v>
      </c>
      <c r="E58" s="128" t="s">
        <v>3893</v>
      </c>
    </row>
    <row r="59">
      <c r="B59">
        <v>58</v>
      </c>
      <c r="C59" s="127" t="s">
        <v>4084</v>
      </c>
      <c r="D59" s="127" t="s">
        <v>4085</v>
      </c>
      <c r="E59" s="128" t="s">
        <v>3889</v>
      </c>
    </row>
    <row r="60">
      <c r="B60">
        <v>59</v>
      </c>
      <c r="C60" s="127" t="s">
        <v>4087</v>
      </c>
      <c r="D60" s="127" t="s">
        <v>4088</v>
      </c>
      <c r="E60" s="128" t="s">
        <v>3889</v>
      </c>
    </row>
    <row r="61">
      <c r="B61">
        <v>60</v>
      </c>
      <c r="C61" s="127" t="s">
        <v>4090</v>
      </c>
      <c r="D61" s="127" t="s">
        <v>4091</v>
      </c>
      <c r="E61" s="128" t="s">
        <v>3889</v>
      </c>
    </row>
    <row r="62">
      <c r="B62">
        <v>61</v>
      </c>
      <c r="C62" s="127" t="s">
        <v>4093</v>
      </c>
      <c r="D62" s="127" t="s">
        <v>4094</v>
      </c>
      <c r="E62" s="128" t="s">
        <v>3967</v>
      </c>
    </row>
    <row r="63">
      <c r="B63">
        <v>62</v>
      </c>
      <c r="C63" s="127" t="s">
        <v>4096</v>
      </c>
      <c r="D63" s="127" t="s">
        <v>4097</v>
      </c>
      <c r="E63" s="128" t="s">
        <v>4099</v>
      </c>
    </row>
    <row r="64">
      <c r="B64">
        <v>63</v>
      </c>
      <c r="C64" s="127" t="s">
        <v>4102</v>
      </c>
      <c r="D64" s="127" t="s">
        <v>4103</v>
      </c>
      <c r="E64" s="128" t="s">
        <v>4004</v>
      </c>
    </row>
    <row r="65">
      <c r="B65">
        <v>64</v>
      </c>
      <c r="C65" s="127" t="s">
        <v>4105</v>
      </c>
      <c r="D65" s="127" t="s">
        <v>4106</v>
      </c>
      <c r="E65" s="128" t="s">
        <v>3889</v>
      </c>
    </row>
    <row r="66">
      <c r="B66">
        <v>65</v>
      </c>
      <c r="C66" s="127" t="s">
        <v>4108</v>
      </c>
      <c r="D66" s="127" t="s">
        <v>223</v>
      </c>
      <c r="E66" s="128" t="s">
        <v>3987</v>
      </c>
    </row>
    <row r="67">
      <c r="B67">
        <v>66</v>
      </c>
      <c r="C67" s="127" t="s">
        <v>4110</v>
      </c>
      <c r="D67" s="127" t="s">
        <v>4111</v>
      </c>
      <c r="E67" s="128" t="s">
        <v>3987</v>
      </c>
    </row>
    <row r="68">
      <c r="B68">
        <v>67</v>
      </c>
      <c r="C68" s="127" t="s">
        <v>4113</v>
      </c>
      <c r="D68" s="127" t="s">
        <v>4114</v>
      </c>
      <c r="E68" s="128" t="s">
        <v>4011</v>
      </c>
    </row>
    <row r="69">
      <c r="B69">
        <v>68</v>
      </c>
      <c r="C69" s="127" t="s">
        <v>4116</v>
      </c>
      <c r="D69" s="127" t="s">
        <v>4117</v>
      </c>
      <c r="E69" s="128" t="s">
        <v>3987</v>
      </c>
    </row>
    <row r="70">
      <c r="B70">
        <v>69</v>
      </c>
      <c r="C70" s="127" t="s">
        <v>4119</v>
      </c>
      <c r="D70" s="127" t="s">
        <v>4120</v>
      </c>
      <c r="E70" s="128" t="s">
        <v>4122</v>
      </c>
    </row>
    <row r="71">
      <c r="B71">
        <v>70</v>
      </c>
      <c r="C71" s="127" t="s">
        <v>4123</v>
      </c>
      <c r="D71" s="127" t="s">
        <v>4124</v>
      </c>
      <c r="E71" s="128" t="s">
        <v>3987</v>
      </c>
    </row>
    <row r="72">
      <c r="B72">
        <v>71</v>
      </c>
      <c r="C72" s="127" t="s">
        <v>4126</v>
      </c>
      <c r="D72" s="127" t="s">
        <v>4127</v>
      </c>
      <c r="E72" s="128" t="s">
        <v>3987</v>
      </c>
    </row>
    <row r="73">
      <c r="B73">
        <v>72</v>
      </c>
      <c r="C73" s="127" t="s">
        <v>4129</v>
      </c>
      <c r="D73" s="127" t="s">
        <v>4130</v>
      </c>
      <c r="E73" s="128" t="s">
        <v>4011</v>
      </c>
    </row>
    <row r="74">
      <c r="B74">
        <v>73</v>
      </c>
      <c r="C74" s="127" t="s">
        <v>4132</v>
      </c>
      <c r="D74" s="127" t="s">
        <v>4133</v>
      </c>
      <c r="E74" s="128" t="s">
        <v>4011</v>
      </c>
    </row>
    <row r="75">
      <c r="B75">
        <v>74</v>
      </c>
      <c r="C75" s="127" t="s">
        <v>4136</v>
      </c>
      <c r="D75" s="127" t="s">
        <v>4137</v>
      </c>
      <c r="E75" s="128" t="s">
        <v>4011</v>
      </c>
    </row>
    <row r="76">
      <c r="B76">
        <v>75</v>
      </c>
      <c r="C76" s="127" t="s">
        <v>4139</v>
      </c>
      <c r="D76" s="127" t="s">
        <v>4140</v>
      </c>
      <c r="E76" s="128" t="s">
        <v>3987</v>
      </c>
    </row>
    <row r="77">
      <c r="B77">
        <v>76</v>
      </c>
      <c r="C77" s="127" t="s">
        <v>4142</v>
      </c>
      <c r="D77" s="127" t="s">
        <v>4143</v>
      </c>
      <c r="E77" s="128" t="s">
        <v>4004</v>
      </c>
    </row>
    <row r="78">
      <c r="B78">
        <v>77</v>
      </c>
      <c r="C78" s="127" t="s">
        <v>4145</v>
      </c>
      <c r="D78" s="127" t="s">
        <v>4146</v>
      </c>
      <c r="E78" s="128" t="s">
        <v>4004</v>
      </c>
    </row>
    <row r="79">
      <c r="B79">
        <v>78</v>
      </c>
      <c r="C79" s="127" t="s">
        <v>4148</v>
      </c>
      <c r="D79" s="127" t="s">
        <v>4149</v>
      </c>
      <c r="E79" s="128" t="s">
        <v>4004</v>
      </c>
    </row>
    <row r="80">
      <c r="B80">
        <v>79</v>
      </c>
      <c r="C80" s="127" t="s">
        <v>4151</v>
      </c>
      <c r="D80" s="127" t="s">
        <v>4152</v>
      </c>
      <c r="E80" s="128" t="s">
        <v>4004</v>
      </c>
    </row>
    <row r="81">
      <c r="B81">
        <v>80</v>
      </c>
      <c r="C81" s="127" t="s">
        <v>4154</v>
      </c>
      <c r="D81" s="127" t="s">
        <v>4155</v>
      </c>
      <c r="E81" s="128" t="s">
        <v>4004</v>
      </c>
    </row>
    <row r="82">
      <c r="B82">
        <v>81</v>
      </c>
      <c r="C82" s="127" t="s">
        <v>4157</v>
      </c>
      <c r="D82" s="127" t="s">
        <v>4158</v>
      </c>
      <c r="E82" s="128" t="s">
        <v>4004</v>
      </c>
    </row>
    <row r="83">
      <c r="B83">
        <v>82</v>
      </c>
      <c r="C83" s="127" t="s">
        <v>4160</v>
      </c>
      <c r="D83" s="127" t="s">
        <v>4161</v>
      </c>
      <c r="E83" s="128" t="s">
        <v>4004</v>
      </c>
    </row>
    <row r="84">
      <c r="B84">
        <v>83</v>
      </c>
      <c r="C84" s="127" t="s">
        <v>4163</v>
      </c>
      <c r="D84" s="127" t="s">
        <v>4164</v>
      </c>
      <c r="E84" s="128" t="s">
        <v>4004</v>
      </c>
    </row>
    <row r="85">
      <c r="B85">
        <v>84</v>
      </c>
      <c r="C85" s="127" t="s">
        <v>4166</v>
      </c>
      <c r="D85" s="127" t="s">
        <v>4167</v>
      </c>
      <c r="E85" s="128" t="s">
        <v>4004</v>
      </c>
    </row>
    <row r="86">
      <c r="B86">
        <v>85</v>
      </c>
      <c r="C86" s="127" t="s">
        <v>4169</v>
      </c>
      <c r="D86" s="127" t="s">
        <v>4170</v>
      </c>
      <c r="E86" s="128" t="s">
        <v>4004</v>
      </c>
    </row>
    <row r="87">
      <c r="B87">
        <v>86</v>
      </c>
      <c r="C87" s="127" t="s">
        <v>4172</v>
      </c>
      <c r="D87" s="127" t="s">
        <v>4173</v>
      </c>
      <c r="E87" s="128" t="s">
        <v>4004</v>
      </c>
    </row>
    <row r="88">
      <c r="B88">
        <v>87</v>
      </c>
      <c r="C88" s="127" t="s">
        <v>4175</v>
      </c>
      <c r="D88" s="127" t="s">
        <v>4176</v>
      </c>
      <c r="E88" s="128" t="s">
        <v>4122</v>
      </c>
    </row>
    <row r="89">
      <c r="B89">
        <v>88</v>
      </c>
      <c r="C89" s="127" t="s">
        <v>4178</v>
      </c>
      <c r="D89" s="127" t="s">
        <v>4179</v>
      </c>
      <c r="E89" s="128" t="s">
        <v>4016</v>
      </c>
    </row>
    <row r="90">
      <c r="B90">
        <v>89</v>
      </c>
      <c r="C90" s="127" t="s">
        <v>4181</v>
      </c>
      <c r="D90" s="127" t="s">
        <v>4182</v>
      </c>
      <c r="E90" s="128" t="s">
        <v>4122</v>
      </c>
    </row>
    <row r="91">
      <c r="B91">
        <v>90</v>
      </c>
      <c r="C91" s="127" t="s">
        <v>4184</v>
      </c>
      <c r="D91" s="127" t="s">
        <v>4185</v>
      </c>
      <c r="E91" s="128" t="s">
        <v>4122</v>
      </c>
    </row>
    <row r="92">
      <c r="B92">
        <v>91</v>
      </c>
      <c r="C92" s="127" t="s">
        <v>4187</v>
      </c>
      <c r="D92" s="127" t="s">
        <v>4188</v>
      </c>
      <c r="E92" s="128" t="s">
        <v>4122</v>
      </c>
    </row>
    <row r="93">
      <c r="B93">
        <v>92</v>
      </c>
      <c r="C93" s="127" t="s">
        <v>4190</v>
      </c>
      <c r="D93" s="127" t="s">
        <v>4191</v>
      </c>
      <c r="E93" s="128" t="s">
        <v>4099</v>
      </c>
    </row>
    <row r="94">
      <c r="B94">
        <v>93</v>
      </c>
      <c r="C94" s="127" t="s">
        <v>4193</v>
      </c>
      <c r="D94" s="127" t="s">
        <v>4194</v>
      </c>
      <c r="E94" s="128" t="s">
        <v>4122</v>
      </c>
    </row>
    <row r="95">
      <c r="B95">
        <v>94</v>
      </c>
      <c r="C95" s="127" t="s">
        <v>4196</v>
      </c>
      <c r="D95" s="127" t="s">
        <v>4197</v>
      </c>
      <c r="E95" s="128" t="s">
        <v>4122</v>
      </c>
    </row>
    <row r="96">
      <c r="B96">
        <v>95</v>
      </c>
      <c r="C96" s="127" t="s">
        <v>4199</v>
      </c>
      <c r="D96" s="127" t="s">
        <v>4200</v>
      </c>
      <c r="E96" s="128" t="s">
        <v>4099</v>
      </c>
    </row>
    <row r="97">
      <c r="B97">
        <v>96</v>
      </c>
      <c r="C97" s="127" t="s">
        <v>4204</v>
      </c>
      <c r="D97" s="127" t="s">
        <v>4205</v>
      </c>
      <c r="E97" s="128" t="s">
        <v>4122</v>
      </c>
    </row>
    <row r="98">
      <c r="B98">
        <v>97</v>
      </c>
      <c r="C98" s="127" t="s">
        <v>4207</v>
      </c>
      <c r="D98" s="127" t="s">
        <v>4208</v>
      </c>
      <c r="E98" s="128" t="s">
        <v>4210</v>
      </c>
    </row>
    <row r="99">
      <c r="B99">
        <v>98</v>
      </c>
      <c r="C99" s="127" t="s">
        <v>4214</v>
      </c>
      <c r="D99" s="127" t="s">
        <v>4215</v>
      </c>
      <c r="E99" s="128" t="s">
        <v>4045</v>
      </c>
    </row>
    <row r="100">
      <c r="B100">
        <v>99</v>
      </c>
      <c r="C100" s="127" t="s">
        <v>4217</v>
      </c>
      <c r="D100" s="127" t="s">
        <v>4218</v>
      </c>
      <c r="E100" s="128" t="s">
        <v>4210</v>
      </c>
    </row>
    <row r="101">
      <c r="B101">
        <v>100</v>
      </c>
      <c r="C101" s="127" t="s">
        <v>4225</v>
      </c>
      <c r="D101" s="127" t="s">
        <v>4226</v>
      </c>
      <c r="E101" s="128" t="s">
        <v>4210</v>
      </c>
    </row>
    <row r="102">
      <c r="B102">
        <v>101</v>
      </c>
      <c r="C102" s="127" t="s">
        <v>4228</v>
      </c>
      <c r="D102" s="127" t="s">
        <v>4229</v>
      </c>
      <c r="E102" s="128" t="s">
        <v>4210</v>
      </c>
    </row>
    <row r="103">
      <c r="B103">
        <v>102</v>
      </c>
      <c r="C103" s="127" t="s">
        <v>4231</v>
      </c>
      <c r="D103" s="127" t="s">
        <v>4232</v>
      </c>
      <c r="E103" s="128" t="s">
        <v>4210</v>
      </c>
    </row>
    <row r="104">
      <c r="B104">
        <v>103</v>
      </c>
      <c r="C104" s="127" t="s">
        <v>4234</v>
      </c>
      <c r="D104" s="127" t="s">
        <v>4235</v>
      </c>
      <c r="E104" s="128" t="s">
        <v>4210</v>
      </c>
    </row>
    <row r="105">
      <c r="B105">
        <v>104</v>
      </c>
      <c r="C105" s="127" t="s">
        <v>4237</v>
      </c>
      <c r="D105" s="127" t="s">
        <v>4238</v>
      </c>
      <c r="E105" s="128" t="s">
        <v>4045</v>
      </c>
    </row>
    <row r="106">
      <c r="B106">
        <v>105</v>
      </c>
      <c r="C106" s="127" t="s">
        <v>4240</v>
      </c>
      <c r="D106" s="127" t="s">
        <v>4241</v>
      </c>
      <c r="E106" s="128" t="s">
        <v>4210</v>
      </c>
    </row>
    <row r="107">
      <c r="B107">
        <v>106</v>
      </c>
      <c r="C107" s="127" t="s">
        <v>4243</v>
      </c>
      <c r="D107" s="127" t="s">
        <v>4244</v>
      </c>
      <c r="E107" s="128" t="s">
        <v>4210</v>
      </c>
    </row>
    <row r="108">
      <c r="B108">
        <v>107</v>
      </c>
      <c r="C108" s="127" t="s">
        <v>4246</v>
      </c>
      <c r="D108" s="127" t="s">
        <v>4247</v>
      </c>
      <c r="E108" s="128" t="s">
        <v>4210</v>
      </c>
    </row>
    <row r="109">
      <c r="B109">
        <v>108</v>
      </c>
      <c r="C109" s="127" t="s">
        <v>4249</v>
      </c>
      <c r="D109" s="127" t="s">
        <v>4250</v>
      </c>
      <c r="E109" s="128" t="s">
        <v>3967</v>
      </c>
    </row>
    <row r="110">
      <c r="B110">
        <v>109</v>
      </c>
      <c r="C110" s="127" t="s">
        <v>4252</v>
      </c>
      <c r="D110" s="127" t="s">
        <v>4253</v>
      </c>
      <c r="E110" s="128" t="s">
        <v>4210</v>
      </c>
    </row>
    <row r="111">
      <c r="B111">
        <v>110</v>
      </c>
      <c r="C111" s="127" t="s">
        <v>4256</v>
      </c>
      <c r="D111" s="127" t="s">
        <v>4257</v>
      </c>
      <c r="E111" s="128" t="s">
        <v>4011</v>
      </c>
    </row>
    <row r="112">
      <c r="B112">
        <v>111</v>
      </c>
      <c r="C112" s="127" t="s">
        <v>4258</v>
      </c>
      <c r="D112" s="127" t="s">
        <v>4259</v>
      </c>
      <c r="E112" s="128" t="s">
        <v>4011</v>
      </c>
    </row>
    <row r="113">
      <c r="B113">
        <v>112</v>
      </c>
      <c r="C113" s="127" t="s">
        <v>4261</v>
      </c>
      <c r="D113" s="127" t="s">
        <v>4262</v>
      </c>
      <c r="E113" s="128" t="s">
        <v>3967</v>
      </c>
    </row>
    <row r="114">
      <c r="B114">
        <v>113</v>
      </c>
      <c r="C114" s="127" t="s">
        <v>4264</v>
      </c>
      <c r="D114" s="127" t="s">
        <v>4265</v>
      </c>
      <c r="E114" s="128" t="s">
        <v>3967</v>
      </c>
    </row>
    <row r="115">
      <c r="B115">
        <v>114</v>
      </c>
      <c r="C115" s="127" t="s">
        <v>4267</v>
      </c>
      <c r="D115" s="127" t="s">
        <v>4268</v>
      </c>
      <c r="E115" s="128" t="s">
        <v>4045</v>
      </c>
    </row>
    <row r="116">
      <c r="B116">
        <v>115</v>
      </c>
      <c r="C116" s="127" t="s">
        <v>4270</v>
      </c>
      <c r="D116" s="127" t="s">
        <v>4271</v>
      </c>
      <c r="E116" s="128" t="s">
        <v>4011</v>
      </c>
    </row>
    <row r="117">
      <c r="B117">
        <v>116</v>
      </c>
      <c r="C117" s="127" t="s">
        <v>4273</v>
      </c>
      <c r="D117" s="127" t="s">
        <v>4274</v>
      </c>
      <c r="E117" s="128" t="s">
        <v>4045</v>
      </c>
    </row>
    <row r="118">
      <c r="B118">
        <v>117</v>
      </c>
      <c r="C118" s="127" t="s">
        <v>4276</v>
      </c>
      <c r="D118" s="127" t="s">
        <v>4277</v>
      </c>
      <c r="E118" s="128" t="s">
        <v>3967</v>
      </c>
    </row>
    <row r="119">
      <c r="B119">
        <v>118</v>
      </c>
      <c r="C119" s="127" t="s">
        <v>4279</v>
      </c>
      <c r="D119" s="127" t="s">
        <v>4280</v>
      </c>
      <c r="E119" s="128" t="s">
        <v>4011</v>
      </c>
    </row>
    <row r="120">
      <c r="B120">
        <v>119</v>
      </c>
      <c r="C120" s="127" t="s">
        <v>4282</v>
      </c>
      <c r="D120" s="127" t="s">
        <v>4283</v>
      </c>
      <c r="E120" s="128" t="s">
        <v>4045</v>
      </c>
    </row>
    <row r="121">
      <c r="B121">
        <v>120</v>
      </c>
      <c r="C121" s="127" t="s">
        <v>4286</v>
      </c>
      <c r="D121" s="127" t="s">
        <v>4287</v>
      </c>
      <c r="E121" s="128" t="s">
        <v>4045</v>
      </c>
    </row>
    <row r="122">
      <c r="B122">
        <v>121</v>
      </c>
      <c r="C122" s="127" t="s">
        <v>4289</v>
      </c>
      <c r="D122" s="127" t="s">
        <v>4290</v>
      </c>
      <c r="E122" s="128" t="s">
        <v>4045</v>
      </c>
    </row>
    <row r="123">
      <c r="B123">
        <v>122</v>
      </c>
      <c r="C123" s="127" t="s">
        <v>4292</v>
      </c>
      <c r="D123" s="127" t="s">
        <v>4293</v>
      </c>
      <c r="E123" s="128" t="s">
        <v>3987</v>
      </c>
    </row>
    <row r="124">
      <c r="B124">
        <v>123</v>
      </c>
      <c r="C124" s="127" t="s">
        <v>4295</v>
      </c>
      <c r="D124" s="127" t="s">
        <v>4296</v>
      </c>
      <c r="E124" s="128" t="s">
        <v>4298</v>
      </c>
    </row>
    <row r="125">
      <c r="B125">
        <v>124</v>
      </c>
      <c r="C125" s="127" t="s">
        <v>4299</v>
      </c>
      <c r="D125" s="127" t="s">
        <v>4300</v>
      </c>
      <c r="E125" s="128" t="s">
        <v>4016</v>
      </c>
    </row>
    <row r="126">
      <c r="B126">
        <v>125</v>
      </c>
      <c r="C126" s="127" t="s">
        <v>4302</v>
      </c>
      <c r="D126" s="127" t="s">
        <v>4303</v>
      </c>
      <c r="E126" s="128" t="s">
        <v>4016</v>
      </c>
    </row>
    <row r="127">
      <c r="B127">
        <v>126</v>
      </c>
      <c r="C127" s="127" t="s">
        <v>4305</v>
      </c>
      <c r="D127" s="127" t="s">
        <v>4306</v>
      </c>
      <c r="E127" s="128" t="s">
        <v>4298</v>
      </c>
    </row>
    <row r="128">
      <c r="B128">
        <v>127</v>
      </c>
      <c r="C128" s="127" t="s">
        <v>4308</v>
      </c>
      <c r="D128" s="127" t="s">
        <v>4309</v>
      </c>
      <c r="E128" s="128" t="s">
        <v>4298</v>
      </c>
    </row>
    <row r="129">
      <c r="B129">
        <v>128</v>
      </c>
      <c r="C129" s="127" t="s">
        <v>4311</v>
      </c>
      <c r="D129" s="127" t="s">
        <v>4312</v>
      </c>
      <c r="E129" s="128" t="s">
        <v>4298</v>
      </c>
    </row>
    <row r="130">
      <c r="B130">
        <v>129</v>
      </c>
      <c r="C130" s="127" t="s">
        <v>4314</v>
      </c>
      <c r="D130" s="127" t="s">
        <v>4315</v>
      </c>
      <c r="E130" s="128" t="s">
        <v>4298</v>
      </c>
    </row>
    <row r="131">
      <c r="B131">
        <v>130</v>
      </c>
      <c r="C131" s="127" t="s">
        <v>4317</v>
      </c>
      <c r="D131" s="127" t="s">
        <v>4318</v>
      </c>
      <c r="E131" s="128" t="s">
        <v>4298</v>
      </c>
    </row>
    <row r="132">
      <c r="B132">
        <v>131</v>
      </c>
      <c r="C132" s="127" t="s">
        <v>4320</v>
      </c>
      <c r="D132" s="127" t="s">
        <v>4321</v>
      </c>
      <c r="E132" s="128" t="s">
        <v>4298</v>
      </c>
    </row>
    <row r="133">
      <c r="B133">
        <v>132</v>
      </c>
      <c r="C133" s="127" t="s">
        <v>4323</v>
      </c>
      <c r="D133" s="127" t="s">
        <v>4324</v>
      </c>
      <c r="E133" s="128" t="s">
        <v>4298</v>
      </c>
    </row>
    <row r="134">
      <c r="B134">
        <v>133</v>
      </c>
      <c r="C134" s="127" t="s">
        <v>4326</v>
      </c>
      <c r="D134" s="127" t="s">
        <v>4327</v>
      </c>
      <c r="E134" s="128" t="s">
        <v>4045</v>
      </c>
    </row>
    <row r="135">
      <c r="B135">
        <v>134</v>
      </c>
      <c r="C135" s="127" t="s">
        <v>4329</v>
      </c>
      <c r="D135" s="127" t="s">
        <v>4330</v>
      </c>
      <c r="E135" s="128" t="s">
        <v>4038</v>
      </c>
    </row>
    <row r="136">
      <c r="B136">
        <v>135</v>
      </c>
      <c r="C136" s="127" t="s">
        <v>4332</v>
      </c>
      <c r="D136" s="127" t="s">
        <v>4333</v>
      </c>
      <c r="E136" s="128" t="s">
        <v>3987</v>
      </c>
    </row>
    <row r="137">
      <c r="B137">
        <v>136</v>
      </c>
      <c r="C137" s="127" t="s">
        <v>4335</v>
      </c>
      <c r="D137" s="127" t="s">
        <v>4336</v>
      </c>
      <c r="E137" s="128" t="s">
        <v>3893</v>
      </c>
    </row>
    <row r="138">
      <c r="B138">
        <v>137</v>
      </c>
      <c r="C138" s="127" t="s">
        <v>4338</v>
      </c>
      <c r="D138" s="127" t="s">
        <v>4339</v>
      </c>
      <c r="E138" s="128" t="s">
        <v>3893</v>
      </c>
    </row>
    <row r="139">
      <c r="B139">
        <v>138</v>
      </c>
      <c r="C139" s="127" t="s">
        <v>4341</v>
      </c>
      <c r="D139" s="127" t="s">
        <v>4342</v>
      </c>
      <c r="E139" s="128" t="s">
        <v>3889</v>
      </c>
    </row>
    <row r="140">
      <c r="B140">
        <v>139</v>
      </c>
      <c r="C140" s="127" t="s">
        <v>4344</v>
      </c>
      <c r="D140" s="127" t="s">
        <v>4345</v>
      </c>
      <c r="E140" s="128" t="s">
        <v>4347</v>
      </c>
    </row>
    <row r="141">
      <c r="B141">
        <v>140</v>
      </c>
      <c r="C141" s="127" t="s">
        <v>4348</v>
      </c>
      <c r="D141" s="127" t="s">
        <v>4349</v>
      </c>
      <c r="E141" s="128" t="s">
        <v>3893</v>
      </c>
    </row>
    <row r="142">
      <c r="B142">
        <v>141</v>
      </c>
      <c r="C142" s="127" t="s">
        <v>4351</v>
      </c>
      <c r="D142" s="127" t="s">
        <v>4352</v>
      </c>
      <c r="E142" s="128" t="s">
        <v>3893</v>
      </c>
    </row>
    <row r="143">
      <c r="B143">
        <v>142</v>
      </c>
      <c r="C143" s="127" t="s">
        <v>4354</v>
      </c>
      <c r="D143" s="127" t="s">
        <v>4355</v>
      </c>
      <c r="E143" s="128" t="s">
        <v>3889</v>
      </c>
    </row>
    <row r="144">
      <c r="B144">
        <v>143</v>
      </c>
      <c r="C144" s="127" t="s">
        <v>4357</v>
      </c>
      <c r="D144" s="127" t="s">
        <v>4358</v>
      </c>
      <c r="E144" s="128" t="s">
        <v>3893</v>
      </c>
    </row>
    <row r="145">
      <c r="B145">
        <v>144</v>
      </c>
      <c r="C145" s="127" t="s">
        <v>4360</v>
      </c>
      <c r="D145" s="127" t="s">
        <v>4361</v>
      </c>
      <c r="E145" s="128" t="s">
        <v>4347</v>
      </c>
    </row>
    <row r="146">
      <c r="B146">
        <v>145</v>
      </c>
      <c r="C146" s="127" t="s">
        <v>4363</v>
      </c>
      <c r="D146" s="127" t="s">
        <v>4364</v>
      </c>
      <c r="E146" s="128" t="s">
        <v>4366</v>
      </c>
    </row>
    <row r="147">
      <c r="B147">
        <v>146</v>
      </c>
      <c r="C147" s="127" t="s">
        <v>4367</v>
      </c>
      <c r="D147" s="127" t="s">
        <v>4368</v>
      </c>
      <c r="E147" s="128" t="s">
        <v>4366</v>
      </c>
    </row>
    <row r="148">
      <c r="B148">
        <v>147</v>
      </c>
      <c r="C148" s="127" t="s">
        <v>4370</v>
      </c>
      <c r="D148" s="127" t="s">
        <v>4371</v>
      </c>
      <c r="E148" s="128" t="s">
        <v>4366</v>
      </c>
    </row>
    <row r="149">
      <c r="B149">
        <v>148</v>
      </c>
      <c r="C149" s="127" t="s">
        <v>4373</v>
      </c>
      <c r="D149" s="127" t="s">
        <v>4374</v>
      </c>
      <c r="E149" s="128" t="s">
        <v>4038</v>
      </c>
    </row>
    <row r="150">
      <c r="B150">
        <v>149</v>
      </c>
      <c r="C150" s="127" t="s">
        <v>4376</v>
      </c>
      <c r="D150" s="127" t="s">
        <v>4377</v>
      </c>
      <c r="E150" s="128" t="s">
        <v>4366</v>
      </c>
    </row>
    <row r="151">
      <c r="B151">
        <v>150</v>
      </c>
      <c r="C151" s="127" t="s">
        <v>4379</v>
      </c>
      <c r="D151" s="127" t="s">
        <v>4380</v>
      </c>
      <c r="E151" s="128" t="s">
        <v>4038</v>
      </c>
    </row>
    <row r="152">
      <c r="B152">
        <v>151</v>
      </c>
      <c r="C152" s="127" t="s">
        <v>4382</v>
      </c>
      <c r="D152" s="127" t="s">
        <v>4342</v>
      </c>
      <c r="E152" s="128" t="s">
        <v>4038</v>
      </c>
    </row>
    <row r="153">
      <c r="B153">
        <v>152</v>
      </c>
      <c r="C153" s="127" t="s">
        <v>4384</v>
      </c>
      <c r="D153" s="127" t="s">
        <v>4385</v>
      </c>
      <c r="E153" s="128" t="s">
        <v>3889</v>
      </c>
    </row>
    <row r="154">
      <c r="B154">
        <v>153</v>
      </c>
      <c r="C154" s="127" t="s">
        <v>4387</v>
      </c>
      <c r="D154" s="127" t="s">
        <v>4024</v>
      </c>
      <c r="E154" s="128" t="s">
        <v>4011</v>
      </c>
    </row>
    <row r="155">
      <c r="B155">
        <v>154</v>
      </c>
      <c r="C155" s="127" t="s">
        <v>4389</v>
      </c>
      <c r="D155" s="127" t="s">
        <v>4390</v>
      </c>
      <c r="E155" s="128" t="s">
        <v>3987</v>
      </c>
    </row>
    <row r="156">
      <c r="B156">
        <v>155</v>
      </c>
      <c r="C156" s="127" t="s">
        <v>4392</v>
      </c>
      <c r="D156" s="127" t="s">
        <v>4393</v>
      </c>
      <c r="E156" s="128" t="s">
        <v>4099</v>
      </c>
    </row>
    <row r="157">
      <c r="B157">
        <v>156</v>
      </c>
      <c r="C157" s="127" t="s">
        <v>4396</v>
      </c>
      <c r="D157" s="127" t="s">
        <v>4397</v>
      </c>
      <c r="E157" s="128" t="s">
        <v>4045</v>
      </c>
    </row>
    <row r="158">
      <c r="B158">
        <v>157</v>
      </c>
      <c r="C158" s="127" t="s">
        <v>4399</v>
      </c>
      <c r="D158" s="127" t="s">
        <v>4400</v>
      </c>
      <c r="E158" s="128" t="s">
        <v>4045</v>
      </c>
    </row>
    <row r="159">
      <c r="B159">
        <v>158</v>
      </c>
      <c r="C159" s="127" t="s">
        <v>4402</v>
      </c>
      <c r="D159" s="127" t="s">
        <v>4403</v>
      </c>
      <c r="E159" s="128" t="s">
        <v>4011</v>
      </c>
    </row>
    <row r="160">
      <c r="B160">
        <v>159</v>
      </c>
      <c r="C160" s="127" t="s">
        <v>4406</v>
      </c>
      <c r="D160" s="127" t="s">
        <v>4407</v>
      </c>
      <c r="E160" s="128" t="s">
        <v>3967</v>
      </c>
    </row>
    <row r="161">
      <c r="B161">
        <v>160</v>
      </c>
      <c r="C161" s="127" t="s">
        <v>4409</v>
      </c>
      <c r="D161" s="127" t="s">
        <v>4410</v>
      </c>
      <c r="E161" s="128" t="s">
        <v>4099</v>
      </c>
    </row>
    <row r="162">
      <c r="B162">
        <v>161</v>
      </c>
      <c r="C162" s="127" t="s">
        <v>4412</v>
      </c>
      <c r="D162" s="127" t="s">
        <v>4413</v>
      </c>
      <c r="E162" s="128" t="s">
        <v>4122</v>
      </c>
    </row>
    <row r="163">
      <c r="B163">
        <v>162</v>
      </c>
      <c r="C163" s="127" t="s">
        <v>4415</v>
      </c>
      <c r="D163" s="127" t="s">
        <v>4416</v>
      </c>
      <c r="E163" s="128" t="s">
        <v>4099</v>
      </c>
    </row>
    <row r="164">
      <c r="B164">
        <v>163</v>
      </c>
      <c r="C164" s="127" t="s">
        <v>4419</v>
      </c>
      <c r="D164" s="127" t="s">
        <v>4420</v>
      </c>
      <c r="E164" s="128" t="s">
        <v>3889</v>
      </c>
    </row>
    <row r="165">
      <c r="B165">
        <v>164</v>
      </c>
      <c r="C165" s="127" t="s">
        <v>4422</v>
      </c>
      <c r="D165" s="127" t="s">
        <v>4423</v>
      </c>
      <c r="E165" s="128" t="s">
        <v>4122</v>
      </c>
    </row>
    <row r="166">
      <c r="B166">
        <v>165</v>
      </c>
      <c r="C166" s="127" t="s">
        <v>4425</v>
      </c>
      <c r="D166" s="127" t="s">
        <v>4426</v>
      </c>
      <c r="E166" s="128" t="s">
        <v>4004</v>
      </c>
    </row>
    <row r="167">
      <c r="B167">
        <v>166</v>
      </c>
      <c r="C167" s="127" t="s">
        <v>4428</v>
      </c>
      <c r="D167" s="127" t="s">
        <v>4429</v>
      </c>
      <c r="E167" s="128" t="s">
        <v>4099</v>
      </c>
    </row>
    <row r="168">
      <c r="B168">
        <v>167</v>
      </c>
      <c r="C168" s="127" t="s">
        <v>4432</v>
      </c>
      <c r="D168" s="127" t="s">
        <v>4433</v>
      </c>
      <c r="E168" s="128" t="s">
        <v>4004</v>
      </c>
    </row>
    <row r="169">
      <c r="B169">
        <v>168</v>
      </c>
      <c r="C169" s="127" t="s">
        <v>4435</v>
      </c>
      <c r="D169" s="127" t="s">
        <v>4436</v>
      </c>
      <c r="E169" s="128" t="s">
        <v>4045</v>
      </c>
    </row>
    <row r="170">
      <c r="B170">
        <v>169</v>
      </c>
      <c r="C170" s="127" t="s">
        <v>1563</v>
      </c>
      <c r="D170" s="127" t="s">
        <v>1564</v>
      </c>
      <c r="E170" s="128" t="s">
        <v>4004</v>
      </c>
    </row>
    <row r="171">
      <c r="B171">
        <v>170</v>
      </c>
      <c r="C171" s="127" t="s">
        <v>4438</v>
      </c>
      <c r="D171" s="127" t="s">
        <v>4439</v>
      </c>
      <c r="E171" s="128" t="s">
        <v>4004</v>
      </c>
    </row>
    <row r="172">
      <c r="B172">
        <v>171</v>
      </c>
      <c r="C172" s="127" t="s">
        <v>4441</v>
      </c>
      <c r="D172" s="127" t="s">
        <v>4442</v>
      </c>
      <c r="E172" s="128" t="s">
        <v>4011</v>
      </c>
    </row>
    <row r="173">
      <c r="B173">
        <v>172</v>
      </c>
      <c r="C173" s="127" t="s">
        <v>4444</v>
      </c>
      <c r="D173" s="127" t="s">
        <v>4416</v>
      </c>
      <c r="E173" s="128" t="s">
        <v>4122</v>
      </c>
    </row>
    <row r="174">
      <c r="B174">
        <v>173</v>
      </c>
      <c r="C174" s="127" t="s">
        <v>4446</v>
      </c>
      <c r="D174" s="127" t="s">
        <v>4447</v>
      </c>
      <c r="E174" s="128" t="s">
        <v>4038</v>
      </c>
    </row>
    <row r="175">
      <c r="B175">
        <v>174</v>
      </c>
      <c r="C175" s="127" t="s">
        <v>4449</v>
      </c>
      <c r="D175" s="127" t="s">
        <v>4450</v>
      </c>
      <c r="E175" s="128" t="s">
        <v>4004</v>
      </c>
    </row>
    <row r="176">
      <c r="B176">
        <v>175</v>
      </c>
      <c r="C176" s="127" t="s">
        <v>4452</v>
      </c>
      <c r="D176" s="127" t="s">
        <v>4453</v>
      </c>
      <c r="E176" s="128" t="s">
        <v>4033</v>
      </c>
    </row>
    <row r="177">
      <c r="B177">
        <v>176</v>
      </c>
      <c r="C177" s="127" t="s">
        <v>4455</v>
      </c>
      <c r="D177" s="127" t="s">
        <v>4456</v>
      </c>
      <c r="E177" s="128" t="s">
        <v>3987</v>
      </c>
    </row>
    <row r="178">
      <c r="B178">
        <v>177</v>
      </c>
      <c r="C178" s="127" t="s">
        <v>4458</v>
      </c>
      <c r="D178" s="127" t="s">
        <v>4459</v>
      </c>
      <c r="E178" s="128" t="s">
        <v>3987</v>
      </c>
    </row>
    <row r="179">
      <c r="B179">
        <v>178</v>
      </c>
      <c r="C179" s="127" t="s">
        <v>4461</v>
      </c>
      <c r="D179" s="127" t="s">
        <v>4462</v>
      </c>
      <c r="E179" s="128" t="s">
        <v>4038</v>
      </c>
    </row>
    <row r="180">
      <c r="B180">
        <v>179</v>
      </c>
      <c r="C180" s="127" t="s">
        <v>4464</v>
      </c>
      <c r="D180" s="127" t="s">
        <v>4465</v>
      </c>
      <c r="E180" s="128" t="s">
        <v>4045</v>
      </c>
    </row>
    <row r="181">
      <c r="B181">
        <v>180</v>
      </c>
      <c r="C181" s="127" t="s">
        <v>4466</v>
      </c>
      <c r="D181" s="127" t="s">
        <v>4467</v>
      </c>
      <c r="E181" s="128" t="s">
        <v>4210</v>
      </c>
    </row>
    <row r="182">
      <c r="B182">
        <v>181</v>
      </c>
      <c r="C182" s="127" t="s">
        <v>4470</v>
      </c>
      <c r="D182" s="127" t="s">
        <v>4471</v>
      </c>
      <c r="E182" s="128" t="s">
        <v>4004</v>
      </c>
    </row>
    <row r="183">
      <c r="B183">
        <v>182</v>
      </c>
      <c r="C183" s="127" t="s">
        <v>4473</v>
      </c>
      <c r="D183" s="127" t="s">
        <v>4474</v>
      </c>
      <c r="E183" s="128" t="s">
        <v>4210</v>
      </c>
    </row>
    <row r="184">
      <c r="B184">
        <v>183</v>
      </c>
      <c r="C184" s="127" t="s">
        <v>4476</v>
      </c>
      <c r="D184" s="127" t="s">
        <v>2477</v>
      </c>
      <c r="E184" s="128" t="s">
        <v>3893</v>
      </c>
    </row>
    <row r="185">
      <c r="B185">
        <v>184</v>
      </c>
      <c r="C185" s="127" t="s">
        <v>4478</v>
      </c>
      <c r="D185" s="127" t="s">
        <v>4479</v>
      </c>
      <c r="E185" s="128" t="s">
        <v>4038</v>
      </c>
    </row>
    <row r="186">
      <c r="B186">
        <v>185</v>
      </c>
      <c r="C186" s="127" t="s">
        <v>4481</v>
      </c>
      <c r="D186" s="127" t="s">
        <v>4482</v>
      </c>
      <c r="E186" s="128" t="s">
        <v>4038</v>
      </c>
    </row>
    <row r="187">
      <c r="B187">
        <v>186</v>
      </c>
      <c r="C187" s="127" t="s">
        <v>4484</v>
      </c>
      <c r="D187" s="127" t="s">
        <v>4485</v>
      </c>
      <c r="E187" s="128" t="s">
        <v>4011</v>
      </c>
    </row>
    <row r="188">
      <c r="B188">
        <v>187</v>
      </c>
      <c r="C188" s="127" t="s">
        <v>4487</v>
      </c>
      <c r="D188" s="127" t="s">
        <v>4488</v>
      </c>
      <c r="E188" s="128" t="s">
        <v>3967</v>
      </c>
    </row>
    <row r="189">
      <c r="B189">
        <v>188</v>
      </c>
      <c r="C189" s="127" t="s">
        <v>4490</v>
      </c>
      <c r="D189" s="127" t="s">
        <v>4491</v>
      </c>
      <c r="E189" s="128" t="s">
        <v>4366</v>
      </c>
    </row>
    <row r="190">
      <c r="B190">
        <v>189</v>
      </c>
      <c r="C190" s="127" t="s">
        <v>2685</v>
      </c>
      <c r="D190" s="127" t="s">
        <v>2686</v>
      </c>
      <c r="E190" s="128" t="s">
        <v>2291</v>
      </c>
    </row>
    <row r="191">
      <c r="B191">
        <v>190</v>
      </c>
      <c r="C191" s="127" t="s">
        <v>4493</v>
      </c>
      <c r="D191" s="127" t="s">
        <v>4494</v>
      </c>
      <c r="E191" s="128" t="s">
        <v>3987</v>
      </c>
    </row>
    <row r="192">
      <c r="B192">
        <v>191</v>
      </c>
      <c r="C192" s="127" t="s">
        <v>4496</v>
      </c>
      <c r="D192" s="127" t="s">
        <v>4497</v>
      </c>
      <c r="E192" s="128" t="s">
        <v>3967</v>
      </c>
    </row>
    <row r="193">
      <c r="B193">
        <v>192</v>
      </c>
      <c r="C193" s="127" t="s">
        <v>4499</v>
      </c>
      <c r="D193" s="127" t="s">
        <v>4500</v>
      </c>
      <c r="E193" s="128" t="s">
        <v>4011</v>
      </c>
    </row>
    <row r="194">
      <c r="B194">
        <v>193</v>
      </c>
      <c r="C194" s="127" t="s">
        <v>4502</v>
      </c>
      <c r="D194" s="127" t="s">
        <v>4503</v>
      </c>
      <c r="E194" s="128" t="s">
        <v>4298</v>
      </c>
    </row>
    <row r="195">
      <c r="B195">
        <v>194</v>
      </c>
      <c r="C195" s="127" t="s">
        <v>4505</v>
      </c>
      <c r="D195" s="127" t="s">
        <v>4506</v>
      </c>
      <c r="E195" s="128" t="s">
        <v>4210</v>
      </c>
    </row>
    <row r="196">
      <c r="B196">
        <v>195</v>
      </c>
      <c r="C196" s="127" t="s">
        <v>4508</v>
      </c>
      <c r="D196" s="127" t="s">
        <v>4509</v>
      </c>
      <c r="E196" s="128" t="s">
        <v>3893</v>
      </c>
    </row>
    <row r="197">
      <c r="B197">
        <v>196</v>
      </c>
      <c r="C197" s="127" t="s">
        <v>4511</v>
      </c>
      <c r="D197" s="127" t="s">
        <v>4512</v>
      </c>
      <c r="E197" s="128" t="s">
        <v>3889</v>
      </c>
    </row>
    <row r="198">
      <c r="B198">
        <v>197</v>
      </c>
      <c r="C198" s="127" t="s">
        <v>4514</v>
      </c>
      <c r="D198" s="127" t="s">
        <v>4515</v>
      </c>
      <c r="E198" s="128" t="s">
        <v>3893</v>
      </c>
    </row>
    <row r="199">
      <c r="B199">
        <v>198</v>
      </c>
      <c r="C199" s="127" t="s">
        <v>4517</v>
      </c>
      <c r="D199" s="127" t="s">
        <v>4518</v>
      </c>
      <c r="E199" s="128" t="s">
        <v>4038</v>
      </c>
    </row>
    <row r="200">
      <c r="B200">
        <v>199</v>
      </c>
      <c r="C200" s="127" t="s">
        <v>4520</v>
      </c>
      <c r="D200" s="127" t="s">
        <v>4521</v>
      </c>
      <c r="E200" s="128" t="s">
        <v>4122</v>
      </c>
    </row>
    <row r="201">
      <c r="B201">
        <v>200</v>
      </c>
      <c r="C201" s="127" t="s">
        <v>4523</v>
      </c>
      <c r="D201" s="127" t="s">
        <v>4524</v>
      </c>
      <c r="E201" s="128" t="s">
        <v>4011</v>
      </c>
    </row>
    <row r="202">
      <c r="B202">
        <v>201</v>
      </c>
      <c r="C202" s="127" t="s">
        <v>4526</v>
      </c>
      <c r="D202" s="127" t="s">
        <v>4527</v>
      </c>
      <c r="E202" s="128" t="s">
        <v>4122</v>
      </c>
    </row>
    <row r="203">
      <c r="B203">
        <v>202</v>
      </c>
      <c r="C203" s="127" t="s">
        <v>4529</v>
      </c>
      <c r="D203" s="127" t="s">
        <v>4530</v>
      </c>
      <c r="E203" s="128" t="s">
        <v>4099</v>
      </c>
    </row>
    <row r="204">
      <c r="B204">
        <v>203</v>
      </c>
      <c r="C204" s="127" t="s">
        <v>4533</v>
      </c>
      <c r="D204" s="127" t="s">
        <v>4534</v>
      </c>
      <c r="E204" s="128" t="s">
        <v>4366</v>
      </c>
    </row>
    <row r="205">
      <c r="B205">
        <v>204</v>
      </c>
      <c r="C205" s="127" t="s">
        <v>4536</v>
      </c>
      <c r="D205" s="127" t="s">
        <v>4537</v>
      </c>
      <c r="E205" s="128" t="s">
        <v>3893</v>
      </c>
    </row>
    <row r="206">
      <c r="B206">
        <v>205</v>
      </c>
      <c r="C206" s="127" t="s">
        <v>4539</v>
      </c>
      <c r="D206" s="127" t="s">
        <v>4540</v>
      </c>
      <c r="E206" s="128" t="s">
        <v>4004</v>
      </c>
    </row>
    <row r="207">
      <c r="B207">
        <v>206</v>
      </c>
      <c r="C207" s="127" t="s">
        <v>4542</v>
      </c>
      <c r="D207" s="127" t="s">
        <v>4543</v>
      </c>
      <c r="E207" s="128" t="s">
        <v>4011</v>
      </c>
    </row>
    <row r="208">
      <c r="B208">
        <v>207</v>
      </c>
      <c r="C208" s="127" t="s">
        <v>4545</v>
      </c>
      <c r="D208" s="127" t="s">
        <v>4546</v>
      </c>
      <c r="E208" s="128" t="s">
        <v>4122</v>
      </c>
    </row>
    <row r="209">
      <c r="B209">
        <v>208</v>
      </c>
      <c r="C209" s="127" t="s">
        <v>4548</v>
      </c>
      <c r="D209" s="127" t="s">
        <v>4549</v>
      </c>
      <c r="E209" s="128" t="s">
        <v>4122</v>
      </c>
    </row>
    <row r="210">
      <c r="B210">
        <v>209</v>
      </c>
      <c r="C210" s="127" t="s">
        <v>4551</v>
      </c>
      <c r="D210" s="127" t="s">
        <v>4552</v>
      </c>
      <c r="E210" s="128" t="s">
        <v>4011</v>
      </c>
    </row>
    <row r="211">
      <c r="B211">
        <v>210</v>
      </c>
      <c r="C211" s="127" t="s">
        <v>4556</v>
      </c>
      <c r="D211" s="127" t="s">
        <v>4557</v>
      </c>
      <c r="E211" s="128" t="s">
        <v>4016</v>
      </c>
    </row>
    <row r="212">
      <c r="B212">
        <v>211</v>
      </c>
      <c r="C212" s="127" t="s">
        <v>4559</v>
      </c>
      <c r="D212" s="127" t="s">
        <v>4560</v>
      </c>
      <c r="E212" s="128" t="s">
        <v>4016</v>
      </c>
    </row>
    <row r="213">
      <c r="B213">
        <v>212</v>
      </c>
      <c r="C213" s="127" t="s">
        <v>4562</v>
      </c>
      <c r="D213" s="127" t="s">
        <v>4563</v>
      </c>
      <c r="E213" s="128" t="s">
        <v>4298</v>
      </c>
    </row>
    <row r="214">
      <c r="B214">
        <v>213</v>
      </c>
      <c r="C214" s="127" t="s">
        <v>4565</v>
      </c>
      <c r="D214" s="127" t="s">
        <v>4566</v>
      </c>
      <c r="E214" s="128" t="s">
        <v>4045</v>
      </c>
    </row>
    <row r="215">
      <c r="B215">
        <v>214</v>
      </c>
      <c r="C215" s="127" t="s">
        <v>4568</v>
      </c>
      <c r="D215" s="127" t="s">
        <v>4569</v>
      </c>
      <c r="E215" s="128" t="s">
        <v>4366</v>
      </c>
    </row>
    <row r="216">
      <c r="B216">
        <v>215</v>
      </c>
      <c r="C216" s="127" t="s">
        <v>4571</v>
      </c>
      <c r="D216" s="127" t="s">
        <v>4572</v>
      </c>
      <c r="E216" s="128" t="s">
        <v>3987</v>
      </c>
    </row>
    <row r="217">
      <c r="B217">
        <v>216</v>
      </c>
      <c r="C217" s="127" t="s">
        <v>4574</v>
      </c>
      <c r="D217" s="127" t="s">
        <v>4575</v>
      </c>
      <c r="E217" s="128" t="s">
        <v>3987</v>
      </c>
    </row>
    <row r="218">
      <c r="B218">
        <v>217</v>
      </c>
      <c r="C218" s="127" t="s">
        <v>4577</v>
      </c>
      <c r="D218" s="127" t="s">
        <v>4578</v>
      </c>
      <c r="E218" s="128" t="s">
        <v>4004</v>
      </c>
    </row>
    <row r="219">
      <c r="B219">
        <v>218</v>
      </c>
      <c r="C219" s="127" t="s">
        <v>4580</v>
      </c>
      <c r="D219" s="127" t="s">
        <v>4581</v>
      </c>
      <c r="E219" s="128" t="s">
        <v>3967</v>
      </c>
    </row>
    <row r="220">
      <c r="B220">
        <v>219</v>
      </c>
      <c r="C220" s="127" t="s">
        <v>4583</v>
      </c>
      <c r="D220" s="127" t="s">
        <v>4584</v>
      </c>
      <c r="E220" s="128" t="s">
        <v>4122</v>
      </c>
    </row>
    <row r="221">
      <c r="B221">
        <v>220</v>
      </c>
      <c r="C221" s="127" t="s">
        <v>4586</v>
      </c>
      <c r="D221" s="127" t="s">
        <v>4587</v>
      </c>
      <c r="E221" s="128" t="s">
        <v>3987</v>
      </c>
    </row>
    <row r="222">
      <c r="B222">
        <v>221</v>
      </c>
      <c r="C222" s="127" t="s">
        <v>4589</v>
      </c>
      <c r="D222" s="127" t="s">
        <v>4590</v>
      </c>
      <c r="E222" s="128" t="s">
        <v>4004</v>
      </c>
    </row>
    <row r="223">
      <c r="B223">
        <v>222</v>
      </c>
      <c r="C223" s="127" t="s">
        <v>4592</v>
      </c>
      <c r="D223" s="127" t="s">
        <v>4593</v>
      </c>
      <c r="E223" s="128" t="s">
        <v>4045</v>
      </c>
    </row>
    <row r="224">
      <c r="B224">
        <v>223</v>
      </c>
      <c r="C224" s="127" t="s">
        <v>4595</v>
      </c>
      <c r="D224" s="127" t="s">
        <v>4596</v>
      </c>
      <c r="E224" s="128" t="s">
        <v>4011</v>
      </c>
    </row>
    <row r="225">
      <c r="B225">
        <v>224</v>
      </c>
      <c r="C225" s="127" t="s">
        <v>4598</v>
      </c>
      <c r="D225" s="127" t="s">
        <v>4599</v>
      </c>
      <c r="E225" s="128" t="s">
        <v>4298</v>
      </c>
    </row>
    <row r="226">
      <c r="B226">
        <v>225</v>
      </c>
      <c r="C226" s="127" t="s">
        <v>4601</v>
      </c>
      <c r="D226" s="127" t="s">
        <v>4602</v>
      </c>
      <c r="E226" s="128" t="s">
        <v>4122</v>
      </c>
    </row>
    <row r="227">
      <c r="B227">
        <v>226</v>
      </c>
      <c r="C227" s="127" t="s">
        <v>4604</v>
      </c>
      <c r="D227" s="127" t="s">
        <v>4605</v>
      </c>
      <c r="E227" s="128" t="s">
        <v>4298</v>
      </c>
    </row>
    <row r="228">
      <c r="B228">
        <v>227</v>
      </c>
      <c r="C228" s="127" t="s">
        <v>4607</v>
      </c>
      <c r="D228" s="127" t="s">
        <v>4608</v>
      </c>
      <c r="E228" s="128" t="s">
        <v>4033</v>
      </c>
    </row>
    <row r="229">
      <c r="B229">
        <v>228</v>
      </c>
      <c r="C229" s="127" t="s">
        <v>4610</v>
      </c>
      <c r="D229" s="127" t="s">
        <v>4611</v>
      </c>
      <c r="E229" s="128" t="s">
        <v>2291</v>
      </c>
    </row>
    <row r="230">
      <c r="B230">
        <v>229</v>
      </c>
      <c r="C230" s="127" t="s">
        <v>4613</v>
      </c>
      <c r="D230" s="127" t="s">
        <v>4614</v>
      </c>
      <c r="E230" s="128" t="s">
        <v>4298</v>
      </c>
    </row>
    <row r="231">
      <c r="B231">
        <v>230</v>
      </c>
      <c r="C231" s="127" t="s">
        <v>4616</v>
      </c>
      <c r="D231" s="127" t="s">
        <v>368</v>
      </c>
      <c r="E231" s="128" t="s">
        <v>4038</v>
      </c>
    </row>
    <row r="232">
      <c r="B232">
        <v>231</v>
      </c>
      <c r="C232" s="127" t="s">
        <v>4618</v>
      </c>
      <c r="D232" s="127" t="s">
        <v>4619</v>
      </c>
      <c r="E232" s="128" t="s">
        <v>4298</v>
      </c>
    </row>
    <row r="233">
      <c r="B233">
        <v>232</v>
      </c>
      <c r="C233" s="127" t="s">
        <v>4621</v>
      </c>
      <c r="D233" s="127" t="s">
        <v>4622</v>
      </c>
      <c r="E233" s="128" t="s">
        <v>4298</v>
      </c>
    </row>
    <row r="234">
      <c r="B234">
        <v>233</v>
      </c>
      <c r="C234" s="127" t="s">
        <v>4624</v>
      </c>
      <c r="D234" s="127" t="s">
        <v>4625</v>
      </c>
      <c r="E234" s="128" t="s">
        <v>4347</v>
      </c>
    </row>
    <row r="235">
      <c r="B235">
        <v>234</v>
      </c>
      <c r="C235" s="127" t="s">
        <v>4627</v>
      </c>
      <c r="D235" s="127" t="s">
        <v>4628</v>
      </c>
      <c r="E235" s="128" t="s">
        <v>4033</v>
      </c>
    </row>
    <row r="236">
      <c r="B236">
        <v>235</v>
      </c>
      <c r="C236" s="127" t="s">
        <v>4630</v>
      </c>
      <c r="D236" s="127" t="s">
        <v>4631</v>
      </c>
      <c r="E236" s="128" t="s">
        <v>4347</v>
      </c>
    </row>
    <row r="237">
      <c r="B237">
        <v>236</v>
      </c>
      <c r="C237" s="127" t="s">
        <v>4633</v>
      </c>
      <c r="D237" s="127" t="s">
        <v>4634</v>
      </c>
      <c r="E237" s="128" t="s">
        <v>4347</v>
      </c>
    </row>
    <row r="238">
      <c r="B238">
        <v>237</v>
      </c>
      <c r="C238" s="127" t="s">
        <v>4636</v>
      </c>
      <c r="D238" s="127" t="s">
        <v>4637</v>
      </c>
      <c r="E238" s="128" t="s">
        <v>4347</v>
      </c>
    </row>
    <row r="239">
      <c r="B239">
        <v>238</v>
      </c>
      <c r="C239" s="127" t="s">
        <v>4639</v>
      </c>
      <c r="D239" s="127" t="s">
        <v>4640</v>
      </c>
      <c r="E239" s="128" t="s">
        <v>4038</v>
      </c>
    </row>
    <row r="240">
      <c r="B240">
        <v>239</v>
      </c>
      <c r="C240" s="127" t="s">
        <v>4642</v>
      </c>
      <c r="D240" s="127" t="s">
        <v>4643</v>
      </c>
      <c r="E240" s="128" t="s">
        <v>4045</v>
      </c>
    </row>
    <row r="241">
      <c r="B241">
        <v>240</v>
      </c>
      <c r="C241" s="127" t="s">
        <v>4645</v>
      </c>
      <c r="D241" s="127" t="s">
        <v>4646</v>
      </c>
      <c r="E241" s="128" t="s">
        <v>4033</v>
      </c>
    </row>
    <row r="242">
      <c r="B242">
        <v>241</v>
      </c>
      <c r="C242" s="127" t="s">
        <v>4648</v>
      </c>
      <c r="D242" s="127" t="s">
        <v>4649</v>
      </c>
      <c r="E242" s="128" t="s">
        <v>4210</v>
      </c>
    </row>
    <row r="243">
      <c r="B243">
        <v>242</v>
      </c>
      <c r="C243" s="127" t="s">
        <v>4651</v>
      </c>
      <c r="D243" s="127" t="s">
        <v>4652</v>
      </c>
      <c r="E243" s="128" t="s">
        <v>4298</v>
      </c>
    </row>
    <row r="244">
      <c r="B244">
        <v>243</v>
      </c>
      <c r="C244" s="127" t="s">
        <v>4654</v>
      </c>
      <c r="D244" s="127" t="s">
        <v>4655</v>
      </c>
      <c r="E244" s="128" t="s">
        <v>4298</v>
      </c>
    </row>
    <row r="245">
      <c r="B245">
        <v>244</v>
      </c>
      <c r="C245" s="127" t="s">
        <v>4657</v>
      </c>
      <c r="D245" s="127" t="s">
        <v>4658</v>
      </c>
      <c r="E245" s="128" t="s">
        <v>4038</v>
      </c>
    </row>
    <row r="246">
      <c r="B246">
        <v>245</v>
      </c>
      <c r="C246" s="127" t="s">
        <v>4660</v>
      </c>
      <c r="D246" s="127" t="s">
        <v>4661</v>
      </c>
      <c r="E246" s="128" t="s">
        <v>4366</v>
      </c>
    </row>
    <row r="247">
      <c r="B247">
        <v>246</v>
      </c>
      <c r="C247" s="127" t="s">
        <v>4663</v>
      </c>
      <c r="D247" s="127" t="s">
        <v>4664</v>
      </c>
      <c r="E247" s="128" t="s">
        <v>3987</v>
      </c>
    </row>
    <row r="248">
      <c r="B248">
        <v>247</v>
      </c>
      <c r="C248" s="127" t="s">
        <v>4666</v>
      </c>
      <c r="D248" s="127" t="s">
        <v>4667</v>
      </c>
      <c r="E248" s="128" t="s">
        <v>3987</v>
      </c>
    </row>
    <row r="249">
      <c r="B249">
        <v>248</v>
      </c>
      <c r="C249" s="127" t="s">
        <v>4669</v>
      </c>
      <c r="D249" s="127" t="s">
        <v>4670</v>
      </c>
      <c r="E249" s="128" t="s">
        <v>4011</v>
      </c>
    </row>
    <row r="250">
      <c r="B250">
        <v>249</v>
      </c>
      <c r="C250" s="127" t="s">
        <v>4672</v>
      </c>
      <c r="D250" s="127" t="s">
        <v>4673</v>
      </c>
      <c r="E250" s="128" t="s">
        <v>3987</v>
      </c>
    </row>
    <row r="251">
      <c r="B251">
        <v>250</v>
      </c>
      <c r="C251" s="127" t="s">
        <v>4675</v>
      </c>
      <c r="D251" s="127" t="s">
        <v>4676</v>
      </c>
      <c r="E251" s="128" t="s">
        <v>4045</v>
      </c>
    </row>
    <row r="252">
      <c r="B252">
        <v>251</v>
      </c>
      <c r="C252" s="127" t="s">
        <v>4678</v>
      </c>
      <c r="D252" s="127" t="s">
        <v>4679</v>
      </c>
      <c r="E252" s="128" t="s">
        <v>3987</v>
      </c>
    </row>
    <row r="253">
      <c r="B253">
        <v>252</v>
      </c>
      <c r="C253" s="127" t="s">
        <v>4681</v>
      </c>
      <c r="D253" s="127" t="s">
        <v>4188</v>
      </c>
      <c r="E253" s="128" t="s">
        <v>4122</v>
      </c>
    </row>
    <row r="254">
      <c r="B254">
        <v>253</v>
      </c>
      <c r="C254" s="127" t="s">
        <v>4683</v>
      </c>
      <c r="D254" s="127" t="s">
        <v>4684</v>
      </c>
      <c r="E254" s="128" t="s">
        <v>4099</v>
      </c>
    </row>
    <row r="255">
      <c r="B255">
        <v>254</v>
      </c>
      <c r="C255" s="127" t="s">
        <v>4687</v>
      </c>
      <c r="D255" s="127" t="s">
        <v>4688</v>
      </c>
      <c r="E255" s="128" t="s">
        <v>4122</v>
      </c>
    </row>
    <row r="256">
      <c r="B256">
        <v>255</v>
      </c>
      <c r="C256" s="127" t="s">
        <v>4690</v>
      </c>
      <c r="D256" s="127" t="s">
        <v>4691</v>
      </c>
      <c r="E256" s="128" t="s">
        <v>4011</v>
      </c>
    </row>
    <row r="257">
      <c r="B257">
        <v>256</v>
      </c>
      <c r="C257" s="127" t="s">
        <v>4693</v>
      </c>
      <c r="D257" s="127" t="s">
        <v>4694</v>
      </c>
      <c r="E257" s="128" t="s">
        <v>3893</v>
      </c>
    </row>
    <row r="258">
      <c r="B258">
        <v>257</v>
      </c>
      <c r="C258" s="127" t="s">
        <v>4696</v>
      </c>
      <c r="D258" s="127" t="s">
        <v>4697</v>
      </c>
      <c r="E258" s="128" t="s">
        <v>3967</v>
      </c>
    </row>
    <row r="259">
      <c r="B259">
        <v>258</v>
      </c>
      <c r="C259" s="127" t="s">
        <v>4699</v>
      </c>
      <c r="D259" s="127" t="s">
        <v>4700</v>
      </c>
      <c r="E259" s="128" t="s">
        <v>3967</v>
      </c>
    </row>
    <row r="260">
      <c r="B260">
        <v>259</v>
      </c>
      <c r="C260" s="127" t="s">
        <v>4702</v>
      </c>
      <c r="D260" s="127" t="s">
        <v>4703</v>
      </c>
      <c r="E260" s="128" t="s">
        <v>3967</v>
      </c>
    </row>
    <row r="261">
      <c r="B261">
        <v>260</v>
      </c>
      <c r="C261" s="127" t="s">
        <v>4705</v>
      </c>
      <c r="D261" s="127" t="s">
        <v>4706</v>
      </c>
      <c r="E261" s="128" t="s">
        <v>4033</v>
      </c>
    </row>
    <row r="262">
      <c r="B262">
        <v>261</v>
      </c>
      <c r="C262" s="127" t="s">
        <v>4708</v>
      </c>
      <c r="D262" s="127" t="s">
        <v>4628</v>
      </c>
      <c r="E262" s="128" t="s">
        <v>4033</v>
      </c>
    </row>
    <row r="263">
      <c r="B263">
        <v>262</v>
      </c>
      <c r="C263" s="127" t="s">
        <v>4710</v>
      </c>
      <c r="D263" s="127" t="s">
        <v>4711</v>
      </c>
      <c r="E263" s="128" t="s">
        <v>4122</v>
      </c>
    </row>
    <row r="264">
      <c r="B264">
        <v>263</v>
      </c>
      <c r="C264" s="127" t="s">
        <v>4713</v>
      </c>
      <c r="D264" s="127" t="s">
        <v>4714</v>
      </c>
      <c r="E264" s="128" t="s">
        <v>4004</v>
      </c>
    </row>
    <row r="265">
      <c r="B265">
        <v>264</v>
      </c>
      <c r="C265" s="127" t="s">
        <v>4716</v>
      </c>
      <c r="D265" s="127" t="s">
        <v>4717</v>
      </c>
      <c r="E265" s="128" t="s">
        <v>4004</v>
      </c>
    </row>
    <row r="266">
      <c r="B266">
        <v>265</v>
      </c>
      <c r="C266" s="127" t="s">
        <v>4719</v>
      </c>
      <c r="D266" s="127" t="s">
        <v>4720</v>
      </c>
      <c r="E266" s="128" t="s">
        <v>4210</v>
      </c>
    </row>
    <row r="267">
      <c r="B267">
        <v>266</v>
      </c>
      <c r="C267" s="127" t="s">
        <v>4723</v>
      </c>
      <c r="D267" s="127" t="s">
        <v>4724</v>
      </c>
      <c r="E267" s="128" t="s">
        <v>4045</v>
      </c>
    </row>
    <row r="268">
      <c r="B268">
        <v>267</v>
      </c>
      <c r="C268" s="127" t="s">
        <v>4726</v>
      </c>
      <c r="D268" s="127" t="s">
        <v>4727</v>
      </c>
      <c r="E268" s="128" t="s">
        <v>4045</v>
      </c>
    </row>
    <row r="269">
      <c r="B269">
        <v>268</v>
      </c>
      <c r="C269" s="127" t="s">
        <v>4729</v>
      </c>
      <c r="D269" s="127" t="s">
        <v>4730</v>
      </c>
      <c r="E269" s="128" t="s">
        <v>4011</v>
      </c>
    </row>
    <row r="270">
      <c r="B270">
        <v>269</v>
      </c>
      <c r="C270" s="127" t="s">
        <v>4733</v>
      </c>
      <c r="D270" s="127" t="s">
        <v>3956</v>
      </c>
      <c r="E270" s="128" t="s">
        <v>4011</v>
      </c>
    </row>
    <row r="271">
      <c r="B271">
        <v>270</v>
      </c>
      <c r="C271" s="127" t="s">
        <v>4735</v>
      </c>
      <c r="D271" s="127" t="s">
        <v>4736</v>
      </c>
      <c r="E271" s="128" t="s">
        <v>3987</v>
      </c>
    </row>
    <row r="272">
      <c r="B272">
        <v>271</v>
      </c>
      <c r="C272" s="127" t="s">
        <v>4738</v>
      </c>
      <c r="D272" s="127" t="s">
        <v>4739</v>
      </c>
      <c r="E272" s="128" t="s">
        <v>4347</v>
      </c>
    </row>
    <row r="273">
      <c r="B273">
        <v>272</v>
      </c>
      <c r="C273" s="127" t="s">
        <v>4741</v>
      </c>
      <c r="D273" s="127" t="s">
        <v>4742</v>
      </c>
      <c r="E273" s="128" t="s">
        <v>4045</v>
      </c>
    </row>
    <row r="274">
      <c r="B274">
        <v>273</v>
      </c>
      <c r="C274" s="127" t="s">
        <v>4744</v>
      </c>
      <c r="D274" s="127" t="s">
        <v>3956</v>
      </c>
      <c r="E274" s="128" t="s">
        <v>4045</v>
      </c>
    </row>
    <row r="275">
      <c r="B275">
        <v>274</v>
      </c>
      <c r="C275" s="127" t="s">
        <v>4746</v>
      </c>
      <c r="D275" s="127" t="s">
        <v>4747</v>
      </c>
      <c r="E275" s="128" t="s">
        <v>3889</v>
      </c>
    </row>
    <row r="276">
      <c r="B276">
        <v>275</v>
      </c>
      <c r="C276" s="127" t="s">
        <v>4749</v>
      </c>
      <c r="D276" s="127" t="s">
        <v>4750</v>
      </c>
      <c r="E276" s="128" t="s">
        <v>3889</v>
      </c>
    </row>
    <row r="277">
      <c r="B277">
        <v>276</v>
      </c>
      <c r="C277" s="127" t="s">
        <v>4752</v>
      </c>
      <c r="D277" s="127" t="s">
        <v>4753</v>
      </c>
      <c r="E277" s="128" t="s">
        <v>4347</v>
      </c>
    </row>
    <row r="278">
      <c r="B278">
        <v>277</v>
      </c>
      <c r="C278" s="127" t="s">
        <v>4755</v>
      </c>
      <c r="D278" s="127" t="s">
        <v>4756</v>
      </c>
      <c r="E278" s="128" t="s">
        <v>4045</v>
      </c>
    </row>
    <row r="279">
      <c r="B279">
        <v>278</v>
      </c>
      <c r="C279" s="127" t="s">
        <v>4758</v>
      </c>
      <c r="D279" s="127" t="s">
        <v>4759</v>
      </c>
      <c r="E279" s="128" t="s">
        <v>3987</v>
      </c>
    </row>
    <row r="280">
      <c r="B280">
        <v>279</v>
      </c>
      <c r="C280" s="127" t="s">
        <v>4761</v>
      </c>
      <c r="D280" s="127" t="s">
        <v>4762</v>
      </c>
      <c r="E280" s="128" t="s">
        <v>3987</v>
      </c>
    </row>
    <row r="281">
      <c r="B281">
        <v>280</v>
      </c>
      <c r="C281" s="127" t="s">
        <v>4764</v>
      </c>
      <c r="D281" s="127" t="s">
        <v>4765</v>
      </c>
      <c r="E281" s="128" t="s">
        <v>4347</v>
      </c>
    </row>
    <row r="282">
      <c r="B282">
        <v>281</v>
      </c>
      <c r="C282" s="127" t="s">
        <v>4767</v>
      </c>
      <c r="D282" s="127" t="s">
        <v>4768</v>
      </c>
      <c r="E282" s="128" t="s">
        <v>4347</v>
      </c>
    </row>
    <row r="283">
      <c r="B283">
        <v>282</v>
      </c>
      <c r="C283" s="127" t="s">
        <v>4770</v>
      </c>
      <c r="D283" s="127" t="s">
        <v>4771</v>
      </c>
      <c r="E283" s="128" t="s">
        <v>3967</v>
      </c>
    </row>
    <row r="284">
      <c r="B284">
        <v>283</v>
      </c>
      <c r="C284" s="127" t="s">
        <v>4773</v>
      </c>
      <c r="D284" s="127" t="s">
        <v>3956</v>
      </c>
      <c r="E284" s="128" t="s">
        <v>4045</v>
      </c>
    </row>
    <row r="285">
      <c r="B285">
        <v>284</v>
      </c>
      <c r="C285" s="127" t="s">
        <v>4775</v>
      </c>
      <c r="D285" s="127" t="s">
        <v>3956</v>
      </c>
      <c r="E285" s="128" t="s">
        <v>4045</v>
      </c>
    </row>
    <row r="286">
      <c r="B286">
        <v>285</v>
      </c>
      <c r="C286" s="127" t="s">
        <v>4777</v>
      </c>
      <c r="D286" s="127" t="s">
        <v>4778</v>
      </c>
      <c r="E286" s="128" t="s">
        <v>4347</v>
      </c>
    </row>
    <row r="287">
      <c r="B287">
        <v>286</v>
      </c>
      <c r="C287" s="127" t="s">
        <v>4780</v>
      </c>
      <c r="D287" s="127" t="s">
        <v>4781</v>
      </c>
      <c r="E287" s="128" t="s">
        <v>4347</v>
      </c>
    </row>
    <row r="288">
      <c r="B288">
        <v>287</v>
      </c>
      <c r="C288" s="127" t="s">
        <v>4783</v>
      </c>
      <c r="D288" s="127" t="s">
        <v>4784</v>
      </c>
      <c r="E288" s="128" t="s">
        <v>3967</v>
      </c>
    </row>
    <row r="289">
      <c r="B289">
        <v>288</v>
      </c>
      <c r="C289" s="127" t="s">
        <v>4786</v>
      </c>
      <c r="D289" s="127" t="s">
        <v>4787</v>
      </c>
      <c r="E289" s="128" t="s">
        <v>4347</v>
      </c>
    </row>
    <row r="290">
      <c r="B290">
        <v>289</v>
      </c>
      <c r="C290" s="127" t="s">
        <v>4789</v>
      </c>
      <c r="D290" s="127" t="s">
        <v>4790</v>
      </c>
      <c r="E290" s="128" t="s">
        <v>4045</v>
      </c>
    </row>
    <row r="291">
      <c r="B291">
        <v>290</v>
      </c>
      <c r="C291" s="127" t="s">
        <v>4792</v>
      </c>
      <c r="D291" s="127" t="s">
        <v>3956</v>
      </c>
      <c r="E291" s="128" t="s">
        <v>4045</v>
      </c>
    </row>
    <row r="292">
      <c r="B292">
        <v>291</v>
      </c>
      <c r="C292" s="127" t="s">
        <v>4794</v>
      </c>
      <c r="D292" s="127" t="s">
        <v>4795</v>
      </c>
      <c r="E292" s="128" t="s">
        <v>4210</v>
      </c>
    </row>
    <row r="293">
      <c r="B293">
        <v>292</v>
      </c>
      <c r="C293" s="127" t="s">
        <v>4797</v>
      </c>
      <c r="D293" s="127" t="s">
        <v>4798</v>
      </c>
      <c r="E293" s="128" t="s">
        <v>4347</v>
      </c>
    </row>
    <row r="294">
      <c r="B294">
        <v>293</v>
      </c>
      <c r="C294" s="127" t="s">
        <v>4800</v>
      </c>
      <c r="D294" s="127" t="s">
        <v>3956</v>
      </c>
      <c r="E294" s="128" t="s">
        <v>4004</v>
      </c>
    </row>
    <row r="295">
      <c r="B295">
        <v>294</v>
      </c>
      <c r="C295" s="127" t="s">
        <v>4802</v>
      </c>
      <c r="D295" s="127" t="s">
        <v>4803</v>
      </c>
      <c r="E295" s="128" t="s">
        <v>3967</v>
      </c>
    </row>
    <row r="296">
      <c r="B296">
        <v>295</v>
      </c>
      <c r="C296" s="127" t="s">
        <v>4805</v>
      </c>
      <c r="D296" s="127" t="s">
        <v>4806</v>
      </c>
      <c r="E296" s="128" t="s">
        <v>4045</v>
      </c>
    </row>
    <row r="297">
      <c r="B297">
        <v>296</v>
      </c>
      <c r="C297" s="127" t="s">
        <v>4808</v>
      </c>
      <c r="D297" s="127" t="s">
        <v>4809</v>
      </c>
      <c r="E297" s="128" t="s">
        <v>3987</v>
      </c>
    </row>
    <row r="298">
      <c r="B298">
        <v>297</v>
      </c>
      <c r="C298" s="127" t="s">
        <v>4811</v>
      </c>
      <c r="D298" s="127" t="s">
        <v>4812</v>
      </c>
      <c r="E298" s="128" t="s">
        <v>4045</v>
      </c>
    </row>
    <row r="299">
      <c r="B299">
        <v>298</v>
      </c>
      <c r="C299" s="127" t="s">
        <v>4814</v>
      </c>
      <c r="D299" s="127" t="s">
        <v>4815</v>
      </c>
      <c r="E299" s="128" t="s">
        <v>4210</v>
      </c>
    </row>
    <row r="300">
      <c r="B300">
        <v>299</v>
      </c>
      <c r="C300" s="127" t="s">
        <v>4818</v>
      </c>
      <c r="D300" s="127" t="s">
        <v>4819</v>
      </c>
      <c r="E300" s="128" t="s">
        <v>4033</v>
      </c>
    </row>
    <row r="301">
      <c r="B301">
        <v>300</v>
      </c>
      <c r="C301" s="127" t="s">
        <v>4821</v>
      </c>
      <c r="D301" s="127" t="s">
        <v>4822</v>
      </c>
      <c r="E301" s="128" t="s">
        <v>4033</v>
      </c>
    </row>
    <row r="302">
      <c r="B302">
        <v>301</v>
      </c>
      <c r="C302" s="127" t="s">
        <v>4824</v>
      </c>
      <c r="D302" s="127" t="s">
        <v>1274</v>
      </c>
      <c r="E302" s="128" t="s">
        <v>4016</v>
      </c>
    </row>
    <row r="303">
      <c r="B303">
        <v>302</v>
      </c>
      <c r="C303" s="127" t="s">
        <v>4826</v>
      </c>
      <c r="D303" s="127" t="s">
        <v>4827</v>
      </c>
      <c r="E303" s="128" t="s">
        <v>4011</v>
      </c>
    </row>
    <row r="304">
      <c r="B304">
        <v>303</v>
      </c>
      <c r="C304" s="127" t="s">
        <v>4830</v>
      </c>
      <c r="D304" s="127" t="s">
        <v>4831</v>
      </c>
      <c r="E304" s="128" t="s">
        <v>3967</v>
      </c>
    </row>
    <row r="305">
      <c r="B305">
        <v>304</v>
      </c>
      <c r="C305" s="127" t="s">
        <v>4833</v>
      </c>
      <c r="D305" s="127" t="s">
        <v>4834</v>
      </c>
      <c r="E305" s="128" t="s">
        <v>4347</v>
      </c>
    </row>
    <row r="306">
      <c r="B306">
        <v>305</v>
      </c>
      <c r="C306" s="127" t="s">
        <v>4835</v>
      </c>
      <c r="D306" s="127" t="s">
        <v>4836</v>
      </c>
      <c r="E306" s="128" t="s">
        <v>4011</v>
      </c>
    </row>
    <row r="307">
      <c r="B307">
        <v>306</v>
      </c>
      <c r="C307" s="127" t="s">
        <v>4839</v>
      </c>
      <c r="D307" s="127" t="s">
        <v>4840</v>
      </c>
      <c r="E307" s="128" t="s">
        <v>4033</v>
      </c>
    </row>
    <row r="308">
      <c r="B308">
        <v>307</v>
      </c>
      <c r="C308" s="127" t="s">
        <v>4842</v>
      </c>
      <c r="D308" s="127" t="s">
        <v>4843</v>
      </c>
      <c r="E308" s="128" t="s">
        <v>4210</v>
      </c>
    </row>
    <row r="309">
      <c r="B309">
        <v>308</v>
      </c>
      <c r="C309" s="127" t="s">
        <v>4845</v>
      </c>
      <c r="D309" s="127" t="s">
        <v>4846</v>
      </c>
      <c r="E309" s="128" t="s">
        <v>4210</v>
      </c>
    </row>
    <row r="310">
      <c r="B310">
        <v>309</v>
      </c>
      <c r="C310" s="127" t="s">
        <v>4848</v>
      </c>
      <c r="D310" s="127" t="s">
        <v>4849</v>
      </c>
      <c r="E310" s="128" t="s">
        <v>4347</v>
      </c>
    </row>
    <row r="311">
      <c r="B311">
        <v>310</v>
      </c>
      <c r="C311" s="127" t="s">
        <v>4851</v>
      </c>
      <c r="D311" s="127" t="s">
        <v>4852</v>
      </c>
      <c r="E311" s="128" t="s">
        <v>4347</v>
      </c>
    </row>
    <row r="312">
      <c r="B312">
        <v>311</v>
      </c>
      <c r="C312" s="127" t="s">
        <v>4854</v>
      </c>
      <c r="D312" s="127" t="s">
        <v>4855</v>
      </c>
      <c r="E312" s="128" t="s">
        <v>4033</v>
      </c>
    </row>
    <row r="313">
      <c r="B313">
        <v>312</v>
      </c>
      <c r="C313" s="127" t="s">
        <v>4857</v>
      </c>
      <c r="D313" s="127" t="s">
        <v>4858</v>
      </c>
      <c r="E313" s="128" t="s">
        <v>3889</v>
      </c>
    </row>
    <row r="314">
      <c r="B314">
        <v>313</v>
      </c>
      <c r="C314" s="127" t="s">
        <v>4860</v>
      </c>
      <c r="D314" s="127" t="s">
        <v>3956</v>
      </c>
      <c r="E314" s="128" t="s">
        <v>4210</v>
      </c>
    </row>
    <row r="315">
      <c r="B315">
        <v>314</v>
      </c>
      <c r="C315" s="127" t="s">
        <v>4862</v>
      </c>
      <c r="D315" s="127" t="s">
        <v>4863</v>
      </c>
      <c r="E315" s="128" t="s">
        <v>4016</v>
      </c>
    </row>
    <row r="316">
      <c r="B316">
        <v>315</v>
      </c>
      <c r="C316" s="127" t="s">
        <v>4865</v>
      </c>
      <c r="D316" s="127" t="s">
        <v>4866</v>
      </c>
      <c r="E316" s="128" t="s">
        <v>4016</v>
      </c>
    </row>
    <row r="317">
      <c r="B317">
        <v>316</v>
      </c>
      <c r="C317" s="127" t="s">
        <v>4868</v>
      </c>
      <c r="D317" s="127" t="s">
        <v>4869</v>
      </c>
      <c r="E317" s="128" t="s">
        <v>4033</v>
      </c>
    </row>
    <row r="318">
      <c r="B318">
        <v>317</v>
      </c>
      <c r="C318" s="127" t="s">
        <v>4871</v>
      </c>
      <c r="D318" s="127" t="s">
        <v>4485</v>
      </c>
      <c r="E318" s="128" t="s">
        <v>4347</v>
      </c>
    </row>
    <row r="319">
      <c r="B319">
        <v>318</v>
      </c>
      <c r="C319" s="127" t="s">
        <v>4873</v>
      </c>
      <c r="D319" s="127" t="s">
        <v>4874</v>
      </c>
      <c r="E319" s="128" t="s">
        <v>4016</v>
      </c>
    </row>
    <row r="320">
      <c r="B320">
        <v>319</v>
      </c>
      <c r="C320" s="127" t="s">
        <v>4876</v>
      </c>
      <c r="D320" s="127" t="s">
        <v>4877</v>
      </c>
      <c r="E320" s="128" t="s">
        <v>4033</v>
      </c>
    </row>
    <row r="321">
      <c r="B321">
        <v>320</v>
      </c>
      <c r="C321" s="127" t="s">
        <v>4879</v>
      </c>
      <c r="D321" s="127" t="s">
        <v>4880</v>
      </c>
      <c r="E321" s="128" t="s">
        <v>4045</v>
      </c>
    </row>
    <row r="322">
      <c r="B322">
        <v>321</v>
      </c>
      <c r="C322" s="127" t="s">
        <v>4882</v>
      </c>
      <c r="D322" s="127" t="s">
        <v>4883</v>
      </c>
      <c r="E322" s="128" t="s">
        <v>4016</v>
      </c>
    </row>
    <row r="323">
      <c r="B323">
        <v>322</v>
      </c>
      <c r="C323" s="127" t="s">
        <v>4885</v>
      </c>
      <c r="D323" s="127" t="s">
        <v>4886</v>
      </c>
      <c r="E323" s="128" t="s">
        <v>4210</v>
      </c>
    </row>
    <row r="324">
      <c r="B324">
        <v>323</v>
      </c>
      <c r="C324" s="127" t="s">
        <v>4889</v>
      </c>
      <c r="D324" s="127" t="s">
        <v>4890</v>
      </c>
      <c r="E324" s="128" t="s">
        <v>3967</v>
      </c>
    </row>
    <row r="325">
      <c r="B325">
        <v>324</v>
      </c>
      <c r="C325" s="127" t="s">
        <v>4892</v>
      </c>
      <c r="D325" s="127" t="s">
        <v>3560</v>
      </c>
      <c r="E325" s="128" t="s">
        <v>4011</v>
      </c>
    </row>
    <row r="326">
      <c r="B326">
        <v>325</v>
      </c>
      <c r="C326" s="127" t="s">
        <v>4894</v>
      </c>
      <c r="D326" s="127" t="s">
        <v>3956</v>
      </c>
      <c r="E326" s="128" t="s">
        <v>4122</v>
      </c>
    </row>
    <row r="327">
      <c r="B327">
        <v>326</v>
      </c>
      <c r="C327" s="127" t="s">
        <v>4896</v>
      </c>
      <c r="D327" s="127" t="s">
        <v>4897</v>
      </c>
      <c r="E327" s="128" t="s">
        <v>4011</v>
      </c>
    </row>
    <row r="328">
      <c r="B328">
        <v>327</v>
      </c>
      <c r="C328" s="127" t="s">
        <v>4899</v>
      </c>
      <c r="D328" s="127" t="s">
        <v>3956</v>
      </c>
      <c r="E328" s="128" t="s">
        <v>3893</v>
      </c>
    </row>
    <row r="329">
      <c r="B329">
        <v>328</v>
      </c>
      <c r="C329" s="127" t="s">
        <v>4901</v>
      </c>
      <c r="D329" s="127" t="s">
        <v>3956</v>
      </c>
      <c r="E329" s="128" t="s">
        <v>3889</v>
      </c>
    </row>
    <row r="330">
      <c r="B330">
        <v>329</v>
      </c>
      <c r="C330" s="127" t="s">
        <v>4903</v>
      </c>
      <c r="D330" s="127" t="s">
        <v>4904</v>
      </c>
      <c r="E330" s="128" t="s">
        <v>3889</v>
      </c>
    </row>
    <row r="331">
      <c r="B331">
        <v>330</v>
      </c>
      <c r="C331" s="127" t="s">
        <v>4906</v>
      </c>
      <c r="D331" s="127" t="s">
        <v>4907</v>
      </c>
      <c r="E331" s="128" t="s">
        <v>3889</v>
      </c>
    </row>
    <row r="332">
      <c r="B332">
        <v>331</v>
      </c>
      <c r="C332" s="127" t="s">
        <v>4909</v>
      </c>
      <c r="D332" s="127" t="s">
        <v>3956</v>
      </c>
      <c r="E332" s="128" t="s">
        <v>4122</v>
      </c>
    </row>
    <row r="333">
      <c r="B333">
        <v>332</v>
      </c>
      <c r="C333" s="127" t="s">
        <v>4911</v>
      </c>
      <c r="D333" s="127" t="s">
        <v>380</v>
      </c>
      <c r="E333" s="128" t="s">
        <v>4004</v>
      </c>
    </row>
    <row r="334">
      <c r="B334">
        <v>333</v>
      </c>
      <c r="C334" s="127" t="s">
        <v>4914</v>
      </c>
      <c r="D334" s="127" t="s">
        <v>4915</v>
      </c>
      <c r="E334" s="128" t="s">
        <v>4016</v>
      </c>
    </row>
    <row r="335">
      <c r="B335">
        <v>334</v>
      </c>
      <c r="C335" s="127" t="s">
        <v>4917</v>
      </c>
      <c r="D335" s="127" t="s">
        <v>4918</v>
      </c>
      <c r="E335" s="128" t="s">
        <v>3987</v>
      </c>
    </row>
    <row r="336">
      <c r="B336">
        <v>335</v>
      </c>
      <c r="C336" s="127" t="s">
        <v>4920</v>
      </c>
      <c r="D336" s="127" t="s">
        <v>4921</v>
      </c>
      <c r="E336" s="128" t="s">
        <v>4210</v>
      </c>
    </row>
    <row r="337">
      <c r="B337">
        <v>336</v>
      </c>
      <c r="C337" s="127" t="s">
        <v>4923</v>
      </c>
      <c r="D337" s="127" t="s">
        <v>4924</v>
      </c>
      <c r="E337" s="128" t="s">
        <v>4210</v>
      </c>
    </row>
    <row r="338">
      <c r="B338">
        <v>337</v>
      </c>
      <c r="C338" s="127" t="s">
        <v>4926</v>
      </c>
      <c r="D338" s="127" t="s">
        <v>4927</v>
      </c>
      <c r="E338" s="128" t="s">
        <v>4033</v>
      </c>
    </row>
    <row r="339">
      <c r="B339">
        <v>338</v>
      </c>
      <c r="C339" s="127" t="s">
        <v>4929</v>
      </c>
      <c r="D339" s="127" t="s">
        <v>4930</v>
      </c>
      <c r="E339" s="128" t="s">
        <v>4011</v>
      </c>
    </row>
    <row r="340">
      <c r="B340">
        <v>339</v>
      </c>
      <c r="C340" s="127" t="s">
        <v>4933</v>
      </c>
      <c r="D340" s="127" t="s">
        <v>4934</v>
      </c>
      <c r="E340" s="128" t="s">
        <v>4011</v>
      </c>
    </row>
    <row r="341">
      <c r="B341">
        <v>340</v>
      </c>
      <c r="C341" s="127" t="s">
        <v>4937</v>
      </c>
      <c r="D341" s="127" t="s">
        <v>4938</v>
      </c>
      <c r="E341" s="128" t="s">
        <v>3967</v>
      </c>
    </row>
    <row r="342">
      <c r="B342">
        <v>341</v>
      </c>
      <c r="C342" s="127" t="s">
        <v>4940</v>
      </c>
      <c r="D342" s="127" t="s">
        <v>4941</v>
      </c>
      <c r="E342" s="128" t="s">
        <v>3987</v>
      </c>
    </row>
    <row r="343">
      <c r="B343">
        <v>342</v>
      </c>
      <c r="C343" s="127" t="s">
        <v>4943</v>
      </c>
      <c r="D343" s="127" t="s">
        <v>4944</v>
      </c>
      <c r="E343" s="128" t="s">
        <v>3967</v>
      </c>
    </row>
    <row r="344">
      <c r="B344">
        <v>343</v>
      </c>
      <c r="C344" s="127" t="s">
        <v>4946</v>
      </c>
      <c r="D344" s="127" t="s">
        <v>4947</v>
      </c>
      <c r="E344" s="128" t="s">
        <v>4011</v>
      </c>
    </row>
    <row r="345">
      <c r="B345">
        <v>344</v>
      </c>
      <c r="C345" s="127" t="s">
        <v>4949</v>
      </c>
      <c r="D345" s="127" t="s">
        <v>4950</v>
      </c>
      <c r="E345" s="128" t="s">
        <v>4033</v>
      </c>
    </row>
    <row r="346">
      <c r="B346">
        <v>345</v>
      </c>
      <c r="C346" s="127" t="s">
        <v>4952</v>
      </c>
      <c r="D346" s="127" t="s">
        <v>4953</v>
      </c>
      <c r="E346" s="128" t="s">
        <v>4016</v>
      </c>
    </row>
    <row r="347">
      <c r="B347">
        <v>346</v>
      </c>
      <c r="C347" s="127" t="s">
        <v>4955</v>
      </c>
      <c r="D347" s="127" t="s">
        <v>4956</v>
      </c>
      <c r="E347" s="128" t="s">
        <v>3893</v>
      </c>
    </row>
    <row r="348">
      <c r="B348">
        <v>347</v>
      </c>
      <c r="C348" s="127" t="s">
        <v>4958</v>
      </c>
      <c r="D348" s="127" t="s">
        <v>4959</v>
      </c>
      <c r="E348" s="128" t="s">
        <v>4016</v>
      </c>
    </row>
    <row r="349">
      <c r="B349">
        <v>348</v>
      </c>
      <c r="C349" s="127" t="s">
        <v>4961</v>
      </c>
      <c r="D349" s="127" t="s">
        <v>4962</v>
      </c>
      <c r="E349" s="128" t="s">
        <v>4045</v>
      </c>
    </row>
    <row r="350">
      <c r="B350">
        <v>349</v>
      </c>
      <c r="C350" s="127" t="s">
        <v>4964</v>
      </c>
      <c r="D350" s="127" t="s">
        <v>4965</v>
      </c>
      <c r="E350" s="128" t="s">
        <v>4210</v>
      </c>
    </row>
    <row r="351">
      <c r="B351">
        <v>350</v>
      </c>
      <c r="C351" s="127" t="s">
        <v>4967</v>
      </c>
      <c r="D351" s="127" t="s">
        <v>4968</v>
      </c>
      <c r="E351" s="128" t="s">
        <v>4210</v>
      </c>
    </row>
    <row r="352">
      <c r="B352">
        <v>351</v>
      </c>
      <c r="C352" s="127" t="s">
        <v>4971</v>
      </c>
      <c r="D352" s="127" t="s">
        <v>4972</v>
      </c>
      <c r="E352" s="128" t="s">
        <v>4033</v>
      </c>
    </row>
    <row r="353">
      <c r="B353">
        <v>352</v>
      </c>
      <c r="C353" s="127" t="s">
        <v>4974</v>
      </c>
      <c r="D353" s="127" t="s">
        <v>4975</v>
      </c>
      <c r="E353" s="128" t="s">
        <v>4011</v>
      </c>
    </row>
    <row r="354">
      <c r="B354">
        <v>353</v>
      </c>
      <c r="C354" s="127" t="s">
        <v>4977</v>
      </c>
      <c r="D354" s="127" t="s">
        <v>4978</v>
      </c>
      <c r="E354" s="128" t="s">
        <v>4210</v>
      </c>
    </row>
    <row r="355">
      <c r="B355">
        <v>354</v>
      </c>
      <c r="C355" s="127" t="s">
        <v>4981</v>
      </c>
      <c r="D355" s="127" t="s">
        <v>4982</v>
      </c>
      <c r="E355" s="128" t="s">
        <v>4045</v>
      </c>
    </row>
    <row r="356">
      <c r="B356">
        <v>355</v>
      </c>
      <c r="C356" s="127" t="s">
        <v>4984</v>
      </c>
      <c r="D356" s="127" t="s">
        <v>4985</v>
      </c>
      <c r="E356" s="128" t="s">
        <v>4033</v>
      </c>
    </row>
    <row r="357">
      <c r="B357">
        <v>356</v>
      </c>
      <c r="C357" s="127" t="s">
        <v>4987</v>
      </c>
      <c r="D357" s="127" t="s">
        <v>4988</v>
      </c>
      <c r="E357" s="128" t="s">
        <v>4210</v>
      </c>
    </row>
    <row r="358">
      <c r="B358">
        <v>357</v>
      </c>
      <c r="C358" s="127" t="s">
        <v>4991</v>
      </c>
      <c r="D358" s="127" t="s">
        <v>4992</v>
      </c>
      <c r="E358" s="128" t="s">
        <v>3889</v>
      </c>
    </row>
    <row r="359">
      <c r="B359">
        <v>358</v>
      </c>
      <c r="C359" s="127" t="s">
        <v>4994</v>
      </c>
      <c r="D359" s="127" t="s">
        <v>2987</v>
      </c>
      <c r="E359" s="128" t="s">
        <v>4011</v>
      </c>
    </row>
    <row r="360">
      <c r="B360">
        <v>359</v>
      </c>
      <c r="C360" s="127" t="s">
        <v>4996</v>
      </c>
      <c r="D360" s="127" t="s">
        <v>4997</v>
      </c>
      <c r="E360" s="128" t="s">
        <v>4011</v>
      </c>
    </row>
    <row r="361">
      <c r="B361">
        <v>360</v>
      </c>
      <c r="C361" s="127" t="s">
        <v>5000</v>
      </c>
      <c r="D361" s="127" t="s">
        <v>5001</v>
      </c>
      <c r="E361" s="128" t="s">
        <v>3967</v>
      </c>
    </row>
    <row r="362">
      <c r="B362">
        <v>361</v>
      </c>
      <c r="C362" s="127" t="s">
        <v>5003</v>
      </c>
      <c r="D362" s="127" t="s">
        <v>5004</v>
      </c>
      <c r="E362" s="128" t="s">
        <v>3967</v>
      </c>
    </row>
    <row r="363">
      <c r="B363">
        <v>362</v>
      </c>
      <c r="C363" s="127" t="s">
        <v>5006</v>
      </c>
      <c r="D363" s="127" t="s">
        <v>5007</v>
      </c>
      <c r="E363" s="128" t="s">
        <v>3967</v>
      </c>
    </row>
    <row r="364">
      <c r="B364">
        <v>363</v>
      </c>
      <c r="C364" s="127" t="s">
        <v>5009</v>
      </c>
      <c r="D364" s="127" t="s">
        <v>5010</v>
      </c>
      <c r="E364" s="128" t="s">
        <v>3967</v>
      </c>
    </row>
    <row r="365">
      <c r="B365">
        <v>364</v>
      </c>
      <c r="C365" s="127" t="s">
        <v>5012</v>
      </c>
      <c r="D365" s="127" t="s">
        <v>5013</v>
      </c>
      <c r="E365" s="128" t="s">
        <v>4011</v>
      </c>
    </row>
    <row r="366">
      <c r="B366">
        <v>365</v>
      </c>
      <c r="C366" s="127" t="s">
        <v>5016</v>
      </c>
      <c r="D366" s="127" t="s">
        <v>5017</v>
      </c>
      <c r="E366" s="128" t="s">
        <v>3967</v>
      </c>
    </row>
    <row r="367">
      <c r="B367">
        <v>366</v>
      </c>
      <c r="C367" s="127" t="s">
        <v>5019</v>
      </c>
      <c r="D367" s="127" t="s">
        <v>5020</v>
      </c>
      <c r="E367" s="128" t="s">
        <v>4011</v>
      </c>
    </row>
    <row r="368">
      <c r="B368">
        <v>367</v>
      </c>
      <c r="C368" s="127" t="s">
        <v>5023</v>
      </c>
      <c r="D368" s="127" t="s">
        <v>5024</v>
      </c>
      <c r="E368" s="128" t="s">
        <v>3967</v>
      </c>
    </row>
    <row r="369">
      <c r="B369">
        <v>368</v>
      </c>
      <c r="C369" s="127" t="s">
        <v>5026</v>
      </c>
      <c r="D369" s="127" t="s">
        <v>5027</v>
      </c>
      <c r="E369" s="128" t="s">
        <v>4210</v>
      </c>
    </row>
    <row r="370">
      <c r="B370">
        <v>369</v>
      </c>
      <c r="C370" s="127" t="s">
        <v>5030</v>
      </c>
      <c r="D370" s="127" t="s">
        <v>5031</v>
      </c>
      <c r="E370" s="128" t="s">
        <v>4210</v>
      </c>
    </row>
    <row r="371">
      <c r="B371">
        <v>370</v>
      </c>
      <c r="C371" s="127" t="s">
        <v>5033</v>
      </c>
      <c r="D371" s="127" t="s">
        <v>4846</v>
      </c>
      <c r="E371" s="128" t="s">
        <v>3967</v>
      </c>
    </row>
    <row r="372">
      <c r="B372">
        <v>371</v>
      </c>
      <c r="C372" s="127" t="s">
        <v>5035</v>
      </c>
      <c r="D372" s="127" t="s">
        <v>5036</v>
      </c>
      <c r="E372" s="128" t="s">
        <v>4210</v>
      </c>
    </row>
    <row r="373">
      <c r="B373">
        <v>372</v>
      </c>
      <c r="C373" s="127" t="s">
        <v>5038</v>
      </c>
      <c r="D373" s="127" t="s">
        <v>5039</v>
      </c>
      <c r="E373" s="128" t="s">
        <v>4210</v>
      </c>
    </row>
    <row r="374">
      <c r="B374">
        <v>373</v>
      </c>
      <c r="C374" s="127" t="s">
        <v>5041</v>
      </c>
      <c r="D374" s="127" t="s">
        <v>3956</v>
      </c>
      <c r="E374" s="128" t="s">
        <v>4011</v>
      </c>
    </row>
    <row r="375">
      <c r="B375">
        <v>374</v>
      </c>
      <c r="C375" s="127" t="s">
        <v>5043</v>
      </c>
      <c r="D375" s="127" t="s">
        <v>5044</v>
      </c>
      <c r="E375" s="128" t="s">
        <v>4210</v>
      </c>
    </row>
    <row r="376">
      <c r="B376">
        <v>375</v>
      </c>
      <c r="C376" s="127" t="s">
        <v>5046</v>
      </c>
      <c r="D376" s="127" t="s">
        <v>5047</v>
      </c>
      <c r="E376" s="128" t="s">
        <v>3987</v>
      </c>
    </row>
    <row r="377">
      <c r="B377">
        <v>376</v>
      </c>
      <c r="C377" s="127" t="s">
        <v>5049</v>
      </c>
      <c r="D377" s="127" t="s">
        <v>5050</v>
      </c>
      <c r="E377" s="128" t="s">
        <v>4210</v>
      </c>
    </row>
    <row r="378">
      <c r="B378">
        <v>377</v>
      </c>
      <c r="C378" s="127" t="s">
        <v>5052</v>
      </c>
      <c r="D378" s="127" t="s">
        <v>5053</v>
      </c>
      <c r="E378" s="128" t="s">
        <v>4210</v>
      </c>
    </row>
    <row r="379">
      <c r="B379">
        <v>378</v>
      </c>
      <c r="C379" s="127" t="s">
        <v>5055</v>
      </c>
      <c r="D379" s="127" t="s">
        <v>5056</v>
      </c>
      <c r="E379" s="128" t="s">
        <v>4210</v>
      </c>
    </row>
    <row r="380">
      <c r="B380">
        <v>379</v>
      </c>
      <c r="C380" s="127" t="s">
        <v>5058</v>
      </c>
      <c r="D380" s="127" t="s">
        <v>5059</v>
      </c>
      <c r="E380" s="128" t="s">
        <v>3987</v>
      </c>
    </row>
    <row r="381">
      <c r="B381">
        <v>380</v>
      </c>
      <c r="C381" s="127" t="s">
        <v>5061</v>
      </c>
      <c r="D381" s="127" t="s">
        <v>3956</v>
      </c>
      <c r="E381" s="128" t="s">
        <v>3987</v>
      </c>
    </row>
    <row r="382">
      <c r="B382">
        <v>381</v>
      </c>
      <c r="C382" s="127" t="s">
        <v>5063</v>
      </c>
      <c r="D382" s="127" t="s">
        <v>5064</v>
      </c>
      <c r="E382" s="128" t="s">
        <v>3987</v>
      </c>
    </row>
    <row r="383">
      <c r="B383">
        <v>382</v>
      </c>
      <c r="C383" s="127" t="s">
        <v>5066</v>
      </c>
      <c r="D383" s="127" t="s">
        <v>5067</v>
      </c>
      <c r="E383" s="128" t="s">
        <v>4210</v>
      </c>
    </row>
    <row r="384">
      <c r="B384">
        <v>383</v>
      </c>
      <c r="C384" s="127" t="s">
        <v>5069</v>
      </c>
      <c r="D384" s="127" t="s">
        <v>5070</v>
      </c>
      <c r="E384" s="128" t="s">
        <v>4045</v>
      </c>
    </row>
    <row r="385">
      <c r="B385">
        <v>384</v>
      </c>
      <c r="C385" s="127" t="s">
        <v>5072</v>
      </c>
      <c r="D385" s="127" t="s">
        <v>5073</v>
      </c>
      <c r="E385" s="128" t="s">
        <v>4045</v>
      </c>
    </row>
    <row r="386">
      <c r="B386">
        <v>385</v>
      </c>
      <c r="C386" s="127" t="s">
        <v>5075</v>
      </c>
      <c r="D386" s="127" t="s">
        <v>5076</v>
      </c>
      <c r="E386" s="128" t="s">
        <v>3987</v>
      </c>
    </row>
    <row r="387">
      <c r="B387">
        <v>386</v>
      </c>
      <c r="C387" s="127" t="s">
        <v>5078</v>
      </c>
      <c r="D387" s="127" t="s">
        <v>5079</v>
      </c>
      <c r="E387" s="128" t="s">
        <v>3987</v>
      </c>
    </row>
    <row r="388">
      <c r="B388">
        <v>387</v>
      </c>
      <c r="C388" s="127" t="s">
        <v>5081</v>
      </c>
      <c r="D388" s="127" t="s">
        <v>5082</v>
      </c>
      <c r="E388" s="128" t="s">
        <v>4045</v>
      </c>
    </row>
    <row r="389">
      <c r="B389">
        <v>388</v>
      </c>
      <c r="C389" s="127" t="s">
        <v>5084</v>
      </c>
      <c r="D389" s="127" t="s">
        <v>5085</v>
      </c>
      <c r="E389" s="128" t="s">
        <v>4099</v>
      </c>
    </row>
    <row r="390">
      <c r="B390">
        <v>389</v>
      </c>
      <c r="C390" s="127" t="s">
        <v>5087</v>
      </c>
      <c r="D390" s="127" t="s">
        <v>5088</v>
      </c>
      <c r="E390" s="128" t="s">
        <v>3987</v>
      </c>
    </row>
    <row r="391">
      <c r="B391">
        <v>390</v>
      </c>
      <c r="C391" s="127" t="s">
        <v>5090</v>
      </c>
      <c r="D391" s="127" t="s">
        <v>5091</v>
      </c>
      <c r="E391" s="128" t="s">
        <v>3987</v>
      </c>
    </row>
    <row r="392">
      <c r="B392">
        <v>391</v>
      </c>
      <c r="C392" s="127" t="s">
        <v>5093</v>
      </c>
      <c r="D392" s="127" t="s">
        <v>5094</v>
      </c>
      <c r="E392" s="128" t="s">
        <v>4045</v>
      </c>
    </row>
    <row r="393">
      <c r="B393">
        <v>392</v>
      </c>
      <c r="C393" s="127" t="s">
        <v>5096</v>
      </c>
      <c r="D393" s="127" t="s">
        <v>5097</v>
      </c>
      <c r="E393" s="128" t="s">
        <v>4347</v>
      </c>
    </row>
    <row r="394">
      <c r="B394">
        <v>393</v>
      </c>
      <c r="C394" s="127" t="s">
        <v>5099</v>
      </c>
      <c r="D394" s="127" t="s">
        <v>5100</v>
      </c>
      <c r="E394" s="128" t="s">
        <v>4045</v>
      </c>
    </row>
    <row r="395">
      <c r="B395">
        <v>394</v>
      </c>
      <c r="C395" s="127" t="s">
        <v>5102</v>
      </c>
      <c r="D395" s="127" t="s">
        <v>3956</v>
      </c>
      <c r="E395" s="128" t="s">
        <v>3987</v>
      </c>
    </row>
    <row r="396">
      <c r="B396">
        <v>395</v>
      </c>
      <c r="C396" s="127" t="s">
        <v>5104</v>
      </c>
      <c r="D396" s="127" t="s">
        <v>5105</v>
      </c>
      <c r="E396" s="128" t="s">
        <v>3987</v>
      </c>
    </row>
    <row r="397">
      <c r="B397">
        <v>396</v>
      </c>
      <c r="C397" s="127" t="s">
        <v>5107</v>
      </c>
      <c r="D397" s="127" t="s">
        <v>5108</v>
      </c>
      <c r="E397" s="128" t="s">
        <v>4099</v>
      </c>
    </row>
    <row r="398">
      <c r="B398">
        <v>397</v>
      </c>
      <c r="C398" s="127" t="s">
        <v>5110</v>
      </c>
      <c r="D398" s="127" t="s">
        <v>5111</v>
      </c>
      <c r="E398" s="128" t="s">
        <v>4099</v>
      </c>
    </row>
    <row r="399">
      <c r="B399">
        <v>398</v>
      </c>
      <c r="C399" s="127" t="s">
        <v>5113</v>
      </c>
      <c r="D399" s="127" t="s">
        <v>5114</v>
      </c>
      <c r="E399" s="128" t="s">
        <v>4099</v>
      </c>
    </row>
    <row r="400">
      <c r="B400">
        <v>399</v>
      </c>
      <c r="C400" s="127" t="s">
        <v>5116</v>
      </c>
      <c r="D400" s="127" t="s">
        <v>5117</v>
      </c>
      <c r="E400" s="128" t="s">
        <v>4016</v>
      </c>
    </row>
    <row r="401">
      <c r="B401">
        <v>400</v>
      </c>
      <c r="C401" s="127" t="s">
        <v>5119</v>
      </c>
      <c r="D401" s="127" t="s">
        <v>5120</v>
      </c>
      <c r="E401" s="128" t="s">
        <v>3987</v>
      </c>
    </row>
    <row r="402">
      <c r="B402">
        <v>401</v>
      </c>
      <c r="C402" s="127" t="s">
        <v>5122</v>
      </c>
      <c r="D402" s="127" t="s">
        <v>5123</v>
      </c>
      <c r="E402" s="128" t="s">
        <v>4016</v>
      </c>
    </row>
    <row r="403">
      <c r="B403">
        <v>402</v>
      </c>
      <c r="C403" s="127" t="s">
        <v>5125</v>
      </c>
      <c r="D403" s="127" t="s">
        <v>5126</v>
      </c>
      <c r="E403" s="128" t="s">
        <v>4016</v>
      </c>
    </row>
    <row r="404">
      <c r="B404">
        <v>403</v>
      </c>
      <c r="C404" s="127" t="s">
        <v>5128</v>
      </c>
      <c r="D404" s="127" t="s">
        <v>5129</v>
      </c>
      <c r="E404" s="128" t="s">
        <v>4033</v>
      </c>
    </row>
    <row r="405">
      <c r="B405">
        <v>404</v>
      </c>
      <c r="C405" s="127" t="s">
        <v>5131</v>
      </c>
      <c r="D405" s="127" t="s">
        <v>5132</v>
      </c>
      <c r="E405" s="128" t="s">
        <v>4004</v>
      </c>
    </row>
    <row r="406">
      <c r="B406">
        <v>405</v>
      </c>
      <c r="C406" s="127" t="s">
        <v>5134</v>
      </c>
      <c r="D406" s="127" t="s">
        <v>5135</v>
      </c>
      <c r="E406" s="128" t="s">
        <v>4347</v>
      </c>
    </row>
    <row r="407">
      <c r="B407">
        <v>406</v>
      </c>
      <c r="C407" s="127" t="s">
        <v>5137</v>
      </c>
      <c r="D407" s="127" t="s">
        <v>3956</v>
      </c>
      <c r="E407" s="128" t="s">
        <v>4004</v>
      </c>
    </row>
    <row r="408">
      <c r="B408">
        <v>407</v>
      </c>
      <c r="C408" s="127" t="s">
        <v>5139</v>
      </c>
      <c r="D408" s="127" t="s">
        <v>5140</v>
      </c>
      <c r="E408" s="128" t="s">
        <v>4016</v>
      </c>
    </row>
    <row r="409">
      <c r="B409">
        <v>408</v>
      </c>
      <c r="C409" s="127" t="s">
        <v>5142</v>
      </c>
      <c r="D409" s="127" t="s">
        <v>5143</v>
      </c>
      <c r="E409" s="128" t="s">
        <v>3893</v>
      </c>
    </row>
    <row r="410">
      <c r="B410">
        <v>409</v>
      </c>
      <c r="C410" s="127" t="s">
        <v>5145</v>
      </c>
      <c r="D410" s="127" t="s">
        <v>5146</v>
      </c>
      <c r="E410" s="128" t="s">
        <v>3893</v>
      </c>
    </row>
    <row r="411">
      <c r="B411">
        <v>410</v>
      </c>
      <c r="C411" s="127" t="s">
        <v>5148</v>
      </c>
      <c r="D411" s="127" t="s">
        <v>3956</v>
      </c>
      <c r="E411" s="128" t="s">
        <v>3893</v>
      </c>
    </row>
    <row r="412">
      <c r="B412">
        <v>411</v>
      </c>
      <c r="C412" s="127" t="s">
        <v>5150</v>
      </c>
      <c r="D412" s="127" t="s">
        <v>4036</v>
      </c>
      <c r="E412" s="128" t="s">
        <v>4033</v>
      </c>
    </row>
    <row r="413">
      <c r="B413">
        <v>412</v>
      </c>
      <c r="C413" s="127" t="s">
        <v>5152</v>
      </c>
      <c r="D413" s="127" t="s">
        <v>5153</v>
      </c>
      <c r="E413" s="128" t="s">
        <v>4011</v>
      </c>
    </row>
    <row r="414">
      <c r="B414">
        <v>413</v>
      </c>
      <c r="C414" s="127" t="s">
        <v>5156</v>
      </c>
      <c r="D414" s="127" t="s">
        <v>5157</v>
      </c>
      <c r="E414" s="128" t="s">
        <v>3967</v>
      </c>
    </row>
    <row r="415">
      <c r="B415">
        <v>414</v>
      </c>
      <c r="C415" s="127" t="s">
        <v>5159</v>
      </c>
      <c r="D415" s="127" t="s">
        <v>5160</v>
      </c>
      <c r="E415" s="128" t="s">
        <v>3987</v>
      </c>
    </row>
    <row r="416">
      <c r="B416">
        <v>415</v>
      </c>
      <c r="C416" s="127" t="s">
        <v>5162</v>
      </c>
      <c r="D416" s="127" t="s">
        <v>3956</v>
      </c>
      <c r="E416" s="128" t="s">
        <v>3987</v>
      </c>
    </row>
    <row r="417">
      <c r="B417">
        <v>416</v>
      </c>
      <c r="C417" s="127" t="s">
        <v>5164</v>
      </c>
      <c r="D417" s="127" t="s">
        <v>5165</v>
      </c>
      <c r="E417" s="128" t="s">
        <v>3893</v>
      </c>
    </row>
    <row r="418">
      <c r="B418">
        <v>417</v>
      </c>
      <c r="C418" s="127" t="s">
        <v>5167</v>
      </c>
      <c r="D418" s="127" t="s">
        <v>5168</v>
      </c>
      <c r="E418" s="128" t="s">
        <v>4099</v>
      </c>
    </row>
    <row r="419">
      <c r="B419">
        <v>418</v>
      </c>
      <c r="C419" s="127" t="s">
        <v>5171</v>
      </c>
      <c r="D419" s="127" t="s">
        <v>5172</v>
      </c>
      <c r="E419" s="128" t="s">
        <v>4011</v>
      </c>
    </row>
    <row r="420">
      <c r="B420">
        <v>419</v>
      </c>
      <c r="C420" s="127" t="s">
        <v>5174</v>
      </c>
      <c r="D420" s="127" t="s">
        <v>5175</v>
      </c>
      <c r="E420" s="128" t="s">
        <v>4011</v>
      </c>
    </row>
    <row r="421">
      <c r="B421">
        <v>420</v>
      </c>
      <c r="C421" s="127" t="s">
        <v>5177</v>
      </c>
      <c r="D421" s="127" t="s">
        <v>5178</v>
      </c>
      <c r="E421" s="128" t="s">
        <v>4011</v>
      </c>
    </row>
    <row r="422">
      <c r="B422">
        <v>421</v>
      </c>
      <c r="C422" s="127" t="s">
        <v>5181</v>
      </c>
      <c r="D422" s="127" t="s">
        <v>5182</v>
      </c>
      <c r="E422" s="128" t="s">
        <v>4099</v>
      </c>
    </row>
    <row r="423">
      <c r="B423">
        <v>422</v>
      </c>
      <c r="C423" s="127" t="s">
        <v>5184</v>
      </c>
      <c r="D423" s="127" t="s">
        <v>5185</v>
      </c>
      <c r="E423" s="128" t="s">
        <v>4099</v>
      </c>
    </row>
    <row r="424">
      <c r="B424">
        <v>423</v>
      </c>
      <c r="C424" s="127" t="s">
        <v>5187</v>
      </c>
      <c r="D424" s="127" t="s">
        <v>3956</v>
      </c>
      <c r="E424" s="128" t="s">
        <v>3987</v>
      </c>
    </row>
    <row r="425">
      <c r="B425">
        <v>424</v>
      </c>
      <c r="C425" s="127" t="s">
        <v>5189</v>
      </c>
      <c r="D425" s="127" t="s">
        <v>5190</v>
      </c>
      <c r="E425" s="128" t="s">
        <v>4033</v>
      </c>
    </row>
    <row r="426">
      <c r="B426">
        <v>425</v>
      </c>
      <c r="C426" s="127" t="s">
        <v>5192</v>
      </c>
      <c r="D426" s="127" t="s">
        <v>5193</v>
      </c>
      <c r="E426" s="128" t="s">
        <v>3987</v>
      </c>
    </row>
    <row r="427">
      <c r="B427">
        <v>426</v>
      </c>
      <c r="C427" s="127" t="s">
        <v>5195</v>
      </c>
      <c r="D427" s="127" t="s">
        <v>5196</v>
      </c>
      <c r="E427" s="128" t="s">
        <v>4011</v>
      </c>
    </row>
    <row r="428">
      <c r="B428">
        <v>427</v>
      </c>
      <c r="C428" s="127" t="s">
        <v>5199</v>
      </c>
      <c r="D428" s="127" t="s">
        <v>3956</v>
      </c>
      <c r="E428" s="128" t="s">
        <v>4011</v>
      </c>
    </row>
    <row r="429">
      <c r="B429">
        <v>428</v>
      </c>
      <c r="C429" s="127" t="s">
        <v>5201</v>
      </c>
      <c r="D429" s="127" t="s">
        <v>5202</v>
      </c>
      <c r="E429" s="128" t="s">
        <v>3967</v>
      </c>
    </row>
    <row r="430">
      <c r="B430">
        <v>429</v>
      </c>
      <c r="C430" s="127" t="s">
        <v>5204</v>
      </c>
      <c r="D430" s="127" t="s">
        <v>5205</v>
      </c>
      <c r="E430" s="128" t="s">
        <v>4033</v>
      </c>
    </row>
    <row r="431">
      <c r="B431">
        <v>430</v>
      </c>
      <c r="C431" s="127" t="s">
        <v>5207</v>
      </c>
      <c r="D431" s="127" t="s">
        <v>3965</v>
      </c>
      <c r="E431" s="128" t="s">
        <v>3967</v>
      </c>
    </row>
    <row r="432">
      <c r="B432">
        <v>431</v>
      </c>
      <c r="C432" s="127" t="s">
        <v>5209</v>
      </c>
      <c r="D432" s="127" t="s">
        <v>5210</v>
      </c>
      <c r="E432" s="128" t="s">
        <v>4004</v>
      </c>
    </row>
    <row r="433">
      <c r="B433">
        <v>432</v>
      </c>
      <c r="C433" s="127" t="s">
        <v>5213</v>
      </c>
      <c r="D433" s="127" t="s">
        <v>5214</v>
      </c>
      <c r="E433" s="128" t="s">
        <v>3987</v>
      </c>
    </row>
    <row r="434">
      <c r="B434">
        <v>433</v>
      </c>
      <c r="C434" s="127" t="s">
        <v>5216</v>
      </c>
      <c r="D434" s="127" t="s">
        <v>5217</v>
      </c>
      <c r="E434" s="128" t="s">
        <v>4000</v>
      </c>
    </row>
    <row r="435">
      <c r="B435">
        <v>434</v>
      </c>
      <c r="C435" s="127" t="s">
        <v>5219</v>
      </c>
      <c r="D435" s="127" t="s">
        <v>5220</v>
      </c>
      <c r="E435" s="128" t="s">
        <v>4033</v>
      </c>
    </row>
    <row r="436">
      <c r="B436">
        <v>435</v>
      </c>
      <c r="C436" s="127" t="s">
        <v>5222</v>
      </c>
      <c r="D436" s="127" t="s">
        <v>5223</v>
      </c>
      <c r="E436" s="128" t="s">
        <v>3987</v>
      </c>
    </row>
    <row r="437">
      <c r="B437">
        <v>436</v>
      </c>
      <c r="C437" s="127" t="s">
        <v>5225</v>
      </c>
      <c r="D437" s="127" t="s">
        <v>5226</v>
      </c>
      <c r="E437" s="128" t="s">
        <v>3967</v>
      </c>
    </row>
    <row r="438">
      <c r="B438">
        <v>437</v>
      </c>
      <c r="C438" s="127" t="s">
        <v>5228</v>
      </c>
      <c r="D438" s="127" t="s">
        <v>5229</v>
      </c>
      <c r="E438" s="128" t="s">
        <v>4016</v>
      </c>
    </row>
    <row r="439">
      <c r="B439">
        <v>438</v>
      </c>
      <c r="C439" s="127" t="s">
        <v>5231</v>
      </c>
      <c r="D439" s="127" t="s">
        <v>5232</v>
      </c>
      <c r="E439" s="128" t="s">
        <v>4016</v>
      </c>
    </row>
    <row r="440">
      <c r="B440">
        <v>439</v>
      </c>
      <c r="C440" s="127" t="s">
        <v>5234</v>
      </c>
      <c r="D440" s="127" t="s">
        <v>5235</v>
      </c>
      <c r="E440" s="128" t="s">
        <v>3987</v>
      </c>
    </row>
    <row r="441">
      <c r="B441">
        <v>440</v>
      </c>
      <c r="C441" s="127" t="s">
        <v>5237</v>
      </c>
      <c r="D441" s="127" t="s">
        <v>5238</v>
      </c>
      <c r="E441" s="128" t="s">
        <v>4045</v>
      </c>
    </row>
    <row r="442">
      <c r="B442">
        <v>441</v>
      </c>
      <c r="C442" s="127" t="s">
        <v>5240</v>
      </c>
      <c r="D442" s="127" t="s">
        <v>5241</v>
      </c>
      <c r="E442" s="128" t="s">
        <v>4099</v>
      </c>
    </row>
    <row r="443">
      <c r="B443">
        <v>442</v>
      </c>
      <c r="C443" s="127" t="s">
        <v>5243</v>
      </c>
      <c r="D443" s="127" t="s">
        <v>5244</v>
      </c>
      <c r="E443" s="128" t="s">
        <v>3893</v>
      </c>
    </row>
    <row r="444">
      <c r="B444">
        <v>443</v>
      </c>
      <c r="C444" s="127" t="s">
        <v>5246</v>
      </c>
      <c r="D444" s="127" t="s">
        <v>5247</v>
      </c>
      <c r="E444" s="128" t="s">
        <v>4033</v>
      </c>
    </row>
    <row r="445">
      <c r="B445">
        <v>444</v>
      </c>
      <c r="C445" s="127" t="s">
        <v>5249</v>
      </c>
      <c r="D445" s="127" t="s">
        <v>5250</v>
      </c>
      <c r="E445" s="128" t="s">
        <v>4016</v>
      </c>
    </row>
    <row r="446">
      <c r="B446">
        <v>445</v>
      </c>
      <c r="C446" s="127" t="s">
        <v>5252</v>
      </c>
      <c r="D446" s="127" t="s">
        <v>5253</v>
      </c>
      <c r="E446" s="128" t="s">
        <v>4045</v>
      </c>
    </row>
    <row r="447">
      <c r="B447">
        <v>446</v>
      </c>
      <c r="C447" s="127" t="s">
        <v>5255</v>
      </c>
      <c r="D447" s="127" t="s">
        <v>5256</v>
      </c>
      <c r="E447" s="128" t="s">
        <v>4099</v>
      </c>
    </row>
    <row r="448">
      <c r="B448">
        <v>447</v>
      </c>
      <c r="C448" s="127" t="s">
        <v>5258</v>
      </c>
      <c r="D448" s="127" t="s">
        <v>5259</v>
      </c>
      <c r="E448" s="128" t="s">
        <v>4347</v>
      </c>
    </row>
    <row r="449">
      <c r="B449">
        <v>448</v>
      </c>
      <c r="C449" s="127" t="s">
        <v>5261</v>
      </c>
      <c r="D449" s="127" t="s">
        <v>5262</v>
      </c>
      <c r="E449" s="128" t="s">
        <v>4099</v>
      </c>
    </row>
    <row r="450">
      <c r="B450">
        <v>449</v>
      </c>
      <c r="C450" s="127" t="s">
        <v>5264</v>
      </c>
      <c r="D450" s="127" t="s">
        <v>5265</v>
      </c>
      <c r="E450" s="128" t="s">
        <v>4347</v>
      </c>
    </row>
    <row r="451">
      <c r="B451">
        <v>450</v>
      </c>
      <c r="C451" s="127" t="s">
        <v>5267</v>
      </c>
      <c r="D451" s="127" t="s">
        <v>5268</v>
      </c>
      <c r="E451" s="128" t="s">
        <v>4033</v>
      </c>
    </row>
    <row r="452">
      <c r="B452">
        <v>451</v>
      </c>
      <c r="C452" s="127" t="s">
        <v>5270</v>
      </c>
      <c r="D452" s="127" t="s">
        <v>5271</v>
      </c>
      <c r="E452" s="128" t="s">
        <v>4210</v>
      </c>
    </row>
    <row r="453">
      <c r="B453">
        <v>452</v>
      </c>
      <c r="C453" s="127" t="s">
        <v>5273</v>
      </c>
      <c r="D453" s="127" t="s">
        <v>5274</v>
      </c>
      <c r="E453" s="128" t="s">
        <v>3987</v>
      </c>
    </row>
    <row r="454">
      <c r="B454">
        <v>453</v>
      </c>
      <c r="C454" s="127" t="s">
        <v>5276</v>
      </c>
      <c r="D454" s="127" t="s">
        <v>5277</v>
      </c>
      <c r="E454" s="128" t="s">
        <v>4099</v>
      </c>
    </row>
    <row r="455">
      <c r="B455">
        <v>454</v>
      </c>
      <c r="C455" s="127" t="s">
        <v>5279</v>
      </c>
      <c r="D455" s="127" t="s">
        <v>5280</v>
      </c>
      <c r="E455" s="128" t="s">
        <v>4045</v>
      </c>
    </row>
    <row r="456">
      <c r="B456">
        <v>455</v>
      </c>
      <c r="C456" s="127" t="s">
        <v>5282</v>
      </c>
      <c r="D456" s="127" t="s">
        <v>5283</v>
      </c>
      <c r="E456" s="128" t="s">
        <v>3893</v>
      </c>
    </row>
    <row r="457">
      <c r="B457">
        <v>456</v>
      </c>
      <c r="C457" s="127" t="s">
        <v>5285</v>
      </c>
      <c r="D457" s="127" t="s">
        <v>5286</v>
      </c>
      <c r="E457" s="128" t="s">
        <v>4004</v>
      </c>
    </row>
    <row r="458">
      <c r="B458">
        <v>457</v>
      </c>
      <c r="C458" s="127" t="s">
        <v>5287</v>
      </c>
      <c r="D458" s="127" t="s">
        <v>5288</v>
      </c>
      <c r="E458" s="128" t="s">
        <v>3893</v>
      </c>
    </row>
    <row r="459">
      <c r="B459">
        <v>458</v>
      </c>
      <c r="C459" s="127" t="s">
        <v>5289</v>
      </c>
      <c r="D459" s="127" t="s">
        <v>5290</v>
      </c>
      <c r="E459" s="128" t="s">
        <v>4033</v>
      </c>
    </row>
    <row r="460">
      <c r="B460">
        <v>459</v>
      </c>
      <c r="C460" s="127" t="s">
        <v>5292</v>
      </c>
      <c r="D460" s="127" t="s">
        <v>5293</v>
      </c>
      <c r="E460" s="128" t="s">
        <v>4347</v>
      </c>
    </row>
    <row r="461">
      <c r="B461">
        <v>460</v>
      </c>
      <c r="C461" s="127" t="s">
        <v>5295</v>
      </c>
      <c r="D461" s="127" t="s">
        <v>4339</v>
      </c>
      <c r="E461" s="128" t="s">
        <v>3893</v>
      </c>
    </row>
    <row r="462">
      <c r="B462">
        <v>461</v>
      </c>
      <c r="C462" s="127" t="s">
        <v>5297</v>
      </c>
      <c r="D462" s="127" t="s">
        <v>5298</v>
      </c>
      <c r="E462" s="128" t="s">
        <v>4099</v>
      </c>
    </row>
    <row r="463">
      <c r="B463">
        <v>462</v>
      </c>
      <c r="C463" s="127" t="s">
        <v>5301</v>
      </c>
      <c r="D463" s="127" t="s">
        <v>5047</v>
      </c>
      <c r="E463" s="128" t="s">
        <v>3889</v>
      </c>
    </row>
    <row r="464">
      <c r="B464">
        <v>463</v>
      </c>
      <c r="C464" s="127" t="s">
        <v>5303</v>
      </c>
      <c r="D464" s="127" t="s">
        <v>5304</v>
      </c>
      <c r="E464" s="128" t="s">
        <v>3889</v>
      </c>
    </row>
    <row r="465">
      <c r="B465">
        <v>464</v>
      </c>
      <c r="C465" s="127" t="s">
        <v>5306</v>
      </c>
      <c r="D465" s="127" t="s">
        <v>5307</v>
      </c>
      <c r="E465" s="128" t="s">
        <v>4045</v>
      </c>
    </row>
    <row r="466">
      <c r="B466">
        <v>465</v>
      </c>
      <c r="C466" s="127" t="s">
        <v>5309</v>
      </c>
      <c r="D466" s="127" t="s">
        <v>5310</v>
      </c>
      <c r="E466" s="128" t="s">
        <v>3889</v>
      </c>
    </row>
    <row r="467">
      <c r="B467">
        <v>466</v>
      </c>
      <c r="C467" s="127" t="s">
        <v>5312</v>
      </c>
      <c r="D467" s="127" t="s">
        <v>5313</v>
      </c>
      <c r="E467" s="128" t="s">
        <v>3889</v>
      </c>
    </row>
    <row r="468">
      <c r="B468">
        <v>467</v>
      </c>
      <c r="C468" s="127" t="s">
        <v>5315</v>
      </c>
      <c r="D468" s="127" t="s">
        <v>5316</v>
      </c>
      <c r="E468" s="128" t="s">
        <v>3889</v>
      </c>
    </row>
    <row r="469">
      <c r="B469">
        <v>468</v>
      </c>
      <c r="C469" s="127" t="s">
        <v>5318</v>
      </c>
      <c r="D469" s="127" t="s">
        <v>3956</v>
      </c>
      <c r="E469" s="128" t="s">
        <v>3893</v>
      </c>
    </row>
    <row r="470">
      <c r="B470">
        <v>469</v>
      </c>
      <c r="C470" s="127" t="s">
        <v>5320</v>
      </c>
      <c r="D470" s="127" t="s">
        <v>5321</v>
      </c>
      <c r="E470" s="128" t="s">
        <v>3967</v>
      </c>
    </row>
    <row r="471">
      <c r="B471">
        <v>470</v>
      </c>
      <c r="C471" s="127" t="s">
        <v>5323</v>
      </c>
      <c r="D471" s="127" t="s">
        <v>5324</v>
      </c>
      <c r="E471" s="128" t="s">
        <v>3987</v>
      </c>
    </row>
    <row r="472">
      <c r="B472">
        <v>471</v>
      </c>
      <c r="C472" s="127" t="s">
        <v>5326</v>
      </c>
      <c r="D472" s="127" t="s">
        <v>5327</v>
      </c>
      <c r="E472" s="128" t="s">
        <v>4099</v>
      </c>
    </row>
    <row r="473">
      <c r="B473">
        <v>472</v>
      </c>
      <c r="C473" s="127" t="s">
        <v>5329</v>
      </c>
      <c r="D473" s="127" t="s">
        <v>5330</v>
      </c>
      <c r="E473" s="128" t="s">
        <v>4099</v>
      </c>
    </row>
    <row r="474">
      <c r="B474">
        <v>473</v>
      </c>
      <c r="C474" s="127" t="s">
        <v>5332</v>
      </c>
      <c r="D474" s="127" t="s">
        <v>5333</v>
      </c>
      <c r="E474" s="128" t="s">
        <v>4004</v>
      </c>
    </row>
    <row r="475">
      <c r="B475">
        <v>474</v>
      </c>
      <c r="C475" s="127" t="s">
        <v>5335</v>
      </c>
      <c r="D475" s="127" t="s">
        <v>5336</v>
      </c>
      <c r="E475" s="128" t="s">
        <v>4004</v>
      </c>
    </row>
    <row r="476">
      <c r="B476">
        <v>475</v>
      </c>
      <c r="C476" s="127" t="s">
        <v>5338</v>
      </c>
      <c r="D476" s="127" t="s">
        <v>5339</v>
      </c>
      <c r="E476" s="128" t="s">
        <v>4004</v>
      </c>
    </row>
    <row r="477">
      <c r="B477">
        <v>476</v>
      </c>
      <c r="C477" s="127" t="s">
        <v>5341</v>
      </c>
      <c r="D477" s="127" t="s">
        <v>5342</v>
      </c>
      <c r="E477" s="128" t="s">
        <v>4099</v>
      </c>
    </row>
    <row r="478">
      <c r="B478">
        <v>477</v>
      </c>
      <c r="C478" s="127" t="s">
        <v>5345</v>
      </c>
      <c r="D478" s="127">
        <v>0</v>
      </c>
      <c r="E478" s="128" t="s">
        <v>5346</v>
      </c>
    </row>
    <row r="479">
      <c r="B479">
        <v>478</v>
      </c>
      <c r="C479" s="127" t="s">
        <v>5348</v>
      </c>
      <c r="D479" s="127">
        <v>0</v>
      </c>
      <c r="E479" s="128" t="s">
        <v>3987</v>
      </c>
    </row>
    <row r="480">
      <c r="B480">
        <v>479</v>
      </c>
      <c r="C480" s="127" t="s">
        <v>5349</v>
      </c>
      <c r="D480" s="127" t="s">
        <v>5350</v>
      </c>
      <c r="E480" s="128" t="s">
        <v>4099</v>
      </c>
    </row>
    <row r="481">
      <c r="B481">
        <v>480</v>
      </c>
      <c r="C481" s="127" t="s">
        <v>5352</v>
      </c>
      <c r="D481" s="127" t="s">
        <v>5353</v>
      </c>
      <c r="E481" s="128" t="s">
        <v>4004</v>
      </c>
    </row>
    <row r="482">
      <c r="B482">
        <v>481</v>
      </c>
      <c r="C482" s="127" t="s">
        <v>5355</v>
      </c>
      <c r="D482" s="127" t="s">
        <v>5356</v>
      </c>
      <c r="E482" s="128" t="s">
        <v>4016</v>
      </c>
    </row>
    <row r="483">
      <c r="B483">
        <v>482</v>
      </c>
      <c r="C483" s="127" t="s">
        <v>5358</v>
      </c>
      <c r="D483" s="127" t="s">
        <v>5359</v>
      </c>
      <c r="E483" s="128" t="s">
        <v>4099</v>
      </c>
    </row>
    <row r="484">
      <c r="B484">
        <v>483</v>
      </c>
      <c r="C484" s="127" t="s">
        <v>5361</v>
      </c>
      <c r="D484" s="127" t="s">
        <v>5362</v>
      </c>
      <c r="E484" s="128" t="s">
        <v>4099</v>
      </c>
    </row>
    <row r="485">
      <c r="B485">
        <v>484</v>
      </c>
      <c r="C485" s="127" t="s">
        <v>5364</v>
      </c>
      <c r="D485" s="127" t="s">
        <v>5365</v>
      </c>
      <c r="E485" s="128" t="s">
        <v>4016</v>
      </c>
    </row>
    <row r="486">
      <c r="B486">
        <v>485</v>
      </c>
      <c r="C486" s="127" t="s">
        <v>5367</v>
      </c>
      <c r="D486" s="127" t="s">
        <v>5368</v>
      </c>
      <c r="E486" s="128" t="s">
        <v>3967</v>
      </c>
    </row>
    <row r="487">
      <c r="B487">
        <v>486</v>
      </c>
      <c r="C487" s="127" t="s">
        <v>5370</v>
      </c>
      <c r="D487" s="127" t="s">
        <v>5371</v>
      </c>
      <c r="E487" s="128" t="s">
        <v>4016</v>
      </c>
    </row>
    <row r="488">
      <c r="B488">
        <v>487</v>
      </c>
      <c r="C488" s="127" t="s">
        <v>5373</v>
      </c>
      <c r="D488" s="127" t="s">
        <v>5374</v>
      </c>
      <c r="E488" s="128" t="s">
        <v>4011</v>
      </c>
    </row>
    <row r="489">
      <c r="B489">
        <v>488</v>
      </c>
      <c r="C489" s="127" t="s">
        <v>5376</v>
      </c>
      <c r="D489" s="127" t="s">
        <v>5377</v>
      </c>
      <c r="E489" s="128" t="s">
        <v>4033</v>
      </c>
    </row>
    <row r="490">
      <c r="B490">
        <v>489</v>
      </c>
      <c r="C490" s="127" t="s">
        <v>5379</v>
      </c>
      <c r="D490" s="127" t="s">
        <v>5380</v>
      </c>
      <c r="E490" s="128" t="s">
        <v>4033</v>
      </c>
    </row>
    <row r="491">
      <c r="B491">
        <v>490</v>
      </c>
      <c r="C491" s="127" t="s">
        <v>5382</v>
      </c>
      <c r="D491" s="127" t="s">
        <v>5383</v>
      </c>
      <c r="E491" s="128" t="s">
        <v>3893</v>
      </c>
    </row>
    <row r="492">
      <c r="B492">
        <v>491</v>
      </c>
      <c r="C492" s="127" t="s">
        <v>5385</v>
      </c>
      <c r="D492" s="127" t="s">
        <v>5386</v>
      </c>
      <c r="E492" s="128" t="s">
        <v>4016</v>
      </c>
    </row>
    <row r="493">
      <c r="B493">
        <v>492</v>
      </c>
      <c r="C493" s="127" t="s">
        <v>5388</v>
      </c>
      <c r="D493" s="127" t="s">
        <v>5389</v>
      </c>
      <c r="E493" s="128" t="s">
        <v>4045</v>
      </c>
    </row>
    <row r="494">
      <c r="B494">
        <v>493</v>
      </c>
      <c r="C494" s="127" t="s">
        <v>5391</v>
      </c>
      <c r="D494" s="127" t="s">
        <v>5392</v>
      </c>
      <c r="E494" s="128" t="s">
        <v>4016</v>
      </c>
    </row>
    <row r="495">
      <c r="B495">
        <v>494</v>
      </c>
      <c r="C495" s="127" t="s">
        <v>5394</v>
      </c>
      <c r="D495" s="127" t="s">
        <v>5395</v>
      </c>
      <c r="E495" s="128" t="s">
        <v>4045</v>
      </c>
    </row>
    <row r="496">
      <c r="B496">
        <v>495</v>
      </c>
      <c r="C496" s="127" t="s">
        <v>5397</v>
      </c>
      <c r="D496" s="127" t="s">
        <v>5398</v>
      </c>
      <c r="E496" s="128" t="s">
        <v>3893</v>
      </c>
    </row>
    <row r="497">
      <c r="B497">
        <v>496</v>
      </c>
      <c r="C497" s="127" t="s">
        <v>1560</v>
      </c>
      <c r="D497" s="127" t="s">
        <v>1561</v>
      </c>
      <c r="E497" s="128" t="s">
        <v>4004</v>
      </c>
    </row>
    <row r="498">
      <c r="B498">
        <v>497</v>
      </c>
      <c r="C498" s="127" t="s">
        <v>5400</v>
      </c>
      <c r="D498" s="127" t="s">
        <v>5401</v>
      </c>
      <c r="E498" s="128" t="s">
        <v>3987</v>
      </c>
    </row>
    <row r="499">
      <c r="B499">
        <v>498</v>
      </c>
      <c r="C499" s="127" t="s">
        <v>5403</v>
      </c>
      <c r="D499" s="127" t="s">
        <v>5404</v>
      </c>
      <c r="E499" s="128" t="s">
        <v>3987</v>
      </c>
    </row>
    <row r="500">
      <c r="B500">
        <v>499</v>
      </c>
      <c r="C500" s="127" t="s">
        <v>5406</v>
      </c>
      <c r="D500" s="127" t="s">
        <v>5407</v>
      </c>
      <c r="E500" s="128" t="s">
        <v>4099</v>
      </c>
    </row>
    <row r="501">
      <c r="B501">
        <v>500</v>
      </c>
      <c r="C501" s="127" t="s">
        <v>5410</v>
      </c>
      <c r="D501" s="127" t="s">
        <v>5411</v>
      </c>
      <c r="E501" s="128" t="s">
        <v>4099</v>
      </c>
    </row>
    <row r="502">
      <c r="B502">
        <v>501</v>
      </c>
      <c r="C502" s="127" t="s">
        <v>5413</v>
      </c>
      <c r="D502" s="127" t="s">
        <v>5414</v>
      </c>
      <c r="E502" s="128" t="s">
        <v>4099</v>
      </c>
    </row>
    <row r="503">
      <c r="B503">
        <v>502</v>
      </c>
      <c r="C503" s="127" t="s">
        <v>5416</v>
      </c>
      <c r="D503" s="127" t="s">
        <v>5417</v>
      </c>
      <c r="E503" s="128" t="s">
        <v>3889</v>
      </c>
    </row>
    <row r="504">
      <c r="B504">
        <v>503</v>
      </c>
      <c r="C504" s="127" t="s">
        <v>5418</v>
      </c>
      <c r="D504" s="127" t="s">
        <v>5419</v>
      </c>
      <c r="E504" s="128" t="s">
        <v>3889</v>
      </c>
    </row>
    <row r="505">
      <c r="B505">
        <v>504</v>
      </c>
      <c r="C505" s="127" t="s">
        <v>5421</v>
      </c>
      <c r="D505" s="127" t="s">
        <v>5422</v>
      </c>
      <c r="E505" s="128" t="s">
        <v>4099</v>
      </c>
    </row>
    <row r="506">
      <c r="B506">
        <v>505</v>
      </c>
      <c r="C506" s="127" t="s">
        <v>5425</v>
      </c>
      <c r="D506" s="127" t="s">
        <v>5426</v>
      </c>
      <c r="E506" s="128" t="s">
        <v>3889</v>
      </c>
    </row>
    <row r="507">
      <c r="B507">
        <v>506</v>
      </c>
      <c r="C507" s="127" t="s">
        <v>5427</v>
      </c>
      <c r="D507" s="127" t="s">
        <v>5428</v>
      </c>
      <c r="E507" s="128" t="s">
        <v>4016</v>
      </c>
    </row>
    <row r="508">
      <c r="B508">
        <v>507</v>
      </c>
      <c r="C508" s="127" t="s">
        <v>5430</v>
      </c>
      <c r="D508" s="127" t="s">
        <v>5431</v>
      </c>
      <c r="E508" s="128" t="s">
        <v>3889</v>
      </c>
    </row>
    <row r="509">
      <c r="B509">
        <v>508</v>
      </c>
      <c r="C509" s="127" t="s">
        <v>1522</v>
      </c>
      <c r="D509" s="127" t="s">
        <v>1523</v>
      </c>
      <c r="E509" s="128" t="s">
        <v>4004</v>
      </c>
    </row>
    <row r="510">
      <c r="B510">
        <v>509</v>
      </c>
      <c r="C510" s="127" t="s">
        <v>1557</v>
      </c>
      <c r="D510" s="127" t="s">
        <v>1558</v>
      </c>
      <c r="E510" s="128" t="s">
        <v>4004</v>
      </c>
    </row>
    <row r="511">
      <c r="B511">
        <v>510</v>
      </c>
      <c r="C511" s="127" t="s">
        <v>5433</v>
      </c>
      <c r="D511" s="127" t="s">
        <v>2100</v>
      </c>
      <c r="E511" s="128" t="s">
        <v>4004</v>
      </c>
    </row>
    <row r="512">
      <c r="B512">
        <v>511</v>
      </c>
      <c r="C512" s="127" t="s">
        <v>5435</v>
      </c>
      <c r="D512" s="127" t="s">
        <v>5436</v>
      </c>
      <c r="E512" s="128" t="s">
        <v>4099</v>
      </c>
    </row>
    <row r="513">
      <c r="B513">
        <v>512</v>
      </c>
      <c r="C513" s="127" t="s">
        <v>5439</v>
      </c>
      <c r="D513" s="127" t="s">
        <v>5440</v>
      </c>
      <c r="E513" s="128" t="s">
        <v>4004</v>
      </c>
    </row>
    <row r="514">
      <c r="B514">
        <v>513</v>
      </c>
      <c r="C514" s="127" t="s">
        <v>5442</v>
      </c>
      <c r="D514" s="127" t="s">
        <v>5443</v>
      </c>
      <c r="E514" s="128" t="s">
        <v>3893</v>
      </c>
    </row>
    <row r="515">
      <c r="B515">
        <v>514</v>
      </c>
      <c r="C515" s="127" t="s">
        <v>5445</v>
      </c>
      <c r="D515" s="127" t="s">
        <v>5446</v>
      </c>
      <c r="E515" s="128" t="s">
        <v>4099</v>
      </c>
    </row>
    <row r="516">
      <c r="B516">
        <v>515</v>
      </c>
      <c r="C516" s="127" t="s">
        <v>5448</v>
      </c>
      <c r="D516" s="127" t="s">
        <v>5449</v>
      </c>
      <c r="E516" s="128" t="s">
        <v>3893</v>
      </c>
    </row>
    <row r="517">
      <c r="B517">
        <v>516</v>
      </c>
      <c r="C517" s="127" t="s">
        <v>5451</v>
      </c>
      <c r="D517" s="127" t="s">
        <v>5452</v>
      </c>
      <c r="E517" s="128" t="s">
        <v>4033</v>
      </c>
    </row>
    <row r="518">
      <c r="B518">
        <v>517</v>
      </c>
      <c r="C518" s="127" t="s">
        <v>5454</v>
      </c>
      <c r="D518" s="127">
        <v>0</v>
      </c>
      <c r="E518" s="128" t="s">
        <v>3889</v>
      </c>
    </row>
    <row r="519">
      <c r="B519">
        <v>518</v>
      </c>
      <c r="C519" s="127" t="s">
        <v>5455</v>
      </c>
      <c r="D519" s="127" t="s">
        <v>5456</v>
      </c>
      <c r="E519" s="128" t="s">
        <v>3889</v>
      </c>
    </row>
    <row r="520">
      <c r="B520">
        <v>519</v>
      </c>
      <c r="C520" s="127" t="s">
        <v>5458</v>
      </c>
      <c r="D520" s="127" t="s">
        <v>5459</v>
      </c>
      <c r="E520" s="128" t="s">
        <v>3893</v>
      </c>
    </row>
    <row r="521">
      <c r="B521">
        <v>520</v>
      </c>
      <c r="C521" s="127" t="s">
        <v>5461</v>
      </c>
      <c r="D521" s="127">
        <v>0</v>
      </c>
      <c r="E521" s="128" t="s">
        <v>3967</v>
      </c>
    </row>
    <row r="522">
      <c r="B522">
        <v>521</v>
      </c>
      <c r="C522" s="127" t="s">
        <v>5463</v>
      </c>
      <c r="D522" s="127">
        <v>0</v>
      </c>
      <c r="E522" s="128" t="s">
        <v>3893</v>
      </c>
    </row>
    <row r="523">
      <c r="B523">
        <v>522</v>
      </c>
      <c r="C523" s="127" t="s">
        <v>5465</v>
      </c>
      <c r="D523" s="127" t="s">
        <v>3238</v>
      </c>
      <c r="E523" s="128" t="s">
        <v>3987</v>
      </c>
    </row>
    <row r="524">
      <c r="B524">
        <v>523</v>
      </c>
      <c r="C524" s="127" t="s">
        <v>5467</v>
      </c>
      <c r="D524" s="127" t="s">
        <v>5468</v>
      </c>
      <c r="E524" s="128" t="s">
        <v>3893</v>
      </c>
    </row>
    <row r="525">
      <c r="B525">
        <v>524</v>
      </c>
      <c r="C525" s="127" t="s">
        <v>5470</v>
      </c>
      <c r="D525" s="127" t="s">
        <v>5471</v>
      </c>
      <c r="E525" s="128" t="s">
        <v>3893</v>
      </c>
    </row>
    <row r="526">
      <c r="B526">
        <v>525</v>
      </c>
      <c r="C526" s="127" t="s">
        <v>5473</v>
      </c>
      <c r="D526" s="127" t="s">
        <v>5474</v>
      </c>
      <c r="E526" s="128" t="s">
        <v>3893</v>
      </c>
    </row>
    <row r="527">
      <c r="B527">
        <v>526</v>
      </c>
      <c r="C527" s="127" t="s">
        <v>5476</v>
      </c>
      <c r="D527" s="127" t="s">
        <v>8427</v>
      </c>
      <c r="E527" s="128" t="s">
        <v>4099</v>
      </c>
    </row>
    <row r="528">
      <c r="B528">
        <v>527</v>
      </c>
      <c r="C528" s="127" t="s">
        <v>5478</v>
      </c>
      <c r="D528" s="127" t="s">
        <v>8427</v>
      </c>
      <c r="E528" s="128" t="s">
        <v>4016</v>
      </c>
    </row>
    <row r="529">
      <c r="B529">
        <v>528</v>
      </c>
      <c r="C529" s="127" t="s">
        <v>5479</v>
      </c>
      <c r="D529" s="127" t="s">
        <v>8427</v>
      </c>
      <c r="E529" s="128" t="s">
        <v>4033</v>
      </c>
    </row>
    <row r="530">
      <c r="B530">
        <v>529</v>
      </c>
      <c r="C530" s="127" t="s">
        <v>5480</v>
      </c>
      <c r="D530" s="127" t="s">
        <v>5481</v>
      </c>
      <c r="E530" s="128" t="s">
        <v>4045</v>
      </c>
    </row>
    <row r="531">
      <c r="B531">
        <v>530</v>
      </c>
      <c r="C531" s="127" t="s">
        <v>5482</v>
      </c>
      <c r="D531" s="127" t="s">
        <v>5483</v>
      </c>
      <c r="E531" s="128" t="s">
        <v>4045</v>
      </c>
    </row>
    <row r="532">
      <c r="B532">
        <v>531</v>
      </c>
      <c r="C532" s="127" t="s">
        <v>5484</v>
      </c>
      <c r="D532" s="127" t="s">
        <v>5485</v>
      </c>
      <c r="E532" s="128" t="s">
        <v>4099</v>
      </c>
    </row>
    <row r="533">
      <c r="B533">
        <v>532</v>
      </c>
      <c r="C533" s="127" t="s">
        <v>5487</v>
      </c>
      <c r="D533" s="127" t="s">
        <v>5488</v>
      </c>
      <c r="E533" s="128" t="s">
        <v>4099</v>
      </c>
    </row>
    <row r="534">
      <c r="B534">
        <v>533</v>
      </c>
      <c r="C534" s="127" t="s">
        <v>5489</v>
      </c>
      <c r="D534" s="127" t="s">
        <v>5490</v>
      </c>
      <c r="E534" s="128" t="s">
        <v>4004</v>
      </c>
    </row>
    <row r="535">
      <c r="B535">
        <v>534</v>
      </c>
      <c r="C535" s="127" t="s">
        <v>5491</v>
      </c>
      <c r="D535" s="127" t="s">
        <v>5492</v>
      </c>
      <c r="E535" s="128" t="s">
        <v>4004</v>
      </c>
    </row>
    <row r="536">
      <c r="B536">
        <v>535</v>
      </c>
      <c r="C536" s="127" t="s">
        <v>5493</v>
      </c>
      <c r="D536" s="127" t="s">
        <v>5494</v>
      </c>
      <c r="E536" s="128" t="s">
        <v>3889</v>
      </c>
    </row>
    <row r="537">
      <c r="B537">
        <v>536</v>
      </c>
      <c r="C537" s="127" t="s">
        <v>5495</v>
      </c>
      <c r="E537" s="128" t="s">
        <v>4045</v>
      </c>
    </row>
    <row r="538">
      <c r="B538">
        <v>537</v>
      </c>
      <c r="C538" s="127" t="s">
        <v>5496</v>
      </c>
      <c r="E538" s="128" t="s">
        <v>4045</v>
      </c>
    </row>
    <row r="539">
      <c r="C539" s="41" t="s">
        <v>5497</v>
      </c>
      <c r="D539" s="41" t="s">
        <v>8428</v>
      </c>
    </row>
    <row r="540">
      <c r="C540" s="41" t="s">
        <v>5498</v>
      </c>
      <c r="D540" s="41" t="s">
        <v>8429</v>
      </c>
    </row>
    <row r="541">
      <c r="C541" s="41" t="s">
        <v>5499</v>
      </c>
      <c r="D541" s="41" t="s">
        <v>8430</v>
      </c>
    </row>
    <row r="542">
      <c r="C542" s="41" t="s">
        <v>5500</v>
      </c>
      <c r="D542" s="41" t="s">
        <v>8431</v>
      </c>
    </row>
    <row r="543">
      <c r="C543" s="41" t="s">
        <v>5501</v>
      </c>
      <c r="D543" s="41" t="s">
        <v>8432</v>
      </c>
    </row>
    <row r="544">
      <c r="C544" s="41" t="s">
        <v>5502</v>
      </c>
      <c r="D544" s="41" t="s">
        <v>8433</v>
      </c>
    </row>
    <row r="545">
      <c r="C545" s="41" t="s">
        <v>5503</v>
      </c>
      <c r="D545" s="41" t="s">
        <v>8434</v>
      </c>
    </row>
    <row r="546">
      <c r="C546" s="41" t="s">
        <v>5504</v>
      </c>
      <c r="D546" s="41" t="s">
        <v>8435</v>
      </c>
    </row>
    <row r="547">
      <c r="C547" s="41" t="s">
        <v>5505</v>
      </c>
      <c r="D547" s="41" t="s">
        <v>8436</v>
      </c>
    </row>
    <row r="548">
      <c r="C548" s="41" t="s">
        <v>5506</v>
      </c>
      <c r="D548" s="41" t="s">
        <v>8437</v>
      </c>
    </row>
    <row r="549">
      <c r="C549" s="41" t="s">
        <v>5507</v>
      </c>
      <c r="D549" s="41" t="s">
        <v>8438</v>
      </c>
    </row>
    <row r="550">
      <c r="C550" s="41" t="s">
        <v>5508</v>
      </c>
      <c r="D550" s="41" t="s">
        <v>8439</v>
      </c>
    </row>
    <row r="551">
      <c r="C551" s="41" t="s">
        <v>5509</v>
      </c>
      <c r="D551" s="41" t="s">
        <v>8440</v>
      </c>
    </row>
    <row r="552">
      <c r="C552" s="41" t="s">
        <v>5510</v>
      </c>
      <c r="D552" s="41" t="s">
        <v>8441</v>
      </c>
    </row>
    <row r="553">
      <c r="C553" s="41" t="s">
        <v>5511</v>
      </c>
      <c r="D553" s="41" t="s">
        <v>8442</v>
      </c>
    </row>
    <row r="554">
      <c r="C554" s="41" t="s">
        <v>5512</v>
      </c>
      <c r="D554" s="41" t="s">
        <v>8443</v>
      </c>
    </row>
    <row r="555">
      <c r="C555" s="41" t="s">
        <v>5513</v>
      </c>
      <c r="D555" s="41" t="s">
        <v>8444</v>
      </c>
    </row>
    <row r="556">
      <c r="C556" s="41" t="s">
        <v>5514</v>
      </c>
      <c r="D556" s="41" t="s">
        <v>8445</v>
      </c>
    </row>
    <row r="557">
      <c r="C557" s="41" t="s">
        <v>5515</v>
      </c>
      <c r="D557" s="41" t="s">
        <v>8446</v>
      </c>
    </row>
    <row r="558">
      <c r="C558" s="41" t="s">
        <v>5516</v>
      </c>
      <c r="D558" s="41" t="s">
        <v>8447</v>
      </c>
    </row>
    <row r="559">
      <c r="C559" s="41" t="s">
        <v>5517</v>
      </c>
      <c r="D559" s="41" t="s">
        <v>8448</v>
      </c>
    </row>
    <row r="560">
      <c r="C560" s="41" t="s">
        <v>5518</v>
      </c>
      <c r="D560" s="41" t="s">
        <v>8449</v>
      </c>
    </row>
    <row r="561">
      <c r="C561" s="41" t="s">
        <v>5519</v>
      </c>
      <c r="D561" s="41" t="s">
        <v>8450</v>
      </c>
    </row>
    <row r="562">
      <c r="C562" s="41" t="s">
        <v>5520</v>
      </c>
      <c r="D562" s="41" t="s">
        <v>8451</v>
      </c>
    </row>
    <row r="563">
      <c r="C563" s="41" t="s">
        <v>5521</v>
      </c>
      <c r="D563" s="41" t="s">
        <v>8452</v>
      </c>
    </row>
    <row r="564">
      <c r="C564" s="41" t="s">
        <v>5522</v>
      </c>
      <c r="D564" s="41" t="s">
        <v>8453</v>
      </c>
    </row>
    <row r="565">
      <c r="C565" s="41" t="s">
        <v>5523</v>
      </c>
      <c r="D565" s="41" t="s">
        <v>8454</v>
      </c>
    </row>
    <row r="566">
      <c r="C566" s="41" t="s">
        <v>5524</v>
      </c>
      <c r="D566" s="41" t="s">
        <v>8455</v>
      </c>
    </row>
    <row r="567">
      <c r="C567" s="41" t="s">
        <v>5525</v>
      </c>
      <c r="D567" s="41" t="s">
        <v>8456</v>
      </c>
    </row>
    <row r="568">
      <c r="C568" s="41" t="s">
        <v>5526</v>
      </c>
      <c r="D568" s="41" t="s">
        <v>8457</v>
      </c>
    </row>
    <row r="569">
      <c r="C569" s="41" t="s">
        <v>5527</v>
      </c>
      <c r="D569" s="41" t="s">
        <v>8458</v>
      </c>
    </row>
    <row r="570">
      <c r="C570" s="41" t="s">
        <v>5528</v>
      </c>
      <c r="D570" s="41" t="s">
        <v>8459</v>
      </c>
    </row>
    <row r="571">
      <c r="C571" s="41" t="s">
        <v>5529</v>
      </c>
      <c r="D571" s="41" t="s">
        <v>8460</v>
      </c>
    </row>
    <row r="572">
      <c r="C572" s="41" t="s">
        <v>5530</v>
      </c>
      <c r="D572" s="41" t="s">
        <v>8461</v>
      </c>
    </row>
    <row r="573">
      <c r="C573" s="41" t="s">
        <v>5531</v>
      </c>
      <c r="D573" s="41" t="s">
        <v>8462</v>
      </c>
    </row>
    <row r="574">
      <c r="C574" s="41" t="s">
        <v>5532</v>
      </c>
      <c r="D574" s="41" t="s">
        <v>8463</v>
      </c>
    </row>
    <row r="575">
      <c r="C575" s="41" t="s">
        <v>5533</v>
      </c>
      <c r="D575" s="41" t="s">
        <v>8464</v>
      </c>
    </row>
    <row r="576">
      <c r="C576" s="41" t="s">
        <v>5534</v>
      </c>
      <c r="D576" s="41" t="s">
        <v>8465</v>
      </c>
    </row>
    <row r="577">
      <c r="C577" s="41" t="s">
        <v>5535</v>
      </c>
      <c r="D577" s="41" t="s">
        <v>8466</v>
      </c>
    </row>
    <row r="578">
      <c r="C578" s="41" t="s">
        <v>5536</v>
      </c>
      <c r="D578" s="41" t="s">
        <v>8467</v>
      </c>
    </row>
    <row r="579">
      <c r="C579" s="41" t="s">
        <v>5537</v>
      </c>
      <c r="D579" s="41" t="s">
        <v>8468</v>
      </c>
    </row>
    <row r="580">
      <c r="C580" s="41" t="s">
        <v>5538</v>
      </c>
      <c r="D580" s="41" t="s">
        <v>8469</v>
      </c>
    </row>
    <row r="581">
      <c r="C581" s="41" t="s">
        <v>5539</v>
      </c>
      <c r="D581" s="41" t="s">
        <v>8470</v>
      </c>
    </row>
    <row r="582">
      <c r="C582" s="41" t="s">
        <v>5540</v>
      </c>
      <c r="D582" s="41" t="s">
        <v>8471</v>
      </c>
    </row>
    <row r="583">
      <c r="C583" s="41" t="s">
        <v>5541</v>
      </c>
      <c r="D583" s="41" t="s">
        <v>8472</v>
      </c>
    </row>
    <row r="584">
      <c r="C584" s="41" t="s">
        <v>5542</v>
      </c>
      <c r="D584" s="41" t="s">
        <v>8473</v>
      </c>
    </row>
    <row r="585">
      <c r="C585" s="41" t="s">
        <v>5543</v>
      </c>
      <c r="D585" s="41" t="s">
        <v>8446</v>
      </c>
    </row>
    <row r="586">
      <c r="C586" s="41" t="s">
        <v>5544</v>
      </c>
      <c r="D586" s="41" t="s">
        <v>8474</v>
      </c>
    </row>
    <row r="587">
      <c r="C587" s="41" t="s">
        <v>5545</v>
      </c>
      <c r="D587" s="41" t="s">
        <v>4342</v>
      </c>
    </row>
    <row r="588">
      <c r="C588" s="41" t="s">
        <v>5546</v>
      </c>
      <c r="D588" s="41" t="s">
        <v>8475</v>
      </c>
    </row>
    <row r="589">
      <c r="C589" s="41" t="s">
        <v>5547</v>
      </c>
      <c r="D589" s="41" t="s">
        <v>8476</v>
      </c>
    </row>
    <row r="590">
      <c r="C590" s="41" t="s">
        <v>5548</v>
      </c>
      <c r="D590" s="41" t="s">
        <v>8477</v>
      </c>
    </row>
    <row r="591">
      <c r="C591" s="41" t="s">
        <v>5549</v>
      </c>
      <c r="D591" s="41" t="s">
        <v>8478</v>
      </c>
    </row>
    <row r="592">
      <c r="C592" s="41" t="s">
        <v>5550</v>
      </c>
      <c r="D592" s="41" t="s">
        <v>8479</v>
      </c>
    </row>
    <row r="593">
      <c r="C593" s="41" t="s">
        <v>5551</v>
      </c>
      <c r="D593" s="41" t="s">
        <v>8480</v>
      </c>
    </row>
    <row r="594">
      <c r="C594" s="41" t="s">
        <v>5552</v>
      </c>
      <c r="D594" s="41" t="s">
        <v>8481</v>
      </c>
    </row>
    <row r="595">
      <c r="C595" s="41" t="s">
        <v>5553</v>
      </c>
      <c r="D595" s="41" t="s">
        <v>8482</v>
      </c>
    </row>
    <row r="596">
      <c r="C596" s="41" t="s">
        <v>5554</v>
      </c>
      <c r="D596" s="41" t="s">
        <v>8483</v>
      </c>
    </row>
    <row r="597">
      <c r="C597" s="41" t="s">
        <v>5555</v>
      </c>
      <c r="D597" s="41" t="s">
        <v>8484</v>
      </c>
    </row>
    <row r="598">
      <c r="C598" s="41" t="s">
        <v>5556</v>
      </c>
      <c r="D598" s="41" t="s">
        <v>8485</v>
      </c>
    </row>
    <row r="599">
      <c r="C599" s="41" t="s">
        <v>5557</v>
      </c>
      <c r="D599" s="41" t="s">
        <v>8486</v>
      </c>
    </row>
    <row r="600">
      <c r="C600" s="41" t="s">
        <v>5558</v>
      </c>
      <c r="D600" s="41" t="s">
        <v>8487</v>
      </c>
    </row>
    <row r="601">
      <c r="C601" s="41" t="s">
        <v>5559</v>
      </c>
      <c r="D601" s="41" t="s">
        <v>8488</v>
      </c>
    </row>
    <row r="602">
      <c r="C602" s="41" t="s">
        <v>5560</v>
      </c>
      <c r="D602" s="41" t="s">
        <v>8489</v>
      </c>
    </row>
    <row r="603">
      <c r="C603" s="41" t="s">
        <v>5561</v>
      </c>
      <c r="D603" s="41" t="s">
        <v>8490</v>
      </c>
    </row>
    <row r="604">
      <c r="C604" s="41" t="s">
        <v>5562</v>
      </c>
      <c r="D604" s="41" t="s">
        <v>8491</v>
      </c>
    </row>
    <row r="605">
      <c r="C605" s="41" t="s">
        <v>5563</v>
      </c>
      <c r="D605" s="123" t="s">
        <v>5120</v>
      </c>
    </row>
    <row r="606">
      <c r="C606" s="41" t="s">
        <v>5564</v>
      </c>
      <c r="D606" s="41" t="s">
        <v>8446</v>
      </c>
    </row>
    <row r="607">
      <c r="C607" s="41" t="s">
        <v>5565</v>
      </c>
      <c r="D607" s="124" t="s">
        <v>8446</v>
      </c>
    </row>
    <row r="608">
      <c r="C608" s="42" t="s">
        <v>5566</v>
      </c>
      <c r="D608" s="124" t="s">
        <v>8492</v>
      </c>
    </row>
    <row r="609">
      <c r="C609" s="42" t="s">
        <v>5567</v>
      </c>
      <c r="D609" s="124" t="s">
        <v>8493</v>
      </c>
    </row>
    <row r="610">
      <c r="C610" s="42" t="s">
        <v>5568</v>
      </c>
      <c r="D610" s="124" t="s">
        <v>8494</v>
      </c>
    </row>
    <row r="611">
      <c r="C611" s="42" t="s">
        <v>5569</v>
      </c>
      <c r="D611" s="124" t="s">
        <v>8427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47" id="{1817C418-F972-40AE-BC61-62163B00481F}">
            <x14:dxf>
              <font>
                <color rgb="FF9C0006"/>
              </font>
              <fill>
                <patternFill patternType="solid">
                  <fgColor rgb="FFFFC7CE"/>
                  <bgColor rgb="FFFFC7CE"/>
                </patternFill>
              </fill>
            </x14:dxf>
          </x14:cfRule>
          <xm:sqref>C480</xm:sqref>
        </x14:conditionalFormatting>
        <x14:conditionalFormatting xmlns:xm="http://schemas.microsoft.com/office/excel/2006/main">
          <x14:cfRule type="duplicateValues" priority="46" id="{9A2A83BF-683F-4B7A-B23A-C3E215AAC4FF}">
            <x14:dxf>
              <font>
                <color rgb="FF9C0006"/>
              </font>
              <fill>
                <patternFill patternType="solid">
                  <fgColor rgb="FFFFC7CE"/>
                  <bgColor rgb="FFFFC7CE"/>
                </patternFill>
              </fill>
            </x14:dxf>
          </x14:cfRule>
          <xm:sqref>C481</xm:sqref>
        </x14:conditionalFormatting>
        <x14:conditionalFormatting xmlns:xm="http://schemas.microsoft.com/office/excel/2006/main">
          <x14:cfRule type="duplicateValues" priority="45" id="{653529DE-033A-4D39-A9F7-D12E4B7BB288}">
            <x14:dxf>
              <font>
                <color rgb="FF9C0006"/>
              </font>
              <fill>
                <patternFill patternType="solid">
                  <fgColor rgb="FFFFC7CE"/>
                  <bgColor rgb="FFFFC7CE"/>
                </patternFill>
              </fill>
            </x14:dxf>
          </x14:cfRule>
          <xm:sqref>C482</xm:sqref>
        </x14:conditionalFormatting>
        <x14:conditionalFormatting xmlns:xm="http://schemas.microsoft.com/office/excel/2006/main">
          <x14:cfRule type="duplicateValues" priority="44" id="{B6B1943E-FDC4-4FBA-AF3E-B16A7F265545}">
            <x14:dxf>
              <font>
                <color rgb="FF9C0006"/>
              </font>
              <fill>
                <patternFill patternType="solid">
                  <fgColor rgb="FFFFC7CE"/>
                  <bgColor rgb="FFFFC7CE"/>
                </patternFill>
              </fill>
            </x14:dxf>
          </x14:cfRule>
          <xm:sqref>C482</xm:sqref>
        </x14:conditionalFormatting>
        <x14:conditionalFormatting xmlns:xm="http://schemas.microsoft.com/office/excel/2006/main">
          <x14:cfRule type="duplicateValues" priority="43" id="{3BED5DA9-C8D7-4835-9DEB-D0C755576FA2}">
            <x14:dxf>
              <font>
                <color rgb="FF9C0006"/>
              </font>
              <fill>
                <patternFill patternType="solid">
                  <fgColor rgb="FFFFC7CE"/>
                  <bgColor rgb="FFFFC7CE"/>
                </patternFill>
              </fill>
            </x14:dxf>
          </x14:cfRule>
          <xm:sqref>C483</xm:sqref>
        </x14:conditionalFormatting>
        <x14:conditionalFormatting xmlns:xm="http://schemas.microsoft.com/office/excel/2006/main">
          <x14:cfRule type="duplicateValues" priority="42" id="{186058BC-655E-4A78-8E20-493EEA7CC803}">
            <x14:dxf>
              <font>
                <color rgb="FF9C0006"/>
              </font>
              <fill>
                <patternFill patternType="solid">
                  <fgColor rgb="FFFFC7CE"/>
                  <bgColor rgb="FFFFC7CE"/>
                </patternFill>
              </fill>
            </x14:dxf>
          </x14:cfRule>
          <xm:sqref>C483</xm:sqref>
        </x14:conditionalFormatting>
        <x14:conditionalFormatting xmlns:xm="http://schemas.microsoft.com/office/excel/2006/main">
          <x14:cfRule type="duplicateValues" priority="41" id="{FE03959E-9975-4A12-8558-AD38414D6F1F}">
            <x14:dxf>
              <font>
                <color rgb="FF9C0006"/>
              </font>
              <fill>
                <patternFill patternType="solid">
                  <fgColor rgb="FFFFC7CE"/>
                  <bgColor rgb="FFFFC7CE"/>
                </patternFill>
              </fill>
            </x14:dxf>
          </x14:cfRule>
          <xm:sqref>C484</xm:sqref>
        </x14:conditionalFormatting>
        <x14:conditionalFormatting xmlns:xm="http://schemas.microsoft.com/office/excel/2006/main">
          <x14:cfRule type="duplicateValues" priority="40" id="{444E29E2-5DBD-4A3D-9736-BA1AB1D3FAA2}">
            <x14:dxf>
              <font>
                <color rgb="FF9C0006"/>
              </font>
              <fill>
                <patternFill patternType="solid">
                  <fgColor rgb="FFFFC7CE"/>
                  <bgColor rgb="FFFFC7CE"/>
                </patternFill>
              </fill>
            </x14:dxf>
          </x14:cfRule>
          <xm:sqref>C484</xm:sqref>
        </x14:conditionalFormatting>
        <x14:conditionalFormatting xmlns:xm="http://schemas.microsoft.com/office/excel/2006/main">
          <x14:cfRule type="duplicateValues" priority="39" id="{7F399DFC-40CF-497B-8C44-E538E3903949}">
            <x14:dxf>
              <font>
                <color rgb="FF9C0006"/>
              </font>
              <fill>
                <patternFill patternType="solid">
                  <fgColor rgb="FFFFC7CE"/>
                  <bgColor rgb="FFFFC7CE"/>
                </patternFill>
              </fill>
            </x14:dxf>
          </x14:cfRule>
          <xm:sqref>C485</xm:sqref>
        </x14:conditionalFormatting>
        <x14:conditionalFormatting xmlns:xm="http://schemas.microsoft.com/office/excel/2006/main">
          <x14:cfRule type="duplicateValues" priority="38" id="{A7326626-F560-46BB-9FAA-2CA93748371C}">
            <x14:dxf>
              <font>
                <color rgb="FF9C0006"/>
              </font>
              <fill>
                <patternFill patternType="solid">
                  <fgColor rgb="FFFFC7CE"/>
                  <bgColor rgb="FFFFC7CE"/>
                </patternFill>
              </fill>
            </x14:dxf>
          </x14:cfRule>
          <xm:sqref>C485</xm:sqref>
        </x14:conditionalFormatting>
        <x14:conditionalFormatting xmlns:xm="http://schemas.microsoft.com/office/excel/2006/main">
          <x14:cfRule type="duplicateValues" priority="37" id="{4011299E-5E92-492A-85E4-FADD700FECF8}">
            <x14:dxf>
              <font>
                <color rgb="FF9C0006"/>
              </font>
              <fill>
                <patternFill patternType="solid">
                  <fgColor rgb="FFFFC7CE"/>
                  <bgColor rgb="FFFFC7CE"/>
                </patternFill>
              </fill>
            </x14:dxf>
          </x14:cfRule>
          <xm:sqref>C486</xm:sqref>
        </x14:conditionalFormatting>
        <x14:conditionalFormatting xmlns:xm="http://schemas.microsoft.com/office/excel/2006/main">
          <x14:cfRule type="duplicateValues" priority="36" id="{FC2692E4-3FF5-499C-9971-CB4397E8ED6B}">
            <x14:dxf>
              <font>
                <color rgb="FF9C0006"/>
              </font>
              <fill>
                <patternFill patternType="solid">
                  <fgColor rgb="FFFFC7CE"/>
                  <bgColor rgb="FFFFC7CE"/>
                </patternFill>
              </fill>
            </x14:dxf>
          </x14:cfRule>
          <xm:sqref>C486</xm:sqref>
        </x14:conditionalFormatting>
        <x14:conditionalFormatting xmlns:xm="http://schemas.microsoft.com/office/excel/2006/main">
          <x14:cfRule type="duplicateValues" priority="33" id="{20CABF3A-FBBF-4ABF-A2E0-7013CB7F7D54}">
            <x14:dxf>
              <font>
                <color rgb="FF9C0006"/>
              </font>
              <fill>
                <patternFill patternType="solid">
                  <fgColor rgb="FFFFC7CE"/>
                  <bgColor rgb="FFFFC7CE"/>
                </patternFill>
              </fill>
            </x14:dxf>
          </x14:cfRule>
          <xm:sqref>C487</xm:sqref>
        </x14:conditionalFormatting>
        <x14:conditionalFormatting xmlns:xm="http://schemas.microsoft.com/office/excel/2006/main">
          <x14:cfRule type="duplicateValues" priority="32" id="{7A07DE60-1BE2-4A6D-9C6D-A3A42B41202A}">
            <x14:dxf>
              <font>
                <color rgb="FF9C0006"/>
              </font>
              <fill>
                <patternFill patternType="solid">
                  <fgColor rgb="FFFFC7CE"/>
                  <bgColor rgb="FFFFC7CE"/>
                </patternFill>
              </fill>
            </x14:dxf>
          </x14:cfRule>
          <xm:sqref>C487</xm:sqref>
        </x14:conditionalFormatting>
        <x14:conditionalFormatting xmlns:xm="http://schemas.microsoft.com/office/excel/2006/main">
          <x14:cfRule type="duplicateValues" priority="35" id="{A9F672EC-7E72-4020-96D7-3BCBD2577B46}">
            <x14:dxf>
              <font>
                <color rgb="FF9C0006"/>
              </font>
              <fill>
                <patternFill patternType="solid">
                  <fgColor rgb="FFFFC7CE"/>
                  <bgColor rgb="FFFFC7CE"/>
                </patternFill>
              </fill>
            </x14:dxf>
          </x14:cfRule>
          <xm:sqref>C488</xm:sqref>
        </x14:conditionalFormatting>
        <x14:conditionalFormatting xmlns:xm="http://schemas.microsoft.com/office/excel/2006/main">
          <x14:cfRule type="duplicateValues" priority="34" id="{9DED727D-6BBC-42B7-9291-29902D15E149}">
            <x14:dxf>
              <font>
                <color rgb="FF9C0006"/>
              </font>
              <fill>
                <patternFill patternType="solid">
                  <fgColor rgb="FFFFC7CE"/>
                  <bgColor rgb="FFFFC7CE"/>
                </patternFill>
              </fill>
            </x14:dxf>
          </x14:cfRule>
          <xm:sqref>C488</xm:sqref>
        </x14:conditionalFormatting>
        <x14:conditionalFormatting xmlns:xm="http://schemas.microsoft.com/office/excel/2006/main">
          <x14:cfRule type="duplicateValues" priority="29" id="{6538B3AD-8FE7-44E8-8D6D-E5065A944525}">
            <x14:dxf>
              <font>
                <color rgb="FF9C0006"/>
              </font>
              <fill>
                <patternFill patternType="solid">
                  <fgColor rgb="FFFFC7CE"/>
                  <bgColor rgb="FFFFC7CE"/>
                </patternFill>
              </fill>
            </x14:dxf>
          </x14:cfRule>
          <xm:sqref>C489</xm:sqref>
        </x14:conditionalFormatting>
        <x14:conditionalFormatting xmlns:xm="http://schemas.microsoft.com/office/excel/2006/main">
          <x14:cfRule type="duplicateValues" priority="31" id="{9142F65B-AF16-4012-AA94-6356517FE4AA}">
            <x14:dxf>
              <font>
                <color rgb="FF9C0006"/>
              </font>
              <fill>
                <patternFill patternType="solid">
                  <fgColor rgb="FFFFC7CE"/>
                  <bgColor rgb="FFFFC7CE"/>
                </patternFill>
              </fill>
            </x14:dxf>
          </x14:cfRule>
          <xm:sqref>C489:C508</xm:sqref>
        </x14:conditionalFormatting>
        <x14:conditionalFormatting xmlns:xm="http://schemas.microsoft.com/office/excel/2006/main">
          <x14:cfRule type="duplicateValues" priority="30" id="{BC18AE94-1C14-404C-8868-1B16E8809ECF}">
            <x14:dxf>
              <font>
                <color rgb="FF9C0006"/>
              </font>
              <fill>
                <patternFill patternType="solid">
                  <fgColor rgb="FFFFC7CE"/>
                  <bgColor rgb="FFFFC7CE"/>
                </patternFill>
              </fill>
            </x14:dxf>
          </x14:cfRule>
          <xm:sqref>C489:C508</xm:sqref>
        </x14:conditionalFormatting>
        <x14:conditionalFormatting xmlns:xm="http://schemas.microsoft.com/office/excel/2006/main">
          <x14:cfRule type="duplicateValues" priority="28" id="{7C35C0F0-1158-4EC9-A109-0B2E78ABCBEE}">
            <x14:dxf>
              <font>
                <color rgb="FF9C0006"/>
              </font>
              <fill>
                <patternFill patternType="solid">
                  <fgColor rgb="FFFFC7CE"/>
                  <bgColor rgb="FFFFC7CE"/>
                </patternFill>
              </fill>
            </x14:dxf>
          </x14:cfRule>
          <xm:sqref>C490</xm:sqref>
        </x14:conditionalFormatting>
        <x14:conditionalFormatting xmlns:xm="http://schemas.microsoft.com/office/excel/2006/main">
          <x14:cfRule type="duplicateValues" priority="27" id="{2C2A616F-499A-4C0A-99FD-C6A3368617DD}">
            <x14:dxf>
              <font>
                <color rgb="FF9C0006"/>
              </font>
              <fill>
                <patternFill patternType="solid">
                  <fgColor rgb="FFFFC7CE"/>
                  <bgColor rgb="FFFFC7CE"/>
                </patternFill>
              </fill>
            </x14:dxf>
          </x14:cfRule>
          <xm:sqref>C491</xm:sqref>
        </x14:conditionalFormatting>
        <x14:conditionalFormatting xmlns:xm="http://schemas.microsoft.com/office/excel/2006/main">
          <x14:cfRule type="duplicateValues" priority="26" id="{67DF2A0E-C600-4FC2-B387-A46C3B27E4D1}">
            <x14:dxf>
              <font>
                <color rgb="FF9C0006"/>
              </font>
              <fill>
                <patternFill patternType="solid">
                  <fgColor rgb="FFFFC7CE"/>
                  <bgColor rgb="FFFFC7CE"/>
                </patternFill>
              </fill>
            </x14:dxf>
          </x14:cfRule>
          <xm:sqref>C492</xm:sqref>
        </x14:conditionalFormatting>
        <x14:conditionalFormatting xmlns:xm="http://schemas.microsoft.com/office/excel/2006/main">
          <x14:cfRule type="duplicateValues" priority="25" id="{6CD05195-B50A-408F-8CF0-1EEA453658CA}">
            <x14:dxf>
              <font>
                <color rgb="FF9C0006"/>
              </font>
              <fill>
                <patternFill patternType="solid">
                  <fgColor rgb="FFFFC7CE"/>
                  <bgColor rgb="FFFFC7CE"/>
                </patternFill>
              </fill>
            </x14:dxf>
          </x14:cfRule>
          <xm:sqref>C493</xm:sqref>
        </x14:conditionalFormatting>
        <x14:conditionalFormatting xmlns:xm="http://schemas.microsoft.com/office/excel/2006/main">
          <x14:cfRule type="duplicateValues" priority="24" id="{6D62FBDA-0329-4ABD-BF7C-00543D3F9473}">
            <x14:dxf>
              <font>
                <color rgb="FF9C0006"/>
              </font>
              <fill>
                <patternFill patternType="solid">
                  <fgColor rgb="FFFFC7CE"/>
                  <bgColor rgb="FFFFC7CE"/>
                </patternFill>
              </fill>
            </x14:dxf>
          </x14:cfRule>
          <xm:sqref>C494:C495</xm:sqref>
        </x14:conditionalFormatting>
        <x14:conditionalFormatting xmlns:xm="http://schemas.microsoft.com/office/excel/2006/main">
          <x14:cfRule type="duplicateValues" priority="23" id="{0CFB8C25-323B-4B59-A654-E88749C76E5E}">
            <x14:dxf>
              <font>
                <color rgb="FF9C0006"/>
              </font>
              <fill>
                <patternFill patternType="solid">
                  <fgColor rgb="FFFFC7CE"/>
                  <bgColor rgb="FFFFC7CE"/>
                </patternFill>
              </fill>
            </x14:dxf>
          </x14:cfRule>
          <xm:sqref>C496</xm:sqref>
        </x14:conditionalFormatting>
        <x14:conditionalFormatting xmlns:xm="http://schemas.microsoft.com/office/excel/2006/main">
          <x14:cfRule type="duplicateValues" priority="19" id="{12C1DAA8-0E8E-4F5D-9616-D4250D74C9F2}">
            <x14:dxf>
              <font>
                <color rgb="FF9C0006"/>
              </font>
              <fill>
                <patternFill patternType="solid">
                  <fgColor rgb="FFFFC7CE"/>
                  <bgColor rgb="FFFFC7CE"/>
                </patternFill>
              </fill>
            </x14:dxf>
          </x14:cfRule>
          <xm:sqref>C497</xm:sqref>
        </x14:conditionalFormatting>
        <x14:conditionalFormatting xmlns:xm="http://schemas.microsoft.com/office/excel/2006/main">
          <x14:cfRule type="duplicateValues" priority="22" id="{A2E25E0D-2799-4CB3-9C19-0EC45EA4292B}">
            <x14:dxf>
              <font>
                <color rgb="FF9C0006"/>
              </font>
              <fill>
                <patternFill patternType="solid">
                  <fgColor rgb="FFFFC7CE"/>
                  <bgColor rgb="FFFFC7CE"/>
                </patternFill>
              </fill>
            </x14:dxf>
          </x14:cfRule>
          <xm:sqref>C497:C508</xm:sqref>
        </x14:conditionalFormatting>
        <x14:conditionalFormatting xmlns:xm="http://schemas.microsoft.com/office/excel/2006/main">
          <x14:cfRule type="duplicateValues" priority="21" id="{408B8462-B8BA-4B78-AF2D-EBAE2AF6D5D4}">
            <x14:dxf>
              <font>
                <color rgb="FF9C0006"/>
              </font>
              <fill>
                <patternFill patternType="solid">
                  <fgColor rgb="FFFFC7CE"/>
                  <bgColor rgb="FFFFC7CE"/>
                </patternFill>
              </fill>
            </x14:dxf>
          </x14:cfRule>
          <xm:sqref>C497:C508</xm:sqref>
        </x14:conditionalFormatting>
        <x14:conditionalFormatting xmlns:xm="http://schemas.microsoft.com/office/excel/2006/main">
          <x14:cfRule type="duplicateValues" priority="20" id="{74947D3D-39C7-4806-9A46-80A209F8C0A4}">
            <x14:dxf>
              <font>
                <color rgb="FF9C0006"/>
              </font>
              <fill>
                <patternFill patternType="solid">
                  <fgColor rgb="FFFFC7CE"/>
                  <bgColor rgb="FFFFC7CE"/>
                </patternFill>
              </fill>
            </x14:dxf>
          </x14:cfRule>
          <xm:sqref>C497:C508</xm:sqref>
        </x14:conditionalFormatting>
        <x14:conditionalFormatting xmlns:xm="http://schemas.microsoft.com/office/excel/2006/main">
          <x14:cfRule type="duplicateValues" priority="18" id="{B4D26E79-F7A4-4AC3-9F10-D294F5591EFB}">
            <x14:dxf>
              <font>
                <color rgb="FF9C0006"/>
              </font>
              <fill>
                <patternFill patternType="solid">
                  <fgColor rgb="FFFFC7CE"/>
                  <bgColor rgb="FFFFC7CE"/>
                </patternFill>
              </fill>
            </x14:dxf>
          </x14:cfRule>
          <xm:sqref>C498</xm:sqref>
        </x14:conditionalFormatting>
        <x14:conditionalFormatting xmlns:xm="http://schemas.microsoft.com/office/excel/2006/main">
          <x14:cfRule type="duplicateValues" priority="17" id="{8354D92E-2B22-4467-A479-5E327CB2911B}">
            <x14:dxf>
              <font>
                <color rgb="FF9C0006"/>
              </font>
              <fill>
                <patternFill patternType="solid">
                  <fgColor rgb="FFFFC7CE"/>
                  <bgColor rgb="FFFFC7CE"/>
                </patternFill>
              </fill>
            </x14:dxf>
          </x14:cfRule>
          <xm:sqref>C499</xm:sqref>
        </x14:conditionalFormatting>
        <x14:conditionalFormatting xmlns:xm="http://schemas.microsoft.com/office/excel/2006/main">
          <x14:cfRule type="duplicateValues" priority="16" id="{74F60C45-1493-4AA5-A43C-601FB4A59787}">
            <x14:dxf>
              <font>
                <color rgb="FF9C0006"/>
              </font>
              <fill>
                <patternFill patternType="solid">
                  <fgColor rgb="FFFFC7CE"/>
                  <bgColor rgb="FFFFC7CE"/>
                </patternFill>
              </fill>
            </x14:dxf>
          </x14:cfRule>
          <xm:sqref>C500</xm:sqref>
        </x14:conditionalFormatting>
        <x14:conditionalFormatting xmlns:xm="http://schemas.microsoft.com/office/excel/2006/main">
          <x14:cfRule type="duplicateValues" priority="15" id="{DBED7234-2C1E-4DF4-88AC-B6465F009D04}">
            <x14:dxf>
              <font>
                <color rgb="FF9C0006"/>
              </font>
              <fill>
                <patternFill patternType="solid">
                  <fgColor rgb="FFFFC7CE"/>
                  <bgColor rgb="FFFFC7CE"/>
                </patternFill>
              </fill>
            </x14:dxf>
          </x14:cfRule>
          <xm:sqref>C501:C502</xm:sqref>
        </x14:conditionalFormatting>
        <x14:conditionalFormatting xmlns:xm="http://schemas.microsoft.com/office/excel/2006/main">
          <x14:cfRule type="duplicateValues" priority="14" id="{F813C2F7-6CE9-4F8A-A045-21A40B8BA574}">
            <x14:dxf>
              <font>
                <color rgb="FF9C0006"/>
              </font>
              <fill>
                <patternFill patternType="solid">
                  <fgColor rgb="FFFFC7CE"/>
                  <bgColor rgb="FFFFC7CE"/>
                </patternFill>
              </fill>
            </x14:dxf>
          </x14:cfRule>
          <xm:sqref>C503:C508</xm:sqref>
        </x14:conditionalFormatting>
        <x14:conditionalFormatting xmlns:xm="http://schemas.microsoft.com/office/excel/2006/main">
          <x14:cfRule type="duplicateValues" priority="13" id="{AFFB1572-81B7-476A-A70F-569740242D06}">
            <x14:dxf>
              <font>
                <color rgb="FF9C0006"/>
              </font>
              <fill>
                <patternFill patternType="solid">
                  <fgColor rgb="FFFFC7CE"/>
                  <bgColor rgb="FFFFC7CE"/>
                </patternFill>
              </fill>
            </x14:dxf>
          </x14:cfRule>
          <xm:sqref>C504</xm:sqref>
        </x14:conditionalFormatting>
        <x14:conditionalFormatting xmlns:xm="http://schemas.microsoft.com/office/excel/2006/main">
          <x14:cfRule type="duplicateValues" priority="12" id="{3D1F4B81-4AF8-42B4-9C81-8B81D90F39ED}">
            <x14:dxf>
              <font>
                <color rgb="FF9C0006"/>
              </font>
              <fill>
                <patternFill patternType="solid">
                  <fgColor rgb="FFFFC7CE"/>
                  <bgColor rgb="FFFFC7CE"/>
                </patternFill>
              </fill>
            </x14:dxf>
          </x14:cfRule>
          <xm:sqref>C505</xm:sqref>
        </x14:conditionalFormatting>
        <x14:conditionalFormatting xmlns:xm="http://schemas.microsoft.com/office/excel/2006/main">
          <x14:cfRule type="duplicateValues" priority="11" id="{6C56D330-ECCE-4EE1-B657-47FC5D266679}">
            <x14:dxf>
              <font>
                <color rgb="FF9C0006"/>
              </font>
              <fill>
                <patternFill patternType="solid">
                  <fgColor rgb="FFFFC7CE"/>
                  <bgColor rgb="FFFFC7CE"/>
                </patternFill>
              </fill>
            </x14:dxf>
          </x14:cfRule>
          <xm:sqref>C506:C507</xm:sqref>
        </x14:conditionalFormatting>
        <x14:conditionalFormatting xmlns:xm="http://schemas.microsoft.com/office/excel/2006/main">
          <x14:cfRule type="duplicateValues" priority="10" id="{CA6D57D3-894A-4038-A5C2-2BB6682EF66F}">
            <x14:dxf>
              <font>
                <color rgb="FF9C0006"/>
              </font>
              <fill>
                <patternFill patternType="solid">
                  <fgColor rgb="FFFFC7CE"/>
                  <bgColor rgb="FFFFC7CE"/>
                </patternFill>
              </fill>
            </x14:dxf>
          </x14:cfRule>
          <xm:sqref>C508</xm:sqref>
        </x14:conditionalFormatting>
        <x14:conditionalFormatting xmlns:xm="http://schemas.microsoft.com/office/excel/2006/main">
          <x14:cfRule type="duplicateValues" priority="9" id="{8635F124-162D-4667-8A29-D8EC33590A7C}">
            <x14:dxf>
              <font>
                <color rgb="FF9C0006"/>
              </font>
              <fill>
                <patternFill patternType="solid">
                  <fgColor rgb="FFFFC7CE"/>
                  <bgColor rgb="FFFFC7CE"/>
                </patternFill>
              </fill>
            </x14:dxf>
          </x14:cfRule>
          <xm:sqref>C510:C518</xm:sqref>
        </x14:conditionalFormatting>
        <x14:conditionalFormatting xmlns:xm="http://schemas.microsoft.com/office/excel/2006/main">
          <x14:cfRule type="duplicateValues" priority="8" id="{EB5D65F5-181A-4926-9EA4-C689D91AA39C}">
            <x14:dxf>
              <font>
                <color rgb="FF9C0006"/>
              </font>
              <fill>
                <patternFill patternType="solid">
                  <fgColor rgb="FFFFC7CE"/>
                  <bgColor rgb="FFFFC7CE"/>
                </patternFill>
              </fill>
            </x14:dxf>
          </x14:cfRule>
          <xm:sqref>C513:C518</xm:sqref>
        </x14:conditionalFormatting>
        <x14:conditionalFormatting xmlns:xm="http://schemas.microsoft.com/office/excel/2006/main">
          <x14:cfRule type="duplicateValues" priority="7" id="{7F53101C-8DC9-4B98-A15C-BFF38AB510F2}">
            <x14:dxf>
              <font>
                <color rgb="FF9C0006"/>
              </font>
              <fill>
                <patternFill patternType="solid">
                  <fgColor rgb="FFFFC7CE"/>
                  <bgColor rgb="FFFFC7CE"/>
                </patternFill>
              </fill>
            </x14:dxf>
          </x14:cfRule>
          <xm:sqref>C519:C536</xm:sqref>
        </x14:conditionalFormatting>
        <x14:conditionalFormatting xmlns:xm="http://schemas.microsoft.com/office/excel/2006/main">
          <x14:cfRule type="duplicateValues" priority="6" id="{6630888C-8099-4A26-BC89-0F78723F3C86}">
            <x14:dxf>
              <font>
                <color rgb="FF9C0006"/>
              </font>
              <fill>
                <patternFill patternType="solid">
                  <fgColor rgb="FFFFC7CE"/>
                  <bgColor rgb="FFFFC7CE"/>
                </patternFill>
              </fill>
            </x14:dxf>
          </x14:cfRule>
          <xm:sqref>C521:C536</xm:sqref>
        </x14:conditionalFormatting>
        <x14:conditionalFormatting xmlns:xm="http://schemas.microsoft.com/office/excel/2006/main">
          <x14:cfRule type="duplicateValues" priority="5" id="{0FDB7D00-96E8-4D4F-933C-C94A07185D36}">
            <x14:dxf>
              <font>
                <color rgb="FF9C0006"/>
              </font>
              <fill>
                <patternFill patternType="solid">
                  <fgColor rgb="FFFFC7CE"/>
                  <bgColor rgb="FFFFC7CE"/>
                </patternFill>
              </fill>
            </x14:dxf>
          </x14:cfRule>
          <xm:sqref>C536</xm:sqref>
        </x14:conditionalFormatting>
        <x14:conditionalFormatting xmlns:xm="http://schemas.microsoft.com/office/excel/2006/main">
          <x14:cfRule type="duplicateValues" priority="4" id="{AF4A6C65-07D9-4357-BECD-0613B4775C0D}">
            <x14:dxf>
              <font>
                <color rgb="FF9C0006"/>
              </font>
              <fill>
                <patternFill patternType="solid">
                  <fgColor rgb="FFFFC7CE"/>
                  <bgColor rgb="FFFFC7CE"/>
                </patternFill>
              </fill>
            </x14:dxf>
          </x14:cfRule>
          <xm:sqref>C536</xm:sqref>
        </x14:conditionalFormatting>
        <x14:conditionalFormatting xmlns:xm="http://schemas.microsoft.com/office/excel/2006/main">
          <x14:cfRule type="duplicateValues" priority="1" id="{709D5925-B7A4-466F-B81F-48C7539E8CCB}">
            <x14:dxf>
              <font>
                <color rgb="FF9C0006"/>
              </font>
              <fill>
                <patternFill patternType="solid">
                  <fgColor rgb="FFFFC7CE"/>
                  <bgColor rgb="FFFFC7CE"/>
                </patternFill>
              </fill>
            </x14:dxf>
          </x14:cfRule>
          <xm:sqref>D489:D502</xm:sqref>
        </x14:conditionalFormatting>
        <x14:conditionalFormatting xmlns:xm="http://schemas.microsoft.com/office/excel/2006/main">
          <x14:cfRule type="duplicateValues" priority="2" id="{39FDD414-C087-4CC8-9595-C572C8850D34}">
            <x14:dxf>
              <font>
                <color rgb="FF9C0006"/>
              </font>
              <fill>
                <patternFill patternType="solid">
                  <fgColor rgb="FFFFC7CE"/>
                  <bgColor rgb="FFFFC7CE"/>
                </patternFill>
              </fill>
            </x14:dxf>
          </x14:cfRule>
          <xm:sqref>D489:D502</xm:sqref>
        </x14:conditionalFormatting>
        <x14:conditionalFormatting xmlns:xm="http://schemas.microsoft.com/office/excel/2006/main">
          <x14:cfRule type="duplicateValues" priority="3" id="{EBEB886C-2A99-4781-BF62-C9A6CD4B411F}">
            <x14:dxf>
              <font>
                <color rgb="FF9C0006"/>
              </font>
              <fill>
                <patternFill patternType="solid">
                  <fgColor rgb="FFFFC7CE"/>
                  <bgColor rgb="FFFFC7CE"/>
                </patternFill>
              </fill>
            </x14:dxf>
          </x14:cfRule>
          <xm:sqref>D516:D517 D504:D508 D489:D502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F6" activeCellId="0" sqref="F6"/>
    </sheetView>
  </sheetViews>
  <sheetFormatPr defaultRowHeight="14.4"/>
  <cols>
    <col bestFit="1" customWidth="1" min="2" max="2" width="19.88671875"/>
    <col bestFit="1" customWidth="1" min="3" max="3" width="10.5546875"/>
    <col bestFit="1" customWidth="1" min="4" max="4" width="25.109375"/>
    <col bestFit="1" customWidth="1" min="5" max="5" width="19.5546875"/>
    <col bestFit="1" customWidth="1" min="6" max="6" width="26"/>
    <col bestFit="1" customWidth="1" min="8" max="8" width="20.44140625"/>
    <col bestFit="1" customWidth="1" min="9" max="9" width="16.77734375"/>
    <col bestFit="1" customWidth="1" min="10" max="10" width="11"/>
  </cols>
  <sheetData>
    <row r="1" ht="41.399999999999999">
      <c r="A1" s="129" t="s">
        <v>0</v>
      </c>
      <c r="B1" s="112" t="s">
        <v>7947</v>
      </c>
      <c r="C1" s="130" t="s">
        <v>7948</v>
      </c>
      <c r="D1" s="131" t="s">
        <v>8495</v>
      </c>
      <c r="E1" s="132" t="s">
        <v>8496</v>
      </c>
      <c r="F1" s="133" t="s">
        <v>7952</v>
      </c>
      <c r="G1" s="133" t="s">
        <v>8497</v>
      </c>
      <c r="H1" s="134" t="s">
        <v>7907</v>
      </c>
      <c r="I1" s="134" t="s">
        <v>8498</v>
      </c>
      <c r="J1" s="134" t="s">
        <v>8499</v>
      </c>
      <c r="K1" s="134" t="s">
        <v>8500</v>
      </c>
      <c r="L1" s="134" t="s">
        <v>8501</v>
      </c>
      <c r="M1" s="134" t="s">
        <v>8502</v>
      </c>
      <c r="N1" s="134" t="s">
        <v>18</v>
      </c>
    </row>
    <row r="2">
      <c r="A2" s="129">
        <v>1</v>
      </c>
      <c r="B2" s="105" t="s">
        <v>5570</v>
      </c>
      <c r="C2" s="105" t="s">
        <v>5642</v>
      </c>
      <c r="D2" s="105" t="s">
        <v>8503</v>
      </c>
      <c r="E2" s="36" t="s">
        <v>8504</v>
      </c>
      <c r="F2" s="36" t="s">
        <v>8505</v>
      </c>
      <c r="G2" s="36" t="s">
        <v>8506</v>
      </c>
      <c r="H2" s="36" t="s">
        <v>5574</v>
      </c>
      <c r="I2" s="36" t="s">
        <v>8507</v>
      </c>
      <c r="J2" s="36">
        <v>9064976097</v>
      </c>
      <c r="K2" s="129"/>
      <c r="L2" s="129"/>
      <c r="M2" s="129"/>
      <c r="N2" s="129"/>
    </row>
    <row r="3">
      <c r="A3" s="129">
        <v>2</v>
      </c>
      <c r="B3" s="105" t="s">
        <v>5575</v>
      </c>
      <c r="C3" s="105" t="s">
        <v>5642</v>
      </c>
      <c r="D3" s="105" t="s">
        <v>5576</v>
      </c>
      <c r="E3" s="36" t="s">
        <v>8504</v>
      </c>
      <c r="F3" s="36" t="s">
        <v>8505</v>
      </c>
      <c r="G3" s="36" t="s">
        <v>8506</v>
      </c>
      <c r="H3" s="36" t="s">
        <v>5574</v>
      </c>
      <c r="I3" s="36" t="s">
        <v>8507</v>
      </c>
      <c r="J3" s="36">
        <v>9064976097</v>
      </c>
      <c r="K3" s="129"/>
      <c r="L3" s="129"/>
      <c r="M3" s="129"/>
      <c r="N3" s="129"/>
    </row>
    <row r="4">
      <c r="A4" s="129">
        <v>3</v>
      </c>
      <c r="B4" s="105" t="s">
        <v>5578</v>
      </c>
      <c r="C4" s="105" t="s">
        <v>5642</v>
      </c>
      <c r="D4" s="105" t="s">
        <v>5579</v>
      </c>
      <c r="E4" s="36" t="s">
        <v>8504</v>
      </c>
      <c r="F4" s="36" t="s">
        <v>8505</v>
      </c>
      <c r="G4" s="36" t="s">
        <v>8506</v>
      </c>
      <c r="H4" s="36" t="s">
        <v>5574</v>
      </c>
      <c r="I4" s="36" t="s">
        <v>8507</v>
      </c>
      <c r="J4" s="36">
        <v>9064976097</v>
      </c>
      <c r="K4" s="129"/>
      <c r="L4" s="129"/>
      <c r="M4" s="129"/>
      <c r="N4" s="129"/>
    </row>
    <row r="5">
      <c r="A5" s="129">
        <v>4</v>
      </c>
      <c r="B5" s="105" t="s">
        <v>5581</v>
      </c>
      <c r="C5" s="105" t="s">
        <v>5642</v>
      </c>
      <c r="D5" s="105" t="s">
        <v>5582</v>
      </c>
      <c r="E5" s="36" t="s">
        <v>8504</v>
      </c>
      <c r="F5" s="36" t="s">
        <v>8505</v>
      </c>
      <c r="G5" s="36" t="s">
        <v>8506</v>
      </c>
      <c r="H5" s="36" t="s">
        <v>5574</v>
      </c>
      <c r="I5" s="36" t="s">
        <v>8507</v>
      </c>
      <c r="J5" s="36">
        <v>9064976097</v>
      </c>
      <c r="K5" s="129"/>
      <c r="L5" s="129"/>
      <c r="M5" s="129"/>
      <c r="N5" s="129"/>
    </row>
    <row r="6">
      <c r="A6" s="129">
        <v>5</v>
      </c>
      <c r="B6" s="105" t="s">
        <v>5584</v>
      </c>
      <c r="C6" s="105" t="s">
        <v>5642</v>
      </c>
      <c r="D6" s="105" t="s">
        <v>5585</v>
      </c>
      <c r="E6" s="36" t="s">
        <v>8504</v>
      </c>
      <c r="F6" s="36" t="s">
        <v>8505</v>
      </c>
      <c r="G6" s="36" t="s">
        <v>8506</v>
      </c>
      <c r="H6" s="36" t="s">
        <v>5574</v>
      </c>
      <c r="I6" s="36" t="s">
        <v>8507</v>
      </c>
      <c r="J6" s="36">
        <v>9064976097</v>
      </c>
      <c r="K6" s="129"/>
      <c r="L6" s="129"/>
      <c r="M6" s="129"/>
      <c r="N6" s="129"/>
    </row>
    <row r="7">
      <c r="A7" s="129">
        <v>6</v>
      </c>
      <c r="B7" s="105" t="s">
        <v>5587</v>
      </c>
      <c r="C7" s="105" t="s">
        <v>5642</v>
      </c>
      <c r="D7" s="105" t="s">
        <v>4094</v>
      </c>
      <c r="E7" s="36" t="s">
        <v>8504</v>
      </c>
      <c r="F7" s="36" t="s">
        <v>8508</v>
      </c>
      <c r="G7" s="36" t="s">
        <v>8506</v>
      </c>
      <c r="H7" s="36" t="s">
        <v>5574</v>
      </c>
      <c r="I7" s="36" t="s">
        <v>8507</v>
      </c>
      <c r="J7" s="36">
        <v>9064976097</v>
      </c>
      <c r="K7" s="129"/>
      <c r="L7" s="129"/>
      <c r="M7" s="129"/>
      <c r="N7" s="129"/>
    </row>
    <row r="8">
      <c r="A8" s="129">
        <v>7</v>
      </c>
      <c r="B8" s="105" t="s">
        <v>5590</v>
      </c>
      <c r="C8" s="105" t="s">
        <v>5642</v>
      </c>
      <c r="D8" s="105" t="s">
        <v>5591</v>
      </c>
      <c r="E8" s="36" t="s">
        <v>8504</v>
      </c>
      <c r="F8" s="36" t="s">
        <v>8508</v>
      </c>
      <c r="G8" s="36" t="s">
        <v>8506</v>
      </c>
      <c r="H8" s="36" t="s">
        <v>5574</v>
      </c>
      <c r="I8" s="36" t="s">
        <v>8507</v>
      </c>
      <c r="J8" s="36">
        <v>9064976097</v>
      </c>
      <c r="K8" s="129"/>
      <c r="L8" s="129"/>
      <c r="M8" s="129"/>
      <c r="N8" s="129"/>
    </row>
    <row r="9">
      <c r="A9" s="129">
        <v>8</v>
      </c>
      <c r="B9" s="105" t="s">
        <v>5593</v>
      </c>
      <c r="C9" s="105" t="s">
        <v>5642</v>
      </c>
      <c r="D9" s="105" t="s">
        <v>5594</v>
      </c>
      <c r="E9" s="36" t="s">
        <v>8504</v>
      </c>
      <c r="F9" s="36" t="s">
        <v>8508</v>
      </c>
      <c r="G9" s="36" t="s">
        <v>8506</v>
      </c>
      <c r="H9" s="36" t="s">
        <v>5574</v>
      </c>
      <c r="I9" s="36" t="s">
        <v>8507</v>
      </c>
      <c r="J9" s="36">
        <v>9064976097</v>
      </c>
      <c r="K9" s="129"/>
      <c r="L9" s="129"/>
      <c r="M9" s="129"/>
      <c r="N9" s="129"/>
    </row>
    <row r="10">
      <c r="A10" s="129">
        <v>9</v>
      </c>
      <c r="B10" s="105" t="s">
        <v>5596</v>
      </c>
      <c r="C10" s="105" t="s">
        <v>5642</v>
      </c>
      <c r="D10" s="105" t="s">
        <v>5597</v>
      </c>
      <c r="E10" s="36" t="s">
        <v>8504</v>
      </c>
      <c r="F10" s="36" t="s">
        <v>8508</v>
      </c>
      <c r="G10" s="36" t="s">
        <v>8506</v>
      </c>
      <c r="H10" s="36" t="s">
        <v>5574</v>
      </c>
      <c r="I10" s="36" t="s">
        <v>8507</v>
      </c>
      <c r="J10" s="36">
        <v>9064976097</v>
      </c>
      <c r="K10" s="129"/>
      <c r="L10" s="129"/>
      <c r="M10" s="129"/>
      <c r="N10" s="129"/>
    </row>
    <row r="11">
      <c r="A11" s="129">
        <v>10</v>
      </c>
      <c r="B11" s="105" t="s">
        <v>5599</v>
      </c>
      <c r="C11" s="105" t="s">
        <v>5642</v>
      </c>
      <c r="D11" s="105" t="s">
        <v>8509</v>
      </c>
      <c r="E11" s="36" t="s">
        <v>8504</v>
      </c>
      <c r="F11" s="36" t="s">
        <v>8508</v>
      </c>
      <c r="G11" s="36" t="s">
        <v>8506</v>
      </c>
      <c r="H11" s="36" t="s">
        <v>5574</v>
      </c>
      <c r="I11" s="36" t="s">
        <v>8507</v>
      </c>
      <c r="J11" s="36">
        <v>9064976097</v>
      </c>
      <c r="K11" s="129"/>
      <c r="L11" s="129"/>
      <c r="M11" s="129"/>
      <c r="N11" s="129"/>
    </row>
    <row r="12">
      <c r="A12" s="129">
        <v>11</v>
      </c>
      <c r="B12" s="105" t="s">
        <v>5602</v>
      </c>
      <c r="C12" s="105" t="s">
        <v>5642</v>
      </c>
      <c r="D12" s="105" t="s">
        <v>8510</v>
      </c>
      <c r="E12" s="36" t="s">
        <v>8504</v>
      </c>
      <c r="F12" s="36" t="s">
        <v>8508</v>
      </c>
      <c r="G12" s="36" t="s">
        <v>8506</v>
      </c>
      <c r="H12" s="36" t="s">
        <v>5574</v>
      </c>
      <c r="I12" s="36" t="s">
        <v>8507</v>
      </c>
      <c r="J12" s="36">
        <v>9064976097</v>
      </c>
      <c r="K12" s="129"/>
      <c r="L12" s="129"/>
      <c r="M12" s="129"/>
      <c r="N12" s="129"/>
    </row>
    <row r="13">
      <c r="A13" s="129">
        <v>12</v>
      </c>
      <c r="B13" s="105" t="s">
        <v>5605</v>
      </c>
      <c r="C13" s="105" t="s">
        <v>5642</v>
      </c>
      <c r="D13" s="105" t="s">
        <v>5606</v>
      </c>
      <c r="E13" s="36" t="s">
        <v>8504</v>
      </c>
      <c r="F13" s="36" t="s">
        <v>8505</v>
      </c>
      <c r="G13" s="36" t="s">
        <v>8506</v>
      </c>
      <c r="H13" s="36" t="s">
        <v>5608</v>
      </c>
      <c r="I13" s="36" t="s">
        <v>8511</v>
      </c>
      <c r="J13" s="36">
        <v>7864978775</v>
      </c>
      <c r="K13" s="129"/>
      <c r="L13" s="129"/>
      <c r="M13" s="129"/>
      <c r="N13" s="129"/>
    </row>
    <row r="14">
      <c r="A14" s="129">
        <v>13</v>
      </c>
      <c r="B14" s="105" t="s">
        <v>5609</v>
      </c>
      <c r="C14" s="105" t="s">
        <v>5642</v>
      </c>
      <c r="D14" s="105" t="s">
        <v>5610</v>
      </c>
      <c r="E14" s="36" t="s">
        <v>8504</v>
      </c>
      <c r="F14" s="36" t="s">
        <v>8505</v>
      </c>
      <c r="G14" s="36" t="s">
        <v>8506</v>
      </c>
      <c r="H14" s="36" t="s">
        <v>5608</v>
      </c>
      <c r="I14" s="36" t="s">
        <v>8511</v>
      </c>
      <c r="J14" s="36">
        <v>7864978775</v>
      </c>
      <c r="K14" s="129"/>
      <c r="L14" s="129"/>
      <c r="M14" s="129"/>
      <c r="N14" s="129"/>
    </row>
    <row r="15">
      <c r="A15" s="129">
        <v>14</v>
      </c>
      <c r="B15" s="105" t="s">
        <v>5612</v>
      </c>
      <c r="C15" s="105" t="s">
        <v>5642</v>
      </c>
      <c r="D15" s="105" t="s">
        <v>5613</v>
      </c>
      <c r="E15" s="36" t="s">
        <v>8504</v>
      </c>
      <c r="F15" s="36" t="s">
        <v>8508</v>
      </c>
      <c r="G15" s="36" t="s">
        <v>8506</v>
      </c>
      <c r="H15" s="36" t="s">
        <v>5608</v>
      </c>
      <c r="I15" s="36" t="s">
        <v>8511</v>
      </c>
      <c r="J15" s="36">
        <v>7864978775</v>
      </c>
      <c r="K15" s="129"/>
      <c r="L15" s="129"/>
      <c r="M15" s="129"/>
      <c r="N15" s="129"/>
    </row>
    <row r="16">
      <c r="A16" s="129">
        <v>15</v>
      </c>
      <c r="B16" s="105" t="s">
        <v>5615</v>
      </c>
      <c r="C16" s="105" t="s">
        <v>5642</v>
      </c>
      <c r="D16" s="105" t="s">
        <v>3458</v>
      </c>
      <c r="E16" s="36" t="s">
        <v>8504</v>
      </c>
      <c r="F16" s="36" t="s">
        <v>8508</v>
      </c>
      <c r="G16" s="36" t="s">
        <v>8506</v>
      </c>
      <c r="H16" s="36" t="s">
        <v>5608</v>
      </c>
      <c r="I16" s="36" t="s">
        <v>8511</v>
      </c>
      <c r="J16" s="36">
        <v>7864978775</v>
      </c>
      <c r="K16" s="129"/>
      <c r="L16" s="129"/>
      <c r="M16" s="129"/>
      <c r="N16" s="129"/>
    </row>
    <row r="17">
      <c r="A17" s="129">
        <v>16</v>
      </c>
      <c r="B17" s="105" t="s">
        <v>5618</v>
      </c>
      <c r="C17" s="105" t="s">
        <v>5642</v>
      </c>
      <c r="D17" s="105" t="s">
        <v>8512</v>
      </c>
      <c r="E17" s="36" t="s">
        <v>8504</v>
      </c>
      <c r="F17" s="36" t="s">
        <v>8508</v>
      </c>
      <c r="G17" s="36" t="s">
        <v>8506</v>
      </c>
      <c r="H17" s="36" t="s">
        <v>5608</v>
      </c>
      <c r="I17" s="36" t="s">
        <v>8511</v>
      </c>
      <c r="J17" s="36">
        <v>7864978775</v>
      </c>
      <c r="K17" s="129"/>
      <c r="L17" s="129"/>
      <c r="M17" s="129"/>
      <c r="N17" s="129"/>
    </row>
    <row r="18">
      <c r="A18" s="129">
        <v>17</v>
      </c>
      <c r="B18" s="105" t="s">
        <v>5621</v>
      </c>
      <c r="C18" s="105" t="s">
        <v>5642</v>
      </c>
      <c r="D18" s="105" t="s">
        <v>5622</v>
      </c>
      <c r="E18" s="36" t="s">
        <v>8504</v>
      </c>
      <c r="F18" s="36" t="s">
        <v>8508</v>
      </c>
      <c r="G18" s="36" t="s">
        <v>8506</v>
      </c>
      <c r="H18" s="36" t="s">
        <v>5608</v>
      </c>
      <c r="I18" s="36" t="s">
        <v>8511</v>
      </c>
      <c r="J18" s="36">
        <v>7864978775</v>
      </c>
      <c r="K18" s="129"/>
      <c r="L18" s="129"/>
      <c r="M18" s="129"/>
      <c r="N18" s="129"/>
    </row>
    <row r="19">
      <c r="A19" s="129">
        <v>18</v>
      </c>
      <c r="B19" s="105" t="s">
        <v>5624</v>
      </c>
      <c r="C19" s="105" t="s">
        <v>5642</v>
      </c>
      <c r="D19" s="105" t="s">
        <v>8513</v>
      </c>
      <c r="E19" s="36" t="s">
        <v>8504</v>
      </c>
      <c r="F19" s="36" t="s">
        <v>8508</v>
      </c>
      <c r="G19" s="36" t="s">
        <v>8506</v>
      </c>
      <c r="H19" s="36" t="s">
        <v>5608</v>
      </c>
      <c r="I19" s="36" t="s">
        <v>8511</v>
      </c>
      <c r="J19" s="36">
        <v>7864978775</v>
      </c>
      <c r="K19" s="129"/>
      <c r="L19" s="129"/>
      <c r="M19" s="129"/>
      <c r="N19" s="129"/>
    </row>
    <row r="20">
      <c r="A20" s="129">
        <v>19</v>
      </c>
      <c r="B20" s="105" t="s">
        <v>5627</v>
      </c>
      <c r="C20" s="105" t="s">
        <v>5642</v>
      </c>
      <c r="D20" s="105" t="s">
        <v>8514</v>
      </c>
      <c r="E20" s="36" t="s">
        <v>8504</v>
      </c>
      <c r="F20" s="36" t="s">
        <v>8515</v>
      </c>
      <c r="G20" s="36" t="s">
        <v>8506</v>
      </c>
      <c r="H20" s="36" t="s">
        <v>5608</v>
      </c>
      <c r="I20" s="36" t="s">
        <v>8511</v>
      </c>
      <c r="J20" s="36">
        <v>7864978775</v>
      </c>
      <c r="K20" s="129"/>
      <c r="L20" s="129"/>
      <c r="M20" s="129"/>
      <c r="N20" s="129"/>
    </row>
    <row r="21">
      <c r="A21" s="129">
        <v>20</v>
      </c>
      <c r="B21" s="105" t="s">
        <v>5630</v>
      </c>
      <c r="C21" s="105" t="s">
        <v>5642</v>
      </c>
      <c r="D21" s="105" t="s">
        <v>5631</v>
      </c>
      <c r="E21" s="36" t="s">
        <v>8504</v>
      </c>
      <c r="F21" s="36" t="s">
        <v>8508</v>
      </c>
      <c r="G21" s="36" t="s">
        <v>8506</v>
      </c>
      <c r="H21" s="36" t="s">
        <v>5633</v>
      </c>
      <c r="I21" s="135" t="s">
        <v>8516</v>
      </c>
      <c r="J21" s="36">
        <v>8967046045</v>
      </c>
      <c r="K21" s="129"/>
      <c r="L21" s="129"/>
      <c r="M21" s="129"/>
      <c r="N21" s="129"/>
    </row>
    <row r="22">
      <c r="A22" s="129">
        <v>21</v>
      </c>
      <c r="B22" s="105" t="s">
        <v>5634</v>
      </c>
      <c r="C22" s="105" t="s">
        <v>5642</v>
      </c>
      <c r="D22" s="105" t="s">
        <v>8517</v>
      </c>
      <c r="E22" s="36" t="s">
        <v>8504</v>
      </c>
      <c r="F22" s="36" t="s">
        <v>8518</v>
      </c>
      <c r="G22" s="36" t="s">
        <v>8506</v>
      </c>
      <c r="H22" s="36" t="s">
        <v>5637</v>
      </c>
      <c r="I22" s="36" t="s">
        <v>8519</v>
      </c>
      <c r="J22" s="36">
        <v>8918746398</v>
      </c>
      <c r="K22" s="129"/>
      <c r="L22" s="129"/>
      <c r="M22" s="129"/>
      <c r="N22" s="129"/>
    </row>
    <row r="23">
      <c r="A23" s="129">
        <v>22</v>
      </c>
      <c r="B23" s="105" t="s">
        <v>5638</v>
      </c>
      <c r="C23" s="105" t="s">
        <v>5642</v>
      </c>
      <c r="D23" s="105" t="s">
        <v>5639</v>
      </c>
      <c r="E23" s="36" t="s">
        <v>8504</v>
      </c>
      <c r="F23" s="36" t="s">
        <v>8508</v>
      </c>
      <c r="G23" s="36" t="s">
        <v>8506</v>
      </c>
      <c r="H23" s="36" t="s">
        <v>5637</v>
      </c>
      <c r="I23" s="36" t="s">
        <v>8519</v>
      </c>
      <c r="J23" s="36">
        <v>8918746398</v>
      </c>
      <c r="K23" s="129"/>
      <c r="L23" s="129"/>
      <c r="M23" s="129"/>
      <c r="N23" s="129"/>
    </row>
    <row r="24">
      <c r="A24" s="129">
        <v>23</v>
      </c>
      <c r="B24" s="105" t="s">
        <v>5641</v>
      </c>
      <c r="C24" s="105" t="s">
        <v>5642</v>
      </c>
      <c r="D24" s="105" t="s">
        <v>5642</v>
      </c>
      <c r="E24" s="36" t="s">
        <v>8504</v>
      </c>
      <c r="F24" s="36" t="s">
        <v>8508</v>
      </c>
      <c r="G24" s="36" t="s">
        <v>8506</v>
      </c>
      <c r="H24" s="36" t="s">
        <v>5637</v>
      </c>
      <c r="I24" s="36" t="s">
        <v>8519</v>
      </c>
      <c r="J24" s="36">
        <v>8918746398</v>
      </c>
      <c r="K24" s="129"/>
      <c r="L24" s="129"/>
      <c r="M24" s="129"/>
      <c r="N24" s="129"/>
    </row>
    <row r="25">
      <c r="A25" s="129">
        <v>24</v>
      </c>
      <c r="B25" s="105" t="s">
        <v>5644</v>
      </c>
      <c r="C25" s="105" t="s">
        <v>5642</v>
      </c>
      <c r="D25" s="105" t="s">
        <v>5645</v>
      </c>
      <c r="E25" s="36" t="s">
        <v>8504</v>
      </c>
      <c r="F25" s="36" t="s">
        <v>8505</v>
      </c>
      <c r="G25" s="36" t="s">
        <v>8506</v>
      </c>
      <c r="H25" s="36" t="s">
        <v>5647</v>
      </c>
      <c r="I25" s="135" t="s">
        <v>8520</v>
      </c>
      <c r="J25" s="36">
        <v>7488434810</v>
      </c>
      <c r="K25" s="129"/>
      <c r="L25" s="129"/>
      <c r="M25" s="129"/>
      <c r="N25" s="129"/>
    </row>
    <row r="26">
      <c r="A26" s="129">
        <v>25</v>
      </c>
      <c r="B26" s="105" t="s">
        <v>5648</v>
      </c>
      <c r="C26" s="105" t="s">
        <v>5642</v>
      </c>
      <c r="D26" s="105" t="s">
        <v>5649</v>
      </c>
      <c r="E26" s="36" t="s">
        <v>8504</v>
      </c>
      <c r="F26" s="36" t="s">
        <v>8505</v>
      </c>
      <c r="G26" s="36" t="s">
        <v>8506</v>
      </c>
      <c r="H26" s="36" t="s">
        <v>5647</v>
      </c>
      <c r="I26" s="135" t="s">
        <v>8520</v>
      </c>
      <c r="J26" s="36">
        <v>7488434810</v>
      </c>
      <c r="K26" s="129"/>
      <c r="L26" s="129"/>
      <c r="M26" s="129"/>
      <c r="N26" s="129"/>
    </row>
    <row r="27">
      <c r="A27" s="129">
        <v>26</v>
      </c>
      <c r="B27" s="105" t="s">
        <v>5651</v>
      </c>
      <c r="C27" s="105" t="s">
        <v>5642</v>
      </c>
      <c r="D27" s="105" t="s">
        <v>8521</v>
      </c>
      <c r="E27" s="36" t="s">
        <v>8504</v>
      </c>
      <c r="F27" s="36" t="s">
        <v>8505</v>
      </c>
      <c r="G27" s="36" t="s">
        <v>8506</v>
      </c>
      <c r="H27" s="36" t="s">
        <v>5647</v>
      </c>
      <c r="I27" s="135" t="s">
        <v>8520</v>
      </c>
      <c r="J27" s="36">
        <v>7488434810</v>
      </c>
      <c r="K27" s="129"/>
      <c r="L27" s="129"/>
      <c r="M27" s="129"/>
      <c r="N27" s="129"/>
    </row>
    <row r="28">
      <c r="A28" s="129">
        <v>27</v>
      </c>
      <c r="B28" s="105" t="s">
        <v>5654</v>
      </c>
      <c r="C28" s="105" t="s">
        <v>5642</v>
      </c>
      <c r="D28" s="105" t="s">
        <v>5655</v>
      </c>
      <c r="E28" s="36" t="s">
        <v>8504</v>
      </c>
      <c r="F28" s="36" t="s">
        <v>8508</v>
      </c>
      <c r="G28" s="36" t="s">
        <v>8506</v>
      </c>
      <c r="H28" s="36" t="s">
        <v>5647</v>
      </c>
      <c r="I28" s="135" t="s">
        <v>8520</v>
      </c>
      <c r="J28" s="36">
        <v>7488434810</v>
      </c>
      <c r="K28" s="129"/>
      <c r="L28" s="129"/>
      <c r="M28" s="129"/>
      <c r="N28" s="129"/>
    </row>
    <row r="29">
      <c r="A29" s="129">
        <v>28</v>
      </c>
      <c r="B29" s="105" t="s">
        <v>5657</v>
      </c>
      <c r="C29" s="105" t="s">
        <v>5642</v>
      </c>
      <c r="D29" s="105" t="s">
        <v>5658</v>
      </c>
      <c r="E29" s="36" t="s">
        <v>8504</v>
      </c>
      <c r="F29" s="36" t="s">
        <v>8508</v>
      </c>
      <c r="G29" s="36" t="s">
        <v>8506</v>
      </c>
      <c r="H29" s="36" t="s">
        <v>5647</v>
      </c>
      <c r="I29" s="135" t="s">
        <v>8520</v>
      </c>
      <c r="J29" s="36">
        <v>7488434810</v>
      </c>
      <c r="K29" s="129"/>
      <c r="L29" s="129"/>
      <c r="M29" s="129"/>
      <c r="N29" s="129"/>
    </row>
    <row r="30">
      <c r="A30" s="129">
        <v>29</v>
      </c>
      <c r="B30" s="105" t="s">
        <v>5660</v>
      </c>
      <c r="C30" s="105" t="s">
        <v>5642</v>
      </c>
      <c r="D30" s="105" t="s">
        <v>5661</v>
      </c>
      <c r="E30" s="36" t="s">
        <v>8504</v>
      </c>
      <c r="F30" s="36" t="s">
        <v>8508</v>
      </c>
      <c r="G30" s="36" t="s">
        <v>8506</v>
      </c>
      <c r="H30" s="36" t="s">
        <v>5647</v>
      </c>
      <c r="I30" s="135" t="s">
        <v>8520</v>
      </c>
      <c r="J30" s="36">
        <v>7488434810</v>
      </c>
      <c r="K30" s="129"/>
      <c r="L30" s="129"/>
      <c r="M30" s="129"/>
      <c r="N30" s="129"/>
    </row>
    <row r="31">
      <c r="A31" s="129">
        <v>30</v>
      </c>
      <c r="B31" s="105" t="s">
        <v>5663</v>
      </c>
      <c r="C31" s="105" t="s">
        <v>5642</v>
      </c>
      <c r="D31" s="105" t="s">
        <v>5664</v>
      </c>
      <c r="E31" s="36" t="s">
        <v>8504</v>
      </c>
      <c r="F31" s="36" t="s">
        <v>8508</v>
      </c>
      <c r="G31" s="36" t="s">
        <v>8506</v>
      </c>
      <c r="H31" s="36" t="s">
        <v>5647</v>
      </c>
      <c r="I31" s="135" t="s">
        <v>8520</v>
      </c>
      <c r="J31" s="36">
        <v>7488434810</v>
      </c>
      <c r="K31" s="129"/>
      <c r="L31" s="129"/>
      <c r="M31" s="129"/>
      <c r="N31" s="129"/>
    </row>
    <row r="32">
      <c r="A32" s="129">
        <v>31</v>
      </c>
      <c r="B32" s="105" t="s">
        <v>5666</v>
      </c>
      <c r="C32" s="105" t="s">
        <v>5642</v>
      </c>
      <c r="D32" s="105" t="s">
        <v>5667</v>
      </c>
      <c r="E32" s="36" t="s">
        <v>8504</v>
      </c>
      <c r="F32" s="36" t="s">
        <v>8508</v>
      </c>
      <c r="G32" s="36" t="s">
        <v>8506</v>
      </c>
      <c r="H32" s="36" t="s">
        <v>5647</v>
      </c>
      <c r="I32" s="135" t="s">
        <v>8520</v>
      </c>
      <c r="J32" s="36">
        <v>7488434810</v>
      </c>
      <c r="K32" s="129"/>
      <c r="L32" s="129"/>
      <c r="M32" s="129"/>
      <c r="N32" s="129"/>
    </row>
    <row r="33">
      <c r="A33" s="129">
        <v>32</v>
      </c>
      <c r="B33" s="105" t="s">
        <v>5669</v>
      </c>
      <c r="C33" s="105" t="s">
        <v>5642</v>
      </c>
      <c r="D33" s="105" t="s">
        <v>8522</v>
      </c>
      <c r="E33" s="36" t="s">
        <v>8504</v>
      </c>
      <c r="F33" s="36" t="s">
        <v>8508</v>
      </c>
      <c r="G33" s="36" t="s">
        <v>8506</v>
      </c>
      <c r="H33" s="36" t="s">
        <v>5647</v>
      </c>
      <c r="I33" s="135" t="s">
        <v>8520</v>
      </c>
      <c r="J33" s="36">
        <v>7488434810</v>
      </c>
      <c r="K33" s="129"/>
      <c r="L33" s="129"/>
      <c r="M33" s="129"/>
      <c r="N33" s="129"/>
    </row>
    <row r="34">
      <c r="A34" s="129">
        <v>33</v>
      </c>
      <c r="B34" s="105" t="s">
        <v>5671</v>
      </c>
      <c r="C34" s="105" t="s">
        <v>5642</v>
      </c>
      <c r="D34" s="105" t="s">
        <v>5672</v>
      </c>
      <c r="E34" s="36" t="s">
        <v>8504</v>
      </c>
      <c r="F34" s="36" t="s">
        <v>8508</v>
      </c>
      <c r="G34" s="36" t="s">
        <v>8506</v>
      </c>
      <c r="H34" s="36" t="s">
        <v>5647</v>
      </c>
      <c r="I34" s="135" t="s">
        <v>8520</v>
      </c>
      <c r="J34" s="36">
        <v>7488434810</v>
      </c>
      <c r="K34" s="129"/>
      <c r="L34" s="129"/>
      <c r="M34" s="129"/>
      <c r="N34" s="129"/>
    </row>
    <row r="35">
      <c r="A35" s="129">
        <v>34</v>
      </c>
      <c r="B35" s="105" t="s">
        <v>5674</v>
      </c>
      <c r="C35" s="105" t="s">
        <v>5642</v>
      </c>
      <c r="D35" s="105" t="s">
        <v>5675</v>
      </c>
      <c r="E35" s="36" t="s">
        <v>8504</v>
      </c>
      <c r="F35" s="36" t="s">
        <v>8505</v>
      </c>
      <c r="G35" s="36" t="s">
        <v>8506</v>
      </c>
      <c r="H35" s="36" t="s">
        <v>5677</v>
      </c>
      <c r="I35" s="135" t="s">
        <v>8523</v>
      </c>
      <c r="J35" s="36">
        <v>7003668693</v>
      </c>
      <c r="K35" s="129"/>
      <c r="L35" s="129"/>
      <c r="M35" s="129"/>
      <c r="N35" s="129"/>
    </row>
    <row r="36">
      <c r="A36" s="129">
        <v>35</v>
      </c>
      <c r="B36" s="105" t="s">
        <v>5678</v>
      </c>
      <c r="C36" s="105" t="s">
        <v>5642</v>
      </c>
      <c r="D36" s="105" t="s">
        <v>5679</v>
      </c>
      <c r="E36" s="36" t="s">
        <v>8504</v>
      </c>
      <c r="F36" s="36" t="s">
        <v>8505</v>
      </c>
      <c r="G36" s="36" t="s">
        <v>8506</v>
      </c>
      <c r="H36" s="36" t="s">
        <v>5677</v>
      </c>
      <c r="I36" s="135" t="s">
        <v>8523</v>
      </c>
      <c r="J36" s="36">
        <v>7003668693</v>
      </c>
      <c r="K36" s="129"/>
      <c r="L36" s="129"/>
      <c r="M36" s="129"/>
      <c r="N36" s="129"/>
    </row>
    <row r="37">
      <c r="A37" s="129">
        <v>36</v>
      </c>
      <c r="B37" s="105" t="s">
        <v>5681</v>
      </c>
      <c r="C37" s="105" t="s">
        <v>5642</v>
      </c>
      <c r="D37" s="105" t="s">
        <v>5682</v>
      </c>
      <c r="E37" s="36" t="s">
        <v>8504</v>
      </c>
      <c r="F37" s="36" t="s">
        <v>8505</v>
      </c>
      <c r="G37" s="36" t="s">
        <v>8506</v>
      </c>
      <c r="H37" s="36" t="s">
        <v>5677</v>
      </c>
      <c r="I37" s="135" t="s">
        <v>8523</v>
      </c>
      <c r="J37" s="36">
        <v>7003668693</v>
      </c>
      <c r="K37" s="129"/>
      <c r="L37" s="129"/>
      <c r="M37" s="129"/>
      <c r="N37" s="129"/>
    </row>
    <row r="38">
      <c r="A38" s="129">
        <v>37</v>
      </c>
      <c r="B38" s="105" t="s">
        <v>5684</v>
      </c>
      <c r="C38" s="105" t="s">
        <v>5642</v>
      </c>
      <c r="D38" s="105" t="s">
        <v>8524</v>
      </c>
      <c r="E38" s="36" t="s">
        <v>8504</v>
      </c>
      <c r="F38" s="36" t="s">
        <v>8505</v>
      </c>
      <c r="G38" s="36" t="s">
        <v>8506</v>
      </c>
      <c r="H38" s="36" t="s">
        <v>5677</v>
      </c>
      <c r="I38" s="135" t="s">
        <v>8523</v>
      </c>
      <c r="J38" s="36">
        <v>7003668693</v>
      </c>
      <c r="K38" s="129"/>
      <c r="L38" s="129"/>
      <c r="M38" s="129"/>
      <c r="N38" s="129"/>
    </row>
    <row r="39">
      <c r="A39" s="129">
        <v>38</v>
      </c>
      <c r="B39" s="105" t="s">
        <v>5687</v>
      </c>
      <c r="C39" s="105" t="s">
        <v>5642</v>
      </c>
      <c r="D39" s="105" t="s">
        <v>5688</v>
      </c>
      <c r="E39" s="36" t="s">
        <v>8504</v>
      </c>
      <c r="F39" s="36" t="s">
        <v>8525</v>
      </c>
      <c r="G39" s="36" t="s">
        <v>8506</v>
      </c>
      <c r="H39" s="36" t="s">
        <v>5677</v>
      </c>
      <c r="I39" s="135" t="s">
        <v>8523</v>
      </c>
      <c r="J39" s="36">
        <v>7003668693</v>
      </c>
      <c r="K39" s="129"/>
      <c r="L39" s="129"/>
      <c r="M39" s="129"/>
      <c r="N39" s="129"/>
    </row>
    <row r="40">
      <c r="A40" s="129">
        <v>39</v>
      </c>
      <c r="B40" s="105" t="s">
        <v>5690</v>
      </c>
      <c r="C40" s="105" t="s">
        <v>5642</v>
      </c>
      <c r="D40" s="105" t="s">
        <v>5691</v>
      </c>
      <c r="E40" s="36" t="s">
        <v>8504</v>
      </c>
      <c r="F40" s="36" t="s">
        <v>8508</v>
      </c>
      <c r="G40" s="36" t="s">
        <v>8506</v>
      </c>
      <c r="H40" s="36" t="s">
        <v>5677</v>
      </c>
      <c r="I40" s="135" t="s">
        <v>8523</v>
      </c>
      <c r="J40" s="36">
        <v>7003668693</v>
      </c>
      <c r="K40" s="129"/>
      <c r="L40" s="129"/>
      <c r="M40" s="129"/>
      <c r="N40" s="129"/>
    </row>
    <row r="41">
      <c r="A41" s="129">
        <v>40</v>
      </c>
      <c r="B41" s="105" t="s">
        <v>5693</v>
      </c>
      <c r="C41" s="105" t="s">
        <v>5642</v>
      </c>
      <c r="D41" s="105" t="s">
        <v>5694</v>
      </c>
      <c r="E41" s="36" t="s">
        <v>8504</v>
      </c>
      <c r="F41" s="36" t="s">
        <v>8508</v>
      </c>
      <c r="G41" s="36" t="s">
        <v>8506</v>
      </c>
      <c r="H41" s="36" t="s">
        <v>5677</v>
      </c>
      <c r="I41" s="135" t="s">
        <v>8523</v>
      </c>
      <c r="J41" s="36">
        <v>7003668693</v>
      </c>
      <c r="K41" s="129"/>
      <c r="L41" s="129"/>
      <c r="M41" s="129"/>
      <c r="N41" s="129"/>
    </row>
    <row r="42">
      <c r="A42" s="129">
        <v>41</v>
      </c>
      <c r="B42" s="105" t="s">
        <v>5696</v>
      </c>
      <c r="C42" s="105" t="s">
        <v>5642</v>
      </c>
      <c r="D42" s="105" t="s">
        <v>8526</v>
      </c>
      <c r="E42" s="36" t="s">
        <v>8504</v>
      </c>
      <c r="F42" s="36" t="s">
        <v>8508</v>
      </c>
      <c r="G42" s="36" t="s">
        <v>8506</v>
      </c>
      <c r="H42" s="36" t="s">
        <v>5677</v>
      </c>
      <c r="I42" s="135" t="s">
        <v>8523</v>
      </c>
      <c r="J42" s="36">
        <v>7003668693</v>
      </c>
      <c r="K42" s="129"/>
      <c r="L42" s="129"/>
      <c r="M42" s="129"/>
      <c r="N42" s="129"/>
    </row>
    <row r="43">
      <c r="A43" s="129">
        <v>42</v>
      </c>
      <c r="B43" s="105" t="s">
        <v>5699</v>
      </c>
      <c r="C43" s="105" t="s">
        <v>5642</v>
      </c>
      <c r="D43" s="105" t="s">
        <v>5700</v>
      </c>
      <c r="E43" s="36" t="s">
        <v>8504</v>
      </c>
      <c r="F43" s="36" t="s">
        <v>8508</v>
      </c>
      <c r="G43" s="36" t="s">
        <v>8506</v>
      </c>
      <c r="H43" s="36" t="s">
        <v>5677</v>
      </c>
      <c r="I43" s="135" t="s">
        <v>8523</v>
      </c>
      <c r="J43" s="36">
        <v>7003668693</v>
      </c>
      <c r="K43" s="129"/>
      <c r="L43" s="129"/>
      <c r="M43" s="129"/>
      <c r="N43" s="129"/>
    </row>
    <row r="44">
      <c r="A44" s="129">
        <v>43</v>
      </c>
      <c r="B44" s="105" t="s">
        <v>5702</v>
      </c>
      <c r="C44" s="105" t="s">
        <v>5642</v>
      </c>
      <c r="D44" s="105" t="s">
        <v>5703</v>
      </c>
      <c r="E44" s="36" t="s">
        <v>8504</v>
      </c>
      <c r="F44" s="36" t="s">
        <v>8508</v>
      </c>
      <c r="G44" s="36" t="s">
        <v>8506</v>
      </c>
      <c r="H44" s="36" t="s">
        <v>5677</v>
      </c>
      <c r="I44" s="135" t="s">
        <v>8523</v>
      </c>
      <c r="J44" s="36">
        <v>7003668693</v>
      </c>
      <c r="K44" s="129"/>
      <c r="L44" s="129"/>
      <c r="M44" s="129"/>
      <c r="N44" s="129"/>
    </row>
    <row r="45">
      <c r="A45" s="129">
        <v>44</v>
      </c>
      <c r="B45" s="105" t="s">
        <v>5705</v>
      </c>
      <c r="C45" s="105" t="s">
        <v>5642</v>
      </c>
      <c r="D45" s="105" t="s">
        <v>5706</v>
      </c>
      <c r="E45" s="36" t="s">
        <v>8504</v>
      </c>
      <c r="F45" s="36" t="s">
        <v>8508</v>
      </c>
      <c r="G45" s="36" t="s">
        <v>8506</v>
      </c>
      <c r="H45" s="36" t="s">
        <v>4347</v>
      </c>
      <c r="I45" s="36" t="s">
        <v>8527</v>
      </c>
      <c r="J45" s="36">
        <v>8240995368</v>
      </c>
      <c r="K45" s="129"/>
      <c r="L45" s="129"/>
      <c r="M45" s="129"/>
      <c r="N45" s="129"/>
    </row>
    <row r="46">
      <c r="A46" s="129">
        <v>45</v>
      </c>
      <c r="B46" s="105" t="s">
        <v>5708</v>
      </c>
      <c r="C46" s="105" t="s">
        <v>5642</v>
      </c>
      <c r="D46" s="105" t="s">
        <v>8528</v>
      </c>
      <c r="E46" s="36" t="s">
        <v>8504</v>
      </c>
      <c r="F46" s="36" t="s">
        <v>8508</v>
      </c>
      <c r="G46" s="36" t="s">
        <v>8506</v>
      </c>
      <c r="H46" s="36" t="s">
        <v>4347</v>
      </c>
      <c r="I46" s="36" t="s">
        <v>8527</v>
      </c>
      <c r="J46" s="36">
        <v>8240995368</v>
      </c>
      <c r="K46" s="129"/>
      <c r="L46" s="129"/>
      <c r="M46" s="129"/>
      <c r="N46" s="129"/>
    </row>
    <row r="47">
      <c r="A47" s="129">
        <v>46</v>
      </c>
      <c r="B47" s="105" t="s">
        <v>5711</v>
      </c>
      <c r="C47" s="105" t="s">
        <v>5642</v>
      </c>
      <c r="D47" s="105" t="s">
        <v>5712</v>
      </c>
      <c r="E47" s="36" t="s">
        <v>8504</v>
      </c>
      <c r="F47" s="36" t="s">
        <v>8508</v>
      </c>
      <c r="G47" s="36" t="s">
        <v>8506</v>
      </c>
      <c r="H47" s="36" t="s">
        <v>4347</v>
      </c>
      <c r="I47" s="36" t="s">
        <v>8527</v>
      </c>
      <c r="J47" s="36">
        <v>8240995368</v>
      </c>
      <c r="K47" s="129"/>
      <c r="L47" s="129"/>
      <c r="M47" s="129"/>
      <c r="N47" s="129"/>
    </row>
    <row r="48">
      <c r="A48" s="129">
        <v>47</v>
      </c>
      <c r="B48" s="105" t="s">
        <v>5714</v>
      </c>
      <c r="C48" s="105" t="s">
        <v>5642</v>
      </c>
      <c r="D48" s="105" t="s">
        <v>5715</v>
      </c>
      <c r="E48" s="36" t="s">
        <v>8504</v>
      </c>
      <c r="F48" s="36" t="s">
        <v>8525</v>
      </c>
      <c r="G48" s="36" t="s">
        <v>8506</v>
      </c>
      <c r="H48" s="36" t="s">
        <v>4347</v>
      </c>
      <c r="I48" s="36" t="s">
        <v>8527</v>
      </c>
      <c r="J48" s="36">
        <v>8240995368</v>
      </c>
      <c r="K48" s="129"/>
      <c r="L48" s="129"/>
      <c r="M48" s="129"/>
      <c r="N48" s="129"/>
    </row>
    <row r="49">
      <c r="A49" s="129">
        <v>48</v>
      </c>
      <c r="B49" s="105" t="s">
        <v>5717</v>
      </c>
      <c r="C49" s="105" t="s">
        <v>5642</v>
      </c>
      <c r="D49" s="105" t="s">
        <v>8529</v>
      </c>
      <c r="E49" s="36" t="s">
        <v>8504</v>
      </c>
      <c r="F49" s="36" t="s">
        <v>8530</v>
      </c>
      <c r="G49" s="36" t="s">
        <v>8506</v>
      </c>
      <c r="H49" s="36" t="s">
        <v>4347</v>
      </c>
      <c r="I49" s="36" t="s">
        <v>8527</v>
      </c>
      <c r="J49" s="36">
        <v>8240995368</v>
      </c>
      <c r="K49" s="129"/>
      <c r="L49" s="129"/>
      <c r="M49" s="129"/>
      <c r="N49" s="129"/>
    </row>
    <row r="50">
      <c r="A50" s="129">
        <v>49</v>
      </c>
      <c r="B50" s="105" t="s">
        <v>5720</v>
      </c>
      <c r="C50" s="105" t="s">
        <v>5642</v>
      </c>
      <c r="D50" s="105" t="s">
        <v>5721</v>
      </c>
      <c r="E50" s="36" t="s">
        <v>8504</v>
      </c>
      <c r="F50" s="36" t="s">
        <v>8505</v>
      </c>
      <c r="G50" s="36" t="s">
        <v>8506</v>
      </c>
      <c r="H50" s="36" t="s">
        <v>5723</v>
      </c>
      <c r="I50" s="135" t="s">
        <v>8516</v>
      </c>
      <c r="J50" s="36">
        <v>8967046045</v>
      </c>
      <c r="K50" s="129"/>
      <c r="L50" s="129"/>
      <c r="M50" s="129"/>
      <c r="N50" s="129"/>
    </row>
    <row r="51">
      <c r="A51" s="129">
        <v>50</v>
      </c>
      <c r="B51" s="105" t="s">
        <v>5725</v>
      </c>
      <c r="C51" s="105" t="s">
        <v>5642</v>
      </c>
      <c r="D51" s="105" t="s">
        <v>5726</v>
      </c>
      <c r="E51" s="36" t="s">
        <v>8504</v>
      </c>
      <c r="F51" s="36" t="s">
        <v>8508</v>
      </c>
      <c r="G51" s="36" t="s">
        <v>8506</v>
      </c>
      <c r="H51" s="36" t="s">
        <v>5723</v>
      </c>
      <c r="I51" s="135" t="s">
        <v>8516</v>
      </c>
      <c r="J51" s="36">
        <v>8967046045</v>
      </c>
      <c r="K51" s="129"/>
      <c r="L51" s="129"/>
      <c r="M51" s="129"/>
      <c r="N51" s="129"/>
    </row>
    <row r="52">
      <c r="A52" s="129">
        <v>51</v>
      </c>
      <c r="B52" s="105" t="s">
        <v>5728</v>
      </c>
      <c r="C52" s="105" t="s">
        <v>5642</v>
      </c>
      <c r="D52" s="105" t="s">
        <v>8531</v>
      </c>
      <c r="E52" s="36" t="s">
        <v>8504</v>
      </c>
      <c r="F52" s="36" t="s">
        <v>8505</v>
      </c>
      <c r="G52" s="36" t="s">
        <v>8506</v>
      </c>
      <c r="H52" s="36" t="s">
        <v>5731</v>
      </c>
      <c r="I52" s="36" t="s">
        <v>8532</v>
      </c>
      <c r="J52" s="36">
        <v>6290820993</v>
      </c>
      <c r="K52" s="129"/>
      <c r="L52" s="129"/>
      <c r="M52" s="129"/>
      <c r="N52" s="129"/>
    </row>
    <row r="53">
      <c r="A53" s="129">
        <v>52</v>
      </c>
      <c r="B53" s="105" t="s">
        <v>5732</v>
      </c>
      <c r="C53" s="105" t="s">
        <v>5642</v>
      </c>
      <c r="D53" s="105" t="s">
        <v>8533</v>
      </c>
      <c r="E53" s="36" t="s">
        <v>8504</v>
      </c>
      <c r="F53" s="36" t="s">
        <v>8505</v>
      </c>
      <c r="G53" s="36" t="s">
        <v>8506</v>
      </c>
      <c r="H53" s="36" t="s">
        <v>5731</v>
      </c>
      <c r="I53" s="36" t="s">
        <v>8532</v>
      </c>
      <c r="J53" s="36">
        <v>6290820993</v>
      </c>
      <c r="K53" s="129"/>
      <c r="L53" s="129"/>
      <c r="M53" s="129"/>
      <c r="N53" s="129"/>
    </row>
    <row r="54">
      <c r="A54" s="129">
        <v>53</v>
      </c>
      <c r="B54" s="105" t="s">
        <v>5735</v>
      </c>
      <c r="C54" s="105" t="s">
        <v>5642</v>
      </c>
      <c r="D54" s="105" t="s">
        <v>5736</v>
      </c>
      <c r="E54" s="36" t="s">
        <v>8504</v>
      </c>
      <c r="F54" s="36" t="s">
        <v>8505</v>
      </c>
      <c r="G54" s="36" t="s">
        <v>8506</v>
      </c>
      <c r="H54" s="36" t="s">
        <v>5731</v>
      </c>
      <c r="I54" s="36" t="s">
        <v>8532</v>
      </c>
      <c r="J54" s="36">
        <v>6290820993</v>
      </c>
      <c r="K54" s="129"/>
      <c r="L54" s="129"/>
      <c r="M54" s="129"/>
      <c r="N54" s="129"/>
    </row>
    <row r="55">
      <c r="A55" s="129">
        <v>54</v>
      </c>
      <c r="B55" s="105" t="s">
        <v>5738</v>
      </c>
      <c r="C55" s="105" t="s">
        <v>5642</v>
      </c>
      <c r="D55" s="105" t="s">
        <v>5739</v>
      </c>
      <c r="E55" s="36" t="s">
        <v>8504</v>
      </c>
      <c r="F55" s="36" t="s">
        <v>8508</v>
      </c>
      <c r="G55" s="36" t="s">
        <v>8506</v>
      </c>
      <c r="H55" s="36" t="s">
        <v>5731</v>
      </c>
      <c r="I55" s="36" t="s">
        <v>8532</v>
      </c>
      <c r="J55" s="36">
        <v>6290820993</v>
      </c>
      <c r="K55" s="129"/>
      <c r="L55" s="129"/>
      <c r="M55" s="129"/>
      <c r="N55" s="129"/>
    </row>
    <row r="56">
      <c r="A56" s="129">
        <v>55</v>
      </c>
      <c r="B56" s="105" t="s">
        <v>5741</v>
      </c>
      <c r="C56" s="105" t="s">
        <v>5642</v>
      </c>
      <c r="D56" s="105" t="s">
        <v>5742</v>
      </c>
      <c r="E56" s="36" t="s">
        <v>8504</v>
      </c>
      <c r="F56" s="36" t="s">
        <v>8508</v>
      </c>
      <c r="G56" s="36" t="s">
        <v>8506</v>
      </c>
      <c r="H56" s="36" t="s">
        <v>5731</v>
      </c>
      <c r="I56" s="36" t="s">
        <v>8532</v>
      </c>
      <c r="J56" s="36">
        <v>6290820993</v>
      </c>
      <c r="K56" s="129"/>
      <c r="L56" s="129"/>
      <c r="M56" s="129"/>
      <c r="N56" s="129"/>
    </row>
    <row r="57">
      <c r="A57" s="129">
        <v>56</v>
      </c>
      <c r="B57" s="105" t="s">
        <v>5744</v>
      </c>
      <c r="C57" s="105" t="s">
        <v>5642</v>
      </c>
      <c r="D57" s="105" t="s">
        <v>5745</v>
      </c>
      <c r="E57" s="36" t="s">
        <v>8504</v>
      </c>
      <c r="F57" s="36" t="s">
        <v>8508</v>
      </c>
      <c r="G57" s="36" t="s">
        <v>8506</v>
      </c>
      <c r="H57" s="36" t="s">
        <v>5731</v>
      </c>
      <c r="I57" s="36" t="s">
        <v>8532</v>
      </c>
      <c r="J57" s="36">
        <v>6290820993</v>
      </c>
      <c r="K57" s="129"/>
      <c r="L57" s="129"/>
      <c r="M57" s="129"/>
      <c r="N57" s="129"/>
    </row>
    <row r="58">
      <c r="A58" s="129">
        <v>57</v>
      </c>
      <c r="B58" s="105" t="s">
        <v>5747</v>
      </c>
      <c r="C58" s="105" t="s">
        <v>5642</v>
      </c>
      <c r="D58" s="105" t="s">
        <v>5748</v>
      </c>
      <c r="E58" s="36" t="s">
        <v>8504</v>
      </c>
      <c r="F58" s="36" t="s">
        <v>8525</v>
      </c>
      <c r="G58" s="36" t="s">
        <v>8506</v>
      </c>
      <c r="H58" s="36" t="s">
        <v>5731</v>
      </c>
      <c r="I58" s="36" t="s">
        <v>8532</v>
      </c>
      <c r="J58" s="36">
        <v>6290820993</v>
      </c>
      <c r="K58" s="129"/>
      <c r="L58" s="129"/>
      <c r="M58" s="129"/>
      <c r="N58" s="129"/>
    </row>
    <row r="59">
      <c r="A59" s="129">
        <v>58</v>
      </c>
      <c r="B59" s="105" t="s">
        <v>5750</v>
      </c>
      <c r="C59" s="105" t="s">
        <v>5642</v>
      </c>
      <c r="D59" s="105" t="s">
        <v>5751</v>
      </c>
      <c r="E59" s="36" t="s">
        <v>8504</v>
      </c>
      <c r="F59" s="36" t="s">
        <v>8508</v>
      </c>
      <c r="G59" s="36" t="s">
        <v>8506</v>
      </c>
      <c r="H59" s="36" t="s">
        <v>5731</v>
      </c>
      <c r="I59" s="36" t="s">
        <v>8532</v>
      </c>
      <c r="J59" s="36">
        <v>6290820993</v>
      </c>
      <c r="K59" s="129"/>
      <c r="L59" s="129"/>
      <c r="M59" s="129"/>
      <c r="N59" s="129"/>
    </row>
    <row r="60">
      <c r="A60" s="129">
        <v>59</v>
      </c>
      <c r="B60" s="105" t="s">
        <v>5753</v>
      </c>
      <c r="C60" s="105" t="s">
        <v>5642</v>
      </c>
      <c r="D60" s="105" t="s">
        <v>5754</v>
      </c>
      <c r="E60" s="36" t="s">
        <v>8504</v>
      </c>
      <c r="F60" s="36" t="s">
        <v>8508</v>
      </c>
      <c r="G60" s="36" t="s">
        <v>8506</v>
      </c>
      <c r="H60" s="36" t="s">
        <v>5731</v>
      </c>
      <c r="I60" s="36" t="s">
        <v>8532</v>
      </c>
      <c r="J60" s="36">
        <v>6290820993</v>
      </c>
      <c r="K60" s="129"/>
      <c r="L60" s="129"/>
      <c r="M60" s="129"/>
      <c r="N60" s="129"/>
    </row>
    <row r="61">
      <c r="A61" s="129">
        <v>60</v>
      </c>
      <c r="B61" s="105" t="s">
        <v>5756</v>
      </c>
      <c r="C61" s="105" t="s">
        <v>5642</v>
      </c>
      <c r="D61" s="105" t="s">
        <v>5757</v>
      </c>
      <c r="E61" s="36" t="s">
        <v>8504</v>
      </c>
      <c r="F61" s="36" t="s">
        <v>8508</v>
      </c>
      <c r="G61" s="36" t="s">
        <v>8506</v>
      </c>
      <c r="H61" s="36" t="s">
        <v>5731</v>
      </c>
      <c r="I61" s="36" t="s">
        <v>8532</v>
      </c>
      <c r="J61" s="36">
        <v>6290820993</v>
      </c>
      <c r="K61" s="129"/>
      <c r="L61" s="129"/>
      <c r="M61" s="129"/>
      <c r="N61" s="129"/>
    </row>
    <row r="62">
      <c r="A62" s="129">
        <v>61</v>
      </c>
      <c r="B62" s="105" t="s">
        <v>5759</v>
      </c>
      <c r="C62" s="105" t="s">
        <v>5642</v>
      </c>
      <c r="D62" s="105" t="s">
        <v>8534</v>
      </c>
      <c r="E62" s="36" t="s">
        <v>8504</v>
      </c>
      <c r="F62" s="36" t="s">
        <v>8508</v>
      </c>
      <c r="G62" s="36" t="s">
        <v>8506</v>
      </c>
      <c r="H62" s="36" t="s">
        <v>5760</v>
      </c>
      <c r="I62" s="135" t="s">
        <v>8532</v>
      </c>
      <c r="J62" s="36">
        <v>6290820993</v>
      </c>
      <c r="K62" s="129"/>
      <c r="L62" s="129"/>
      <c r="M62" s="129"/>
      <c r="N62" s="129"/>
    </row>
    <row r="63">
      <c r="A63" s="129">
        <v>62</v>
      </c>
      <c r="B63" s="105" t="s">
        <v>5761</v>
      </c>
      <c r="C63" s="105" t="s">
        <v>5642</v>
      </c>
      <c r="D63" s="105" t="s">
        <v>8535</v>
      </c>
      <c r="E63" s="36" t="s">
        <v>8504</v>
      </c>
      <c r="F63" s="36" t="s">
        <v>8505</v>
      </c>
      <c r="G63" s="36" t="s">
        <v>8506</v>
      </c>
      <c r="H63" s="36" t="s">
        <v>5764</v>
      </c>
      <c r="I63" s="36" t="s">
        <v>8536</v>
      </c>
      <c r="J63" s="36">
        <v>6296949112</v>
      </c>
      <c r="K63" s="129"/>
      <c r="L63" s="129"/>
      <c r="M63" s="129"/>
      <c r="N63" s="129"/>
    </row>
    <row r="64">
      <c r="A64" s="129">
        <v>63</v>
      </c>
      <c r="B64" s="105" t="s">
        <v>5765</v>
      </c>
      <c r="C64" s="105" t="s">
        <v>5642</v>
      </c>
      <c r="D64" s="105" t="s">
        <v>5766</v>
      </c>
      <c r="E64" s="36" t="s">
        <v>8504</v>
      </c>
      <c r="F64" s="36" t="s">
        <v>8505</v>
      </c>
      <c r="G64" s="36" t="s">
        <v>8506</v>
      </c>
      <c r="H64" s="36" t="s">
        <v>5764</v>
      </c>
      <c r="I64" s="36" t="s">
        <v>8536</v>
      </c>
      <c r="J64" s="36">
        <v>6296949112</v>
      </c>
      <c r="K64" s="129"/>
      <c r="L64" s="129"/>
      <c r="M64" s="129"/>
      <c r="N64" s="129"/>
    </row>
    <row r="65">
      <c r="A65" s="129">
        <v>64</v>
      </c>
      <c r="B65" s="105" t="s">
        <v>5768</v>
      </c>
      <c r="C65" s="105" t="s">
        <v>5642</v>
      </c>
      <c r="D65" s="105" t="s">
        <v>5769</v>
      </c>
      <c r="E65" s="36" t="s">
        <v>8504</v>
      </c>
      <c r="F65" s="36" t="s">
        <v>8505</v>
      </c>
      <c r="G65" s="36" t="s">
        <v>8506</v>
      </c>
      <c r="H65" s="36" t="s">
        <v>5764</v>
      </c>
      <c r="I65" s="36" t="s">
        <v>8536</v>
      </c>
      <c r="J65" s="36">
        <v>6296949112</v>
      </c>
      <c r="K65" s="129"/>
      <c r="L65" s="129"/>
      <c r="M65" s="129"/>
      <c r="N65" s="129"/>
    </row>
    <row r="66">
      <c r="A66" s="129">
        <v>65</v>
      </c>
      <c r="B66" s="105" t="s">
        <v>5771</v>
      </c>
      <c r="C66" s="105" t="s">
        <v>5642</v>
      </c>
      <c r="D66" s="105" t="s">
        <v>5772</v>
      </c>
      <c r="E66" s="36" t="s">
        <v>8504</v>
      </c>
      <c r="F66" s="36" t="s">
        <v>8505</v>
      </c>
      <c r="G66" s="36" t="s">
        <v>8506</v>
      </c>
      <c r="H66" s="36" t="s">
        <v>5764</v>
      </c>
      <c r="I66" s="36" t="s">
        <v>8536</v>
      </c>
      <c r="J66" s="36">
        <v>6296949112</v>
      </c>
      <c r="K66" s="129"/>
      <c r="L66" s="129"/>
      <c r="M66" s="129"/>
      <c r="N66" s="129"/>
    </row>
    <row r="67">
      <c r="A67" s="129">
        <v>66</v>
      </c>
      <c r="B67" s="136" t="s">
        <v>5774</v>
      </c>
      <c r="C67" s="105" t="s">
        <v>5642</v>
      </c>
      <c r="D67" s="105" t="s">
        <v>8537</v>
      </c>
      <c r="E67" s="36" t="s">
        <v>8504</v>
      </c>
      <c r="F67" s="36" t="s">
        <v>8505</v>
      </c>
      <c r="G67" s="36" t="s">
        <v>8506</v>
      </c>
      <c r="H67" s="36" t="s">
        <v>5764</v>
      </c>
      <c r="I67" s="36" t="s">
        <v>8536</v>
      </c>
      <c r="J67" s="36">
        <v>6296949112</v>
      </c>
      <c r="K67" s="129"/>
      <c r="L67" s="129"/>
      <c r="M67" s="129"/>
      <c r="N67" s="129"/>
    </row>
    <row r="68">
      <c r="A68" s="129">
        <v>67</v>
      </c>
      <c r="B68" s="105" t="s">
        <v>5776</v>
      </c>
      <c r="C68" s="105" t="s">
        <v>5642</v>
      </c>
      <c r="D68" s="105" t="s">
        <v>8538</v>
      </c>
      <c r="E68" s="36" t="s">
        <v>8504</v>
      </c>
      <c r="F68" s="36" t="s">
        <v>8508</v>
      </c>
      <c r="G68" s="36" t="s">
        <v>8506</v>
      </c>
      <c r="H68" s="36" t="s">
        <v>5764</v>
      </c>
      <c r="I68" s="36" t="s">
        <v>8536</v>
      </c>
      <c r="J68" s="36">
        <v>6296949112</v>
      </c>
      <c r="K68" s="129"/>
      <c r="L68" s="129"/>
      <c r="M68" s="129"/>
      <c r="N68" s="129"/>
    </row>
    <row r="69">
      <c r="A69" s="129">
        <v>68</v>
      </c>
      <c r="B69" s="105" t="s">
        <v>5779</v>
      </c>
      <c r="C69" s="105" t="s">
        <v>5642</v>
      </c>
      <c r="D69" s="105" t="s">
        <v>5780</v>
      </c>
      <c r="E69" s="36" t="s">
        <v>8504</v>
      </c>
      <c r="F69" s="36" t="s">
        <v>8508</v>
      </c>
      <c r="G69" s="36" t="s">
        <v>8506</v>
      </c>
      <c r="H69" s="36" t="s">
        <v>5764</v>
      </c>
      <c r="I69" s="36" t="s">
        <v>8536</v>
      </c>
      <c r="J69" s="36">
        <v>6296949112</v>
      </c>
      <c r="K69" s="129"/>
      <c r="L69" s="129"/>
      <c r="M69" s="129"/>
      <c r="N69" s="129"/>
    </row>
    <row r="70">
      <c r="A70" s="129">
        <v>69</v>
      </c>
      <c r="B70" s="105" t="s">
        <v>5782</v>
      </c>
      <c r="C70" s="105" t="s">
        <v>5642</v>
      </c>
      <c r="D70" s="105" t="s">
        <v>5783</v>
      </c>
      <c r="E70" s="36" t="s">
        <v>8504</v>
      </c>
      <c r="F70" s="36" t="s">
        <v>8508</v>
      </c>
      <c r="G70" s="36" t="s">
        <v>8506</v>
      </c>
      <c r="H70" s="36" t="s">
        <v>5764</v>
      </c>
      <c r="I70" s="36" t="s">
        <v>8536</v>
      </c>
      <c r="J70" s="36">
        <v>6296949112</v>
      </c>
      <c r="K70" s="129"/>
      <c r="L70" s="129"/>
      <c r="M70" s="129"/>
      <c r="N70" s="129"/>
    </row>
    <row r="71">
      <c r="A71" s="129">
        <v>70</v>
      </c>
      <c r="B71" s="105" t="s">
        <v>5785</v>
      </c>
      <c r="C71" s="105" t="s">
        <v>5642</v>
      </c>
      <c r="D71" s="105" t="s">
        <v>5786</v>
      </c>
      <c r="E71" s="36" t="s">
        <v>8504</v>
      </c>
      <c r="F71" s="36" t="s">
        <v>8508</v>
      </c>
      <c r="G71" s="36" t="s">
        <v>8506</v>
      </c>
      <c r="H71" s="36" t="s">
        <v>5764</v>
      </c>
      <c r="I71" s="36" t="s">
        <v>8536</v>
      </c>
      <c r="J71" s="36">
        <v>6296949112</v>
      </c>
      <c r="K71" s="129"/>
      <c r="L71" s="129"/>
      <c r="M71" s="129"/>
      <c r="N71" s="129"/>
    </row>
    <row r="72">
      <c r="A72" s="129">
        <v>71</v>
      </c>
      <c r="B72" s="105" t="s">
        <v>5788</v>
      </c>
      <c r="C72" s="105" t="s">
        <v>5642</v>
      </c>
      <c r="D72" s="105" t="s">
        <v>5789</v>
      </c>
      <c r="E72" s="36" t="s">
        <v>8504</v>
      </c>
      <c r="F72" s="36" t="s">
        <v>7954</v>
      </c>
      <c r="G72" s="36" t="s">
        <v>7991</v>
      </c>
      <c r="H72" s="36" t="s">
        <v>5574</v>
      </c>
      <c r="I72" s="36" t="s">
        <v>8507</v>
      </c>
      <c r="J72" s="36">
        <v>9064976097</v>
      </c>
      <c r="K72" s="129"/>
      <c r="L72" s="129"/>
      <c r="M72" s="129"/>
      <c r="N72" s="129"/>
    </row>
    <row r="73">
      <c r="A73" s="129">
        <v>72</v>
      </c>
      <c r="B73" s="105" t="s">
        <v>5791</v>
      </c>
      <c r="C73" s="105" t="s">
        <v>5642</v>
      </c>
      <c r="D73" s="105" t="s">
        <v>5792</v>
      </c>
      <c r="E73" s="36" t="s">
        <v>8504</v>
      </c>
      <c r="F73" s="36" t="s">
        <v>7954</v>
      </c>
      <c r="G73" s="36" t="s">
        <v>7991</v>
      </c>
      <c r="H73" s="36" t="s">
        <v>5574</v>
      </c>
      <c r="I73" s="36" t="s">
        <v>8507</v>
      </c>
      <c r="J73" s="36">
        <v>9064976097</v>
      </c>
      <c r="K73" s="129"/>
      <c r="L73" s="129"/>
      <c r="M73" s="129"/>
      <c r="N73" s="129"/>
    </row>
    <row r="74">
      <c r="A74" s="129">
        <v>73</v>
      </c>
      <c r="B74" s="105" t="s">
        <v>5798</v>
      </c>
      <c r="C74" s="105" t="s">
        <v>5642</v>
      </c>
      <c r="D74" s="105" t="s">
        <v>5799</v>
      </c>
      <c r="E74" s="36" t="s">
        <v>8504</v>
      </c>
      <c r="F74" s="36" t="s">
        <v>7954</v>
      </c>
      <c r="G74" s="36" t="s">
        <v>7991</v>
      </c>
      <c r="H74" s="36" t="s">
        <v>5574</v>
      </c>
      <c r="I74" s="36" t="s">
        <v>8507</v>
      </c>
      <c r="J74" s="36">
        <v>9064976097</v>
      </c>
      <c r="K74" s="129"/>
      <c r="L74" s="129"/>
      <c r="M74" s="129"/>
      <c r="N74" s="129"/>
    </row>
    <row r="75">
      <c r="A75" s="129">
        <v>74</v>
      </c>
      <c r="B75" s="105" t="s">
        <v>5801</v>
      </c>
      <c r="C75" s="105" t="s">
        <v>5642</v>
      </c>
      <c r="D75" s="105" t="s">
        <v>5802</v>
      </c>
      <c r="E75" s="36" t="s">
        <v>8504</v>
      </c>
      <c r="F75" s="36" t="s">
        <v>7954</v>
      </c>
      <c r="G75" s="36" t="s">
        <v>7991</v>
      </c>
      <c r="H75" s="36" t="s">
        <v>5574</v>
      </c>
      <c r="I75" s="36" t="s">
        <v>8507</v>
      </c>
      <c r="J75" s="36">
        <v>9064976097</v>
      </c>
      <c r="K75" s="129"/>
      <c r="L75" s="129"/>
      <c r="M75" s="129"/>
      <c r="N75" s="129"/>
    </row>
    <row r="76">
      <c r="A76" s="129">
        <v>75</v>
      </c>
      <c r="B76" s="105" t="s">
        <v>5806</v>
      </c>
      <c r="C76" s="105" t="s">
        <v>5642</v>
      </c>
      <c r="D76" s="105" t="s">
        <v>5807</v>
      </c>
      <c r="E76" s="36" t="s">
        <v>8504</v>
      </c>
      <c r="F76" s="36" t="s">
        <v>7954</v>
      </c>
      <c r="G76" s="36" t="s">
        <v>7991</v>
      </c>
      <c r="H76" s="36" t="s">
        <v>5574</v>
      </c>
      <c r="I76" s="36" t="s">
        <v>8507</v>
      </c>
      <c r="J76" s="36">
        <v>9064976097</v>
      </c>
      <c r="K76" s="129"/>
      <c r="L76" s="129"/>
      <c r="M76" s="129"/>
      <c r="N76" s="129"/>
    </row>
    <row r="77">
      <c r="A77" s="129">
        <v>76</v>
      </c>
      <c r="B77" s="105" t="s">
        <v>5809</v>
      </c>
      <c r="C77" s="105" t="s">
        <v>5642</v>
      </c>
      <c r="D77" s="105" t="s">
        <v>5799</v>
      </c>
      <c r="E77" s="36" t="s">
        <v>8504</v>
      </c>
      <c r="F77" s="36" t="s">
        <v>7954</v>
      </c>
      <c r="G77" s="36" t="s">
        <v>7991</v>
      </c>
      <c r="H77" s="36" t="s">
        <v>5574</v>
      </c>
      <c r="I77" s="36" t="s">
        <v>8507</v>
      </c>
      <c r="J77" s="36">
        <v>9064976097</v>
      </c>
      <c r="K77" s="129"/>
      <c r="L77" s="129"/>
      <c r="M77" s="129"/>
      <c r="N77" s="129"/>
    </row>
    <row r="78">
      <c r="A78" s="129">
        <v>77</v>
      </c>
      <c r="B78" s="105" t="s">
        <v>5811</v>
      </c>
      <c r="C78" s="105" t="s">
        <v>5642</v>
      </c>
      <c r="D78" s="105" t="s">
        <v>8539</v>
      </c>
      <c r="E78" s="36" t="s">
        <v>8504</v>
      </c>
      <c r="F78" s="36" t="s">
        <v>7954</v>
      </c>
      <c r="G78" s="36" t="s">
        <v>7991</v>
      </c>
      <c r="H78" s="36" t="s">
        <v>5574</v>
      </c>
      <c r="I78" s="36" t="s">
        <v>8507</v>
      </c>
      <c r="J78" s="36">
        <v>9064976097</v>
      </c>
      <c r="K78" s="129"/>
      <c r="L78" s="129"/>
      <c r="M78" s="129"/>
      <c r="N78" s="129"/>
    </row>
    <row r="79">
      <c r="A79" s="129">
        <v>78</v>
      </c>
      <c r="B79" s="105" t="s">
        <v>5814</v>
      </c>
      <c r="C79" s="105" t="s">
        <v>5642</v>
      </c>
      <c r="D79" s="105" t="s">
        <v>5815</v>
      </c>
      <c r="E79" s="36" t="s">
        <v>8504</v>
      </c>
      <c r="F79" s="36" t="s">
        <v>7954</v>
      </c>
      <c r="G79" s="36" t="s">
        <v>7991</v>
      </c>
      <c r="H79" s="36" t="s">
        <v>5574</v>
      </c>
      <c r="I79" s="36" t="s">
        <v>8507</v>
      </c>
      <c r="J79" s="36">
        <v>9064976097</v>
      </c>
      <c r="K79" s="129"/>
      <c r="L79" s="129"/>
      <c r="M79" s="129"/>
      <c r="N79" s="129"/>
    </row>
    <row r="80">
      <c r="A80" s="129">
        <v>79</v>
      </c>
      <c r="B80" s="105" t="s">
        <v>5818</v>
      </c>
      <c r="C80" s="105" t="s">
        <v>5642</v>
      </c>
      <c r="D80" s="105" t="s">
        <v>5819</v>
      </c>
      <c r="E80" s="36" t="s">
        <v>8504</v>
      </c>
      <c r="F80" s="36" t="s">
        <v>7954</v>
      </c>
      <c r="G80" s="36" t="s">
        <v>7991</v>
      </c>
      <c r="H80" s="36" t="s">
        <v>5574</v>
      </c>
      <c r="I80" s="36" t="s">
        <v>8507</v>
      </c>
      <c r="J80" s="36">
        <v>9064976097</v>
      </c>
      <c r="K80" s="129"/>
      <c r="L80" s="129"/>
      <c r="M80" s="129"/>
      <c r="N80" s="129"/>
    </row>
    <row r="81">
      <c r="A81" s="129">
        <v>80</v>
      </c>
      <c r="B81" s="136" t="s">
        <v>5822</v>
      </c>
      <c r="C81" s="105" t="s">
        <v>5642</v>
      </c>
      <c r="D81" s="105" t="s">
        <v>8540</v>
      </c>
      <c r="E81" s="36" t="s">
        <v>8504</v>
      </c>
      <c r="F81" s="36" t="s">
        <v>7955</v>
      </c>
      <c r="G81" s="36" t="s">
        <v>7991</v>
      </c>
      <c r="H81" s="36" t="s">
        <v>5574</v>
      </c>
      <c r="I81" s="36" t="s">
        <v>8507</v>
      </c>
      <c r="J81" s="36">
        <v>9064976097</v>
      </c>
      <c r="K81" s="129"/>
      <c r="L81" s="129"/>
      <c r="M81" s="129"/>
      <c r="N81" s="129"/>
    </row>
    <row r="82">
      <c r="A82" s="129">
        <v>81</v>
      </c>
      <c r="B82" s="105" t="s">
        <v>5827</v>
      </c>
      <c r="C82" s="105" t="s">
        <v>5642</v>
      </c>
      <c r="D82" s="105" t="s">
        <v>8541</v>
      </c>
      <c r="E82" s="36" t="s">
        <v>8504</v>
      </c>
      <c r="F82" s="36" t="s">
        <v>7955</v>
      </c>
      <c r="G82" s="36" t="s">
        <v>7991</v>
      </c>
      <c r="H82" s="36" t="s">
        <v>5574</v>
      </c>
      <c r="I82" s="36" t="s">
        <v>8507</v>
      </c>
      <c r="J82" s="36">
        <v>9064976097</v>
      </c>
      <c r="K82" s="129"/>
      <c r="L82" s="129"/>
      <c r="M82" s="129"/>
      <c r="N82" s="129"/>
    </row>
    <row r="83">
      <c r="A83" s="129">
        <v>82</v>
      </c>
      <c r="B83" s="105" t="s">
        <v>5830</v>
      </c>
      <c r="C83" s="105" t="s">
        <v>5642</v>
      </c>
      <c r="D83" s="105" t="s">
        <v>8542</v>
      </c>
      <c r="E83" s="36" t="s">
        <v>8504</v>
      </c>
      <c r="F83" s="36" t="s">
        <v>7954</v>
      </c>
      <c r="G83" s="36" t="s">
        <v>7991</v>
      </c>
      <c r="H83" s="36" t="s">
        <v>5574</v>
      </c>
      <c r="I83" s="36" t="s">
        <v>8507</v>
      </c>
      <c r="J83" s="36">
        <v>9064976097</v>
      </c>
      <c r="K83" s="129"/>
      <c r="L83" s="129"/>
      <c r="M83" s="129"/>
      <c r="N83" s="129"/>
    </row>
    <row r="84">
      <c r="A84" s="129">
        <v>83</v>
      </c>
      <c r="B84" s="105" t="s">
        <v>5833</v>
      </c>
      <c r="C84" s="105" t="s">
        <v>5642</v>
      </c>
      <c r="D84" s="105" t="s">
        <v>5834</v>
      </c>
      <c r="E84" s="36" t="s">
        <v>8504</v>
      </c>
      <c r="F84" s="36" t="s">
        <v>7954</v>
      </c>
      <c r="G84" s="36" t="s">
        <v>7991</v>
      </c>
      <c r="H84" s="36" t="s">
        <v>5574</v>
      </c>
      <c r="I84" s="36" t="s">
        <v>8507</v>
      </c>
      <c r="J84" s="36">
        <v>9064976097</v>
      </c>
      <c r="K84" s="129"/>
      <c r="L84" s="129"/>
      <c r="M84" s="129"/>
      <c r="N84" s="129"/>
    </row>
    <row r="85">
      <c r="A85" s="129">
        <v>84</v>
      </c>
      <c r="B85" s="105" t="s">
        <v>5836</v>
      </c>
      <c r="C85" s="105" t="s">
        <v>5642</v>
      </c>
      <c r="D85" s="105" t="s">
        <v>5837</v>
      </c>
      <c r="E85" s="36" t="s">
        <v>8504</v>
      </c>
      <c r="F85" s="36" t="s">
        <v>7954</v>
      </c>
      <c r="G85" s="36" t="s">
        <v>7991</v>
      </c>
      <c r="H85" s="36" t="s">
        <v>5574</v>
      </c>
      <c r="I85" s="36" t="s">
        <v>8507</v>
      </c>
      <c r="J85" s="36">
        <v>9064976097</v>
      </c>
      <c r="K85" s="129"/>
      <c r="L85" s="129"/>
      <c r="M85" s="129"/>
      <c r="N85" s="129"/>
    </row>
    <row r="86">
      <c r="A86" s="129">
        <v>85</v>
      </c>
      <c r="B86" s="136" t="s">
        <v>5840</v>
      </c>
      <c r="C86" s="105" t="s">
        <v>5642</v>
      </c>
      <c r="D86" s="105" t="s">
        <v>5841</v>
      </c>
      <c r="E86" s="36" t="s">
        <v>8504</v>
      </c>
      <c r="F86" s="36" t="s">
        <v>8543</v>
      </c>
      <c r="G86" s="36" t="s">
        <v>7991</v>
      </c>
      <c r="H86" s="36" t="s">
        <v>5574</v>
      </c>
      <c r="I86" s="36" t="s">
        <v>8507</v>
      </c>
      <c r="J86" s="36">
        <v>9064976097</v>
      </c>
      <c r="K86" s="129"/>
      <c r="L86" s="129"/>
      <c r="M86" s="129"/>
      <c r="N86" s="129"/>
    </row>
    <row r="87">
      <c r="A87" s="129">
        <v>86</v>
      </c>
      <c r="B87" s="105" t="s">
        <v>5843</v>
      </c>
      <c r="C87" s="105" t="s">
        <v>5642</v>
      </c>
      <c r="D87" s="105" t="s">
        <v>5844</v>
      </c>
      <c r="E87" s="36" t="s">
        <v>8504</v>
      </c>
      <c r="F87" s="36" t="s">
        <v>8543</v>
      </c>
      <c r="G87" s="36" t="s">
        <v>7991</v>
      </c>
      <c r="H87" s="36" t="s">
        <v>5574</v>
      </c>
      <c r="I87" s="36" t="s">
        <v>8507</v>
      </c>
      <c r="J87" s="36">
        <v>9064976097</v>
      </c>
      <c r="K87" s="129"/>
      <c r="L87" s="129"/>
      <c r="M87" s="129"/>
      <c r="N87" s="129"/>
    </row>
    <row r="88">
      <c r="A88" s="129">
        <v>87</v>
      </c>
      <c r="B88" s="105" t="s">
        <v>5847</v>
      </c>
      <c r="C88" s="105" t="s">
        <v>5642</v>
      </c>
      <c r="D88" s="105" t="s">
        <v>8544</v>
      </c>
      <c r="E88" s="36" t="s">
        <v>8504</v>
      </c>
      <c r="F88" s="36" t="s">
        <v>8543</v>
      </c>
      <c r="G88" s="36" t="s">
        <v>7991</v>
      </c>
      <c r="H88" s="36" t="s">
        <v>5574</v>
      </c>
      <c r="I88" s="36" t="s">
        <v>8507</v>
      </c>
      <c r="J88" s="36">
        <v>9064976097</v>
      </c>
      <c r="K88" s="129"/>
      <c r="L88" s="129"/>
      <c r="M88" s="129"/>
      <c r="N88" s="129"/>
    </row>
    <row r="89">
      <c r="A89" s="129">
        <v>88</v>
      </c>
      <c r="B89" s="105" t="s">
        <v>5851</v>
      </c>
      <c r="C89" s="105" t="s">
        <v>5642</v>
      </c>
      <c r="D89" s="105" t="s">
        <v>5852</v>
      </c>
      <c r="E89" s="36" t="s">
        <v>8504</v>
      </c>
      <c r="F89" s="36" t="s">
        <v>8543</v>
      </c>
      <c r="G89" s="36" t="s">
        <v>7991</v>
      </c>
      <c r="H89" s="36" t="s">
        <v>5574</v>
      </c>
      <c r="I89" s="36" t="s">
        <v>8507</v>
      </c>
      <c r="J89" s="36">
        <v>9064976097</v>
      </c>
      <c r="K89" s="129"/>
      <c r="L89" s="129"/>
      <c r="M89" s="129"/>
      <c r="N89" s="129"/>
    </row>
    <row r="90">
      <c r="A90" s="129">
        <v>89</v>
      </c>
      <c r="B90" s="105" t="s">
        <v>5854</v>
      </c>
      <c r="C90" s="105" t="s">
        <v>5642</v>
      </c>
      <c r="D90" s="105" t="s">
        <v>5855</v>
      </c>
      <c r="E90" s="36" t="s">
        <v>8504</v>
      </c>
      <c r="F90" s="36" t="s">
        <v>8543</v>
      </c>
      <c r="G90" s="36" t="s">
        <v>7991</v>
      </c>
      <c r="H90" s="36" t="s">
        <v>5574</v>
      </c>
      <c r="I90" s="36" t="s">
        <v>8507</v>
      </c>
      <c r="J90" s="36">
        <v>9064976097</v>
      </c>
      <c r="K90" s="129"/>
      <c r="L90" s="129"/>
      <c r="M90" s="129"/>
      <c r="N90" s="129"/>
    </row>
    <row r="91">
      <c r="A91" s="129">
        <v>90</v>
      </c>
      <c r="B91" s="105" t="s">
        <v>5858</v>
      </c>
      <c r="C91" s="105" t="s">
        <v>5642</v>
      </c>
      <c r="D91" s="105" t="s">
        <v>8545</v>
      </c>
      <c r="E91" s="36" t="s">
        <v>8504</v>
      </c>
      <c r="F91" s="36" t="s">
        <v>8546</v>
      </c>
      <c r="G91" s="36" t="s">
        <v>7991</v>
      </c>
      <c r="H91" s="36" t="s">
        <v>5574</v>
      </c>
      <c r="I91" s="36" t="s">
        <v>8507</v>
      </c>
      <c r="J91" s="36">
        <v>9064976097</v>
      </c>
      <c r="K91" s="129"/>
      <c r="L91" s="129"/>
      <c r="M91" s="129"/>
      <c r="N91" s="129"/>
    </row>
    <row r="92">
      <c r="A92" s="129">
        <v>91</v>
      </c>
      <c r="B92" s="105" t="s">
        <v>5863</v>
      </c>
      <c r="C92" s="105" t="s">
        <v>5642</v>
      </c>
      <c r="D92" s="105" t="s">
        <v>8547</v>
      </c>
      <c r="E92" s="36" t="s">
        <v>8504</v>
      </c>
      <c r="F92" s="36" t="s">
        <v>7954</v>
      </c>
      <c r="G92" s="36" t="s">
        <v>7991</v>
      </c>
      <c r="H92" s="36" t="s">
        <v>5608</v>
      </c>
      <c r="I92" s="36" t="s">
        <v>8511</v>
      </c>
      <c r="J92" s="36">
        <v>7864978775</v>
      </c>
      <c r="K92" s="129"/>
      <c r="L92" s="129"/>
      <c r="M92" s="129"/>
      <c r="N92" s="129"/>
    </row>
    <row r="93">
      <c r="A93" s="129">
        <v>92</v>
      </c>
      <c r="B93" s="105" t="s">
        <v>5869</v>
      </c>
      <c r="C93" s="105" t="s">
        <v>5642</v>
      </c>
      <c r="D93" s="105" t="s">
        <v>5844</v>
      </c>
      <c r="E93" s="36" t="s">
        <v>8504</v>
      </c>
      <c r="F93" s="36" t="s">
        <v>7954</v>
      </c>
      <c r="G93" s="36" t="s">
        <v>7991</v>
      </c>
      <c r="H93" s="36" t="s">
        <v>5608</v>
      </c>
      <c r="I93" s="36" t="s">
        <v>8511</v>
      </c>
      <c r="J93" s="36">
        <v>7864978775</v>
      </c>
      <c r="K93" s="129"/>
      <c r="L93" s="129"/>
      <c r="M93" s="129"/>
      <c r="N93" s="129"/>
    </row>
    <row r="94">
      <c r="A94" s="129">
        <v>93</v>
      </c>
      <c r="B94" s="105" t="s">
        <v>5873</v>
      </c>
      <c r="C94" s="105" t="s">
        <v>5642</v>
      </c>
      <c r="D94" s="105" t="s">
        <v>8548</v>
      </c>
      <c r="E94" s="36" t="s">
        <v>8504</v>
      </c>
      <c r="F94" s="36" t="s">
        <v>7954</v>
      </c>
      <c r="G94" s="36" t="s">
        <v>7991</v>
      </c>
      <c r="H94" s="36" t="s">
        <v>5608</v>
      </c>
      <c r="I94" s="36" t="s">
        <v>8511</v>
      </c>
      <c r="J94" s="36">
        <v>7864978775</v>
      </c>
      <c r="K94" s="129"/>
      <c r="L94" s="129"/>
      <c r="M94" s="129"/>
      <c r="N94" s="129"/>
    </row>
    <row r="95">
      <c r="A95" s="129">
        <v>94</v>
      </c>
      <c r="B95" s="105" t="s">
        <v>5879</v>
      </c>
      <c r="C95" s="105" t="s">
        <v>5642</v>
      </c>
      <c r="D95" s="105" t="s">
        <v>8549</v>
      </c>
      <c r="E95" s="36" t="s">
        <v>8550</v>
      </c>
      <c r="F95" s="36" t="s">
        <v>7954</v>
      </c>
      <c r="G95" s="36" t="s">
        <v>7991</v>
      </c>
      <c r="H95" s="36" t="s">
        <v>5608</v>
      </c>
      <c r="I95" s="36" t="s">
        <v>8511</v>
      </c>
      <c r="J95" s="36">
        <v>7864978775</v>
      </c>
      <c r="K95" s="129"/>
      <c r="L95" s="129"/>
      <c r="M95" s="129"/>
      <c r="N95" s="129"/>
    </row>
    <row r="96">
      <c r="A96" s="129">
        <v>95</v>
      </c>
      <c r="B96" s="105" t="s">
        <v>5885</v>
      </c>
      <c r="C96" s="105" t="s">
        <v>5642</v>
      </c>
      <c r="D96" s="105" t="s">
        <v>8551</v>
      </c>
      <c r="E96" s="36" t="s">
        <v>8552</v>
      </c>
      <c r="F96" s="36" t="s">
        <v>7954</v>
      </c>
      <c r="G96" s="36" t="s">
        <v>7991</v>
      </c>
      <c r="H96" s="36" t="s">
        <v>5608</v>
      </c>
      <c r="I96" s="36" t="s">
        <v>8511</v>
      </c>
      <c r="J96" s="36">
        <v>7864978775</v>
      </c>
      <c r="K96" s="129"/>
      <c r="L96" s="129"/>
      <c r="M96" s="129"/>
      <c r="N96" s="129"/>
    </row>
    <row r="97">
      <c r="A97" s="129">
        <v>96</v>
      </c>
      <c r="B97" s="105" t="s">
        <v>5891</v>
      </c>
      <c r="C97" s="105" t="s">
        <v>5642</v>
      </c>
      <c r="D97" s="105" t="s">
        <v>8553</v>
      </c>
      <c r="E97" s="36" t="s">
        <v>8504</v>
      </c>
      <c r="F97" s="36" t="s">
        <v>7954</v>
      </c>
      <c r="G97" s="36" t="s">
        <v>7991</v>
      </c>
      <c r="H97" s="36" t="s">
        <v>5608</v>
      </c>
      <c r="I97" s="36" t="s">
        <v>8511</v>
      </c>
      <c r="J97" s="36">
        <v>7864978775</v>
      </c>
      <c r="K97" s="129"/>
      <c r="L97" s="129"/>
      <c r="M97" s="129"/>
      <c r="N97" s="129"/>
    </row>
    <row r="98">
      <c r="A98" s="129">
        <v>97</v>
      </c>
      <c r="B98" s="105" t="s">
        <v>5896</v>
      </c>
      <c r="C98" s="105" t="s">
        <v>5642</v>
      </c>
      <c r="D98" s="105" t="s">
        <v>8554</v>
      </c>
      <c r="E98" s="36" t="s">
        <v>8552</v>
      </c>
      <c r="F98" s="36" t="s">
        <v>7954</v>
      </c>
      <c r="G98" s="36" t="s">
        <v>7991</v>
      </c>
      <c r="H98" s="36" t="s">
        <v>5608</v>
      </c>
      <c r="I98" s="36" t="s">
        <v>8511</v>
      </c>
      <c r="J98" s="36">
        <v>7864978775</v>
      </c>
      <c r="K98" s="129"/>
      <c r="L98" s="129"/>
      <c r="M98" s="129"/>
      <c r="N98" s="129"/>
    </row>
    <row r="99">
      <c r="A99" s="129">
        <v>98</v>
      </c>
      <c r="B99" s="105" t="s">
        <v>5902</v>
      </c>
      <c r="C99" s="105" t="s">
        <v>5642</v>
      </c>
      <c r="D99" s="105" t="s">
        <v>5903</v>
      </c>
      <c r="E99" s="36" t="s">
        <v>8504</v>
      </c>
      <c r="F99" s="36" t="s">
        <v>7954</v>
      </c>
      <c r="G99" s="36" t="s">
        <v>7991</v>
      </c>
      <c r="H99" s="36" t="s">
        <v>5608</v>
      </c>
      <c r="I99" s="36" t="s">
        <v>8511</v>
      </c>
      <c r="J99" s="36">
        <v>7864978775</v>
      </c>
      <c r="K99" s="129"/>
      <c r="L99" s="129"/>
      <c r="M99" s="129"/>
      <c r="N99" s="129"/>
    </row>
    <row r="100">
      <c r="A100" s="129">
        <v>99</v>
      </c>
      <c r="B100" s="105" t="s">
        <v>5905</v>
      </c>
      <c r="C100" s="105" t="s">
        <v>5642</v>
      </c>
      <c r="D100" s="105" t="s">
        <v>5906</v>
      </c>
      <c r="E100" s="36" t="s">
        <v>8504</v>
      </c>
      <c r="F100" s="36" t="s">
        <v>7954</v>
      </c>
      <c r="G100" s="36" t="s">
        <v>7991</v>
      </c>
      <c r="H100" s="36" t="s">
        <v>5608</v>
      </c>
      <c r="I100" s="36" t="s">
        <v>8511</v>
      </c>
      <c r="J100" s="36">
        <v>7864978775</v>
      </c>
      <c r="K100" s="129"/>
      <c r="L100" s="129"/>
      <c r="M100" s="129"/>
      <c r="N100" s="129"/>
    </row>
    <row r="101">
      <c r="A101" s="129">
        <v>100</v>
      </c>
      <c r="B101" s="105" t="s">
        <v>5909</v>
      </c>
      <c r="C101" s="105" t="s">
        <v>5642</v>
      </c>
      <c r="D101" s="105" t="s">
        <v>5910</v>
      </c>
      <c r="E101" s="36" t="s">
        <v>8504</v>
      </c>
      <c r="F101" s="36" t="s">
        <v>7954</v>
      </c>
      <c r="G101" s="36" t="s">
        <v>7991</v>
      </c>
      <c r="H101" s="36" t="s">
        <v>5608</v>
      </c>
      <c r="I101" s="36" t="s">
        <v>8511</v>
      </c>
      <c r="J101" s="36">
        <v>7864978775</v>
      </c>
      <c r="K101" s="129"/>
      <c r="L101" s="129"/>
      <c r="M101" s="129"/>
      <c r="N101" s="129"/>
    </row>
    <row r="102">
      <c r="A102" s="129">
        <v>101</v>
      </c>
      <c r="B102" s="105" t="s">
        <v>5912</v>
      </c>
      <c r="C102" s="105" t="s">
        <v>5642</v>
      </c>
      <c r="D102" s="105" t="s">
        <v>5913</v>
      </c>
      <c r="E102" s="36" t="s">
        <v>8504</v>
      </c>
      <c r="F102" s="36" t="s">
        <v>7954</v>
      </c>
      <c r="G102" s="36" t="s">
        <v>7991</v>
      </c>
      <c r="H102" s="36" t="s">
        <v>5608</v>
      </c>
      <c r="I102" s="36" t="s">
        <v>8511</v>
      </c>
      <c r="J102" s="36">
        <v>7864978775</v>
      </c>
      <c r="K102" s="129"/>
      <c r="L102" s="129"/>
      <c r="M102" s="129"/>
      <c r="N102" s="129"/>
    </row>
    <row r="103">
      <c r="A103" s="129">
        <v>102</v>
      </c>
      <c r="B103" s="105" t="s">
        <v>5916</v>
      </c>
      <c r="C103" s="105" t="s">
        <v>5642</v>
      </c>
      <c r="D103" s="105" t="s">
        <v>8555</v>
      </c>
      <c r="E103" s="36" t="s">
        <v>8504</v>
      </c>
      <c r="F103" s="36" t="s">
        <v>7960</v>
      </c>
      <c r="G103" s="36" t="s">
        <v>7991</v>
      </c>
      <c r="H103" s="36" t="s">
        <v>5608</v>
      </c>
      <c r="I103" s="36" t="s">
        <v>8511</v>
      </c>
      <c r="J103" s="36">
        <v>7864978775</v>
      </c>
      <c r="K103" s="129"/>
      <c r="L103" s="129"/>
      <c r="M103" s="129"/>
      <c r="N103" s="129"/>
    </row>
    <row r="104">
      <c r="A104" s="129">
        <v>103</v>
      </c>
      <c r="B104" s="105" t="s">
        <v>5917</v>
      </c>
      <c r="C104" s="105" t="s">
        <v>5642</v>
      </c>
      <c r="D104" s="105" t="s">
        <v>5918</v>
      </c>
      <c r="E104" s="36" t="s">
        <v>8504</v>
      </c>
      <c r="F104" s="36" t="s">
        <v>7954</v>
      </c>
      <c r="G104" s="36" t="s">
        <v>7991</v>
      </c>
      <c r="H104" s="36" t="s">
        <v>5608</v>
      </c>
      <c r="I104" s="36" t="s">
        <v>8511</v>
      </c>
      <c r="J104" s="36">
        <v>7864978775</v>
      </c>
      <c r="K104" s="129"/>
      <c r="L104" s="129"/>
      <c r="M104" s="129"/>
      <c r="N104" s="129"/>
    </row>
    <row r="105">
      <c r="A105" s="129">
        <v>104</v>
      </c>
      <c r="B105" s="105" t="s">
        <v>5923</v>
      </c>
      <c r="C105" s="105" t="s">
        <v>5642</v>
      </c>
      <c r="D105" s="105" t="s">
        <v>5443</v>
      </c>
      <c r="E105" s="36" t="s">
        <v>8504</v>
      </c>
      <c r="F105" s="36" t="s">
        <v>8543</v>
      </c>
      <c r="G105" s="36" t="s">
        <v>7991</v>
      </c>
      <c r="H105" s="36" t="s">
        <v>5608</v>
      </c>
      <c r="I105" s="36" t="s">
        <v>8511</v>
      </c>
      <c r="J105" s="36">
        <v>7864978775</v>
      </c>
      <c r="K105" s="129"/>
      <c r="L105" s="129"/>
      <c r="M105" s="129"/>
      <c r="N105" s="129"/>
    </row>
    <row r="106">
      <c r="A106" s="129">
        <v>105</v>
      </c>
      <c r="B106" s="105" t="s">
        <v>5928</v>
      </c>
      <c r="C106" s="105" t="s">
        <v>5642</v>
      </c>
      <c r="D106" s="105" t="s">
        <v>8556</v>
      </c>
      <c r="E106" s="36" t="s">
        <v>8504</v>
      </c>
      <c r="F106" s="36" t="s">
        <v>8543</v>
      </c>
      <c r="G106" s="36" t="s">
        <v>7991</v>
      </c>
      <c r="H106" s="36" t="s">
        <v>5608</v>
      </c>
      <c r="I106" s="36" t="s">
        <v>8511</v>
      </c>
      <c r="J106" s="36">
        <v>7864978775</v>
      </c>
      <c r="K106" s="129"/>
      <c r="L106" s="129"/>
      <c r="M106" s="129"/>
      <c r="N106" s="129"/>
    </row>
    <row r="107">
      <c r="A107" s="129">
        <v>106</v>
      </c>
      <c r="B107" s="105" t="s">
        <v>5932</v>
      </c>
      <c r="C107" s="105" t="s">
        <v>5642</v>
      </c>
      <c r="D107" s="105" t="s">
        <v>5933</v>
      </c>
      <c r="E107" s="36" t="s">
        <v>8504</v>
      </c>
      <c r="F107" s="36" t="s">
        <v>8543</v>
      </c>
      <c r="G107" s="36" t="s">
        <v>7991</v>
      </c>
      <c r="H107" s="36" t="s">
        <v>5608</v>
      </c>
      <c r="I107" s="36" t="s">
        <v>8511</v>
      </c>
      <c r="J107" s="36">
        <v>7864978775</v>
      </c>
      <c r="K107" s="129"/>
      <c r="L107" s="129"/>
      <c r="M107" s="129"/>
      <c r="N107" s="129"/>
    </row>
    <row r="108">
      <c r="A108" s="129">
        <v>107</v>
      </c>
      <c r="B108" s="105" t="s">
        <v>5938</v>
      </c>
      <c r="C108" s="105" t="s">
        <v>5642</v>
      </c>
      <c r="D108" s="105" t="s">
        <v>5939</v>
      </c>
      <c r="E108" s="36" t="s">
        <v>8504</v>
      </c>
      <c r="F108" s="36" t="s">
        <v>8543</v>
      </c>
      <c r="G108" s="36" t="s">
        <v>7991</v>
      </c>
      <c r="H108" s="36" t="s">
        <v>5608</v>
      </c>
      <c r="I108" s="36" t="s">
        <v>8511</v>
      </c>
      <c r="J108" s="36">
        <v>7864978775</v>
      </c>
      <c r="K108" s="129"/>
      <c r="L108" s="129"/>
      <c r="M108" s="129"/>
      <c r="N108" s="129"/>
    </row>
    <row r="109">
      <c r="A109" s="129">
        <v>108</v>
      </c>
      <c r="B109" s="105" t="s">
        <v>5944</v>
      </c>
      <c r="C109" s="105" t="s">
        <v>5642</v>
      </c>
      <c r="D109" s="105" t="s">
        <v>5945</v>
      </c>
      <c r="E109" s="36" t="s">
        <v>8504</v>
      </c>
      <c r="F109" s="36" t="s">
        <v>8543</v>
      </c>
      <c r="G109" s="36" t="s">
        <v>7991</v>
      </c>
      <c r="H109" s="36" t="s">
        <v>5608</v>
      </c>
      <c r="I109" s="36" t="s">
        <v>8511</v>
      </c>
      <c r="J109" s="36">
        <v>7864978775</v>
      </c>
      <c r="K109" s="129"/>
      <c r="L109" s="129"/>
      <c r="M109" s="129"/>
      <c r="N109" s="129"/>
    </row>
    <row r="110">
      <c r="A110" s="129">
        <v>109</v>
      </c>
      <c r="B110" s="105" t="s">
        <v>5947</v>
      </c>
      <c r="C110" s="105" t="s">
        <v>5642</v>
      </c>
      <c r="D110" s="105" t="s">
        <v>5948</v>
      </c>
      <c r="E110" s="36" t="s">
        <v>8504</v>
      </c>
      <c r="F110" s="36" t="s">
        <v>8543</v>
      </c>
      <c r="G110" s="36" t="s">
        <v>7991</v>
      </c>
      <c r="H110" s="36" t="s">
        <v>5608</v>
      </c>
      <c r="I110" s="36" t="s">
        <v>8511</v>
      </c>
      <c r="J110" s="36">
        <v>7864978775</v>
      </c>
      <c r="K110" s="129"/>
      <c r="L110" s="129"/>
      <c r="M110" s="129"/>
      <c r="N110" s="129"/>
    </row>
    <row r="111">
      <c r="A111" s="129">
        <v>110</v>
      </c>
      <c r="B111" s="105" t="s">
        <v>5951</v>
      </c>
      <c r="C111" s="105" t="s">
        <v>5642</v>
      </c>
      <c r="D111" s="105" t="s">
        <v>5952</v>
      </c>
      <c r="E111" s="36" t="s">
        <v>8504</v>
      </c>
      <c r="F111" s="36" t="s">
        <v>8543</v>
      </c>
      <c r="G111" s="36" t="s">
        <v>7991</v>
      </c>
      <c r="H111" s="36" t="s">
        <v>5608</v>
      </c>
      <c r="I111" s="36" t="s">
        <v>8511</v>
      </c>
      <c r="J111" s="36">
        <v>7864978775</v>
      </c>
      <c r="K111" s="129"/>
      <c r="L111" s="129"/>
      <c r="M111" s="129"/>
      <c r="N111" s="129"/>
    </row>
    <row r="112">
      <c r="A112" s="129">
        <v>111</v>
      </c>
      <c r="B112" s="105" t="s">
        <v>5957</v>
      </c>
      <c r="C112" s="105" t="s">
        <v>5642</v>
      </c>
      <c r="D112" s="105" t="s">
        <v>5958</v>
      </c>
      <c r="E112" s="36" t="s">
        <v>8550</v>
      </c>
      <c r="F112" s="36" t="s">
        <v>8508</v>
      </c>
      <c r="G112" s="36" t="s">
        <v>8506</v>
      </c>
      <c r="H112" s="36" t="s">
        <v>5633</v>
      </c>
      <c r="I112" s="135" t="s">
        <v>8516</v>
      </c>
      <c r="J112" s="36">
        <v>8967046045</v>
      </c>
      <c r="K112" s="129"/>
      <c r="L112" s="129"/>
      <c r="M112" s="129"/>
      <c r="N112" s="129"/>
    </row>
    <row r="113">
      <c r="A113" s="129">
        <v>112</v>
      </c>
      <c r="B113" s="105" t="s">
        <v>5960</v>
      </c>
      <c r="C113" s="105" t="s">
        <v>5642</v>
      </c>
      <c r="D113" s="105" t="s">
        <v>5961</v>
      </c>
      <c r="E113" s="36" t="s">
        <v>8504</v>
      </c>
      <c r="F113" s="36" t="s">
        <v>7954</v>
      </c>
      <c r="G113" s="36" t="s">
        <v>7991</v>
      </c>
      <c r="H113" s="36" t="s">
        <v>5633</v>
      </c>
      <c r="I113" s="135" t="s">
        <v>8516</v>
      </c>
      <c r="J113" s="36">
        <v>8967046045</v>
      </c>
      <c r="K113" s="129"/>
      <c r="L113" s="129"/>
      <c r="M113" s="129" t="s">
        <v>8557</v>
      </c>
      <c r="N113" s="129"/>
    </row>
    <row r="114">
      <c r="A114" s="129">
        <v>113</v>
      </c>
      <c r="B114" s="136" t="s">
        <v>5963</v>
      </c>
      <c r="C114" s="105" t="s">
        <v>5642</v>
      </c>
      <c r="D114" s="105" t="s">
        <v>5964</v>
      </c>
      <c r="E114" s="36" t="s">
        <v>8504</v>
      </c>
      <c r="F114" s="36" t="s">
        <v>7954</v>
      </c>
      <c r="G114" s="36" t="s">
        <v>7991</v>
      </c>
      <c r="H114" s="36" t="s">
        <v>5633</v>
      </c>
      <c r="I114" s="135" t="s">
        <v>8516</v>
      </c>
      <c r="J114" s="36">
        <v>8967046045</v>
      </c>
      <c r="K114" s="129"/>
      <c r="L114" s="129"/>
      <c r="M114" s="129"/>
      <c r="N114" s="129"/>
    </row>
    <row r="115">
      <c r="A115" s="129">
        <v>114</v>
      </c>
      <c r="B115" s="105" t="s">
        <v>5966</v>
      </c>
      <c r="C115" s="105" t="s">
        <v>5642</v>
      </c>
      <c r="D115" s="105" t="s">
        <v>5967</v>
      </c>
      <c r="E115" s="36" t="s">
        <v>8504</v>
      </c>
      <c r="F115" s="36" t="s">
        <v>7954</v>
      </c>
      <c r="G115" s="36" t="s">
        <v>7991</v>
      </c>
      <c r="H115" s="36" t="s">
        <v>5633</v>
      </c>
      <c r="I115" s="135" t="s">
        <v>8516</v>
      </c>
      <c r="J115" s="36">
        <v>8967046045</v>
      </c>
      <c r="K115" s="36" t="s">
        <v>8558</v>
      </c>
      <c r="L115" s="129"/>
      <c r="M115" s="36" t="s">
        <v>8559</v>
      </c>
      <c r="N115" s="129" t="s">
        <v>8560</v>
      </c>
    </row>
    <row r="116">
      <c r="A116" s="129">
        <v>115</v>
      </c>
      <c r="B116" s="105" t="s">
        <v>5969</v>
      </c>
      <c r="C116" s="105" t="s">
        <v>5642</v>
      </c>
      <c r="D116" s="105" t="s">
        <v>5970</v>
      </c>
      <c r="E116" s="36" t="s">
        <v>8504</v>
      </c>
      <c r="F116" s="36" t="s">
        <v>7954</v>
      </c>
      <c r="G116" s="36" t="s">
        <v>7991</v>
      </c>
      <c r="H116" s="36" t="s">
        <v>5633</v>
      </c>
      <c r="I116" s="135" t="s">
        <v>8516</v>
      </c>
      <c r="J116" s="36">
        <v>8967046045</v>
      </c>
      <c r="K116" s="129"/>
      <c r="L116" s="129"/>
      <c r="M116" s="129"/>
      <c r="N116" s="129"/>
    </row>
    <row r="117">
      <c r="A117" s="129">
        <v>116</v>
      </c>
      <c r="B117" s="105" t="s">
        <v>5972</v>
      </c>
      <c r="C117" s="105" t="s">
        <v>5642</v>
      </c>
      <c r="D117" s="105" t="s">
        <v>5973</v>
      </c>
      <c r="E117" s="36" t="s">
        <v>8550</v>
      </c>
      <c r="F117" s="36" t="s">
        <v>7954</v>
      </c>
      <c r="G117" s="36" t="s">
        <v>7991</v>
      </c>
      <c r="H117" s="36" t="s">
        <v>5633</v>
      </c>
      <c r="I117" s="135" t="s">
        <v>8516</v>
      </c>
      <c r="J117" s="36">
        <v>8967046045</v>
      </c>
      <c r="K117" s="129"/>
      <c r="L117" s="129"/>
      <c r="M117" s="129"/>
      <c r="N117" s="129"/>
    </row>
    <row r="118">
      <c r="A118" s="129">
        <v>117</v>
      </c>
      <c r="B118" s="105" t="s">
        <v>5976</v>
      </c>
      <c r="C118" s="105" t="s">
        <v>5642</v>
      </c>
      <c r="D118" s="105" t="s">
        <v>5977</v>
      </c>
      <c r="E118" s="36" t="s">
        <v>8504</v>
      </c>
      <c r="F118" s="36" t="s">
        <v>7954</v>
      </c>
      <c r="G118" s="36" t="s">
        <v>7991</v>
      </c>
      <c r="H118" s="36" t="s">
        <v>5633</v>
      </c>
      <c r="I118" s="135" t="s">
        <v>8516</v>
      </c>
      <c r="J118" s="36">
        <v>8967046045</v>
      </c>
      <c r="K118" s="129"/>
      <c r="L118" s="129"/>
      <c r="M118" s="129"/>
      <c r="N118" s="129"/>
    </row>
    <row r="119">
      <c r="A119" s="129">
        <v>118</v>
      </c>
      <c r="B119" s="105" t="s">
        <v>5979</v>
      </c>
      <c r="C119" s="105" t="s">
        <v>5642</v>
      </c>
      <c r="D119" s="105" t="s">
        <v>5980</v>
      </c>
      <c r="E119" s="36" t="s">
        <v>8504</v>
      </c>
      <c r="F119" s="36" t="s">
        <v>7954</v>
      </c>
      <c r="G119" s="36" t="s">
        <v>7991</v>
      </c>
      <c r="H119" s="36" t="s">
        <v>5633</v>
      </c>
      <c r="I119" s="135" t="s">
        <v>8516</v>
      </c>
      <c r="J119" s="36">
        <v>8967046045</v>
      </c>
      <c r="K119" s="129"/>
      <c r="L119" s="129"/>
      <c r="M119" s="129"/>
      <c r="N119" s="129"/>
    </row>
    <row r="120">
      <c r="A120" s="129">
        <v>119</v>
      </c>
      <c r="B120" s="105" t="s">
        <v>5983</v>
      </c>
      <c r="C120" s="105" t="s">
        <v>5642</v>
      </c>
      <c r="D120" s="105" t="s">
        <v>8561</v>
      </c>
      <c r="E120" s="36" t="s">
        <v>8504</v>
      </c>
      <c r="F120" s="36" t="s">
        <v>7954</v>
      </c>
      <c r="G120" s="36" t="s">
        <v>7991</v>
      </c>
      <c r="H120" s="36" t="s">
        <v>5633</v>
      </c>
      <c r="I120" s="135" t="s">
        <v>8516</v>
      </c>
      <c r="J120" s="36">
        <v>8967046045</v>
      </c>
      <c r="K120" s="129"/>
      <c r="L120" s="129"/>
      <c r="M120" s="129"/>
      <c r="N120" s="129"/>
    </row>
    <row r="121">
      <c r="A121" s="129">
        <v>120</v>
      </c>
      <c r="B121" s="105" t="s">
        <v>5986</v>
      </c>
      <c r="C121" s="105" t="s">
        <v>5642</v>
      </c>
      <c r="D121" s="105" t="s">
        <v>5987</v>
      </c>
      <c r="E121" s="36" t="s">
        <v>8504</v>
      </c>
      <c r="F121" s="36" t="s">
        <v>7955</v>
      </c>
      <c r="G121" s="36" t="s">
        <v>7991</v>
      </c>
      <c r="H121" s="36" t="s">
        <v>5633</v>
      </c>
      <c r="I121" s="135" t="s">
        <v>8516</v>
      </c>
      <c r="J121" s="36">
        <v>8967046045</v>
      </c>
      <c r="K121" s="129"/>
      <c r="L121" s="129"/>
      <c r="M121" s="129"/>
      <c r="N121" s="129"/>
    </row>
    <row r="122">
      <c r="A122" s="129">
        <v>121</v>
      </c>
      <c r="B122" s="105" t="s">
        <v>5991</v>
      </c>
      <c r="C122" s="105" t="s">
        <v>5642</v>
      </c>
      <c r="D122" s="105" t="s">
        <v>5973</v>
      </c>
      <c r="E122" s="36" t="s">
        <v>8504</v>
      </c>
      <c r="F122" s="36" t="s">
        <v>7955</v>
      </c>
      <c r="G122" s="36" t="s">
        <v>7991</v>
      </c>
      <c r="H122" s="36" t="s">
        <v>5633</v>
      </c>
      <c r="I122" s="135" t="s">
        <v>8516</v>
      </c>
      <c r="J122" s="36">
        <v>8967046045</v>
      </c>
      <c r="K122" s="129"/>
      <c r="L122" s="36" t="s">
        <v>8562</v>
      </c>
      <c r="M122" s="129"/>
      <c r="N122" s="129"/>
    </row>
    <row r="123">
      <c r="A123" s="129">
        <v>122</v>
      </c>
      <c r="B123" s="105" t="s">
        <v>5994</v>
      </c>
      <c r="C123" s="105" t="s">
        <v>5642</v>
      </c>
      <c r="D123" s="105" t="s">
        <v>8563</v>
      </c>
      <c r="E123" s="36" t="s">
        <v>8504</v>
      </c>
      <c r="F123" s="36" t="s">
        <v>8543</v>
      </c>
      <c r="G123" s="36" t="s">
        <v>7991</v>
      </c>
      <c r="H123" s="36" t="s">
        <v>5633</v>
      </c>
      <c r="I123" s="135" t="s">
        <v>8516</v>
      </c>
      <c r="J123" s="36">
        <v>8967046045</v>
      </c>
      <c r="K123" s="129"/>
      <c r="L123" s="129"/>
      <c r="M123" s="129"/>
      <c r="N123" s="129"/>
    </row>
    <row r="124">
      <c r="A124" s="129">
        <v>123</v>
      </c>
      <c r="B124" s="105" t="s">
        <v>5997</v>
      </c>
      <c r="C124" s="105" t="s">
        <v>5642</v>
      </c>
      <c r="D124" s="105" t="s">
        <v>2987</v>
      </c>
      <c r="E124" s="36" t="s">
        <v>8504</v>
      </c>
      <c r="F124" s="36" t="s">
        <v>8543</v>
      </c>
      <c r="G124" s="36" t="s">
        <v>7991</v>
      </c>
      <c r="H124" s="36" t="s">
        <v>5633</v>
      </c>
      <c r="I124" s="135" t="s">
        <v>8516</v>
      </c>
      <c r="J124" s="36">
        <v>8967046045</v>
      </c>
      <c r="K124" s="129"/>
      <c r="L124" s="129"/>
      <c r="M124" s="129"/>
      <c r="N124" s="129"/>
    </row>
    <row r="125">
      <c r="A125" s="129">
        <v>124</v>
      </c>
      <c r="B125" s="105" t="s">
        <v>6000</v>
      </c>
      <c r="C125" s="105" t="s">
        <v>5642</v>
      </c>
      <c r="D125" s="105" t="s">
        <v>6001</v>
      </c>
      <c r="E125" s="36" t="s">
        <v>8504</v>
      </c>
      <c r="F125" s="36" t="s">
        <v>8543</v>
      </c>
      <c r="G125" s="36" t="s">
        <v>7991</v>
      </c>
      <c r="H125" s="36" t="s">
        <v>5633</v>
      </c>
      <c r="I125" s="135" t="s">
        <v>8516</v>
      </c>
      <c r="J125" s="36">
        <v>8967046045</v>
      </c>
      <c r="K125" s="129"/>
      <c r="L125" s="129"/>
      <c r="M125" s="129"/>
      <c r="N125" s="129"/>
    </row>
    <row r="126">
      <c r="A126" s="129">
        <v>125</v>
      </c>
      <c r="B126" s="105" t="s">
        <v>6003</v>
      </c>
      <c r="C126" s="105" t="s">
        <v>5642</v>
      </c>
      <c r="D126" s="105" t="s">
        <v>6004</v>
      </c>
      <c r="E126" s="36" t="s">
        <v>8504</v>
      </c>
      <c r="F126" s="36" t="s">
        <v>8543</v>
      </c>
      <c r="G126" s="36" t="s">
        <v>7991</v>
      </c>
      <c r="H126" s="36" t="s">
        <v>5633</v>
      </c>
      <c r="I126" s="135" t="s">
        <v>8516</v>
      </c>
      <c r="J126" s="36">
        <v>8967046045</v>
      </c>
      <c r="K126" s="129"/>
      <c r="L126" s="129"/>
      <c r="M126" s="129"/>
      <c r="N126" s="129"/>
    </row>
    <row r="127">
      <c r="A127" s="129">
        <v>126</v>
      </c>
      <c r="B127" s="105" t="s">
        <v>6007</v>
      </c>
      <c r="C127" s="105" t="s">
        <v>5642</v>
      </c>
      <c r="D127" s="105" t="s">
        <v>8564</v>
      </c>
      <c r="E127" s="36" t="s">
        <v>8552</v>
      </c>
      <c r="F127" s="36" t="s">
        <v>8565</v>
      </c>
      <c r="G127" s="36" t="s">
        <v>7991</v>
      </c>
      <c r="H127" s="36" t="s">
        <v>5633</v>
      </c>
      <c r="I127" s="135" t="s">
        <v>8516</v>
      </c>
      <c r="J127" s="36">
        <v>8967046045</v>
      </c>
      <c r="K127" s="129"/>
      <c r="L127" s="129"/>
      <c r="M127" s="129" t="s">
        <v>8566</v>
      </c>
      <c r="N127" s="129"/>
    </row>
    <row r="128">
      <c r="A128" s="129">
        <v>127</v>
      </c>
      <c r="B128" s="105" t="s">
        <v>6010</v>
      </c>
      <c r="C128" s="105" t="s">
        <v>5642</v>
      </c>
      <c r="D128" s="105" t="s">
        <v>4658</v>
      </c>
      <c r="E128" s="36" t="s">
        <v>8504</v>
      </c>
      <c r="F128" s="36" t="s">
        <v>7954</v>
      </c>
      <c r="G128" s="36" t="s">
        <v>7991</v>
      </c>
      <c r="H128" s="36" t="s">
        <v>5637</v>
      </c>
      <c r="I128" s="36" t="s">
        <v>8519</v>
      </c>
      <c r="J128" s="36">
        <v>8918746398</v>
      </c>
      <c r="K128" s="129"/>
      <c r="L128" s="129"/>
      <c r="M128" s="129"/>
      <c r="N128" s="129"/>
    </row>
    <row r="129">
      <c r="A129" s="129">
        <v>128</v>
      </c>
      <c r="B129" s="105" t="s">
        <v>6012</v>
      </c>
      <c r="C129" s="105" t="s">
        <v>5642</v>
      </c>
      <c r="D129" s="105" t="s">
        <v>8567</v>
      </c>
      <c r="E129" s="36" t="s">
        <v>8504</v>
      </c>
      <c r="F129" s="36" t="s">
        <v>7954</v>
      </c>
      <c r="G129" s="36" t="s">
        <v>7991</v>
      </c>
      <c r="H129" s="36" t="s">
        <v>5637</v>
      </c>
      <c r="I129" s="36" t="s">
        <v>8519</v>
      </c>
      <c r="J129" s="36">
        <v>8918746398</v>
      </c>
      <c r="K129" s="129"/>
      <c r="L129" s="129"/>
      <c r="M129" s="129"/>
      <c r="N129" s="129"/>
    </row>
    <row r="130">
      <c r="A130" s="129">
        <v>129</v>
      </c>
      <c r="B130" s="105" t="s">
        <v>6015</v>
      </c>
      <c r="C130" s="105" t="s">
        <v>5642</v>
      </c>
      <c r="D130" s="105" t="s">
        <v>8568</v>
      </c>
      <c r="E130" s="36" t="s">
        <v>8504</v>
      </c>
      <c r="F130" s="36" t="s">
        <v>7954</v>
      </c>
      <c r="G130" s="36" t="s">
        <v>7991</v>
      </c>
      <c r="H130" s="36" t="s">
        <v>5637</v>
      </c>
      <c r="I130" s="36" t="s">
        <v>8519</v>
      </c>
      <c r="J130" s="36">
        <v>8918746398</v>
      </c>
      <c r="K130" s="129"/>
      <c r="L130" s="129"/>
      <c r="M130" s="129"/>
      <c r="N130" s="129"/>
    </row>
    <row r="131">
      <c r="A131" s="129">
        <v>130</v>
      </c>
      <c r="B131" s="105" t="s">
        <v>6018</v>
      </c>
      <c r="C131" s="105" t="s">
        <v>5642</v>
      </c>
      <c r="D131" s="105" t="s">
        <v>6019</v>
      </c>
      <c r="E131" s="36" t="s">
        <v>8504</v>
      </c>
      <c r="F131" s="36" t="s">
        <v>7954</v>
      </c>
      <c r="G131" s="36" t="s">
        <v>7991</v>
      </c>
      <c r="H131" s="36" t="s">
        <v>5637</v>
      </c>
      <c r="I131" s="36" t="s">
        <v>8519</v>
      </c>
      <c r="J131" s="36">
        <v>8918746398</v>
      </c>
      <c r="K131" s="129"/>
      <c r="L131" s="129"/>
      <c r="M131" s="129"/>
      <c r="N131" s="129"/>
    </row>
    <row r="132">
      <c r="A132" s="129">
        <v>131</v>
      </c>
      <c r="B132" s="105" t="s">
        <v>6021</v>
      </c>
      <c r="C132" s="105" t="s">
        <v>5642</v>
      </c>
      <c r="D132" s="105" t="s">
        <v>6022</v>
      </c>
      <c r="E132" s="36" t="s">
        <v>8504</v>
      </c>
      <c r="F132" s="36" t="s">
        <v>7954</v>
      </c>
      <c r="G132" s="36" t="s">
        <v>7991</v>
      </c>
      <c r="H132" s="36" t="s">
        <v>5637</v>
      </c>
      <c r="I132" s="36" t="s">
        <v>8519</v>
      </c>
      <c r="J132" s="36">
        <v>8918746398</v>
      </c>
      <c r="K132" s="129"/>
      <c r="L132" s="129"/>
      <c r="M132" s="129"/>
      <c r="N132" s="129"/>
    </row>
    <row r="133">
      <c r="A133" s="129">
        <v>132</v>
      </c>
      <c r="B133" s="105" t="s">
        <v>6024</v>
      </c>
      <c r="C133" s="105" t="s">
        <v>5642</v>
      </c>
      <c r="D133" s="105" t="s">
        <v>6025</v>
      </c>
      <c r="E133" s="36" t="s">
        <v>8504</v>
      </c>
      <c r="F133" s="36" t="s">
        <v>7954</v>
      </c>
      <c r="G133" s="36" t="s">
        <v>7991</v>
      </c>
      <c r="H133" s="36" t="s">
        <v>5637</v>
      </c>
      <c r="I133" s="36" t="s">
        <v>8519</v>
      </c>
      <c r="J133" s="36">
        <v>8918746398</v>
      </c>
      <c r="K133" s="129"/>
      <c r="L133" s="129"/>
      <c r="M133" s="129"/>
      <c r="N133" s="129"/>
    </row>
    <row r="134">
      <c r="A134" s="129">
        <v>133</v>
      </c>
      <c r="B134" s="105" t="s">
        <v>6027</v>
      </c>
      <c r="C134" s="105" t="s">
        <v>5642</v>
      </c>
      <c r="D134" s="105" t="s">
        <v>6028</v>
      </c>
      <c r="E134" s="36" t="s">
        <v>8550</v>
      </c>
      <c r="F134" s="36" t="s">
        <v>8569</v>
      </c>
      <c r="G134" s="36" t="s">
        <v>8506</v>
      </c>
      <c r="H134" s="36" t="s">
        <v>5637</v>
      </c>
      <c r="I134" s="36" t="s">
        <v>8519</v>
      </c>
      <c r="J134" s="36">
        <v>8918746398</v>
      </c>
      <c r="K134" s="129"/>
      <c r="L134" s="129"/>
      <c r="M134" s="129"/>
      <c r="N134" s="129"/>
    </row>
    <row r="135">
      <c r="A135" s="129">
        <v>134</v>
      </c>
      <c r="B135" s="105" t="s">
        <v>6030</v>
      </c>
      <c r="C135" s="105" t="s">
        <v>5642</v>
      </c>
      <c r="D135" s="105" t="s">
        <v>4883</v>
      </c>
      <c r="E135" s="36" t="s">
        <v>8504</v>
      </c>
      <c r="F135" s="36" t="s">
        <v>8570</v>
      </c>
      <c r="G135" s="36" t="s">
        <v>7991</v>
      </c>
      <c r="H135" s="36" t="s">
        <v>5637</v>
      </c>
      <c r="I135" s="36" t="s">
        <v>8519</v>
      </c>
      <c r="J135" s="36">
        <v>8918746398</v>
      </c>
      <c r="K135" s="129"/>
      <c r="L135" s="129"/>
      <c r="M135" s="129"/>
      <c r="N135" s="129"/>
    </row>
    <row r="136">
      <c r="A136" s="129">
        <v>135</v>
      </c>
      <c r="B136" s="105" t="s">
        <v>6033</v>
      </c>
      <c r="C136" s="105" t="s">
        <v>5642</v>
      </c>
      <c r="D136" s="105" t="s">
        <v>6104</v>
      </c>
      <c r="E136" s="36" t="s">
        <v>8504</v>
      </c>
      <c r="F136" s="36" t="s">
        <v>7959</v>
      </c>
      <c r="G136" s="36" t="s">
        <v>7991</v>
      </c>
      <c r="H136" s="36" t="s">
        <v>5637</v>
      </c>
      <c r="I136" s="36" t="s">
        <v>8519</v>
      </c>
      <c r="J136" s="36">
        <v>8918746398</v>
      </c>
      <c r="K136" s="129"/>
      <c r="L136" s="129"/>
      <c r="M136" s="129"/>
      <c r="N136" s="129"/>
    </row>
    <row r="137">
      <c r="A137" s="129">
        <v>136</v>
      </c>
      <c r="B137" s="105" t="s">
        <v>6034</v>
      </c>
      <c r="C137" s="105" t="s">
        <v>5642</v>
      </c>
      <c r="D137" s="105" t="s">
        <v>8571</v>
      </c>
      <c r="E137" s="36" t="s">
        <v>8504</v>
      </c>
      <c r="F137" s="36" t="s">
        <v>8570</v>
      </c>
      <c r="G137" s="36" t="s">
        <v>7991</v>
      </c>
      <c r="H137" s="36" t="s">
        <v>5637</v>
      </c>
      <c r="I137" s="36" t="s">
        <v>8519</v>
      </c>
      <c r="J137" s="36">
        <v>8918746398</v>
      </c>
      <c r="K137" s="129"/>
      <c r="L137" s="129"/>
      <c r="M137" s="129"/>
      <c r="N137" s="129"/>
    </row>
    <row r="138">
      <c r="A138" s="129">
        <v>137</v>
      </c>
      <c r="B138" s="105" t="s">
        <v>6037</v>
      </c>
      <c r="C138" s="105" t="s">
        <v>5642</v>
      </c>
      <c r="D138" s="105" t="s">
        <v>8572</v>
      </c>
      <c r="E138" s="36" t="s">
        <v>8504</v>
      </c>
      <c r="F138" s="36" t="s">
        <v>8573</v>
      </c>
      <c r="G138" s="36" t="s">
        <v>7991</v>
      </c>
      <c r="H138" s="36" t="s">
        <v>5637</v>
      </c>
      <c r="I138" s="36" t="s">
        <v>8519</v>
      </c>
      <c r="J138" s="36">
        <v>8918746398</v>
      </c>
      <c r="K138" s="129"/>
      <c r="L138" s="129"/>
      <c r="M138" s="129"/>
      <c r="N138" s="129"/>
    </row>
    <row r="139">
      <c r="A139" s="129">
        <v>138</v>
      </c>
      <c r="B139" s="105" t="s">
        <v>6040</v>
      </c>
      <c r="C139" s="105" t="s">
        <v>5642</v>
      </c>
      <c r="D139" s="105" t="s">
        <v>6041</v>
      </c>
      <c r="E139" s="36" t="s">
        <v>8504</v>
      </c>
      <c r="F139" s="36" t="s">
        <v>8573</v>
      </c>
      <c r="G139" s="36" t="s">
        <v>7991</v>
      </c>
      <c r="H139" s="36" t="s">
        <v>5637</v>
      </c>
      <c r="I139" s="36" t="s">
        <v>8519</v>
      </c>
      <c r="J139" s="36">
        <v>8918746398</v>
      </c>
      <c r="K139" s="129"/>
      <c r="L139" s="129"/>
      <c r="M139" s="129"/>
      <c r="N139" s="129"/>
    </row>
    <row r="140">
      <c r="A140" s="129">
        <v>139</v>
      </c>
      <c r="B140" s="105" t="s">
        <v>6043</v>
      </c>
      <c r="C140" s="105" t="s">
        <v>5642</v>
      </c>
      <c r="D140" s="105" t="s">
        <v>6044</v>
      </c>
      <c r="E140" s="36" t="s">
        <v>8504</v>
      </c>
      <c r="F140" s="36" t="s">
        <v>8573</v>
      </c>
      <c r="G140" s="36" t="s">
        <v>7991</v>
      </c>
      <c r="H140" s="36" t="s">
        <v>5637</v>
      </c>
      <c r="I140" s="36" t="s">
        <v>8519</v>
      </c>
      <c r="J140" s="36">
        <v>8918746398</v>
      </c>
      <c r="K140" s="129"/>
      <c r="L140" s="129"/>
      <c r="M140" s="129"/>
      <c r="N140" s="129"/>
    </row>
    <row r="141">
      <c r="A141" s="129">
        <v>140</v>
      </c>
      <c r="B141" s="105" t="s">
        <v>6046</v>
      </c>
      <c r="C141" s="105" t="s">
        <v>5642</v>
      </c>
      <c r="D141" s="105" t="s">
        <v>6047</v>
      </c>
      <c r="E141" s="36" t="s">
        <v>8504</v>
      </c>
      <c r="F141" s="36" t="s">
        <v>8573</v>
      </c>
      <c r="G141" s="36" t="s">
        <v>7991</v>
      </c>
      <c r="H141" s="36" t="s">
        <v>5637</v>
      </c>
      <c r="I141" s="36" t="s">
        <v>8519</v>
      </c>
      <c r="J141" s="36">
        <v>8918746398</v>
      </c>
      <c r="K141" s="129"/>
      <c r="L141" s="129"/>
      <c r="M141" s="129"/>
      <c r="N141" s="129"/>
    </row>
    <row r="142">
      <c r="A142" s="129">
        <v>141</v>
      </c>
      <c r="B142" s="105" t="s">
        <v>6049</v>
      </c>
      <c r="C142" s="105" t="s">
        <v>5642</v>
      </c>
      <c r="D142" s="105" t="s">
        <v>6050</v>
      </c>
      <c r="E142" s="36" t="s">
        <v>8504</v>
      </c>
      <c r="F142" s="36" t="s">
        <v>8574</v>
      </c>
      <c r="G142" s="36" t="s">
        <v>7991</v>
      </c>
      <c r="H142" s="36" t="s">
        <v>5637</v>
      </c>
      <c r="I142" s="36" t="s">
        <v>8519</v>
      </c>
      <c r="J142" s="36">
        <v>8918746398</v>
      </c>
      <c r="K142" s="129"/>
      <c r="L142" s="129"/>
      <c r="M142" s="129"/>
      <c r="N142" s="129"/>
    </row>
    <row r="143">
      <c r="A143" s="129">
        <v>142</v>
      </c>
      <c r="B143" s="105" t="s">
        <v>6052</v>
      </c>
      <c r="C143" s="105" t="s">
        <v>5642</v>
      </c>
      <c r="D143" s="105" t="s">
        <v>6053</v>
      </c>
      <c r="E143" s="36" t="s">
        <v>8504</v>
      </c>
      <c r="F143" s="36" t="s">
        <v>8575</v>
      </c>
      <c r="G143" s="36" t="s">
        <v>7991</v>
      </c>
      <c r="H143" s="36" t="s">
        <v>5637</v>
      </c>
      <c r="I143" s="36" t="s">
        <v>8519</v>
      </c>
      <c r="J143" s="36">
        <v>8918746398</v>
      </c>
      <c r="K143" s="129"/>
      <c r="L143" s="129"/>
      <c r="M143" s="129"/>
      <c r="N143" s="129"/>
    </row>
    <row r="144">
      <c r="A144" s="129">
        <v>143</v>
      </c>
      <c r="B144" s="105" t="s">
        <v>6055</v>
      </c>
      <c r="C144" s="105" t="s">
        <v>5642</v>
      </c>
      <c r="D144" s="105" t="s">
        <v>8576</v>
      </c>
      <c r="E144" s="36" t="s">
        <v>8504</v>
      </c>
      <c r="F144" s="36" t="s">
        <v>8575</v>
      </c>
      <c r="G144" s="36" t="s">
        <v>7991</v>
      </c>
      <c r="H144" s="36" t="s">
        <v>5637</v>
      </c>
      <c r="I144" s="36" t="s">
        <v>8519</v>
      </c>
      <c r="J144" s="36">
        <v>8918746398</v>
      </c>
      <c r="K144" s="129"/>
      <c r="L144" s="129"/>
      <c r="M144" s="129"/>
      <c r="N144" s="129"/>
    </row>
    <row r="145">
      <c r="A145" s="129">
        <v>144</v>
      </c>
      <c r="B145" s="105" t="s">
        <v>6058</v>
      </c>
      <c r="C145" s="105" t="s">
        <v>5642</v>
      </c>
      <c r="D145" s="105" t="s">
        <v>8341</v>
      </c>
      <c r="E145" s="36" t="s">
        <v>8504</v>
      </c>
      <c r="F145" s="36" t="s">
        <v>8575</v>
      </c>
      <c r="G145" s="36" t="s">
        <v>7991</v>
      </c>
      <c r="H145" s="36" t="s">
        <v>5637</v>
      </c>
      <c r="I145" s="36" t="s">
        <v>8519</v>
      </c>
      <c r="J145" s="36">
        <v>8918746398</v>
      </c>
      <c r="K145" s="129"/>
      <c r="L145" s="129"/>
      <c r="M145" s="129"/>
      <c r="N145" s="129"/>
    </row>
    <row r="146">
      <c r="A146" s="129">
        <v>145</v>
      </c>
      <c r="B146" s="105" t="s">
        <v>6061</v>
      </c>
      <c r="C146" s="105" t="s">
        <v>5642</v>
      </c>
      <c r="D146" s="105" t="s">
        <v>6062</v>
      </c>
      <c r="E146" s="36" t="s">
        <v>8550</v>
      </c>
      <c r="F146" s="36" t="s">
        <v>8575</v>
      </c>
      <c r="G146" s="36" t="s">
        <v>7991</v>
      </c>
      <c r="H146" s="36" t="s">
        <v>5637</v>
      </c>
      <c r="I146" s="36" t="s">
        <v>8519</v>
      </c>
      <c r="J146" s="36">
        <v>8918746398</v>
      </c>
      <c r="K146" s="129"/>
      <c r="L146" s="129"/>
      <c r="M146" s="129"/>
      <c r="N146" s="129"/>
    </row>
    <row r="147">
      <c r="A147" s="129">
        <v>146</v>
      </c>
      <c r="B147" s="105" t="s">
        <v>6064</v>
      </c>
      <c r="C147" s="105" t="s">
        <v>5642</v>
      </c>
      <c r="D147" s="105" t="s">
        <v>5642</v>
      </c>
      <c r="E147" s="36" t="s">
        <v>8504</v>
      </c>
      <c r="F147" s="36" t="s">
        <v>8575</v>
      </c>
      <c r="G147" s="36" t="s">
        <v>7991</v>
      </c>
      <c r="H147" s="36" t="s">
        <v>5637</v>
      </c>
      <c r="I147" s="36" t="s">
        <v>8519</v>
      </c>
      <c r="J147" s="36">
        <v>8918746398</v>
      </c>
      <c r="K147" s="129"/>
      <c r="L147" s="129"/>
      <c r="M147" s="129"/>
      <c r="N147" s="129"/>
    </row>
    <row r="148">
      <c r="A148" s="129">
        <v>147</v>
      </c>
      <c r="B148" s="105" t="s">
        <v>6066</v>
      </c>
      <c r="C148" s="105" t="s">
        <v>5642</v>
      </c>
      <c r="D148" s="105" t="s">
        <v>4684</v>
      </c>
      <c r="E148" s="36" t="s">
        <v>8504</v>
      </c>
      <c r="F148" s="36" t="s">
        <v>8575</v>
      </c>
      <c r="G148" s="36" t="s">
        <v>7991</v>
      </c>
      <c r="H148" s="36" t="s">
        <v>5637</v>
      </c>
      <c r="I148" s="36" t="s">
        <v>8519</v>
      </c>
      <c r="J148" s="36">
        <v>8918746398</v>
      </c>
      <c r="K148" s="129"/>
      <c r="L148" s="129"/>
      <c r="M148" s="129"/>
      <c r="N148" s="129"/>
    </row>
    <row r="149">
      <c r="A149" s="129">
        <v>148</v>
      </c>
      <c r="B149" s="105" t="s">
        <v>6068</v>
      </c>
      <c r="C149" s="105" t="s">
        <v>5642</v>
      </c>
      <c r="D149" s="105" t="s">
        <v>6069</v>
      </c>
      <c r="E149" s="36" t="s">
        <v>8550</v>
      </c>
      <c r="F149" s="36" t="s">
        <v>8575</v>
      </c>
      <c r="G149" s="36" t="s">
        <v>7991</v>
      </c>
      <c r="H149" s="36" t="s">
        <v>5637</v>
      </c>
      <c r="I149" s="36" t="s">
        <v>8519</v>
      </c>
      <c r="J149" s="36">
        <v>8918746398</v>
      </c>
      <c r="K149" s="129"/>
      <c r="L149" s="129"/>
      <c r="M149" s="129"/>
      <c r="N149" s="129"/>
    </row>
    <row r="150">
      <c r="A150" s="129">
        <v>149</v>
      </c>
      <c r="B150" s="105" t="s">
        <v>6071</v>
      </c>
      <c r="C150" s="105" t="s">
        <v>5642</v>
      </c>
      <c r="D150" s="105" t="s">
        <v>8577</v>
      </c>
      <c r="E150" s="36" t="s">
        <v>8504</v>
      </c>
      <c r="F150" s="36" t="s">
        <v>8575</v>
      </c>
      <c r="G150" s="36" t="s">
        <v>7991</v>
      </c>
      <c r="H150" s="36" t="s">
        <v>5637</v>
      </c>
      <c r="I150" s="36" t="s">
        <v>8519</v>
      </c>
      <c r="J150" s="36">
        <v>8918746398</v>
      </c>
      <c r="K150" s="129"/>
      <c r="L150" s="129"/>
      <c r="M150" s="129"/>
      <c r="N150" s="129"/>
    </row>
    <row r="151">
      <c r="A151" s="129">
        <v>150</v>
      </c>
      <c r="B151" s="105" t="s">
        <v>6074</v>
      </c>
      <c r="C151" s="105" t="s">
        <v>5642</v>
      </c>
      <c r="D151" s="105" t="s">
        <v>6075</v>
      </c>
      <c r="E151" s="36" t="s">
        <v>8504</v>
      </c>
      <c r="F151" s="36" t="s">
        <v>8575</v>
      </c>
      <c r="G151" s="36" t="s">
        <v>7991</v>
      </c>
      <c r="H151" s="36" t="s">
        <v>5637</v>
      </c>
      <c r="I151" s="36" t="s">
        <v>8519</v>
      </c>
      <c r="J151" s="36">
        <v>8918746398</v>
      </c>
      <c r="K151" s="129"/>
      <c r="L151" s="129"/>
      <c r="M151" s="129"/>
      <c r="N151" s="129"/>
    </row>
    <row r="152">
      <c r="A152" s="129">
        <v>151</v>
      </c>
      <c r="B152" s="105" t="s">
        <v>6077</v>
      </c>
      <c r="C152" s="105" t="s">
        <v>5642</v>
      </c>
      <c r="D152" s="105" t="s">
        <v>6078</v>
      </c>
      <c r="E152" s="36" t="s">
        <v>8504</v>
      </c>
      <c r="F152" s="36" t="s">
        <v>8543</v>
      </c>
      <c r="G152" s="36" t="s">
        <v>7991</v>
      </c>
      <c r="H152" s="36" t="s">
        <v>5637</v>
      </c>
      <c r="I152" s="36" t="s">
        <v>8519</v>
      </c>
      <c r="J152" s="36">
        <v>8918746398</v>
      </c>
      <c r="K152" s="129"/>
      <c r="L152" s="129"/>
      <c r="M152" s="129"/>
      <c r="N152" s="129"/>
    </row>
    <row r="153">
      <c r="A153" s="129">
        <v>152</v>
      </c>
      <c r="B153" s="105" t="s">
        <v>6080</v>
      </c>
      <c r="C153" s="105" t="s">
        <v>5642</v>
      </c>
      <c r="D153" s="105" t="s">
        <v>6081</v>
      </c>
      <c r="E153" s="36" t="s">
        <v>8504</v>
      </c>
      <c r="F153" s="36" t="s">
        <v>8575</v>
      </c>
      <c r="G153" s="36" t="s">
        <v>7991</v>
      </c>
      <c r="H153" s="36" t="s">
        <v>5637</v>
      </c>
      <c r="I153" s="36" t="s">
        <v>8519</v>
      </c>
      <c r="J153" s="36">
        <v>8918746398</v>
      </c>
      <c r="K153" s="129"/>
      <c r="L153" s="129"/>
      <c r="M153" s="129"/>
      <c r="N153" s="129"/>
    </row>
    <row r="154">
      <c r="A154" s="129">
        <v>153</v>
      </c>
      <c r="B154" s="136" t="s">
        <v>6083</v>
      </c>
      <c r="C154" s="105" t="s">
        <v>5642</v>
      </c>
      <c r="D154" s="105" t="s">
        <v>8578</v>
      </c>
      <c r="E154" s="36" t="s">
        <v>8504</v>
      </c>
      <c r="F154" s="36" t="s">
        <v>8543</v>
      </c>
      <c r="G154" s="36" t="s">
        <v>7991</v>
      </c>
      <c r="H154" s="36" t="s">
        <v>5637</v>
      </c>
      <c r="I154" s="36" t="s">
        <v>8519</v>
      </c>
      <c r="J154" s="36">
        <v>8918746398</v>
      </c>
      <c r="K154" s="129"/>
      <c r="L154" s="129"/>
      <c r="M154" s="129"/>
      <c r="N154" s="129"/>
    </row>
    <row r="155">
      <c r="A155" s="129">
        <v>154</v>
      </c>
      <c r="B155" s="105" t="s">
        <v>6086</v>
      </c>
      <c r="C155" s="105" t="s">
        <v>5642</v>
      </c>
      <c r="D155" s="105" t="s">
        <v>3287</v>
      </c>
      <c r="E155" s="36" t="s">
        <v>8504</v>
      </c>
      <c r="F155" s="36" t="s">
        <v>8543</v>
      </c>
      <c r="G155" s="36" t="s">
        <v>7991</v>
      </c>
      <c r="H155" s="36" t="s">
        <v>5637</v>
      </c>
      <c r="I155" s="36" t="s">
        <v>8519</v>
      </c>
      <c r="J155" s="36">
        <v>8918746398</v>
      </c>
      <c r="K155" s="129"/>
      <c r="L155" s="129"/>
      <c r="M155" s="129"/>
      <c r="N155" s="129"/>
    </row>
    <row r="156">
      <c r="A156" s="129">
        <v>155</v>
      </c>
      <c r="B156" s="105" t="s">
        <v>6089</v>
      </c>
      <c r="C156" s="105" t="s">
        <v>5642</v>
      </c>
      <c r="D156" s="105" t="s">
        <v>6090</v>
      </c>
      <c r="E156" s="36" t="s">
        <v>8504</v>
      </c>
      <c r="F156" s="36" t="s">
        <v>8579</v>
      </c>
      <c r="G156" s="36" t="s">
        <v>7991</v>
      </c>
      <c r="H156" s="36" t="s">
        <v>5637</v>
      </c>
      <c r="I156" s="36" t="s">
        <v>8519</v>
      </c>
      <c r="J156" s="36">
        <v>8918746398</v>
      </c>
      <c r="K156" s="129"/>
      <c r="L156" s="129"/>
      <c r="M156" s="129"/>
      <c r="N156" s="129"/>
    </row>
    <row r="157">
      <c r="A157" s="129">
        <v>156</v>
      </c>
      <c r="B157" s="105" t="s">
        <v>6092</v>
      </c>
      <c r="C157" s="105" t="s">
        <v>5642</v>
      </c>
      <c r="D157" s="105" t="s">
        <v>6093</v>
      </c>
      <c r="E157" s="36" t="s">
        <v>8550</v>
      </c>
      <c r="F157" s="36" t="s">
        <v>8580</v>
      </c>
      <c r="G157" s="36" t="s">
        <v>7991</v>
      </c>
      <c r="H157" s="36" t="s">
        <v>5637</v>
      </c>
      <c r="I157" s="36" t="s">
        <v>8519</v>
      </c>
      <c r="J157" s="36">
        <v>8918746398</v>
      </c>
      <c r="K157" s="129"/>
      <c r="L157" s="129"/>
      <c r="M157" s="129"/>
      <c r="N157" s="129"/>
    </row>
    <row r="158">
      <c r="A158" s="129">
        <v>157</v>
      </c>
      <c r="B158" s="105" t="s">
        <v>6095</v>
      </c>
      <c r="C158" s="105" t="s">
        <v>5642</v>
      </c>
      <c r="D158" s="105" t="s">
        <v>6041</v>
      </c>
      <c r="E158" s="36" t="s">
        <v>8504</v>
      </c>
      <c r="F158" s="36" t="s">
        <v>8580</v>
      </c>
      <c r="G158" s="36" t="s">
        <v>7991</v>
      </c>
      <c r="H158" s="36" t="s">
        <v>5637</v>
      </c>
      <c r="I158" s="36" t="s">
        <v>8519</v>
      </c>
      <c r="J158" s="36">
        <v>8918746398</v>
      </c>
      <c r="K158" s="129"/>
      <c r="L158" s="129"/>
      <c r="M158" s="129"/>
      <c r="N158" s="129"/>
    </row>
    <row r="159">
      <c r="A159" s="129">
        <v>158</v>
      </c>
      <c r="B159" s="105" t="s">
        <v>6097</v>
      </c>
      <c r="C159" s="105" t="s">
        <v>5642</v>
      </c>
      <c r="D159" s="105" t="s">
        <v>6098</v>
      </c>
      <c r="E159" s="36" t="s">
        <v>8504</v>
      </c>
      <c r="F159" s="36" t="s">
        <v>8580</v>
      </c>
      <c r="G159" s="36" t="s">
        <v>7991</v>
      </c>
      <c r="H159" s="36" t="s">
        <v>5637</v>
      </c>
      <c r="I159" s="36" t="s">
        <v>8519</v>
      </c>
      <c r="J159" s="36">
        <v>8918746398</v>
      </c>
      <c r="K159" s="129"/>
      <c r="L159" s="129"/>
      <c r="M159" s="129"/>
      <c r="N159" s="129"/>
    </row>
    <row r="160">
      <c r="A160" s="129">
        <v>159</v>
      </c>
      <c r="B160" s="105" t="s">
        <v>6100</v>
      </c>
      <c r="C160" s="105" t="s">
        <v>5642</v>
      </c>
      <c r="D160" s="105" t="s">
        <v>6101</v>
      </c>
      <c r="E160" s="36" t="s">
        <v>8550</v>
      </c>
      <c r="F160" s="36" t="s">
        <v>8580</v>
      </c>
      <c r="G160" s="36" t="s">
        <v>7991</v>
      </c>
      <c r="H160" s="36" t="s">
        <v>5637</v>
      </c>
      <c r="I160" s="36" t="s">
        <v>8519</v>
      </c>
      <c r="J160" s="36">
        <v>8918746398</v>
      </c>
      <c r="K160" s="129"/>
      <c r="L160" s="129"/>
      <c r="M160" s="129"/>
      <c r="N160" s="129"/>
    </row>
    <row r="161">
      <c r="A161" s="129">
        <v>160</v>
      </c>
      <c r="B161" s="105" t="s">
        <v>6103</v>
      </c>
      <c r="C161" s="105" t="s">
        <v>5642</v>
      </c>
      <c r="D161" s="105" t="s">
        <v>6104</v>
      </c>
      <c r="E161" s="36" t="s">
        <v>8504</v>
      </c>
      <c r="F161" s="36" t="s">
        <v>8580</v>
      </c>
      <c r="G161" s="36" t="s">
        <v>7991</v>
      </c>
      <c r="H161" s="36" t="s">
        <v>5637</v>
      </c>
      <c r="I161" s="36" t="s">
        <v>8519</v>
      </c>
      <c r="J161" s="36">
        <v>8918746398</v>
      </c>
      <c r="K161" s="129"/>
      <c r="L161" s="129"/>
      <c r="M161" s="129"/>
      <c r="N161" s="129"/>
    </row>
    <row r="162">
      <c r="A162" s="129">
        <v>161</v>
      </c>
      <c r="B162" s="105" t="s">
        <v>6106</v>
      </c>
      <c r="C162" s="105" t="s">
        <v>5642</v>
      </c>
      <c r="D162" s="105" t="s">
        <v>5642</v>
      </c>
      <c r="E162" s="36" t="s">
        <v>8504</v>
      </c>
      <c r="F162" s="36" t="s">
        <v>8581</v>
      </c>
      <c r="G162" s="36" t="s">
        <v>7991</v>
      </c>
      <c r="H162" s="36" t="s">
        <v>5637</v>
      </c>
      <c r="I162" s="36" t="s">
        <v>8519</v>
      </c>
      <c r="J162" s="36">
        <v>8918746398</v>
      </c>
      <c r="K162" s="129"/>
      <c r="L162" s="129"/>
      <c r="M162" s="129"/>
      <c r="N162" s="129"/>
    </row>
    <row r="163">
      <c r="A163" s="129">
        <v>162</v>
      </c>
      <c r="B163" s="105" t="s">
        <v>6108</v>
      </c>
      <c r="C163" s="105" t="s">
        <v>5642</v>
      </c>
      <c r="D163" s="105" t="s">
        <v>6109</v>
      </c>
      <c r="E163" s="36" t="s">
        <v>8504</v>
      </c>
      <c r="F163" s="36" t="s">
        <v>8581</v>
      </c>
      <c r="G163" s="36" t="s">
        <v>7991</v>
      </c>
      <c r="H163" s="36" t="s">
        <v>5637</v>
      </c>
      <c r="I163" s="36" t="s">
        <v>8519</v>
      </c>
      <c r="J163" s="36">
        <v>8918746398</v>
      </c>
      <c r="K163" s="129"/>
      <c r="L163" s="129"/>
      <c r="M163" s="129"/>
      <c r="N163" s="129"/>
    </row>
    <row r="164">
      <c r="A164" s="129">
        <v>163</v>
      </c>
      <c r="B164" s="105" t="s">
        <v>6111</v>
      </c>
      <c r="C164" s="105" t="s">
        <v>5642</v>
      </c>
      <c r="D164" s="105" t="s">
        <v>8582</v>
      </c>
      <c r="E164" s="36" t="s">
        <v>8504</v>
      </c>
      <c r="F164" s="36" t="s">
        <v>8543</v>
      </c>
      <c r="G164" s="36" t="s">
        <v>7991</v>
      </c>
      <c r="H164" s="36" t="s">
        <v>4210</v>
      </c>
      <c r="I164" s="36" t="s">
        <v>8583</v>
      </c>
      <c r="J164" s="36">
        <v>7980098242</v>
      </c>
      <c r="K164" s="129"/>
      <c r="L164" s="129"/>
      <c r="M164" s="129"/>
      <c r="N164" s="129"/>
    </row>
    <row r="165">
      <c r="A165" s="129">
        <v>164</v>
      </c>
      <c r="B165" s="136" t="s">
        <v>6114</v>
      </c>
      <c r="C165" s="105" t="s">
        <v>5642</v>
      </c>
      <c r="D165" s="105" t="s">
        <v>6115</v>
      </c>
      <c r="E165" s="36" t="s">
        <v>8504</v>
      </c>
      <c r="F165" s="36" t="s">
        <v>8584</v>
      </c>
      <c r="G165" s="36" t="s">
        <v>7991</v>
      </c>
      <c r="H165" s="36" t="s">
        <v>5647</v>
      </c>
      <c r="I165" s="135" t="s">
        <v>8520</v>
      </c>
      <c r="J165" s="36">
        <v>7488434810</v>
      </c>
      <c r="K165" s="129"/>
      <c r="L165" s="129"/>
      <c r="M165" s="129"/>
      <c r="N165" s="129"/>
    </row>
    <row r="166">
      <c r="A166" s="129">
        <v>165</v>
      </c>
      <c r="B166" s="105" t="s">
        <v>6117</v>
      </c>
      <c r="C166" s="105" t="s">
        <v>5642</v>
      </c>
      <c r="D166" s="105" t="s">
        <v>6118</v>
      </c>
      <c r="E166" s="36" t="s">
        <v>8550</v>
      </c>
      <c r="F166" s="36" t="s">
        <v>8505</v>
      </c>
      <c r="G166" s="36" t="s">
        <v>8506</v>
      </c>
      <c r="H166" s="36" t="s">
        <v>5647</v>
      </c>
      <c r="I166" s="135" t="s">
        <v>8520</v>
      </c>
      <c r="J166" s="36">
        <v>7488434810</v>
      </c>
      <c r="K166" s="129"/>
      <c r="L166" s="129"/>
      <c r="M166" s="129"/>
      <c r="N166" s="129"/>
    </row>
    <row r="167">
      <c r="A167" s="129">
        <v>166</v>
      </c>
      <c r="B167" s="136" t="s">
        <v>6120</v>
      </c>
      <c r="C167" s="105" t="s">
        <v>5642</v>
      </c>
      <c r="D167" s="105"/>
      <c r="E167" s="36" t="s">
        <v>8504</v>
      </c>
      <c r="F167" s="36" t="s">
        <v>7960</v>
      </c>
      <c r="G167" s="36" t="s">
        <v>7991</v>
      </c>
      <c r="H167" s="36" t="s">
        <v>5647</v>
      </c>
      <c r="I167" s="135" t="s">
        <v>8520</v>
      </c>
      <c r="J167" s="36">
        <v>7488434810</v>
      </c>
      <c r="K167" s="129"/>
      <c r="L167" s="129"/>
      <c r="M167" s="129"/>
      <c r="N167" s="129"/>
    </row>
    <row r="168">
      <c r="A168" s="129">
        <v>167</v>
      </c>
      <c r="B168" s="105" t="s">
        <v>6121</v>
      </c>
      <c r="C168" s="105" t="s">
        <v>5642</v>
      </c>
      <c r="D168" s="105" t="s">
        <v>6122</v>
      </c>
      <c r="E168" s="36" t="s">
        <v>8550</v>
      </c>
      <c r="F168" s="36" t="s">
        <v>8508</v>
      </c>
      <c r="G168" s="36" t="s">
        <v>8506</v>
      </c>
      <c r="H168" s="36" t="s">
        <v>5647</v>
      </c>
      <c r="I168" s="135" t="s">
        <v>8520</v>
      </c>
      <c r="J168" s="36">
        <v>7488434810</v>
      </c>
      <c r="K168" s="129"/>
      <c r="L168" s="129"/>
      <c r="M168" s="129"/>
      <c r="N168" s="129"/>
    </row>
    <row r="169">
      <c r="A169" s="129">
        <v>168</v>
      </c>
      <c r="B169" s="105" t="s">
        <v>6124</v>
      </c>
      <c r="C169" s="105" t="s">
        <v>5642</v>
      </c>
      <c r="D169" s="105" t="s">
        <v>6125</v>
      </c>
      <c r="E169" s="36" t="s">
        <v>8504</v>
      </c>
      <c r="F169" s="36" t="s">
        <v>7954</v>
      </c>
      <c r="G169" s="36" t="s">
        <v>7991</v>
      </c>
      <c r="H169" s="36" t="s">
        <v>5647</v>
      </c>
      <c r="I169" s="135" t="s">
        <v>8520</v>
      </c>
      <c r="J169" s="36">
        <v>7488434810</v>
      </c>
      <c r="K169" s="129"/>
      <c r="L169" s="129"/>
      <c r="M169" s="129"/>
      <c r="N169" s="129"/>
    </row>
    <row r="170">
      <c r="A170" s="129">
        <v>169</v>
      </c>
      <c r="B170" s="105" t="s">
        <v>6127</v>
      </c>
      <c r="C170" s="105" t="s">
        <v>5642</v>
      </c>
      <c r="D170" s="105" t="s">
        <v>6128</v>
      </c>
      <c r="E170" s="36" t="s">
        <v>8504</v>
      </c>
      <c r="F170" s="36" t="s">
        <v>7954</v>
      </c>
      <c r="G170" s="36" t="s">
        <v>7991</v>
      </c>
      <c r="H170" s="36" t="s">
        <v>5647</v>
      </c>
      <c r="I170" s="135" t="s">
        <v>8520</v>
      </c>
      <c r="J170" s="36">
        <v>7488434810</v>
      </c>
      <c r="K170" s="129"/>
      <c r="L170" s="129"/>
      <c r="M170" s="129"/>
      <c r="N170" s="129"/>
    </row>
    <row r="171">
      <c r="A171" s="129">
        <v>170</v>
      </c>
      <c r="B171" s="105" t="s">
        <v>6130</v>
      </c>
      <c r="C171" s="105" t="s">
        <v>5642</v>
      </c>
      <c r="D171" s="105" t="s">
        <v>8585</v>
      </c>
      <c r="E171" s="36" t="s">
        <v>8504</v>
      </c>
      <c r="F171" s="36" t="s">
        <v>7954</v>
      </c>
      <c r="G171" s="36" t="s">
        <v>7991</v>
      </c>
      <c r="H171" s="36" t="s">
        <v>5647</v>
      </c>
      <c r="I171" s="135" t="s">
        <v>8520</v>
      </c>
      <c r="J171" s="36">
        <v>7488434810</v>
      </c>
      <c r="K171" s="129"/>
      <c r="L171" s="129"/>
      <c r="M171" s="129"/>
      <c r="N171" s="129"/>
    </row>
    <row r="172">
      <c r="A172" s="129">
        <v>171</v>
      </c>
      <c r="B172" s="105" t="s">
        <v>6133</v>
      </c>
      <c r="C172" s="105" t="s">
        <v>5642</v>
      </c>
      <c r="D172" s="105" t="s">
        <v>8586</v>
      </c>
      <c r="E172" s="36" t="s">
        <v>8504</v>
      </c>
      <c r="F172" s="36" t="s">
        <v>7954</v>
      </c>
      <c r="G172" s="36" t="s">
        <v>7991</v>
      </c>
      <c r="H172" s="36" t="s">
        <v>5647</v>
      </c>
      <c r="I172" s="135" t="s">
        <v>8520</v>
      </c>
      <c r="J172" s="36">
        <v>7488434810</v>
      </c>
      <c r="K172" s="129"/>
      <c r="L172" s="129"/>
      <c r="M172" s="129"/>
      <c r="N172" s="129"/>
    </row>
    <row r="173">
      <c r="A173" s="129">
        <v>172</v>
      </c>
      <c r="B173" s="105" t="s">
        <v>6136</v>
      </c>
      <c r="C173" s="105" t="s">
        <v>5642</v>
      </c>
      <c r="D173" s="105" t="s">
        <v>8587</v>
      </c>
      <c r="E173" s="36" t="s">
        <v>8504</v>
      </c>
      <c r="F173" s="36" t="s">
        <v>7954</v>
      </c>
      <c r="G173" s="36" t="s">
        <v>7991</v>
      </c>
      <c r="H173" s="36" t="s">
        <v>5647</v>
      </c>
      <c r="I173" s="135" t="s">
        <v>8520</v>
      </c>
      <c r="J173" s="36">
        <v>7488434810</v>
      </c>
      <c r="K173" s="129"/>
      <c r="L173" s="129"/>
      <c r="M173" s="129"/>
      <c r="N173" s="129"/>
    </row>
    <row r="174">
      <c r="A174" s="129">
        <v>173</v>
      </c>
      <c r="B174" s="105" t="s">
        <v>6139</v>
      </c>
      <c r="C174" s="105" t="s">
        <v>5642</v>
      </c>
      <c r="D174" s="105" t="s">
        <v>8588</v>
      </c>
      <c r="E174" s="36" t="s">
        <v>8504</v>
      </c>
      <c r="F174" s="36" t="s">
        <v>7954</v>
      </c>
      <c r="G174" s="36" t="s">
        <v>7991</v>
      </c>
      <c r="H174" s="36" t="s">
        <v>5647</v>
      </c>
      <c r="I174" s="135" t="s">
        <v>8520</v>
      </c>
      <c r="J174" s="36">
        <v>7488434810</v>
      </c>
      <c r="K174" s="129"/>
      <c r="L174" s="129"/>
      <c r="M174" s="129"/>
      <c r="N174" s="129"/>
    </row>
    <row r="175">
      <c r="A175" s="129">
        <v>174</v>
      </c>
      <c r="B175" s="105" t="s">
        <v>6142</v>
      </c>
      <c r="C175" s="105" t="s">
        <v>5642</v>
      </c>
      <c r="D175" s="105" t="s">
        <v>6143</v>
      </c>
      <c r="E175" s="36" t="s">
        <v>8504</v>
      </c>
      <c r="F175" s="36" t="s">
        <v>7954</v>
      </c>
      <c r="G175" s="36" t="s">
        <v>7991</v>
      </c>
      <c r="H175" s="36" t="s">
        <v>5647</v>
      </c>
      <c r="I175" s="135" t="s">
        <v>8520</v>
      </c>
      <c r="J175" s="36">
        <v>7488434810</v>
      </c>
      <c r="K175" s="129"/>
      <c r="L175" s="129"/>
      <c r="M175" s="129"/>
      <c r="N175" s="129"/>
    </row>
    <row r="176">
      <c r="A176" s="129">
        <v>175</v>
      </c>
      <c r="B176" s="105" t="s">
        <v>6145</v>
      </c>
      <c r="C176" s="105" t="s">
        <v>5642</v>
      </c>
      <c r="D176" s="105" t="s">
        <v>8589</v>
      </c>
      <c r="E176" s="36" t="s">
        <v>8504</v>
      </c>
      <c r="F176" s="36" t="s">
        <v>7954</v>
      </c>
      <c r="G176" s="36" t="s">
        <v>7991</v>
      </c>
      <c r="H176" s="36" t="s">
        <v>5647</v>
      </c>
      <c r="I176" s="135" t="s">
        <v>8520</v>
      </c>
      <c r="J176" s="36">
        <v>7488434810</v>
      </c>
      <c r="K176" s="129"/>
      <c r="L176" s="129"/>
      <c r="M176" s="129"/>
      <c r="N176" s="129"/>
    </row>
    <row r="177">
      <c r="A177" s="129">
        <v>176</v>
      </c>
      <c r="B177" s="105" t="s">
        <v>6148</v>
      </c>
      <c r="C177" s="105" t="s">
        <v>5642</v>
      </c>
      <c r="D177" s="105" t="s">
        <v>6149</v>
      </c>
      <c r="E177" s="36" t="s">
        <v>8504</v>
      </c>
      <c r="F177" s="135" t="s">
        <v>7954</v>
      </c>
      <c r="G177" s="36" t="s">
        <v>7991</v>
      </c>
      <c r="H177" s="36" t="s">
        <v>5647</v>
      </c>
      <c r="I177" s="135" t="s">
        <v>8520</v>
      </c>
      <c r="J177" s="36">
        <v>7488434810</v>
      </c>
      <c r="K177" s="129"/>
      <c r="L177" s="129"/>
      <c r="M177" s="129"/>
      <c r="N177" s="129"/>
    </row>
    <row r="178">
      <c r="A178" s="129">
        <v>177</v>
      </c>
      <c r="B178" s="105" t="s">
        <v>6151</v>
      </c>
      <c r="C178" s="105" t="s">
        <v>5642</v>
      </c>
      <c r="D178" s="105" t="s">
        <v>6152</v>
      </c>
      <c r="E178" s="36" t="s">
        <v>8504</v>
      </c>
      <c r="F178" s="36" t="s">
        <v>7954</v>
      </c>
      <c r="G178" s="36" t="s">
        <v>7991</v>
      </c>
      <c r="H178" s="36" t="s">
        <v>5647</v>
      </c>
      <c r="I178" s="135" t="s">
        <v>8520</v>
      </c>
      <c r="J178" s="36">
        <v>7488434810</v>
      </c>
      <c r="K178" s="129"/>
      <c r="L178" s="129"/>
      <c r="M178" s="129"/>
      <c r="N178" s="129"/>
    </row>
    <row r="179">
      <c r="A179" s="129">
        <v>178</v>
      </c>
      <c r="B179" s="105" t="s">
        <v>6154</v>
      </c>
      <c r="C179" s="105" t="s">
        <v>5642</v>
      </c>
      <c r="D179" s="105" t="s">
        <v>8590</v>
      </c>
      <c r="E179" s="36" t="s">
        <v>8504</v>
      </c>
      <c r="F179" s="36" t="s">
        <v>7954</v>
      </c>
      <c r="G179" s="36" t="s">
        <v>7991</v>
      </c>
      <c r="H179" s="36" t="s">
        <v>5647</v>
      </c>
      <c r="I179" s="135" t="s">
        <v>8520</v>
      </c>
      <c r="J179" s="36">
        <v>7488434810</v>
      </c>
      <c r="K179" s="129"/>
      <c r="L179" s="129"/>
      <c r="M179" s="129"/>
      <c r="N179" s="129"/>
    </row>
    <row r="180">
      <c r="A180" s="129">
        <v>179</v>
      </c>
      <c r="B180" s="105" t="s">
        <v>6157</v>
      </c>
      <c r="C180" s="105" t="s">
        <v>5642</v>
      </c>
      <c r="D180" s="105" t="s">
        <v>8591</v>
      </c>
      <c r="E180" s="36" t="s">
        <v>8504</v>
      </c>
      <c r="F180" s="36" t="s">
        <v>7954</v>
      </c>
      <c r="G180" s="36" t="s">
        <v>7991</v>
      </c>
      <c r="H180" s="36" t="s">
        <v>5647</v>
      </c>
      <c r="I180" s="135" t="s">
        <v>8520</v>
      </c>
      <c r="J180" s="36">
        <v>7488434810</v>
      </c>
      <c r="K180" s="129"/>
      <c r="L180" s="129"/>
      <c r="M180" s="129"/>
      <c r="N180" s="129"/>
    </row>
    <row r="181">
      <c r="A181" s="129">
        <v>180</v>
      </c>
      <c r="B181" s="105" t="s">
        <v>6160</v>
      </c>
      <c r="C181" s="105" t="s">
        <v>5642</v>
      </c>
      <c r="D181" s="105" t="s">
        <v>6161</v>
      </c>
      <c r="E181" s="36" t="s">
        <v>8504</v>
      </c>
      <c r="F181" s="36" t="s">
        <v>7954</v>
      </c>
      <c r="G181" s="36" t="s">
        <v>7991</v>
      </c>
      <c r="H181" s="36" t="s">
        <v>5647</v>
      </c>
      <c r="I181" s="135" t="s">
        <v>8520</v>
      </c>
      <c r="J181" s="36">
        <v>7488434810</v>
      </c>
      <c r="K181" s="129"/>
      <c r="L181" s="129"/>
      <c r="M181" s="129"/>
      <c r="N181" s="129"/>
    </row>
    <row r="182">
      <c r="A182" s="129">
        <v>181</v>
      </c>
      <c r="B182" s="105" t="s">
        <v>6163</v>
      </c>
      <c r="C182" s="105" t="s">
        <v>5642</v>
      </c>
      <c r="D182" s="105" t="s">
        <v>6164</v>
      </c>
      <c r="E182" s="36" t="s">
        <v>8552</v>
      </c>
      <c r="F182" s="36" t="s">
        <v>7954</v>
      </c>
      <c r="G182" s="36" t="s">
        <v>7991</v>
      </c>
      <c r="H182" s="36" t="s">
        <v>5647</v>
      </c>
      <c r="I182" s="135" t="s">
        <v>8520</v>
      </c>
      <c r="J182" s="36">
        <v>7488434810</v>
      </c>
      <c r="K182" s="129"/>
      <c r="L182" s="129"/>
      <c r="M182" s="129"/>
      <c r="N182" s="129"/>
    </row>
    <row r="183">
      <c r="A183" s="129">
        <v>182</v>
      </c>
      <c r="B183" s="105" t="s">
        <v>6166</v>
      </c>
      <c r="C183" s="105" t="s">
        <v>5642</v>
      </c>
      <c r="D183" s="105" t="s">
        <v>8592</v>
      </c>
      <c r="E183" s="36" t="s">
        <v>8504</v>
      </c>
      <c r="F183" s="36" t="s">
        <v>7954</v>
      </c>
      <c r="G183" s="36" t="s">
        <v>7991</v>
      </c>
      <c r="H183" s="36" t="s">
        <v>5647</v>
      </c>
      <c r="I183" s="135" t="s">
        <v>8520</v>
      </c>
      <c r="J183" s="36">
        <v>7488434810</v>
      </c>
      <c r="K183" s="129"/>
      <c r="L183" s="129"/>
      <c r="M183" s="129"/>
      <c r="N183" s="129"/>
    </row>
    <row r="184">
      <c r="A184" s="129">
        <v>183</v>
      </c>
      <c r="B184" s="105" t="s">
        <v>6169</v>
      </c>
      <c r="C184" s="105" t="s">
        <v>5642</v>
      </c>
      <c r="D184" s="105" t="s">
        <v>8593</v>
      </c>
      <c r="E184" s="36" t="s">
        <v>8504</v>
      </c>
      <c r="F184" s="36" t="s">
        <v>7954</v>
      </c>
      <c r="G184" s="36" t="s">
        <v>7991</v>
      </c>
      <c r="H184" s="36" t="s">
        <v>5647</v>
      </c>
      <c r="I184" s="135" t="s">
        <v>8520</v>
      </c>
      <c r="J184" s="36">
        <v>7488434810</v>
      </c>
      <c r="K184" s="129"/>
      <c r="L184" s="129"/>
      <c r="M184" s="129"/>
      <c r="N184" s="129"/>
    </row>
    <row r="185">
      <c r="A185" s="129">
        <v>184</v>
      </c>
      <c r="B185" s="105" t="s">
        <v>6172</v>
      </c>
      <c r="C185" s="105" t="s">
        <v>5642</v>
      </c>
      <c r="D185" s="105" t="s">
        <v>6173</v>
      </c>
      <c r="E185" s="36" t="s">
        <v>8504</v>
      </c>
      <c r="F185" s="36" t="s">
        <v>7954</v>
      </c>
      <c r="G185" s="36" t="s">
        <v>7991</v>
      </c>
      <c r="H185" s="36" t="s">
        <v>5647</v>
      </c>
      <c r="I185" s="135" t="s">
        <v>8520</v>
      </c>
      <c r="J185" s="36">
        <v>7488434810</v>
      </c>
      <c r="K185" s="129"/>
      <c r="L185" s="129"/>
      <c r="M185" s="129"/>
      <c r="N185" s="129"/>
    </row>
    <row r="186">
      <c r="A186" s="129">
        <v>185</v>
      </c>
      <c r="B186" s="105" t="s">
        <v>6175</v>
      </c>
      <c r="C186" s="105" t="s">
        <v>5642</v>
      </c>
      <c r="D186" s="105" t="s">
        <v>6176</v>
      </c>
      <c r="E186" s="36" t="s">
        <v>8504</v>
      </c>
      <c r="F186" s="36" t="s">
        <v>8543</v>
      </c>
      <c r="G186" s="36" t="s">
        <v>7991</v>
      </c>
      <c r="H186" s="36" t="s">
        <v>5647</v>
      </c>
      <c r="I186" s="135" t="s">
        <v>8520</v>
      </c>
      <c r="J186" s="36">
        <v>7488434810</v>
      </c>
      <c r="K186" s="129"/>
      <c r="L186" s="129"/>
      <c r="M186" s="129"/>
      <c r="N186" s="129"/>
    </row>
    <row r="187">
      <c r="A187" s="129">
        <v>186</v>
      </c>
      <c r="B187" s="105" t="s">
        <v>6178</v>
      </c>
      <c r="C187" s="105" t="s">
        <v>5642</v>
      </c>
      <c r="D187" s="105" t="s">
        <v>2987</v>
      </c>
      <c r="E187" s="36" t="s">
        <v>8504</v>
      </c>
      <c r="F187" s="36" t="s">
        <v>8543</v>
      </c>
      <c r="G187" s="36" t="s">
        <v>7991</v>
      </c>
      <c r="H187" s="36" t="s">
        <v>5647</v>
      </c>
      <c r="I187" s="135" t="s">
        <v>8520</v>
      </c>
      <c r="J187" s="36">
        <v>7488434810</v>
      </c>
      <c r="K187" s="129"/>
      <c r="L187" s="129"/>
      <c r="M187" s="129"/>
      <c r="N187" s="129"/>
    </row>
    <row r="188">
      <c r="A188" s="129">
        <v>187</v>
      </c>
      <c r="B188" s="105" t="s">
        <v>6180</v>
      </c>
      <c r="C188" s="105" t="s">
        <v>5642</v>
      </c>
      <c r="D188" s="105" t="s">
        <v>6181</v>
      </c>
      <c r="E188" s="36" t="s">
        <v>8504</v>
      </c>
      <c r="F188" s="36" t="s">
        <v>8543</v>
      </c>
      <c r="G188" s="36" t="s">
        <v>7991</v>
      </c>
      <c r="H188" s="36" t="s">
        <v>5647</v>
      </c>
      <c r="I188" s="135" t="s">
        <v>8520</v>
      </c>
      <c r="J188" s="36">
        <v>7488434810</v>
      </c>
      <c r="K188" s="129"/>
      <c r="L188" s="129"/>
      <c r="M188" s="129"/>
      <c r="N188" s="129"/>
    </row>
    <row r="189">
      <c r="A189" s="129">
        <v>188</v>
      </c>
      <c r="B189" s="105" t="s">
        <v>6183</v>
      </c>
      <c r="C189" s="105" t="s">
        <v>5642</v>
      </c>
      <c r="D189" s="105" t="s">
        <v>8594</v>
      </c>
      <c r="E189" s="36" t="s">
        <v>8504</v>
      </c>
      <c r="F189" s="36" t="s">
        <v>8543</v>
      </c>
      <c r="G189" s="36" t="s">
        <v>7991</v>
      </c>
      <c r="H189" s="36" t="s">
        <v>5647</v>
      </c>
      <c r="I189" s="135" t="s">
        <v>8520</v>
      </c>
      <c r="J189" s="36">
        <v>7488434810</v>
      </c>
      <c r="K189" s="129"/>
      <c r="L189" s="129"/>
      <c r="M189" s="129"/>
      <c r="N189" s="129"/>
    </row>
    <row r="190">
      <c r="A190" s="129">
        <v>189</v>
      </c>
      <c r="B190" s="105" t="s">
        <v>6186</v>
      </c>
      <c r="C190" s="105" t="s">
        <v>5642</v>
      </c>
      <c r="D190" s="105" t="s">
        <v>8595</v>
      </c>
      <c r="E190" s="36" t="s">
        <v>8504</v>
      </c>
      <c r="F190" s="36" t="s">
        <v>8543</v>
      </c>
      <c r="G190" s="36" t="s">
        <v>7991</v>
      </c>
      <c r="H190" s="36" t="s">
        <v>5647</v>
      </c>
      <c r="I190" s="135" t="s">
        <v>8520</v>
      </c>
      <c r="J190" s="36">
        <v>7488434810</v>
      </c>
      <c r="K190" s="129"/>
      <c r="L190" s="129"/>
      <c r="M190" s="129"/>
      <c r="N190" s="129"/>
    </row>
    <row r="191">
      <c r="A191" s="129">
        <v>190</v>
      </c>
      <c r="B191" s="105" t="s">
        <v>6189</v>
      </c>
      <c r="C191" s="105" t="s">
        <v>5642</v>
      </c>
      <c r="D191" s="105" t="s">
        <v>6190</v>
      </c>
      <c r="E191" s="36" t="s">
        <v>8504</v>
      </c>
      <c r="F191" s="36" t="s">
        <v>8543</v>
      </c>
      <c r="G191" s="36" t="s">
        <v>7991</v>
      </c>
      <c r="H191" s="36" t="s">
        <v>5647</v>
      </c>
      <c r="I191" s="135" t="s">
        <v>8520</v>
      </c>
      <c r="J191" s="36">
        <v>7488434810</v>
      </c>
      <c r="K191" s="129"/>
      <c r="L191" s="129"/>
      <c r="M191" s="129"/>
      <c r="N191" s="129"/>
    </row>
    <row r="192">
      <c r="A192" s="129">
        <v>191</v>
      </c>
      <c r="B192" s="105" t="s">
        <v>6192</v>
      </c>
      <c r="C192" s="105" t="s">
        <v>5642</v>
      </c>
      <c r="D192" s="105" t="s">
        <v>6193</v>
      </c>
      <c r="E192" s="36" t="s">
        <v>8504</v>
      </c>
      <c r="F192" s="36" t="s">
        <v>8543</v>
      </c>
      <c r="G192" s="36" t="s">
        <v>7991</v>
      </c>
      <c r="H192" s="36" t="s">
        <v>5647</v>
      </c>
      <c r="I192" s="135" t="s">
        <v>8520</v>
      </c>
      <c r="J192" s="36">
        <v>7488434810</v>
      </c>
      <c r="K192" s="129"/>
      <c r="L192" s="129"/>
      <c r="M192" s="129"/>
      <c r="N192" s="129"/>
    </row>
    <row r="193">
      <c r="A193" s="129">
        <v>192</v>
      </c>
      <c r="B193" s="105" t="s">
        <v>6195</v>
      </c>
      <c r="C193" s="105" t="s">
        <v>5642</v>
      </c>
      <c r="D193" s="105" t="s">
        <v>6196</v>
      </c>
      <c r="E193" s="36" t="s">
        <v>8504</v>
      </c>
      <c r="F193" s="36" t="s">
        <v>8596</v>
      </c>
      <c r="G193" s="36" t="s">
        <v>7991</v>
      </c>
      <c r="H193" s="36" t="s">
        <v>5647</v>
      </c>
      <c r="I193" s="135" t="s">
        <v>8520</v>
      </c>
      <c r="J193" s="36">
        <v>7488434810</v>
      </c>
      <c r="K193" s="129"/>
      <c r="L193" s="129"/>
      <c r="M193" s="129"/>
      <c r="N193" s="129"/>
    </row>
    <row r="194">
      <c r="A194" s="129">
        <v>193</v>
      </c>
      <c r="B194" s="105" t="s">
        <v>6198</v>
      </c>
      <c r="C194" s="105" t="s">
        <v>5642</v>
      </c>
      <c r="D194" s="105" t="s">
        <v>6199</v>
      </c>
      <c r="E194" s="36" t="s">
        <v>8504</v>
      </c>
      <c r="F194" s="135" t="s">
        <v>8597</v>
      </c>
      <c r="G194" s="36" t="s">
        <v>7991</v>
      </c>
      <c r="H194" s="36" t="s">
        <v>5677</v>
      </c>
      <c r="I194" s="135" t="s">
        <v>8523</v>
      </c>
      <c r="J194" s="36">
        <v>7003668693</v>
      </c>
      <c r="K194" s="129"/>
      <c r="L194" s="129"/>
      <c r="M194" s="129"/>
      <c r="N194" s="129"/>
    </row>
    <row r="195">
      <c r="A195" s="129">
        <v>194</v>
      </c>
      <c r="B195" s="105" t="s">
        <v>6202</v>
      </c>
      <c r="C195" s="105" t="s">
        <v>5642</v>
      </c>
      <c r="D195" s="105" t="s">
        <v>8598</v>
      </c>
      <c r="E195" s="36" t="s">
        <v>8550</v>
      </c>
      <c r="F195" s="36" t="s">
        <v>8508</v>
      </c>
      <c r="G195" s="36" t="s">
        <v>8506</v>
      </c>
      <c r="H195" s="36" t="s">
        <v>5677</v>
      </c>
      <c r="I195" s="135" t="s">
        <v>8523</v>
      </c>
      <c r="J195" s="36">
        <v>7003668693</v>
      </c>
      <c r="K195" s="129"/>
      <c r="L195" s="129"/>
      <c r="M195" s="129"/>
      <c r="N195" s="129"/>
    </row>
    <row r="196">
      <c r="A196" s="129">
        <v>195</v>
      </c>
      <c r="B196" s="105" t="s">
        <v>6205</v>
      </c>
      <c r="C196" s="105" t="s">
        <v>5642</v>
      </c>
      <c r="D196" s="105" t="s">
        <v>6206</v>
      </c>
      <c r="E196" s="36" t="s">
        <v>8550</v>
      </c>
      <c r="F196" s="36" t="s">
        <v>8508</v>
      </c>
      <c r="G196" s="36" t="s">
        <v>8506</v>
      </c>
      <c r="H196" s="36" t="s">
        <v>5677</v>
      </c>
      <c r="I196" s="135" t="s">
        <v>8523</v>
      </c>
      <c r="J196" s="36">
        <v>7003668693</v>
      </c>
      <c r="K196" s="129"/>
      <c r="L196" s="129"/>
      <c r="M196" s="129"/>
      <c r="N196" s="129"/>
    </row>
    <row r="197">
      <c r="A197" s="129">
        <v>196</v>
      </c>
      <c r="B197" s="105" t="s">
        <v>6208</v>
      </c>
      <c r="C197" s="105" t="s">
        <v>5642</v>
      </c>
      <c r="D197" s="105" t="s">
        <v>6209</v>
      </c>
      <c r="E197" s="36" t="s">
        <v>8504</v>
      </c>
      <c r="F197" s="36" t="s">
        <v>7954</v>
      </c>
      <c r="G197" s="36" t="s">
        <v>7991</v>
      </c>
      <c r="H197" s="36" t="s">
        <v>5677</v>
      </c>
      <c r="I197" s="135" t="s">
        <v>8523</v>
      </c>
      <c r="J197" s="36">
        <v>7003668693</v>
      </c>
      <c r="K197" s="129"/>
      <c r="L197" s="129"/>
      <c r="M197" s="129"/>
      <c r="N197" s="129"/>
    </row>
    <row r="198">
      <c r="A198" s="129">
        <v>197</v>
      </c>
      <c r="B198" s="105" t="s">
        <v>6211</v>
      </c>
      <c r="C198" s="105" t="s">
        <v>5642</v>
      </c>
      <c r="D198" s="105" t="s">
        <v>6212</v>
      </c>
      <c r="E198" s="36" t="s">
        <v>8504</v>
      </c>
      <c r="F198" s="36" t="s">
        <v>7954</v>
      </c>
      <c r="G198" s="36" t="s">
        <v>7991</v>
      </c>
      <c r="H198" s="36" t="s">
        <v>5677</v>
      </c>
      <c r="I198" s="135" t="s">
        <v>8523</v>
      </c>
      <c r="J198" s="36">
        <v>7003668693</v>
      </c>
      <c r="K198" s="129"/>
      <c r="L198" s="129"/>
      <c r="M198" s="129"/>
      <c r="N198" s="129"/>
    </row>
    <row r="199">
      <c r="A199" s="129">
        <v>198</v>
      </c>
      <c r="B199" s="105" t="s">
        <v>6214</v>
      </c>
      <c r="C199" s="105" t="s">
        <v>5642</v>
      </c>
      <c r="D199" s="105" t="s">
        <v>6215</v>
      </c>
      <c r="E199" s="36" t="s">
        <v>8504</v>
      </c>
      <c r="F199" s="36" t="s">
        <v>7954</v>
      </c>
      <c r="G199" s="36" t="s">
        <v>7991</v>
      </c>
      <c r="H199" s="36" t="s">
        <v>5677</v>
      </c>
      <c r="I199" s="135" t="s">
        <v>8523</v>
      </c>
      <c r="J199" s="36">
        <v>7003668693</v>
      </c>
      <c r="K199" s="129"/>
      <c r="L199" s="129"/>
      <c r="M199" s="129"/>
      <c r="N199" s="129"/>
    </row>
    <row r="200">
      <c r="A200" s="129">
        <v>199</v>
      </c>
      <c r="B200" s="105" t="s">
        <v>6217</v>
      </c>
      <c r="C200" s="105" t="s">
        <v>5642</v>
      </c>
      <c r="D200" s="105" t="s">
        <v>6218</v>
      </c>
      <c r="E200" s="36" t="s">
        <v>8504</v>
      </c>
      <c r="F200" s="36" t="s">
        <v>7954</v>
      </c>
      <c r="G200" s="36" t="s">
        <v>7991</v>
      </c>
      <c r="H200" s="36" t="s">
        <v>5677</v>
      </c>
      <c r="I200" s="135" t="s">
        <v>8523</v>
      </c>
      <c r="J200" s="36">
        <v>7003668693</v>
      </c>
      <c r="K200" s="129"/>
      <c r="L200" s="129"/>
      <c r="M200" s="129"/>
      <c r="N200" s="129"/>
    </row>
    <row r="201">
      <c r="A201" s="129">
        <v>200</v>
      </c>
      <c r="B201" s="105" t="s">
        <v>6220</v>
      </c>
      <c r="C201" s="105" t="s">
        <v>5642</v>
      </c>
      <c r="D201" s="105" t="s">
        <v>6221</v>
      </c>
      <c r="E201" s="36" t="s">
        <v>8552</v>
      </c>
      <c r="F201" s="36" t="s">
        <v>7954</v>
      </c>
      <c r="G201" s="36" t="s">
        <v>7991</v>
      </c>
      <c r="H201" s="36" t="s">
        <v>5677</v>
      </c>
      <c r="I201" s="135" t="s">
        <v>8523</v>
      </c>
      <c r="J201" s="36">
        <v>7003668693</v>
      </c>
      <c r="K201" s="129"/>
      <c r="L201" s="129"/>
      <c r="M201" s="129"/>
      <c r="N201" s="129"/>
    </row>
    <row r="202">
      <c r="A202" s="129">
        <v>201</v>
      </c>
      <c r="B202" s="105" t="s">
        <v>6223</v>
      </c>
      <c r="C202" s="105" t="s">
        <v>5642</v>
      </c>
      <c r="D202" s="105" t="s">
        <v>6224</v>
      </c>
      <c r="E202" s="36" t="s">
        <v>8504</v>
      </c>
      <c r="F202" s="36" t="s">
        <v>7954</v>
      </c>
      <c r="G202" s="36" t="s">
        <v>7991</v>
      </c>
      <c r="H202" s="36" t="s">
        <v>5677</v>
      </c>
      <c r="I202" s="135" t="s">
        <v>8523</v>
      </c>
      <c r="J202" s="36">
        <v>7003668693</v>
      </c>
      <c r="K202" s="129"/>
      <c r="L202" s="129"/>
      <c r="M202" s="129"/>
      <c r="N202" s="129"/>
    </row>
    <row r="203">
      <c r="A203" s="129">
        <v>202</v>
      </c>
      <c r="B203" s="105" t="s">
        <v>6226</v>
      </c>
      <c r="C203" s="105" t="s">
        <v>5642</v>
      </c>
      <c r="D203" s="105" t="s">
        <v>6227</v>
      </c>
      <c r="E203" s="36" t="s">
        <v>8504</v>
      </c>
      <c r="F203" s="36" t="s">
        <v>7954</v>
      </c>
      <c r="G203" s="36" t="s">
        <v>7991</v>
      </c>
      <c r="H203" s="36" t="s">
        <v>5677</v>
      </c>
      <c r="I203" s="135" t="s">
        <v>8523</v>
      </c>
      <c r="J203" s="36">
        <v>7003668693</v>
      </c>
      <c r="K203" s="129"/>
      <c r="L203" s="129"/>
      <c r="M203" s="129"/>
      <c r="N203" s="129"/>
    </row>
    <row r="204">
      <c r="A204" s="129">
        <v>203</v>
      </c>
      <c r="B204" s="105" t="s">
        <v>6229</v>
      </c>
      <c r="C204" s="105" t="s">
        <v>5642</v>
      </c>
      <c r="D204" s="105" t="s">
        <v>6230</v>
      </c>
      <c r="E204" s="36" t="s">
        <v>8552</v>
      </c>
      <c r="F204" s="36" t="s">
        <v>7954</v>
      </c>
      <c r="G204" s="36" t="s">
        <v>7991</v>
      </c>
      <c r="H204" s="36" t="s">
        <v>5677</v>
      </c>
      <c r="I204" s="135" t="s">
        <v>8523</v>
      </c>
      <c r="J204" s="36">
        <v>7003668693</v>
      </c>
      <c r="K204" s="129"/>
      <c r="L204" s="129"/>
      <c r="M204" s="129"/>
      <c r="N204" s="129"/>
    </row>
    <row r="205">
      <c r="A205" s="129">
        <v>204</v>
      </c>
      <c r="B205" s="105" t="s">
        <v>6232</v>
      </c>
      <c r="C205" s="105" t="s">
        <v>5642</v>
      </c>
      <c r="D205" s="105" t="s">
        <v>6233</v>
      </c>
      <c r="E205" s="36" t="s">
        <v>8504</v>
      </c>
      <c r="F205" s="36" t="s">
        <v>7954</v>
      </c>
      <c r="G205" s="36" t="s">
        <v>7991</v>
      </c>
      <c r="H205" s="36" t="s">
        <v>5677</v>
      </c>
      <c r="I205" s="135" t="s">
        <v>8523</v>
      </c>
      <c r="J205" s="36">
        <v>7003668693</v>
      </c>
      <c r="K205" s="129"/>
      <c r="L205" s="129"/>
      <c r="M205" s="129"/>
      <c r="N205" s="129"/>
    </row>
    <row r="206">
      <c r="A206" s="129">
        <v>205</v>
      </c>
      <c r="B206" s="105" t="s">
        <v>6235</v>
      </c>
      <c r="C206" s="105" t="s">
        <v>5642</v>
      </c>
      <c r="D206" s="105" t="s">
        <v>6236</v>
      </c>
      <c r="E206" s="36" t="s">
        <v>8504</v>
      </c>
      <c r="F206" s="36" t="s">
        <v>7954</v>
      </c>
      <c r="G206" s="36" t="s">
        <v>7991</v>
      </c>
      <c r="H206" s="36" t="s">
        <v>5677</v>
      </c>
      <c r="I206" s="135" t="s">
        <v>8523</v>
      </c>
      <c r="J206" s="36">
        <v>7003668693</v>
      </c>
      <c r="K206" s="129"/>
      <c r="L206" s="129"/>
      <c r="M206" s="129"/>
      <c r="N206" s="129"/>
    </row>
    <row r="207">
      <c r="A207" s="129">
        <v>206</v>
      </c>
      <c r="B207" s="105" t="s">
        <v>6238</v>
      </c>
      <c r="C207" s="105" t="s">
        <v>5642</v>
      </c>
      <c r="D207" s="105" t="s">
        <v>6239</v>
      </c>
      <c r="E207" s="36" t="s">
        <v>8504</v>
      </c>
      <c r="F207" s="36" t="s">
        <v>7954</v>
      </c>
      <c r="G207" s="36" t="s">
        <v>7991</v>
      </c>
      <c r="H207" s="36" t="s">
        <v>5677</v>
      </c>
      <c r="I207" s="135" t="s">
        <v>8523</v>
      </c>
      <c r="J207" s="36">
        <v>7003668693</v>
      </c>
      <c r="K207" s="129"/>
      <c r="L207" s="129"/>
      <c r="M207" s="129"/>
      <c r="N207" s="129"/>
    </row>
    <row r="208">
      <c r="A208" s="129">
        <v>207</v>
      </c>
      <c r="B208" s="105" t="s">
        <v>6241</v>
      </c>
      <c r="C208" s="105" t="s">
        <v>5642</v>
      </c>
      <c r="D208" s="105" t="s">
        <v>6242</v>
      </c>
      <c r="E208" s="36" t="s">
        <v>8504</v>
      </c>
      <c r="F208" s="36" t="s">
        <v>7955</v>
      </c>
      <c r="G208" s="36" t="s">
        <v>7991</v>
      </c>
      <c r="H208" s="36" t="s">
        <v>5677</v>
      </c>
      <c r="I208" s="135" t="s">
        <v>8523</v>
      </c>
      <c r="J208" s="36">
        <v>7003668693</v>
      </c>
      <c r="K208" s="129"/>
      <c r="L208" s="129"/>
      <c r="M208" s="129"/>
      <c r="N208" s="129"/>
    </row>
    <row r="209">
      <c r="A209" s="129">
        <v>208</v>
      </c>
      <c r="B209" s="105" t="s">
        <v>6244</v>
      </c>
      <c r="C209" s="105" t="s">
        <v>5642</v>
      </c>
      <c r="D209" s="105" t="s">
        <v>6245</v>
      </c>
      <c r="E209" s="36" t="s">
        <v>8504</v>
      </c>
      <c r="F209" s="36" t="s">
        <v>8543</v>
      </c>
      <c r="G209" s="36" t="s">
        <v>7991</v>
      </c>
      <c r="H209" s="36" t="s">
        <v>5677</v>
      </c>
      <c r="I209" s="135" t="s">
        <v>8523</v>
      </c>
      <c r="J209" s="36">
        <v>7003668693</v>
      </c>
      <c r="K209" s="129"/>
      <c r="L209" s="129"/>
      <c r="M209" s="129"/>
      <c r="N209" s="129"/>
    </row>
    <row r="210">
      <c r="A210" s="129">
        <v>209</v>
      </c>
      <c r="B210" s="105" t="s">
        <v>6247</v>
      </c>
      <c r="C210" s="105" t="s">
        <v>5642</v>
      </c>
      <c r="D210" s="105" t="s">
        <v>6248</v>
      </c>
      <c r="E210" s="36" t="s">
        <v>8504</v>
      </c>
      <c r="F210" s="36" t="s">
        <v>8543</v>
      </c>
      <c r="G210" s="36" t="s">
        <v>7991</v>
      </c>
      <c r="H210" s="36" t="s">
        <v>5677</v>
      </c>
      <c r="I210" s="135" t="s">
        <v>8523</v>
      </c>
      <c r="J210" s="36">
        <v>7003668693</v>
      </c>
      <c r="K210" s="129"/>
      <c r="L210" s="129"/>
      <c r="M210" s="129"/>
      <c r="N210" s="129"/>
    </row>
    <row r="211">
      <c r="A211" s="129">
        <v>210</v>
      </c>
      <c r="B211" s="105" t="s">
        <v>6250</v>
      </c>
      <c r="C211" s="105" t="s">
        <v>5642</v>
      </c>
      <c r="D211" s="105" t="s">
        <v>6251</v>
      </c>
      <c r="E211" s="36" t="s">
        <v>8552</v>
      </c>
      <c r="F211" s="36" t="s">
        <v>8543</v>
      </c>
      <c r="G211" s="36" t="s">
        <v>7991</v>
      </c>
      <c r="H211" s="36" t="s">
        <v>5677</v>
      </c>
      <c r="I211" s="135" t="s">
        <v>8523</v>
      </c>
      <c r="J211" s="36">
        <v>7003668693</v>
      </c>
      <c r="K211" s="129"/>
      <c r="L211" s="129"/>
      <c r="M211" s="129"/>
      <c r="N211" s="129"/>
    </row>
    <row r="212">
      <c r="A212" s="129">
        <v>211</v>
      </c>
      <c r="B212" s="105" t="s">
        <v>6253</v>
      </c>
      <c r="C212" s="105" t="s">
        <v>5642</v>
      </c>
      <c r="D212" s="105" t="s">
        <v>6254</v>
      </c>
      <c r="E212" s="36" t="s">
        <v>8504</v>
      </c>
      <c r="F212" s="36" t="s">
        <v>8543</v>
      </c>
      <c r="G212" s="36" t="s">
        <v>7991</v>
      </c>
      <c r="H212" s="36" t="s">
        <v>5677</v>
      </c>
      <c r="I212" s="135" t="s">
        <v>8523</v>
      </c>
      <c r="J212" s="36">
        <v>7003668693</v>
      </c>
      <c r="K212" s="129"/>
      <c r="L212" s="129"/>
      <c r="M212" s="129"/>
      <c r="N212" s="129"/>
    </row>
    <row r="213">
      <c r="A213" s="129">
        <v>212</v>
      </c>
      <c r="B213" s="106" t="s">
        <v>6253</v>
      </c>
      <c r="C213" s="105" t="s">
        <v>5642</v>
      </c>
      <c r="D213" s="105" t="s">
        <v>6254</v>
      </c>
      <c r="E213" s="36" t="s">
        <v>8504</v>
      </c>
      <c r="F213" s="36" t="s">
        <v>8543</v>
      </c>
      <c r="G213" s="36" t="s">
        <v>7991</v>
      </c>
      <c r="H213" s="36" t="s">
        <v>5677</v>
      </c>
      <c r="I213" s="135" t="s">
        <v>8523</v>
      </c>
      <c r="J213" s="36">
        <v>7003668693</v>
      </c>
      <c r="K213" s="129"/>
      <c r="L213" s="129"/>
      <c r="M213" s="129"/>
      <c r="N213" s="129"/>
    </row>
    <row r="214">
      <c r="A214" s="129">
        <v>213</v>
      </c>
      <c r="B214" s="105" t="s">
        <v>6256</v>
      </c>
      <c r="C214" s="105" t="s">
        <v>5642</v>
      </c>
      <c r="D214" s="105" t="s">
        <v>6257</v>
      </c>
      <c r="E214" s="36" t="s">
        <v>8504</v>
      </c>
      <c r="F214" s="36" t="s">
        <v>8543</v>
      </c>
      <c r="G214" s="36" t="s">
        <v>7991</v>
      </c>
      <c r="H214" s="36" t="s">
        <v>5677</v>
      </c>
      <c r="I214" s="135" t="s">
        <v>8523</v>
      </c>
      <c r="J214" s="36">
        <v>7003668693</v>
      </c>
      <c r="K214" s="129"/>
      <c r="L214" s="129"/>
      <c r="M214" s="129"/>
      <c r="N214" s="129"/>
    </row>
    <row r="215">
      <c r="A215" s="129">
        <v>214</v>
      </c>
      <c r="B215" s="105" t="s">
        <v>6259</v>
      </c>
      <c r="C215" s="105" t="s">
        <v>5642</v>
      </c>
      <c r="D215" s="105" t="s">
        <v>6260</v>
      </c>
      <c r="E215" s="36" t="s">
        <v>8504</v>
      </c>
      <c r="F215" s="36" t="s">
        <v>8543</v>
      </c>
      <c r="G215" s="36" t="s">
        <v>7991</v>
      </c>
      <c r="H215" s="36" t="s">
        <v>5677</v>
      </c>
      <c r="I215" s="135" t="s">
        <v>8523</v>
      </c>
      <c r="J215" s="36">
        <v>7003668693</v>
      </c>
      <c r="K215" s="129"/>
      <c r="L215" s="129"/>
      <c r="M215" s="129"/>
      <c r="N215" s="129"/>
    </row>
    <row r="216">
      <c r="A216" s="129">
        <v>215</v>
      </c>
      <c r="B216" s="105" t="s">
        <v>6262</v>
      </c>
      <c r="C216" s="105" t="s">
        <v>5642</v>
      </c>
      <c r="D216" s="105" t="s">
        <v>8599</v>
      </c>
      <c r="E216" s="36" t="s">
        <v>8504</v>
      </c>
      <c r="F216" s="36" t="s">
        <v>8543</v>
      </c>
      <c r="G216" s="36" t="s">
        <v>7991</v>
      </c>
      <c r="H216" s="36" t="s">
        <v>5677</v>
      </c>
      <c r="I216" s="135" t="s">
        <v>8523</v>
      </c>
      <c r="J216" s="36">
        <v>7003668693</v>
      </c>
      <c r="K216" s="129"/>
      <c r="L216" s="129"/>
      <c r="M216" s="129"/>
      <c r="N216" s="129"/>
    </row>
    <row r="217">
      <c r="A217" s="129">
        <v>216</v>
      </c>
      <c r="B217" s="105" t="s">
        <v>6265</v>
      </c>
      <c r="C217" s="105" t="s">
        <v>5642</v>
      </c>
      <c r="D217" s="105" t="s">
        <v>6260</v>
      </c>
      <c r="E217" s="36" t="s">
        <v>8504</v>
      </c>
      <c r="F217" s="36" t="s">
        <v>7954</v>
      </c>
      <c r="G217" s="36" t="s">
        <v>7991</v>
      </c>
      <c r="H217" s="36" t="s">
        <v>4347</v>
      </c>
      <c r="I217" s="36" t="s">
        <v>8527</v>
      </c>
      <c r="J217" s="36">
        <v>8240995368</v>
      </c>
      <c r="K217" s="129"/>
      <c r="L217" s="129"/>
      <c r="M217" s="129"/>
      <c r="N217" s="129"/>
    </row>
    <row r="218">
      <c r="A218" s="129">
        <v>217</v>
      </c>
      <c r="B218" s="105" t="s">
        <v>6268</v>
      </c>
      <c r="C218" s="105" t="s">
        <v>5642</v>
      </c>
      <c r="D218" s="105" t="s">
        <v>6269</v>
      </c>
      <c r="E218" s="36" t="s">
        <v>8504</v>
      </c>
      <c r="F218" s="36" t="s">
        <v>7954</v>
      </c>
      <c r="G218" s="36" t="s">
        <v>7991</v>
      </c>
      <c r="H218" s="36" t="s">
        <v>4347</v>
      </c>
      <c r="I218" s="36" t="s">
        <v>8527</v>
      </c>
      <c r="J218" s="36">
        <v>8240995368</v>
      </c>
      <c r="K218" s="129"/>
      <c r="L218" s="129"/>
      <c r="M218" s="129"/>
      <c r="N218" s="129"/>
    </row>
    <row r="219">
      <c r="A219" s="129">
        <v>218</v>
      </c>
      <c r="B219" s="105" t="s">
        <v>6271</v>
      </c>
      <c r="C219" s="105" t="s">
        <v>5642</v>
      </c>
      <c r="D219" s="105" t="s">
        <v>6272</v>
      </c>
      <c r="E219" s="36" t="s">
        <v>8504</v>
      </c>
      <c r="F219" s="36" t="s">
        <v>7954</v>
      </c>
      <c r="G219" s="36" t="s">
        <v>7991</v>
      </c>
      <c r="H219" s="36" t="s">
        <v>4347</v>
      </c>
      <c r="I219" s="36" t="s">
        <v>8527</v>
      </c>
      <c r="J219" s="36">
        <v>8240995368</v>
      </c>
      <c r="K219" s="129"/>
      <c r="L219" s="129"/>
      <c r="M219" s="129"/>
      <c r="N219" s="129"/>
    </row>
    <row r="220">
      <c r="A220" s="129">
        <v>219</v>
      </c>
      <c r="B220" s="105" t="s">
        <v>6274</v>
      </c>
      <c r="C220" s="105" t="s">
        <v>5642</v>
      </c>
      <c r="D220" s="105" t="s">
        <v>5844</v>
      </c>
      <c r="E220" s="36" t="s">
        <v>8504</v>
      </c>
      <c r="F220" s="36" t="s">
        <v>7954</v>
      </c>
      <c r="G220" s="36" t="s">
        <v>7991</v>
      </c>
      <c r="H220" s="36" t="s">
        <v>4347</v>
      </c>
      <c r="I220" s="36" t="s">
        <v>8527</v>
      </c>
      <c r="J220" s="36">
        <v>8240995368</v>
      </c>
      <c r="K220" s="129"/>
      <c r="L220" s="129"/>
      <c r="M220" s="129"/>
      <c r="N220" s="129"/>
    </row>
    <row r="221">
      <c r="A221" s="129">
        <v>220</v>
      </c>
      <c r="B221" s="105" t="s">
        <v>6277</v>
      </c>
      <c r="C221" s="105" t="s">
        <v>5642</v>
      </c>
      <c r="D221" s="105" t="s">
        <v>6278</v>
      </c>
      <c r="E221" s="36" t="s">
        <v>8504</v>
      </c>
      <c r="F221" s="36" t="s">
        <v>8570</v>
      </c>
      <c r="G221" s="36" t="s">
        <v>7991</v>
      </c>
      <c r="H221" s="36" t="s">
        <v>4347</v>
      </c>
      <c r="I221" s="36" t="s">
        <v>8527</v>
      </c>
      <c r="J221" s="36">
        <v>8240995368</v>
      </c>
      <c r="K221" s="129"/>
      <c r="L221" s="129"/>
      <c r="M221" s="129"/>
      <c r="N221" s="129"/>
    </row>
    <row r="222">
      <c r="A222" s="129">
        <v>221</v>
      </c>
      <c r="B222" s="105" t="s">
        <v>6280</v>
      </c>
      <c r="C222" s="105" t="s">
        <v>5642</v>
      </c>
      <c r="D222" s="105" t="s">
        <v>6281</v>
      </c>
      <c r="E222" s="36" t="s">
        <v>8504</v>
      </c>
      <c r="F222" s="36" t="s">
        <v>8543</v>
      </c>
      <c r="G222" s="36" t="s">
        <v>7991</v>
      </c>
      <c r="H222" s="36" t="s">
        <v>4347</v>
      </c>
      <c r="I222" s="36" t="s">
        <v>8527</v>
      </c>
      <c r="J222" s="36">
        <v>8240995368</v>
      </c>
      <c r="K222" s="129"/>
      <c r="L222" s="129"/>
      <c r="M222" s="129"/>
      <c r="N222" s="129"/>
    </row>
    <row r="223">
      <c r="A223" s="129">
        <v>222</v>
      </c>
      <c r="B223" s="105" t="s">
        <v>6283</v>
      </c>
      <c r="C223" s="105" t="s">
        <v>5642</v>
      </c>
      <c r="D223" s="105" t="s">
        <v>5952</v>
      </c>
      <c r="E223" s="36" t="s">
        <v>8504</v>
      </c>
      <c r="F223" s="36" t="s">
        <v>8543</v>
      </c>
      <c r="G223" s="36" t="s">
        <v>7991</v>
      </c>
      <c r="H223" s="36" t="s">
        <v>4347</v>
      </c>
      <c r="I223" s="36" t="s">
        <v>8527</v>
      </c>
      <c r="J223" s="36">
        <v>8240995368</v>
      </c>
      <c r="K223" s="129"/>
      <c r="L223" s="129"/>
      <c r="M223" s="129"/>
      <c r="N223" s="129"/>
    </row>
    <row r="224">
      <c r="A224" s="129">
        <v>223</v>
      </c>
      <c r="B224" s="105" t="s">
        <v>6286</v>
      </c>
      <c r="C224" s="105" t="s">
        <v>5642</v>
      </c>
      <c r="D224" s="105" t="s">
        <v>8600</v>
      </c>
      <c r="E224" s="36" t="s">
        <v>8504</v>
      </c>
      <c r="F224" s="36" t="s">
        <v>8580</v>
      </c>
      <c r="G224" s="36" t="s">
        <v>7991</v>
      </c>
      <c r="H224" s="36" t="s">
        <v>4347</v>
      </c>
      <c r="I224" s="36" t="s">
        <v>8527</v>
      </c>
      <c r="J224" s="36">
        <v>8240995368</v>
      </c>
      <c r="K224" s="129"/>
      <c r="L224" s="129"/>
      <c r="M224" s="129"/>
      <c r="N224" s="129"/>
    </row>
    <row r="225">
      <c r="A225" s="129">
        <v>224</v>
      </c>
      <c r="B225" s="105" t="s">
        <v>6289</v>
      </c>
      <c r="C225" s="105" t="s">
        <v>5642</v>
      </c>
      <c r="D225" s="105" t="s">
        <v>6290</v>
      </c>
      <c r="E225" s="36" t="s">
        <v>8504</v>
      </c>
      <c r="F225" s="36" t="s">
        <v>8565</v>
      </c>
      <c r="G225" s="36" t="s">
        <v>7991</v>
      </c>
      <c r="H225" s="36" t="s">
        <v>4347</v>
      </c>
      <c r="I225" s="36" t="s">
        <v>8527</v>
      </c>
      <c r="J225" s="36">
        <v>8240995368</v>
      </c>
      <c r="K225" s="129"/>
      <c r="L225" s="129"/>
      <c r="M225" s="129"/>
      <c r="N225" s="129"/>
    </row>
    <row r="226">
      <c r="A226" s="129">
        <v>225</v>
      </c>
      <c r="B226" s="105" t="s">
        <v>6292</v>
      </c>
      <c r="C226" s="105" t="s">
        <v>5642</v>
      </c>
      <c r="D226" s="105" t="s">
        <v>8601</v>
      </c>
      <c r="E226" s="36" t="s">
        <v>8504</v>
      </c>
      <c r="F226" s="36" t="s">
        <v>8602</v>
      </c>
      <c r="G226" s="36" t="s">
        <v>7991</v>
      </c>
      <c r="H226" s="36" t="s">
        <v>5633</v>
      </c>
      <c r="I226" s="135" t="s">
        <v>8516</v>
      </c>
      <c r="J226" s="36">
        <v>8967046045</v>
      </c>
      <c r="K226" s="129"/>
      <c r="L226" s="129"/>
      <c r="M226" s="129"/>
      <c r="N226" s="129"/>
    </row>
    <row r="227">
      <c r="A227" s="129">
        <v>226</v>
      </c>
      <c r="B227" s="105" t="s">
        <v>6295</v>
      </c>
      <c r="C227" s="105" t="s">
        <v>5642</v>
      </c>
      <c r="D227" s="105" t="s">
        <v>8603</v>
      </c>
      <c r="E227" s="36" t="s">
        <v>8550</v>
      </c>
      <c r="F227" s="36" t="s">
        <v>8508</v>
      </c>
      <c r="G227" s="36" t="s">
        <v>8506</v>
      </c>
      <c r="H227" s="36" t="s">
        <v>5723</v>
      </c>
      <c r="I227" s="135" t="s">
        <v>8516</v>
      </c>
      <c r="J227" s="36">
        <v>8967046045</v>
      </c>
      <c r="K227" s="129"/>
      <c r="L227" s="129"/>
      <c r="M227" s="129"/>
      <c r="N227" s="129"/>
    </row>
    <row r="228">
      <c r="A228" s="129">
        <v>227</v>
      </c>
      <c r="B228" s="105" t="s">
        <v>6297</v>
      </c>
      <c r="C228" s="105" t="s">
        <v>5642</v>
      </c>
      <c r="D228" s="105" t="s">
        <v>8604</v>
      </c>
      <c r="E228" s="36" t="s">
        <v>8504</v>
      </c>
      <c r="F228" s="36" t="s">
        <v>7954</v>
      </c>
      <c r="G228" s="36" t="s">
        <v>7991</v>
      </c>
      <c r="H228" s="36" t="s">
        <v>5723</v>
      </c>
      <c r="I228" s="135" t="s">
        <v>8516</v>
      </c>
      <c r="J228" s="36">
        <v>8967046045</v>
      </c>
      <c r="K228" s="36" t="s">
        <v>8605</v>
      </c>
      <c r="L228" s="129"/>
      <c r="M228" s="129" t="s">
        <v>8606</v>
      </c>
      <c r="N228" s="129"/>
    </row>
    <row r="229">
      <c r="A229" s="129">
        <v>228</v>
      </c>
      <c r="B229" s="105" t="s">
        <v>6300</v>
      </c>
      <c r="C229" s="105" t="s">
        <v>5642</v>
      </c>
      <c r="D229" s="105" t="s">
        <v>8607</v>
      </c>
      <c r="E229" s="36" t="s">
        <v>8504</v>
      </c>
      <c r="F229" s="36" t="s">
        <v>7954</v>
      </c>
      <c r="G229" s="36" t="s">
        <v>7991</v>
      </c>
      <c r="H229" s="36" t="s">
        <v>5723</v>
      </c>
      <c r="I229" s="135" t="s">
        <v>8516</v>
      </c>
      <c r="J229" s="36">
        <v>8967046045</v>
      </c>
      <c r="K229" s="129"/>
      <c r="L229" s="129"/>
      <c r="M229" s="129"/>
      <c r="N229" s="129"/>
    </row>
    <row r="230">
      <c r="A230" s="129">
        <v>229</v>
      </c>
      <c r="B230" s="105" t="s">
        <v>6303</v>
      </c>
      <c r="C230" s="105" t="s">
        <v>5642</v>
      </c>
      <c r="D230" s="105" t="s">
        <v>8608</v>
      </c>
      <c r="E230" s="36" t="s">
        <v>8504</v>
      </c>
      <c r="F230" s="36" t="s">
        <v>8570</v>
      </c>
      <c r="G230" s="36" t="s">
        <v>7991</v>
      </c>
      <c r="H230" s="36" t="s">
        <v>5723</v>
      </c>
      <c r="I230" s="135" t="s">
        <v>8516</v>
      </c>
      <c r="J230" s="36">
        <v>8967046045</v>
      </c>
      <c r="K230" s="129"/>
      <c r="L230" s="129"/>
      <c r="M230" s="129"/>
      <c r="N230" s="129"/>
    </row>
    <row r="231">
      <c r="A231" s="129">
        <v>230</v>
      </c>
      <c r="B231" s="105" t="s">
        <v>6306</v>
      </c>
      <c r="C231" s="105" t="s">
        <v>5642</v>
      </c>
      <c r="D231" s="105" t="s">
        <v>8609</v>
      </c>
      <c r="E231" s="36" t="s">
        <v>8504</v>
      </c>
      <c r="F231" s="36" t="s">
        <v>7954</v>
      </c>
      <c r="G231" s="36" t="s">
        <v>7991</v>
      </c>
      <c r="H231" s="36" t="s">
        <v>5723</v>
      </c>
      <c r="I231" s="135" t="s">
        <v>8516</v>
      </c>
      <c r="J231" s="36">
        <v>8967046045</v>
      </c>
      <c r="K231" s="129"/>
      <c r="L231" s="129"/>
      <c r="M231" s="129"/>
      <c r="N231" s="129"/>
    </row>
    <row r="232">
      <c r="A232" s="129">
        <v>231</v>
      </c>
      <c r="B232" s="136" t="s">
        <v>6309</v>
      </c>
      <c r="C232" s="105" t="s">
        <v>5642</v>
      </c>
      <c r="D232" s="105" t="s">
        <v>8610</v>
      </c>
      <c r="E232" s="36" t="s">
        <v>8504</v>
      </c>
      <c r="F232" s="36" t="s">
        <v>7954</v>
      </c>
      <c r="G232" s="36" t="s">
        <v>7991</v>
      </c>
      <c r="H232" s="36" t="s">
        <v>5723</v>
      </c>
      <c r="I232" s="135" t="s">
        <v>8516</v>
      </c>
      <c r="J232" s="36">
        <v>8967046045</v>
      </c>
      <c r="K232" s="36" t="s">
        <v>8605</v>
      </c>
      <c r="L232" s="129"/>
      <c r="M232" s="129"/>
      <c r="N232" s="129"/>
    </row>
    <row r="233">
      <c r="A233" s="129">
        <v>232</v>
      </c>
      <c r="B233" s="105" t="s">
        <v>6312</v>
      </c>
      <c r="C233" s="137" t="s">
        <v>5642</v>
      </c>
      <c r="D233" s="138" t="s">
        <v>6312</v>
      </c>
      <c r="E233" s="36" t="s">
        <v>8504</v>
      </c>
      <c r="F233" s="135" t="s">
        <v>7954</v>
      </c>
      <c r="G233" s="36" t="s">
        <v>7991</v>
      </c>
      <c r="H233" s="36" t="s">
        <v>5723</v>
      </c>
      <c r="I233" s="135" t="s">
        <v>8516</v>
      </c>
      <c r="J233" s="36">
        <v>8967046045</v>
      </c>
      <c r="K233" s="129"/>
      <c r="L233" s="129"/>
      <c r="M233" s="129"/>
      <c r="N233" s="129"/>
    </row>
    <row r="234">
      <c r="A234" s="129">
        <v>233</v>
      </c>
      <c r="B234" s="105" t="s">
        <v>6314</v>
      </c>
      <c r="C234" s="105" t="s">
        <v>5642</v>
      </c>
      <c r="D234" s="105" t="s">
        <v>6315</v>
      </c>
      <c r="E234" s="36" t="s">
        <v>8504</v>
      </c>
      <c r="F234" s="36" t="s">
        <v>7954</v>
      </c>
      <c r="G234" s="36" t="s">
        <v>7991</v>
      </c>
      <c r="H234" s="36" t="s">
        <v>5723</v>
      </c>
      <c r="I234" s="135" t="s">
        <v>8516</v>
      </c>
      <c r="J234" s="36">
        <v>8967046045</v>
      </c>
      <c r="K234" s="129"/>
      <c r="L234" s="129"/>
      <c r="M234" s="129"/>
      <c r="N234" s="129"/>
    </row>
    <row r="235">
      <c r="A235" s="129">
        <v>234</v>
      </c>
      <c r="B235" s="105" t="s">
        <v>6317</v>
      </c>
      <c r="C235" s="105" t="s">
        <v>5642</v>
      </c>
      <c r="D235" s="105" t="s">
        <v>6318</v>
      </c>
      <c r="E235" s="36" t="s">
        <v>8504</v>
      </c>
      <c r="F235" s="36" t="s">
        <v>7954</v>
      </c>
      <c r="G235" s="36" t="s">
        <v>7991</v>
      </c>
      <c r="H235" s="36" t="s">
        <v>5723</v>
      </c>
      <c r="I235" s="135" t="s">
        <v>8516</v>
      </c>
      <c r="J235" s="36">
        <v>8967046045</v>
      </c>
      <c r="K235" s="129"/>
      <c r="L235" s="129"/>
      <c r="M235" s="129"/>
      <c r="N235" s="129"/>
    </row>
    <row r="236">
      <c r="A236" s="129">
        <v>235</v>
      </c>
      <c r="B236" s="136" t="s">
        <v>6320</v>
      </c>
      <c r="C236" s="105" t="s">
        <v>5642</v>
      </c>
      <c r="D236" s="105" t="s">
        <v>6321</v>
      </c>
      <c r="E236" s="36" t="s">
        <v>8504</v>
      </c>
      <c r="F236" s="36" t="s">
        <v>8570</v>
      </c>
      <c r="G236" s="36" t="s">
        <v>7991</v>
      </c>
      <c r="H236" s="36" t="s">
        <v>5723</v>
      </c>
      <c r="I236" s="135" t="s">
        <v>8516</v>
      </c>
      <c r="J236" s="36">
        <v>8967046045</v>
      </c>
      <c r="K236" s="129"/>
      <c r="L236" s="129"/>
      <c r="M236" s="129"/>
      <c r="N236" s="129"/>
    </row>
    <row r="237">
      <c r="A237" s="129">
        <v>236</v>
      </c>
      <c r="B237" s="105" t="s">
        <v>6323</v>
      </c>
      <c r="C237" s="105" t="s">
        <v>5642</v>
      </c>
      <c r="D237" s="105" t="s">
        <v>3420</v>
      </c>
      <c r="E237" s="36" t="s">
        <v>8504</v>
      </c>
      <c r="F237" s="36" t="s">
        <v>8104</v>
      </c>
      <c r="G237" s="36" t="s">
        <v>8506</v>
      </c>
      <c r="H237" s="36" t="s">
        <v>5723</v>
      </c>
      <c r="I237" s="135" t="s">
        <v>8516</v>
      </c>
      <c r="J237" s="36">
        <v>8967046045</v>
      </c>
      <c r="K237" s="129"/>
      <c r="L237" s="36" t="s">
        <v>8562</v>
      </c>
      <c r="M237" s="129"/>
      <c r="N237" s="129"/>
    </row>
    <row r="238">
      <c r="A238" s="129">
        <v>237</v>
      </c>
      <c r="B238" s="105" t="s">
        <v>6325</v>
      </c>
      <c r="C238" s="105" t="s">
        <v>5642</v>
      </c>
      <c r="D238" s="105" t="s">
        <v>6326</v>
      </c>
      <c r="E238" s="36" t="s">
        <v>8504</v>
      </c>
      <c r="F238" s="36" t="s">
        <v>8543</v>
      </c>
      <c r="G238" s="36" t="s">
        <v>7991</v>
      </c>
      <c r="H238" s="36" t="s">
        <v>5723</v>
      </c>
      <c r="I238" s="135" t="s">
        <v>8516</v>
      </c>
      <c r="J238" s="36">
        <v>8967046045</v>
      </c>
      <c r="K238" s="129"/>
      <c r="L238" s="129"/>
      <c r="M238" s="129"/>
      <c r="N238" s="129"/>
    </row>
    <row r="239">
      <c r="A239" s="129">
        <v>238</v>
      </c>
      <c r="B239" s="105" t="s">
        <v>6328</v>
      </c>
      <c r="C239" s="105" t="s">
        <v>5642</v>
      </c>
      <c r="D239" s="105" t="s">
        <v>8611</v>
      </c>
      <c r="E239" s="36" t="s">
        <v>8504</v>
      </c>
      <c r="F239" s="36" t="s">
        <v>8543</v>
      </c>
      <c r="G239" s="36" t="s">
        <v>7991</v>
      </c>
      <c r="H239" s="36" t="s">
        <v>5723</v>
      </c>
      <c r="I239" s="135" t="s">
        <v>8516</v>
      </c>
      <c r="J239" s="36">
        <v>8967046045</v>
      </c>
      <c r="K239" s="129"/>
      <c r="L239" s="129"/>
      <c r="M239" s="129"/>
      <c r="N239" s="129"/>
    </row>
    <row r="240">
      <c r="A240" s="129">
        <v>239</v>
      </c>
      <c r="B240" s="105" t="s">
        <v>6331</v>
      </c>
      <c r="C240" s="105" t="s">
        <v>5642</v>
      </c>
      <c r="D240" s="105" t="s">
        <v>6332</v>
      </c>
      <c r="E240" s="36" t="s">
        <v>8504</v>
      </c>
      <c r="F240" s="36" t="s">
        <v>8543</v>
      </c>
      <c r="G240" s="36" t="s">
        <v>7991</v>
      </c>
      <c r="H240" s="36" t="s">
        <v>5723</v>
      </c>
      <c r="I240" s="135" t="s">
        <v>8516</v>
      </c>
      <c r="J240" s="36">
        <v>8967046045</v>
      </c>
      <c r="K240" s="129"/>
      <c r="L240" s="36" t="s">
        <v>8562</v>
      </c>
      <c r="M240" s="129"/>
      <c r="N240" s="129"/>
    </row>
    <row r="241">
      <c r="A241" s="129">
        <v>240</v>
      </c>
      <c r="B241" s="105" t="s">
        <v>6334</v>
      </c>
      <c r="C241" s="105" t="s">
        <v>5642</v>
      </c>
      <c r="D241" s="105" t="s">
        <v>5772</v>
      </c>
      <c r="E241" s="36" t="s">
        <v>8504</v>
      </c>
      <c r="F241" s="36" t="s">
        <v>8543</v>
      </c>
      <c r="G241" s="36" t="s">
        <v>7991</v>
      </c>
      <c r="H241" s="36" t="s">
        <v>5723</v>
      </c>
      <c r="I241" s="135" t="s">
        <v>8516</v>
      </c>
      <c r="J241" s="36">
        <v>8967046045</v>
      </c>
      <c r="K241" s="36" t="s">
        <v>8612</v>
      </c>
      <c r="L241" s="129"/>
      <c r="M241" s="129"/>
      <c r="N241" s="129"/>
    </row>
    <row r="242">
      <c r="A242" s="129">
        <v>241</v>
      </c>
      <c r="B242" s="105" t="s">
        <v>6336</v>
      </c>
      <c r="C242" s="105" t="s">
        <v>5642</v>
      </c>
      <c r="D242" s="105" t="s">
        <v>6337</v>
      </c>
      <c r="E242" s="36" t="s">
        <v>8504</v>
      </c>
      <c r="F242" s="36" t="s">
        <v>8565</v>
      </c>
      <c r="G242" s="36" t="s">
        <v>7991</v>
      </c>
      <c r="H242" s="36" t="s">
        <v>5723</v>
      </c>
      <c r="I242" s="135" t="s">
        <v>8516</v>
      </c>
      <c r="J242" s="36">
        <v>8967046045</v>
      </c>
      <c r="K242" s="36" t="s">
        <v>8605</v>
      </c>
      <c r="L242" s="129"/>
      <c r="M242" s="129"/>
      <c r="N242" s="129"/>
    </row>
    <row r="243">
      <c r="A243" s="129">
        <v>242</v>
      </c>
      <c r="B243" s="105" t="s">
        <v>6339</v>
      </c>
      <c r="C243" s="105" t="s">
        <v>5642</v>
      </c>
      <c r="D243" s="105" t="s">
        <v>6340</v>
      </c>
      <c r="E243" s="36" t="s">
        <v>8550</v>
      </c>
      <c r="F243" s="36" t="s">
        <v>8508</v>
      </c>
      <c r="G243" s="36" t="s">
        <v>8506</v>
      </c>
      <c r="H243" s="36" t="s">
        <v>5731</v>
      </c>
      <c r="I243" s="36" t="s">
        <v>8532</v>
      </c>
      <c r="J243" s="36">
        <v>6290820993</v>
      </c>
      <c r="K243" s="129"/>
      <c r="L243" s="129"/>
      <c r="M243" s="129"/>
      <c r="N243" s="129"/>
    </row>
    <row r="244">
      <c r="A244" s="129">
        <v>243</v>
      </c>
      <c r="B244" s="136" t="s">
        <v>6342</v>
      </c>
      <c r="C244" s="105" t="s">
        <v>5642</v>
      </c>
      <c r="D244" s="105" t="s">
        <v>8613</v>
      </c>
      <c r="E244" s="36" t="s">
        <v>8550</v>
      </c>
      <c r="F244" s="36" t="s">
        <v>8508</v>
      </c>
      <c r="G244" s="36" t="s">
        <v>8506</v>
      </c>
      <c r="H244" s="36" t="s">
        <v>5731</v>
      </c>
      <c r="I244" s="36" t="s">
        <v>8532</v>
      </c>
      <c r="J244" s="36">
        <v>6290820993</v>
      </c>
      <c r="K244" s="129"/>
      <c r="L244" s="129"/>
      <c r="M244" s="129"/>
      <c r="N244" s="129"/>
    </row>
    <row r="245">
      <c r="A245" s="129">
        <v>244</v>
      </c>
      <c r="B245" s="105" t="s">
        <v>6343</v>
      </c>
      <c r="C245" s="105" t="s">
        <v>5642</v>
      </c>
      <c r="D245" s="105" t="s">
        <v>6344</v>
      </c>
      <c r="E245" s="36" t="s">
        <v>8550</v>
      </c>
      <c r="F245" s="36" t="s">
        <v>8508</v>
      </c>
      <c r="G245" s="36" t="s">
        <v>8506</v>
      </c>
      <c r="H245" s="36" t="s">
        <v>5731</v>
      </c>
      <c r="I245" s="36" t="s">
        <v>8532</v>
      </c>
      <c r="J245" s="36">
        <v>6290820993</v>
      </c>
      <c r="K245" s="129"/>
      <c r="L245" s="129"/>
      <c r="M245" s="129"/>
      <c r="N245" s="129"/>
    </row>
    <row r="246">
      <c r="A246" s="129">
        <v>245</v>
      </c>
      <c r="B246" s="105" t="s">
        <v>6346</v>
      </c>
      <c r="C246" s="105" t="s">
        <v>5642</v>
      </c>
      <c r="D246" s="105" t="s">
        <v>8614</v>
      </c>
      <c r="E246" s="36" t="s">
        <v>8552</v>
      </c>
      <c r="F246" s="36" t="s">
        <v>7954</v>
      </c>
      <c r="G246" s="36" t="s">
        <v>7991</v>
      </c>
      <c r="H246" s="36" t="s">
        <v>5731</v>
      </c>
      <c r="I246" s="36" t="s">
        <v>8532</v>
      </c>
      <c r="J246" s="36">
        <v>6290820993</v>
      </c>
      <c r="K246" s="129"/>
      <c r="L246" s="129"/>
      <c r="M246" s="129"/>
      <c r="N246" s="129"/>
    </row>
    <row r="247">
      <c r="A247" s="129">
        <v>246</v>
      </c>
      <c r="B247" s="105" t="s">
        <v>6349</v>
      </c>
      <c r="C247" s="105" t="s">
        <v>5642</v>
      </c>
      <c r="D247" s="105" t="s">
        <v>6350</v>
      </c>
      <c r="E247" s="36" t="s">
        <v>8504</v>
      </c>
      <c r="F247" s="36" t="s">
        <v>7954</v>
      </c>
      <c r="G247" s="36" t="s">
        <v>7991</v>
      </c>
      <c r="H247" s="36" t="s">
        <v>5731</v>
      </c>
      <c r="I247" s="36" t="s">
        <v>8532</v>
      </c>
      <c r="J247" s="36">
        <v>6290820993</v>
      </c>
      <c r="K247" s="129"/>
      <c r="L247" s="129"/>
      <c r="M247" s="129"/>
      <c r="N247" s="129"/>
    </row>
    <row r="248">
      <c r="A248" s="129">
        <v>247</v>
      </c>
      <c r="B248" s="105" t="s">
        <v>6352</v>
      </c>
      <c r="C248" s="105" t="s">
        <v>5642</v>
      </c>
      <c r="D248" s="105" t="s">
        <v>8615</v>
      </c>
      <c r="E248" s="36" t="s">
        <v>8552</v>
      </c>
      <c r="F248" s="36" t="s">
        <v>7954</v>
      </c>
      <c r="G248" s="36" t="s">
        <v>7991</v>
      </c>
      <c r="H248" s="36" t="s">
        <v>5731</v>
      </c>
      <c r="I248" s="36" t="s">
        <v>8532</v>
      </c>
      <c r="J248" s="36">
        <v>6290820993</v>
      </c>
      <c r="K248" s="129"/>
      <c r="L248" s="129"/>
      <c r="M248" s="129"/>
      <c r="N248" s="129"/>
    </row>
    <row r="249">
      <c r="A249" s="129">
        <v>248</v>
      </c>
      <c r="B249" s="105" t="s">
        <v>6355</v>
      </c>
      <c r="C249" s="105" t="s">
        <v>5642</v>
      </c>
      <c r="D249" s="105" t="s">
        <v>8616</v>
      </c>
      <c r="E249" s="36" t="s">
        <v>8504</v>
      </c>
      <c r="F249" s="36" t="s">
        <v>7954</v>
      </c>
      <c r="G249" s="36" t="s">
        <v>7991</v>
      </c>
      <c r="H249" s="36" t="s">
        <v>5731</v>
      </c>
      <c r="I249" s="36" t="s">
        <v>8532</v>
      </c>
      <c r="J249" s="36">
        <v>6290820993</v>
      </c>
      <c r="K249" s="129"/>
      <c r="L249" s="129"/>
      <c r="M249" s="129"/>
      <c r="N249" s="129"/>
    </row>
    <row r="250">
      <c r="A250" s="129">
        <v>249</v>
      </c>
      <c r="B250" s="105" t="s">
        <v>6358</v>
      </c>
      <c r="C250" s="105" t="s">
        <v>5642</v>
      </c>
      <c r="D250" s="105" t="s">
        <v>6359</v>
      </c>
      <c r="E250" s="36" t="s">
        <v>8504</v>
      </c>
      <c r="F250" s="36" t="s">
        <v>7954</v>
      </c>
      <c r="G250" s="36" t="s">
        <v>7991</v>
      </c>
      <c r="H250" s="36" t="s">
        <v>5731</v>
      </c>
      <c r="I250" s="36" t="s">
        <v>8532</v>
      </c>
      <c r="J250" s="36">
        <v>6290820993</v>
      </c>
      <c r="K250" s="129"/>
      <c r="L250" s="129"/>
      <c r="M250" s="129"/>
      <c r="N250" s="129"/>
    </row>
    <row r="251">
      <c r="A251" s="129">
        <v>250</v>
      </c>
      <c r="B251" s="105" t="s">
        <v>6361</v>
      </c>
      <c r="C251" s="105" t="s">
        <v>5642</v>
      </c>
      <c r="D251" s="105" t="s">
        <v>8534</v>
      </c>
      <c r="E251" s="36" t="s">
        <v>8504</v>
      </c>
      <c r="F251" s="36" t="s">
        <v>7954</v>
      </c>
      <c r="G251" s="36" t="s">
        <v>7991</v>
      </c>
      <c r="H251" s="36" t="s">
        <v>5731</v>
      </c>
      <c r="I251" s="36" t="s">
        <v>8532</v>
      </c>
      <c r="J251" s="36">
        <v>6290820993</v>
      </c>
      <c r="K251" s="129"/>
      <c r="L251" s="129"/>
      <c r="M251" s="129"/>
      <c r="N251" s="129"/>
    </row>
    <row r="252">
      <c r="A252" s="129">
        <v>251</v>
      </c>
      <c r="B252" s="105" t="s">
        <v>6364</v>
      </c>
      <c r="C252" s="105" t="s">
        <v>5642</v>
      </c>
      <c r="D252" s="105" t="s">
        <v>6365</v>
      </c>
      <c r="E252" s="36" t="s">
        <v>8504</v>
      </c>
      <c r="F252" s="36" t="s">
        <v>7954</v>
      </c>
      <c r="G252" s="36" t="s">
        <v>7991</v>
      </c>
      <c r="H252" s="36" t="s">
        <v>5731</v>
      </c>
      <c r="I252" s="36" t="s">
        <v>8532</v>
      </c>
      <c r="J252" s="36">
        <v>6290820993</v>
      </c>
      <c r="K252" s="129"/>
      <c r="L252" s="129"/>
      <c r="M252" s="129"/>
      <c r="N252" s="129"/>
    </row>
    <row r="253">
      <c r="A253" s="129">
        <v>252</v>
      </c>
      <c r="B253" s="105" t="s">
        <v>6367</v>
      </c>
      <c r="C253" s="105" t="s">
        <v>5642</v>
      </c>
      <c r="D253" s="105" t="s">
        <v>6368</v>
      </c>
      <c r="E253" s="36" t="s">
        <v>8504</v>
      </c>
      <c r="F253" s="36" t="s">
        <v>7954</v>
      </c>
      <c r="G253" s="36" t="s">
        <v>7991</v>
      </c>
      <c r="H253" s="36" t="s">
        <v>5731</v>
      </c>
      <c r="I253" s="36" t="s">
        <v>8532</v>
      </c>
      <c r="J253" s="36">
        <v>6290820993</v>
      </c>
      <c r="K253" s="129"/>
      <c r="L253" s="129"/>
      <c r="M253" s="129"/>
      <c r="N253" s="129"/>
    </row>
    <row r="254">
      <c r="A254" s="129">
        <v>253</v>
      </c>
      <c r="B254" s="105" t="s">
        <v>6370</v>
      </c>
      <c r="C254" s="105" t="s">
        <v>5642</v>
      </c>
      <c r="D254" s="105" t="s">
        <v>6371</v>
      </c>
      <c r="E254" s="36" t="s">
        <v>8504</v>
      </c>
      <c r="F254" s="36" t="s">
        <v>7954</v>
      </c>
      <c r="G254" s="36" t="s">
        <v>7991</v>
      </c>
      <c r="H254" s="36" t="s">
        <v>5731</v>
      </c>
      <c r="I254" s="36" t="s">
        <v>8532</v>
      </c>
      <c r="J254" s="36">
        <v>6290820993</v>
      </c>
      <c r="K254" s="129"/>
      <c r="L254" s="129"/>
      <c r="M254" s="129"/>
      <c r="N254" s="129"/>
    </row>
    <row r="255">
      <c r="A255" s="129">
        <v>254</v>
      </c>
      <c r="B255" s="105" t="s">
        <v>6373</v>
      </c>
      <c r="C255" s="105" t="s">
        <v>5642</v>
      </c>
      <c r="D255" s="105" t="s">
        <v>3597</v>
      </c>
      <c r="E255" s="36" t="s">
        <v>8504</v>
      </c>
      <c r="F255" s="36" t="s">
        <v>7954</v>
      </c>
      <c r="G255" s="36" t="s">
        <v>7991</v>
      </c>
      <c r="H255" s="36" t="s">
        <v>5731</v>
      </c>
      <c r="I255" s="36" t="s">
        <v>8532</v>
      </c>
      <c r="J255" s="36">
        <v>6290820993</v>
      </c>
      <c r="K255" s="129"/>
      <c r="L255" s="129"/>
      <c r="M255" s="129"/>
      <c r="N255" s="129"/>
    </row>
    <row r="256">
      <c r="A256" s="129">
        <v>255</v>
      </c>
      <c r="B256" s="105" t="s">
        <v>6376</v>
      </c>
      <c r="C256" s="105" t="s">
        <v>5642</v>
      </c>
      <c r="D256" s="105" t="s">
        <v>6377</v>
      </c>
      <c r="E256" s="36" t="s">
        <v>8504</v>
      </c>
      <c r="F256" s="36" t="s">
        <v>7954</v>
      </c>
      <c r="G256" s="36" t="s">
        <v>7991</v>
      </c>
      <c r="H256" s="36" t="s">
        <v>5731</v>
      </c>
      <c r="I256" s="36" t="s">
        <v>8532</v>
      </c>
      <c r="J256" s="36">
        <v>6290820993</v>
      </c>
      <c r="K256" s="129"/>
      <c r="L256" s="129"/>
      <c r="M256" s="129"/>
      <c r="N256" s="129"/>
    </row>
    <row r="257">
      <c r="A257" s="129">
        <v>256</v>
      </c>
      <c r="B257" s="105" t="s">
        <v>6379</v>
      </c>
      <c r="C257" s="105" t="s">
        <v>5642</v>
      </c>
      <c r="D257" s="105" t="s">
        <v>6380</v>
      </c>
      <c r="E257" s="36" t="s">
        <v>8504</v>
      </c>
      <c r="F257" s="36" t="s">
        <v>8570</v>
      </c>
      <c r="G257" s="36" t="s">
        <v>7991</v>
      </c>
      <c r="H257" s="36" t="s">
        <v>5731</v>
      </c>
      <c r="I257" s="36" t="s">
        <v>8532</v>
      </c>
      <c r="J257" s="36">
        <v>6290820993</v>
      </c>
      <c r="K257" s="129"/>
      <c r="L257" s="129"/>
      <c r="M257" s="129"/>
      <c r="N257" s="129"/>
    </row>
    <row r="258">
      <c r="A258" s="129">
        <v>257</v>
      </c>
      <c r="B258" s="105" t="s">
        <v>6382</v>
      </c>
      <c r="C258" s="105" t="s">
        <v>5642</v>
      </c>
      <c r="D258" s="105" t="s">
        <v>8617</v>
      </c>
      <c r="E258" s="36" t="s">
        <v>8504</v>
      </c>
      <c r="F258" s="36" t="s">
        <v>7954</v>
      </c>
      <c r="G258" s="36" t="s">
        <v>7991</v>
      </c>
      <c r="H258" s="36" t="s">
        <v>5731</v>
      </c>
      <c r="I258" s="36" t="s">
        <v>8532</v>
      </c>
      <c r="J258" s="36">
        <v>6290820993</v>
      </c>
      <c r="K258" s="129"/>
      <c r="L258" s="129"/>
      <c r="M258" s="129"/>
      <c r="N258" s="129"/>
    </row>
    <row r="259">
      <c r="A259" s="129">
        <v>258</v>
      </c>
      <c r="B259" s="105" t="s">
        <v>6385</v>
      </c>
      <c r="C259" s="105" t="s">
        <v>5642</v>
      </c>
      <c r="D259" s="105" t="s">
        <v>8618</v>
      </c>
      <c r="E259" s="36" t="s">
        <v>8504</v>
      </c>
      <c r="F259" s="36" t="s">
        <v>7955</v>
      </c>
      <c r="G259" s="36" t="s">
        <v>7991</v>
      </c>
      <c r="H259" s="36" t="s">
        <v>5731</v>
      </c>
      <c r="I259" s="36" t="s">
        <v>8532</v>
      </c>
      <c r="J259" s="36">
        <v>6290820993</v>
      </c>
      <c r="K259" s="129"/>
      <c r="L259" s="129"/>
      <c r="M259" s="129"/>
      <c r="N259" s="129"/>
    </row>
    <row r="260">
      <c r="A260" s="129">
        <v>259</v>
      </c>
      <c r="B260" s="105" t="s">
        <v>6388</v>
      </c>
      <c r="C260" s="105" t="s">
        <v>5642</v>
      </c>
      <c r="D260" s="105" t="s">
        <v>6389</v>
      </c>
      <c r="E260" s="36" t="s">
        <v>8504</v>
      </c>
      <c r="F260" s="36" t="s">
        <v>7955</v>
      </c>
      <c r="G260" s="36" t="s">
        <v>7991</v>
      </c>
      <c r="H260" s="36" t="s">
        <v>5731</v>
      </c>
      <c r="I260" s="36" t="s">
        <v>8532</v>
      </c>
      <c r="J260" s="36">
        <v>6290820993</v>
      </c>
      <c r="K260" s="129"/>
      <c r="L260" s="129"/>
      <c r="M260" s="129"/>
      <c r="N260" s="129"/>
    </row>
    <row r="261">
      <c r="A261" s="129">
        <v>260</v>
      </c>
      <c r="B261" s="105" t="s">
        <v>6391</v>
      </c>
      <c r="C261" s="105" t="s">
        <v>5642</v>
      </c>
      <c r="D261" s="105" t="s">
        <v>6392</v>
      </c>
      <c r="E261" s="36" t="s">
        <v>8504</v>
      </c>
      <c r="F261" s="36" t="s">
        <v>7954</v>
      </c>
      <c r="G261" s="36" t="s">
        <v>7991</v>
      </c>
      <c r="H261" s="36" t="s">
        <v>5731</v>
      </c>
      <c r="I261" s="36" t="s">
        <v>8532</v>
      </c>
      <c r="J261" s="36">
        <v>6290820993</v>
      </c>
      <c r="K261" s="129"/>
      <c r="L261" s="129"/>
      <c r="M261" s="129"/>
      <c r="N261" s="129"/>
    </row>
    <row r="262">
      <c r="A262" s="129">
        <v>261</v>
      </c>
      <c r="B262" s="105" t="s">
        <v>6394</v>
      </c>
      <c r="C262" s="105" t="s">
        <v>5642</v>
      </c>
      <c r="D262" s="105" t="s">
        <v>8619</v>
      </c>
      <c r="E262" s="36" t="s">
        <v>8550</v>
      </c>
      <c r="F262" s="36" t="s">
        <v>7954</v>
      </c>
      <c r="G262" s="36" t="s">
        <v>7991</v>
      </c>
      <c r="H262" s="36" t="s">
        <v>5731</v>
      </c>
      <c r="I262" s="36" t="s">
        <v>8532</v>
      </c>
      <c r="J262" s="36">
        <v>6290820993</v>
      </c>
      <c r="K262" s="129"/>
      <c r="L262" s="129"/>
      <c r="M262" s="129"/>
      <c r="N262" s="129"/>
    </row>
    <row r="263">
      <c r="A263" s="129">
        <v>262</v>
      </c>
      <c r="B263" s="105" t="s">
        <v>6397</v>
      </c>
      <c r="C263" s="105" t="s">
        <v>5642</v>
      </c>
      <c r="D263" s="105" t="s">
        <v>8620</v>
      </c>
      <c r="E263" s="36" t="s">
        <v>8504</v>
      </c>
      <c r="F263" s="36" t="s">
        <v>7954</v>
      </c>
      <c r="G263" s="36" t="s">
        <v>7991</v>
      </c>
      <c r="H263" s="36" t="s">
        <v>5731</v>
      </c>
      <c r="I263" s="36" t="s">
        <v>8532</v>
      </c>
      <c r="J263" s="36">
        <v>6290820993</v>
      </c>
      <c r="K263" s="129"/>
      <c r="L263" s="129"/>
      <c r="M263" s="129"/>
      <c r="N263" s="129"/>
    </row>
    <row r="264">
      <c r="A264" s="129">
        <v>263</v>
      </c>
      <c r="B264" s="105" t="s">
        <v>6400</v>
      </c>
      <c r="C264" s="105" t="s">
        <v>5642</v>
      </c>
      <c r="D264" s="105" t="s">
        <v>6401</v>
      </c>
      <c r="E264" s="36" t="s">
        <v>8504</v>
      </c>
      <c r="F264" s="36" t="s">
        <v>8621</v>
      </c>
      <c r="G264" s="36" t="s">
        <v>7991</v>
      </c>
      <c r="H264" s="36" t="s">
        <v>5731</v>
      </c>
      <c r="I264" s="36" t="s">
        <v>8532</v>
      </c>
      <c r="J264" s="36">
        <v>6290820993</v>
      </c>
      <c r="K264" s="129"/>
      <c r="L264" s="129"/>
      <c r="M264" s="129"/>
      <c r="N264" s="129"/>
    </row>
    <row r="265">
      <c r="A265" s="129">
        <v>264</v>
      </c>
      <c r="B265" s="105" t="s">
        <v>6403</v>
      </c>
      <c r="C265" s="105" t="s">
        <v>5642</v>
      </c>
      <c r="D265" s="105" t="s">
        <v>6404</v>
      </c>
      <c r="E265" s="36" t="s">
        <v>8504</v>
      </c>
      <c r="F265" s="36" t="s">
        <v>8543</v>
      </c>
      <c r="G265" s="36" t="s">
        <v>7991</v>
      </c>
      <c r="H265" s="36" t="s">
        <v>5731</v>
      </c>
      <c r="I265" s="36" t="s">
        <v>8532</v>
      </c>
      <c r="J265" s="36">
        <v>6290820993</v>
      </c>
      <c r="K265" s="129"/>
      <c r="L265" s="129"/>
      <c r="M265" s="129"/>
      <c r="N265" s="129"/>
    </row>
    <row r="266">
      <c r="A266" s="129">
        <v>265</v>
      </c>
      <c r="B266" s="136" t="s">
        <v>6406</v>
      </c>
      <c r="C266" s="105" t="s">
        <v>5642</v>
      </c>
      <c r="D266" s="105" t="s">
        <v>8622</v>
      </c>
      <c r="E266" s="36" t="s">
        <v>8504</v>
      </c>
      <c r="F266" s="36" t="s">
        <v>8543</v>
      </c>
      <c r="G266" s="36" t="s">
        <v>7991</v>
      </c>
      <c r="H266" s="36" t="s">
        <v>5731</v>
      </c>
      <c r="I266" s="36" t="s">
        <v>8532</v>
      </c>
      <c r="J266" s="36">
        <v>6290820993</v>
      </c>
      <c r="K266" s="129"/>
      <c r="L266" s="129"/>
      <c r="M266" s="129"/>
      <c r="N266" s="129"/>
    </row>
    <row r="267">
      <c r="A267" s="129">
        <v>266</v>
      </c>
      <c r="B267" s="105" t="s">
        <v>6409</v>
      </c>
      <c r="C267" s="105" t="s">
        <v>5642</v>
      </c>
      <c r="D267" s="105" t="s">
        <v>6410</v>
      </c>
      <c r="E267" s="36" t="s">
        <v>8504</v>
      </c>
      <c r="F267" s="36" t="s">
        <v>8543</v>
      </c>
      <c r="G267" s="36" t="s">
        <v>7991</v>
      </c>
      <c r="H267" s="36" t="s">
        <v>5731</v>
      </c>
      <c r="I267" s="36" t="s">
        <v>8532</v>
      </c>
      <c r="J267" s="36">
        <v>6290820993</v>
      </c>
      <c r="K267" s="129"/>
      <c r="L267" s="129"/>
      <c r="M267" s="129"/>
      <c r="N267" s="129"/>
    </row>
    <row r="268">
      <c r="A268" s="129">
        <v>267</v>
      </c>
      <c r="B268" s="105" t="s">
        <v>6412</v>
      </c>
      <c r="C268" s="105" t="s">
        <v>5642</v>
      </c>
      <c r="D268" s="105" t="s">
        <v>6413</v>
      </c>
      <c r="E268" s="36" t="s">
        <v>8504</v>
      </c>
      <c r="F268" s="36" t="s">
        <v>8543</v>
      </c>
      <c r="G268" s="36" t="s">
        <v>7991</v>
      </c>
      <c r="H268" s="36" t="s">
        <v>5731</v>
      </c>
      <c r="I268" s="36" t="s">
        <v>8532</v>
      </c>
      <c r="J268" s="36">
        <v>6290820993</v>
      </c>
      <c r="K268" s="129"/>
      <c r="L268" s="129"/>
      <c r="M268" s="129"/>
      <c r="N268" s="129"/>
    </row>
    <row r="269">
      <c r="A269" s="129">
        <v>268</v>
      </c>
      <c r="B269" s="105" t="s">
        <v>6415</v>
      </c>
      <c r="C269" s="105" t="s">
        <v>5642</v>
      </c>
      <c r="D269" s="105" t="s">
        <v>4664</v>
      </c>
      <c r="E269" s="36" t="s">
        <v>8504</v>
      </c>
      <c r="F269" s="36" t="s">
        <v>8543</v>
      </c>
      <c r="G269" s="36" t="s">
        <v>7991</v>
      </c>
      <c r="H269" s="36" t="s">
        <v>5731</v>
      </c>
      <c r="I269" s="36" t="s">
        <v>8532</v>
      </c>
      <c r="J269" s="36">
        <v>6290820993</v>
      </c>
      <c r="K269" s="129"/>
      <c r="L269" s="129"/>
      <c r="M269" s="129"/>
      <c r="N269" s="129"/>
    </row>
    <row r="270">
      <c r="A270" s="129">
        <v>269</v>
      </c>
      <c r="B270" s="105" t="s">
        <v>6418</v>
      </c>
      <c r="C270" s="105" t="s">
        <v>5642</v>
      </c>
      <c r="D270" s="105" t="s">
        <v>6419</v>
      </c>
      <c r="E270" s="36" t="s">
        <v>8504</v>
      </c>
      <c r="F270" s="36" t="s">
        <v>8543</v>
      </c>
      <c r="G270" s="36" t="s">
        <v>7991</v>
      </c>
      <c r="H270" s="36" t="s">
        <v>5731</v>
      </c>
      <c r="I270" s="36" t="s">
        <v>8532</v>
      </c>
      <c r="J270" s="36">
        <v>6290820993</v>
      </c>
      <c r="K270" s="129"/>
      <c r="L270" s="129"/>
      <c r="M270" s="129"/>
      <c r="N270" s="129"/>
    </row>
    <row r="271">
      <c r="A271" s="129">
        <v>270</v>
      </c>
      <c r="B271" s="105" t="s">
        <v>6421</v>
      </c>
      <c r="C271" s="105" t="s">
        <v>5642</v>
      </c>
      <c r="D271" s="105" t="s">
        <v>6422</v>
      </c>
      <c r="E271" s="36" t="s">
        <v>8504</v>
      </c>
      <c r="F271" s="36" t="s">
        <v>8543</v>
      </c>
      <c r="G271" s="36" t="s">
        <v>7991</v>
      </c>
      <c r="H271" s="36" t="s">
        <v>5731</v>
      </c>
      <c r="I271" s="36" t="s">
        <v>8532</v>
      </c>
      <c r="J271" s="36">
        <v>6290820993</v>
      </c>
      <c r="K271" s="129"/>
      <c r="L271" s="129"/>
      <c r="M271" s="129"/>
      <c r="N271" s="129"/>
    </row>
    <row r="272">
      <c r="A272" s="129">
        <v>271</v>
      </c>
      <c r="B272" s="105" t="s">
        <v>6424</v>
      </c>
      <c r="C272" s="105" t="s">
        <v>5642</v>
      </c>
      <c r="D272" s="105" t="s">
        <v>6425</v>
      </c>
      <c r="E272" s="36" t="s">
        <v>8504</v>
      </c>
      <c r="F272" s="36" t="s">
        <v>8543</v>
      </c>
      <c r="G272" s="36" t="s">
        <v>7991</v>
      </c>
      <c r="H272" s="36" t="s">
        <v>5731</v>
      </c>
      <c r="I272" s="36" t="s">
        <v>8532</v>
      </c>
      <c r="J272" s="36">
        <v>6290820993</v>
      </c>
      <c r="K272" s="129"/>
      <c r="L272" s="129"/>
      <c r="M272" s="129"/>
      <c r="N272" s="129"/>
    </row>
    <row r="273">
      <c r="A273" s="129">
        <v>272</v>
      </c>
      <c r="B273" s="105" t="s">
        <v>6427</v>
      </c>
      <c r="C273" s="105" t="s">
        <v>5642</v>
      </c>
      <c r="D273" s="105" t="s">
        <v>6428</v>
      </c>
      <c r="E273" s="36" t="s">
        <v>8504</v>
      </c>
      <c r="F273" s="36" t="s">
        <v>8543</v>
      </c>
      <c r="G273" s="36" t="s">
        <v>7991</v>
      </c>
      <c r="H273" s="36" t="s">
        <v>5731</v>
      </c>
      <c r="I273" s="36" t="s">
        <v>8532</v>
      </c>
      <c r="J273" s="36">
        <v>6290820993</v>
      </c>
      <c r="K273" s="129"/>
      <c r="L273" s="129"/>
      <c r="M273" s="129"/>
      <c r="N273" s="129"/>
    </row>
    <row r="274">
      <c r="A274" s="129">
        <v>273</v>
      </c>
      <c r="B274" s="105" t="s">
        <v>6430</v>
      </c>
      <c r="C274" s="105" t="s">
        <v>5642</v>
      </c>
      <c r="D274" s="105" t="s">
        <v>6431</v>
      </c>
      <c r="E274" s="36" t="s">
        <v>8504</v>
      </c>
      <c r="F274" s="36" t="s">
        <v>8543</v>
      </c>
      <c r="G274" s="36" t="s">
        <v>7991</v>
      </c>
      <c r="H274" s="36" t="s">
        <v>5731</v>
      </c>
      <c r="I274" s="36" t="s">
        <v>8532</v>
      </c>
      <c r="J274" s="36">
        <v>6290820993</v>
      </c>
      <c r="K274" s="129"/>
      <c r="L274" s="129"/>
      <c r="M274" s="129"/>
      <c r="N274" s="129"/>
    </row>
    <row r="275">
      <c r="A275" s="129">
        <v>274</v>
      </c>
      <c r="B275" s="136" t="s">
        <v>6433</v>
      </c>
      <c r="C275" s="105" t="s">
        <v>5642</v>
      </c>
      <c r="D275" s="105" t="s">
        <v>6434</v>
      </c>
      <c r="E275" s="36" t="s">
        <v>8504</v>
      </c>
      <c r="F275" s="36" t="s">
        <v>8543</v>
      </c>
      <c r="G275" s="36" t="s">
        <v>7991</v>
      </c>
      <c r="H275" s="36" t="s">
        <v>5731</v>
      </c>
      <c r="I275" s="36" t="s">
        <v>8532</v>
      </c>
      <c r="J275" s="36">
        <v>6290820993</v>
      </c>
      <c r="K275" s="129"/>
      <c r="L275" s="129"/>
      <c r="M275" s="129"/>
      <c r="N275" s="129"/>
    </row>
    <row r="276">
      <c r="A276" s="129">
        <v>275</v>
      </c>
      <c r="B276" s="105" t="s">
        <v>6436</v>
      </c>
      <c r="C276" s="105" t="s">
        <v>5642</v>
      </c>
      <c r="D276" s="105" t="s">
        <v>6437</v>
      </c>
      <c r="E276" s="36" t="s">
        <v>8504</v>
      </c>
      <c r="F276" s="36" t="s">
        <v>8543</v>
      </c>
      <c r="G276" s="36" t="s">
        <v>7991</v>
      </c>
      <c r="H276" s="36" t="s">
        <v>5731</v>
      </c>
      <c r="I276" s="36" t="s">
        <v>8532</v>
      </c>
      <c r="J276" s="36">
        <v>6290820993</v>
      </c>
      <c r="K276" s="129"/>
      <c r="L276" s="129"/>
      <c r="M276" s="129"/>
      <c r="N276" s="129"/>
    </row>
    <row r="277">
      <c r="A277" s="129">
        <v>276</v>
      </c>
      <c r="B277" s="105" t="s">
        <v>6439</v>
      </c>
      <c r="C277" s="105" t="s">
        <v>5642</v>
      </c>
      <c r="D277" s="105" t="s">
        <v>5757</v>
      </c>
      <c r="E277" s="36" t="s">
        <v>8504</v>
      </c>
      <c r="F277" s="36" t="s">
        <v>8543</v>
      </c>
      <c r="G277" s="36" t="s">
        <v>7991</v>
      </c>
      <c r="H277" s="36" t="s">
        <v>5731</v>
      </c>
      <c r="I277" s="36" t="s">
        <v>8532</v>
      </c>
      <c r="J277" s="36">
        <v>6290820993</v>
      </c>
      <c r="K277" s="129"/>
      <c r="L277" s="129"/>
      <c r="M277" s="129"/>
      <c r="N277" s="129"/>
    </row>
    <row r="278">
      <c r="A278" s="129">
        <v>277</v>
      </c>
      <c r="B278" s="105" t="s">
        <v>6442</v>
      </c>
      <c r="C278" s="105" t="s">
        <v>5642</v>
      </c>
      <c r="D278" s="105" t="s">
        <v>6389</v>
      </c>
      <c r="E278" s="36" t="s">
        <v>8504</v>
      </c>
      <c r="F278" s="36" t="s">
        <v>8543</v>
      </c>
      <c r="G278" s="36" t="s">
        <v>7991</v>
      </c>
      <c r="H278" s="36" t="s">
        <v>5731</v>
      </c>
      <c r="I278" s="36" t="s">
        <v>8532</v>
      </c>
      <c r="J278" s="36">
        <v>6290820993</v>
      </c>
      <c r="K278" s="129"/>
      <c r="L278" s="129"/>
      <c r="M278" s="129"/>
      <c r="N278" s="129"/>
    </row>
    <row r="279">
      <c r="A279" s="129">
        <v>278</v>
      </c>
      <c r="B279" s="105" t="s">
        <v>6444</v>
      </c>
      <c r="C279" s="105" t="s">
        <v>5642</v>
      </c>
      <c r="D279" s="105" t="s">
        <v>6445</v>
      </c>
      <c r="E279" s="36" t="s">
        <v>8504</v>
      </c>
      <c r="F279" s="36" t="s">
        <v>8543</v>
      </c>
      <c r="G279" s="36" t="s">
        <v>7991</v>
      </c>
      <c r="H279" s="36" t="s">
        <v>5731</v>
      </c>
      <c r="I279" s="36" t="s">
        <v>8532</v>
      </c>
      <c r="J279" s="36">
        <v>6290820993</v>
      </c>
      <c r="K279" s="129"/>
      <c r="L279" s="129"/>
      <c r="M279" s="129"/>
      <c r="N279" s="129"/>
    </row>
    <row r="280">
      <c r="A280" s="129">
        <v>279</v>
      </c>
      <c r="B280" s="105" t="s">
        <v>6447</v>
      </c>
      <c r="C280" s="105" t="s">
        <v>5642</v>
      </c>
      <c r="D280" s="105" t="s">
        <v>8623</v>
      </c>
      <c r="E280" s="36" t="s">
        <v>8550</v>
      </c>
      <c r="F280" s="36" t="s">
        <v>8508</v>
      </c>
      <c r="G280" s="36" t="s">
        <v>8506</v>
      </c>
      <c r="H280" s="36" t="s">
        <v>5764</v>
      </c>
      <c r="I280" s="36" t="s">
        <v>8536</v>
      </c>
      <c r="J280" s="36">
        <v>6296949112</v>
      </c>
      <c r="K280" s="129"/>
      <c r="L280" s="129"/>
      <c r="M280" s="129"/>
      <c r="N280" s="129"/>
    </row>
    <row r="281">
      <c r="A281" s="129">
        <v>280</v>
      </c>
      <c r="B281" s="105" t="s">
        <v>6450</v>
      </c>
      <c r="C281" s="105" t="s">
        <v>5642</v>
      </c>
      <c r="D281" s="105" t="s">
        <v>8624</v>
      </c>
      <c r="E281" s="36" t="s">
        <v>8504</v>
      </c>
      <c r="F281" s="36" t="s">
        <v>7954</v>
      </c>
      <c r="G281" s="36" t="s">
        <v>7991</v>
      </c>
      <c r="H281" s="36" t="s">
        <v>5764</v>
      </c>
      <c r="I281" s="36" t="s">
        <v>8536</v>
      </c>
      <c r="J281" s="36">
        <v>6296949112</v>
      </c>
      <c r="K281" s="129"/>
      <c r="L281" s="129"/>
      <c r="M281" s="129"/>
      <c r="N281" s="129"/>
    </row>
    <row r="282">
      <c r="A282" s="129">
        <v>281</v>
      </c>
      <c r="B282" s="105" t="s">
        <v>6454</v>
      </c>
      <c r="C282" s="105" t="s">
        <v>5642</v>
      </c>
      <c r="D282" s="105" t="s">
        <v>8625</v>
      </c>
      <c r="E282" s="36" t="s">
        <v>8504</v>
      </c>
      <c r="F282" s="36" t="s">
        <v>7954</v>
      </c>
      <c r="G282" s="36" t="s">
        <v>7991</v>
      </c>
      <c r="H282" s="36" t="s">
        <v>5764</v>
      </c>
      <c r="I282" s="36" t="s">
        <v>8536</v>
      </c>
      <c r="J282" s="36">
        <v>6296949112</v>
      </c>
      <c r="K282" s="129"/>
      <c r="L282" s="129"/>
      <c r="M282" s="129"/>
      <c r="N282" s="129"/>
    </row>
    <row r="283">
      <c r="A283" s="129">
        <v>282</v>
      </c>
      <c r="B283" s="105" t="s">
        <v>6458</v>
      </c>
      <c r="C283" s="105" t="s">
        <v>5642</v>
      </c>
      <c r="D283" s="105" t="s">
        <v>6459</v>
      </c>
      <c r="E283" s="36" t="s">
        <v>8504</v>
      </c>
      <c r="F283" s="36" t="s">
        <v>7954</v>
      </c>
      <c r="G283" s="36" t="s">
        <v>7991</v>
      </c>
      <c r="H283" s="36" t="s">
        <v>5764</v>
      </c>
      <c r="I283" s="36" t="s">
        <v>8536</v>
      </c>
      <c r="J283" s="36">
        <v>6296949112</v>
      </c>
      <c r="K283" s="129"/>
      <c r="L283" s="129"/>
      <c r="M283" s="129"/>
      <c r="N283" s="129"/>
    </row>
    <row r="284">
      <c r="A284" s="129">
        <v>283</v>
      </c>
      <c r="B284" s="105" t="s">
        <v>6464</v>
      </c>
      <c r="C284" s="105" t="s">
        <v>5642</v>
      </c>
      <c r="D284" s="105" t="s">
        <v>8626</v>
      </c>
      <c r="E284" s="36" t="s">
        <v>8504</v>
      </c>
      <c r="F284" s="36" t="s">
        <v>7954</v>
      </c>
      <c r="G284" s="36" t="s">
        <v>7991</v>
      </c>
      <c r="H284" s="36" t="s">
        <v>5764</v>
      </c>
      <c r="I284" s="36" t="s">
        <v>8536</v>
      </c>
      <c r="J284" s="36">
        <v>6296949112</v>
      </c>
      <c r="K284" s="129"/>
      <c r="L284" s="129"/>
      <c r="M284" s="129"/>
      <c r="N284" s="129"/>
    </row>
    <row r="285">
      <c r="A285" s="129">
        <v>284</v>
      </c>
      <c r="B285" s="136" t="s">
        <v>6469</v>
      </c>
      <c r="C285" s="105" t="s">
        <v>5642</v>
      </c>
      <c r="D285" s="105" t="s">
        <v>6470</v>
      </c>
      <c r="E285" s="36" t="s">
        <v>8504</v>
      </c>
      <c r="F285" s="36" t="s">
        <v>7954</v>
      </c>
      <c r="G285" s="36" t="s">
        <v>7991</v>
      </c>
      <c r="H285" s="36" t="s">
        <v>5764</v>
      </c>
      <c r="I285" s="36" t="s">
        <v>8536</v>
      </c>
      <c r="J285" s="36">
        <v>6296949112</v>
      </c>
      <c r="K285" s="129"/>
      <c r="L285" s="129"/>
      <c r="M285" s="129"/>
      <c r="N285" s="129"/>
    </row>
    <row r="286">
      <c r="A286" s="129">
        <v>285</v>
      </c>
      <c r="B286" s="105" t="s">
        <v>6472</v>
      </c>
      <c r="C286" s="105" t="s">
        <v>5642</v>
      </c>
      <c r="D286" s="105" t="s">
        <v>6473</v>
      </c>
      <c r="E286" s="36" t="s">
        <v>8504</v>
      </c>
      <c r="F286" s="36" t="s">
        <v>7954</v>
      </c>
      <c r="G286" s="36" t="s">
        <v>7991</v>
      </c>
      <c r="H286" s="36" t="s">
        <v>5764</v>
      </c>
      <c r="I286" s="36" t="s">
        <v>8536</v>
      </c>
      <c r="J286" s="36">
        <v>6296949112</v>
      </c>
      <c r="K286" s="129"/>
      <c r="L286" s="129"/>
      <c r="M286" s="129"/>
      <c r="N286" s="129"/>
    </row>
    <row r="287">
      <c r="A287" s="129">
        <v>286</v>
      </c>
      <c r="B287" s="136" t="s">
        <v>6476</v>
      </c>
      <c r="C287" s="105" t="s">
        <v>5642</v>
      </c>
      <c r="D287" s="105" t="s">
        <v>6477</v>
      </c>
      <c r="E287" s="36" t="s">
        <v>8504</v>
      </c>
      <c r="F287" s="36" t="s">
        <v>7954</v>
      </c>
      <c r="G287" s="36" t="s">
        <v>7991</v>
      </c>
      <c r="H287" s="36" t="s">
        <v>5764</v>
      </c>
      <c r="I287" s="36" t="s">
        <v>8536</v>
      </c>
      <c r="J287" s="36">
        <v>6296949112</v>
      </c>
      <c r="K287" s="129"/>
      <c r="L287" s="129"/>
      <c r="M287" s="129"/>
      <c r="N287" s="129"/>
    </row>
    <row r="288">
      <c r="A288" s="129">
        <v>287</v>
      </c>
      <c r="B288" s="136" t="s">
        <v>6480</v>
      </c>
      <c r="C288" s="105" t="s">
        <v>5642</v>
      </c>
      <c r="D288" s="105" t="s">
        <v>6481</v>
      </c>
      <c r="E288" s="36" t="s">
        <v>8504</v>
      </c>
      <c r="F288" s="36" t="s">
        <v>7954</v>
      </c>
      <c r="G288" s="36" t="s">
        <v>7991</v>
      </c>
      <c r="H288" s="36" t="s">
        <v>5764</v>
      </c>
      <c r="I288" s="36" t="s">
        <v>8536</v>
      </c>
      <c r="J288" s="36">
        <v>6296949112</v>
      </c>
      <c r="K288" s="129"/>
      <c r="L288" s="129"/>
      <c r="M288" s="129"/>
      <c r="N288" s="129"/>
    </row>
    <row r="289">
      <c r="A289" s="129">
        <v>288</v>
      </c>
      <c r="B289" s="105" t="s">
        <v>6483</v>
      </c>
      <c r="C289" s="105" t="s">
        <v>5642</v>
      </c>
      <c r="D289" s="105" t="s">
        <v>6484</v>
      </c>
      <c r="E289" s="36" t="s">
        <v>8504</v>
      </c>
      <c r="F289" s="36" t="s">
        <v>7954</v>
      </c>
      <c r="G289" s="36" t="s">
        <v>7991</v>
      </c>
      <c r="H289" s="36" t="s">
        <v>5764</v>
      </c>
      <c r="I289" s="36" t="s">
        <v>8536</v>
      </c>
      <c r="J289" s="36">
        <v>6296949112</v>
      </c>
      <c r="K289" s="129"/>
      <c r="L289" s="129"/>
      <c r="M289" s="129"/>
      <c r="N289" s="129"/>
    </row>
    <row r="290">
      <c r="A290" s="129">
        <v>289</v>
      </c>
      <c r="B290" s="105" t="s">
        <v>6486</v>
      </c>
      <c r="C290" s="105" t="s">
        <v>5642</v>
      </c>
      <c r="D290" s="105" t="s">
        <v>4877</v>
      </c>
      <c r="E290" s="36" t="s">
        <v>8504</v>
      </c>
      <c r="F290" s="36" t="s">
        <v>7954</v>
      </c>
      <c r="G290" s="36" t="s">
        <v>7991</v>
      </c>
      <c r="H290" s="36" t="s">
        <v>5764</v>
      </c>
      <c r="I290" s="36" t="s">
        <v>8536</v>
      </c>
      <c r="J290" s="36">
        <v>6296949112</v>
      </c>
      <c r="K290" s="129"/>
      <c r="L290" s="129"/>
      <c r="M290" s="129"/>
      <c r="N290" s="129"/>
    </row>
    <row r="291">
      <c r="A291" s="129">
        <v>290</v>
      </c>
      <c r="B291" s="105" t="s">
        <v>6489</v>
      </c>
      <c r="C291" s="105" t="s">
        <v>5642</v>
      </c>
      <c r="D291" s="105" t="s">
        <v>6490</v>
      </c>
      <c r="E291" s="36" t="s">
        <v>8504</v>
      </c>
      <c r="F291" s="36" t="s">
        <v>7954</v>
      </c>
      <c r="G291" s="36" t="s">
        <v>7991</v>
      </c>
      <c r="H291" s="36" t="s">
        <v>5764</v>
      </c>
      <c r="I291" s="36" t="s">
        <v>8536</v>
      </c>
      <c r="J291" s="36">
        <v>6296949112</v>
      </c>
      <c r="K291" s="129"/>
      <c r="L291" s="129"/>
      <c r="M291" s="129"/>
      <c r="N291" s="129"/>
    </row>
    <row r="292">
      <c r="A292" s="129">
        <v>291</v>
      </c>
      <c r="B292" s="105" t="s">
        <v>6493</v>
      </c>
      <c r="C292" s="105" t="s">
        <v>5642</v>
      </c>
      <c r="D292" s="105" t="s">
        <v>6494</v>
      </c>
      <c r="E292" s="36" t="s">
        <v>8504</v>
      </c>
      <c r="F292" s="36" t="s">
        <v>7954</v>
      </c>
      <c r="G292" s="36" t="s">
        <v>7991</v>
      </c>
      <c r="H292" s="36" t="s">
        <v>5764</v>
      </c>
      <c r="I292" s="36" t="s">
        <v>8536</v>
      </c>
      <c r="J292" s="36">
        <v>6296949112</v>
      </c>
      <c r="K292" s="129"/>
      <c r="L292" s="129"/>
      <c r="M292" s="129"/>
      <c r="N292" s="129"/>
    </row>
    <row r="293">
      <c r="A293" s="129">
        <v>292</v>
      </c>
      <c r="B293" s="105" t="s">
        <v>6497</v>
      </c>
      <c r="C293" s="105" t="s">
        <v>5642</v>
      </c>
      <c r="D293" s="105" t="s">
        <v>6498</v>
      </c>
      <c r="E293" s="36" t="s">
        <v>8504</v>
      </c>
      <c r="F293" s="36" t="s">
        <v>7955</v>
      </c>
      <c r="G293" s="36" t="s">
        <v>7991</v>
      </c>
      <c r="H293" s="36" t="s">
        <v>5764</v>
      </c>
      <c r="I293" s="36" t="s">
        <v>8536</v>
      </c>
      <c r="J293" s="36">
        <v>6296949112</v>
      </c>
      <c r="K293" s="129"/>
      <c r="L293" s="129"/>
      <c r="M293" s="129"/>
      <c r="N293" s="129"/>
    </row>
    <row r="294">
      <c r="A294" s="129">
        <v>293</v>
      </c>
      <c r="B294" s="105" t="s">
        <v>6502</v>
      </c>
      <c r="C294" s="105" t="s">
        <v>5642</v>
      </c>
      <c r="D294" s="105" t="s">
        <v>8627</v>
      </c>
      <c r="E294" s="36" t="s">
        <v>8550</v>
      </c>
      <c r="F294" s="36" t="s">
        <v>7955</v>
      </c>
      <c r="G294" s="36" t="s">
        <v>7991</v>
      </c>
      <c r="H294" s="36" t="s">
        <v>5764</v>
      </c>
      <c r="I294" s="36" t="s">
        <v>8536</v>
      </c>
      <c r="J294" s="36">
        <v>6296949112</v>
      </c>
      <c r="K294" s="129"/>
      <c r="L294" s="129"/>
      <c r="M294" s="129"/>
      <c r="N294" s="129"/>
    </row>
    <row r="295">
      <c r="A295" s="129">
        <v>294</v>
      </c>
      <c r="B295" s="105" t="s">
        <v>6504</v>
      </c>
      <c r="C295" s="105" t="s">
        <v>5642</v>
      </c>
      <c r="D295" s="105" t="s">
        <v>8628</v>
      </c>
      <c r="E295" s="36" t="s">
        <v>8504</v>
      </c>
      <c r="F295" s="36" t="s">
        <v>7954</v>
      </c>
      <c r="G295" s="36" t="s">
        <v>7991</v>
      </c>
      <c r="H295" s="36" t="s">
        <v>5764</v>
      </c>
      <c r="I295" s="36" t="s">
        <v>8536</v>
      </c>
      <c r="J295" s="36">
        <v>6296949112</v>
      </c>
      <c r="K295" s="129"/>
      <c r="L295" s="129"/>
      <c r="M295" s="129"/>
      <c r="N295" s="129"/>
    </row>
    <row r="296">
      <c r="A296" s="129">
        <v>295</v>
      </c>
      <c r="B296" s="105" t="s">
        <v>6507</v>
      </c>
      <c r="C296" s="105" t="s">
        <v>5642</v>
      </c>
      <c r="D296" s="105" t="s">
        <v>6508</v>
      </c>
      <c r="E296" s="36" t="s">
        <v>8552</v>
      </c>
      <c r="F296" s="36" t="s">
        <v>7954</v>
      </c>
      <c r="G296" s="36" t="s">
        <v>7991</v>
      </c>
      <c r="H296" s="36" t="s">
        <v>5764</v>
      </c>
      <c r="I296" s="36" t="s">
        <v>8536</v>
      </c>
      <c r="J296" s="36">
        <v>6296949112</v>
      </c>
      <c r="K296" s="129"/>
      <c r="L296" s="129"/>
      <c r="M296" s="129"/>
      <c r="N296" s="129"/>
    </row>
    <row r="297">
      <c r="A297" s="129">
        <v>296</v>
      </c>
      <c r="B297" s="105" t="s">
        <v>6511</v>
      </c>
      <c r="C297" s="105" t="s">
        <v>5642</v>
      </c>
      <c r="D297" s="105" t="s">
        <v>6512</v>
      </c>
      <c r="E297" s="36" t="s">
        <v>8504</v>
      </c>
      <c r="F297" s="36" t="s">
        <v>8543</v>
      </c>
      <c r="G297" s="36" t="s">
        <v>7991</v>
      </c>
      <c r="H297" s="36" t="s">
        <v>5764</v>
      </c>
      <c r="I297" s="36" t="s">
        <v>8536</v>
      </c>
      <c r="J297" s="36">
        <v>6296949112</v>
      </c>
      <c r="K297" s="129"/>
      <c r="L297" s="129"/>
      <c r="M297" s="129"/>
      <c r="N297" s="129"/>
    </row>
    <row r="298">
      <c r="A298" s="129">
        <v>297</v>
      </c>
      <c r="B298" s="136" t="s">
        <v>6514</v>
      </c>
      <c r="C298" s="105" t="s">
        <v>5642</v>
      </c>
      <c r="D298" s="105" t="s">
        <v>6515</v>
      </c>
      <c r="E298" s="36" t="s">
        <v>8504</v>
      </c>
      <c r="F298" s="36" t="s">
        <v>8543</v>
      </c>
      <c r="G298" s="36" t="s">
        <v>7991</v>
      </c>
      <c r="H298" s="36" t="s">
        <v>5764</v>
      </c>
      <c r="I298" s="36" t="s">
        <v>8536</v>
      </c>
      <c r="J298" s="36">
        <v>6296949112</v>
      </c>
      <c r="K298" s="129"/>
      <c r="L298" s="129"/>
      <c r="M298" s="129"/>
      <c r="N298" s="129"/>
    </row>
    <row r="299">
      <c r="A299" s="129">
        <v>298</v>
      </c>
      <c r="B299" s="105" t="s">
        <v>6517</v>
      </c>
      <c r="C299" s="105" t="s">
        <v>5642</v>
      </c>
      <c r="D299" s="105" t="s">
        <v>6518</v>
      </c>
      <c r="E299" s="36" t="s">
        <v>8504</v>
      </c>
      <c r="F299" s="36" t="s">
        <v>8543</v>
      </c>
      <c r="G299" s="36" t="s">
        <v>7991</v>
      </c>
      <c r="H299" s="36" t="s">
        <v>5764</v>
      </c>
      <c r="I299" s="36" t="s">
        <v>8536</v>
      </c>
      <c r="J299" s="36">
        <v>6296949112</v>
      </c>
      <c r="K299" s="129"/>
      <c r="L299" s="129"/>
      <c r="M299" s="129"/>
      <c r="N299" s="129"/>
    </row>
    <row r="300">
      <c r="A300" s="129">
        <v>299</v>
      </c>
      <c r="B300" s="105" t="s">
        <v>6520</v>
      </c>
      <c r="C300" s="105" t="s">
        <v>5642</v>
      </c>
      <c r="D300" s="105" t="s">
        <v>4339</v>
      </c>
      <c r="E300" s="36" t="s">
        <v>8504</v>
      </c>
      <c r="F300" s="36" t="s">
        <v>8543</v>
      </c>
      <c r="G300" s="36" t="s">
        <v>7991</v>
      </c>
      <c r="H300" s="36" t="s">
        <v>5764</v>
      </c>
      <c r="I300" s="36" t="s">
        <v>8536</v>
      </c>
      <c r="J300" s="36">
        <v>6296949112</v>
      </c>
      <c r="K300" s="129"/>
      <c r="L300" s="129"/>
      <c r="M300" s="129"/>
      <c r="N300" s="129"/>
    </row>
    <row r="301">
      <c r="A301" s="129">
        <v>300</v>
      </c>
      <c r="B301" s="105" t="s">
        <v>6522</v>
      </c>
      <c r="C301" s="105" t="s">
        <v>5642</v>
      </c>
      <c r="D301" s="105" t="s">
        <v>1286</v>
      </c>
      <c r="E301" s="36" t="s">
        <v>8504</v>
      </c>
      <c r="F301" s="36" t="s">
        <v>8543</v>
      </c>
      <c r="G301" s="36" t="s">
        <v>7991</v>
      </c>
      <c r="H301" s="36" t="s">
        <v>5764</v>
      </c>
      <c r="I301" s="36" t="s">
        <v>8536</v>
      </c>
      <c r="J301" s="36">
        <v>6296949112</v>
      </c>
      <c r="K301" s="129"/>
      <c r="L301" s="129"/>
      <c r="M301" s="129"/>
      <c r="N301" s="129"/>
    </row>
    <row r="302">
      <c r="A302" s="129">
        <v>301</v>
      </c>
      <c r="B302" s="105" t="s">
        <v>6525</v>
      </c>
      <c r="C302" s="105" t="s">
        <v>5642</v>
      </c>
      <c r="D302" s="105" t="s">
        <v>6526</v>
      </c>
      <c r="E302" s="36" t="s">
        <v>8504</v>
      </c>
      <c r="F302" s="36" t="s">
        <v>8543</v>
      </c>
      <c r="G302" s="36" t="s">
        <v>7991</v>
      </c>
      <c r="H302" s="36" t="s">
        <v>5764</v>
      </c>
      <c r="I302" s="36" t="s">
        <v>8536</v>
      </c>
      <c r="J302" s="36">
        <v>6296949112</v>
      </c>
      <c r="K302" s="129"/>
      <c r="L302" s="129"/>
      <c r="M302" s="129"/>
      <c r="N302" s="129"/>
    </row>
    <row r="303">
      <c r="A303" s="129">
        <v>302</v>
      </c>
      <c r="B303" s="105" t="s">
        <v>6528</v>
      </c>
      <c r="C303" s="105" t="s">
        <v>5642</v>
      </c>
      <c r="D303" s="105" t="s">
        <v>6529</v>
      </c>
      <c r="E303" s="36" t="s">
        <v>8504</v>
      </c>
      <c r="F303" s="36" t="s">
        <v>8543</v>
      </c>
      <c r="G303" s="36" t="s">
        <v>7991</v>
      </c>
      <c r="H303" s="36" t="s">
        <v>5764</v>
      </c>
      <c r="I303" s="36" t="s">
        <v>8536</v>
      </c>
      <c r="J303" s="36">
        <v>6296949112</v>
      </c>
      <c r="K303" s="129"/>
      <c r="L303" s="129"/>
      <c r="M303" s="129"/>
      <c r="N303" s="129"/>
    </row>
    <row r="304">
      <c r="A304" s="129">
        <v>303</v>
      </c>
      <c r="B304" s="136" t="s">
        <v>6531</v>
      </c>
      <c r="C304" s="105" t="s">
        <v>5642</v>
      </c>
      <c r="D304" s="105" t="s">
        <v>8629</v>
      </c>
      <c r="E304" s="36" t="s">
        <v>8552</v>
      </c>
      <c r="F304" s="36" t="s">
        <v>8543</v>
      </c>
      <c r="G304" s="36" t="s">
        <v>7991</v>
      </c>
      <c r="H304" s="36" t="s">
        <v>5764</v>
      </c>
      <c r="I304" s="36" t="s">
        <v>8536</v>
      </c>
      <c r="J304" s="36">
        <v>6296949112</v>
      </c>
      <c r="K304" s="129"/>
      <c r="L304" s="129"/>
      <c r="M304" s="129"/>
      <c r="N304" s="129"/>
    </row>
    <row r="305">
      <c r="A305" s="129"/>
      <c r="B305" s="41" t="s">
        <v>6536</v>
      </c>
      <c r="C305" s="105" t="s">
        <v>5642</v>
      </c>
      <c r="D305" s="41" t="s">
        <v>8630</v>
      </c>
      <c r="E305" s="129"/>
      <c r="F305" s="129"/>
      <c r="G305" s="129"/>
      <c r="H305" s="129"/>
      <c r="I305" s="129"/>
      <c r="J305" s="129"/>
      <c r="K305" s="129"/>
      <c r="L305" s="129"/>
      <c r="M305" s="129"/>
      <c r="N305" s="129"/>
    </row>
    <row r="306">
      <c r="A306" s="129"/>
      <c r="B306" s="41" t="s">
        <v>6537</v>
      </c>
      <c r="C306" s="105" t="s">
        <v>5642</v>
      </c>
      <c r="D306" s="41" t="s">
        <v>8631</v>
      </c>
      <c r="E306" s="129"/>
      <c r="F306" s="129"/>
      <c r="G306" s="129"/>
      <c r="H306" s="129"/>
      <c r="I306" s="129"/>
      <c r="J306" s="129"/>
      <c r="K306" s="129"/>
      <c r="L306" s="129"/>
      <c r="M306" s="129"/>
      <c r="N306" s="129"/>
    </row>
    <row r="307">
      <c r="A307" s="129"/>
      <c r="B307" s="41" t="s">
        <v>6538</v>
      </c>
      <c r="C307" s="105" t="s">
        <v>5642</v>
      </c>
      <c r="D307" s="41" t="s">
        <v>8632</v>
      </c>
      <c r="E307" s="129"/>
      <c r="F307" s="129"/>
      <c r="G307" s="129"/>
      <c r="H307" s="129"/>
      <c r="I307" s="129"/>
      <c r="J307" s="129"/>
      <c r="K307" s="129"/>
      <c r="L307" s="129"/>
      <c r="M307" s="129"/>
      <c r="N307" s="129"/>
    </row>
    <row r="308">
      <c r="A308" s="129"/>
      <c r="B308" s="41" t="s">
        <v>6539</v>
      </c>
      <c r="C308" s="105" t="s">
        <v>5642</v>
      </c>
      <c r="D308" s="41" t="s">
        <v>8633</v>
      </c>
      <c r="E308" s="129"/>
      <c r="F308" s="129"/>
      <c r="G308" s="129"/>
      <c r="H308" s="129"/>
      <c r="I308" s="129"/>
      <c r="J308" s="129"/>
      <c r="K308" s="129"/>
      <c r="L308" s="129"/>
      <c r="M308" s="129"/>
      <c r="N308" s="129"/>
    </row>
    <row r="309">
      <c r="A309" s="129"/>
      <c r="B309" s="41" t="s">
        <v>6540</v>
      </c>
      <c r="C309" s="105" t="s">
        <v>5642</v>
      </c>
      <c r="D309" s="41" t="s">
        <v>8634</v>
      </c>
      <c r="E309" s="129"/>
      <c r="F309" s="129"/>
      <c r="G309" s="129"/>
      <c r="H309" s="129"/>
      <c r="I309" s="129"/>
      <c r="J309" s="129"/>
      <c r="K309" s="129"/>
      <c r="L309" s="129"/>
      <c r="M309" s="129"/>
      <c r="N309" s="129"/>
    </row>
    <row r="310">
      <c r="A310" s="129"/>
      <c r="B310" s="41" t="s">
        <v>6541</v>
      </c>
      <c r="C310" s="105" t="s">
        <v>5642</v>
      </c>
      <c r="D310" s="41" t="s">
        <v>8635</v>
      </c>
      <c r="E310" s="129"/>
      <c r="F310" s="129"/>
      <c r="G310" s="129"/>
      <c r="H310" s="129"/>
      <c r="I310" s="129"/>
      <c r="J310" s="129"/>
      <c r="K310" s="129"/>
      <c r="L310" s="129"/>
      <c r="M310" s="129"/>
      <c r="N310" s="129"/>
    </row>
    <row r="311">
      <c r="A311" s="129"/>
      <c r="B311" s="41" t="s">
        <v>6542</v>
      </c>
      <c r="C311" s="105" t="s">
        <v>5642</v>
      </c>
      <c r="D311" s="41" t="s">
        <v>8636</v>
      </c>
      <c r="E311" s="129"/>
      <c r="F311" s="129"/>
      <c r="G311" s="129"/>
      <c r="H311" s="129"/>
      <c r="I311" s="129"/>
      <c r="J311" s="129"/>
      <c r="K311" s="129"/>
      <c r="L311" s="129"/>
      <c r="M311" s="129"/>
      <c r="N311" s="129"/>
    </row>
    <row r="312">
      <c r="A312" s="129"/>
      <c r="B312" s="41" t="s">
        <v>6543</v>
      </c>
      <c r="C312" s="105" t="s">
        <v>5642</v>
      </c>
      <c r="D312" s="41" t="s">
        <v>8637</v>
      </c>
      <c r="E312" s="129"/>
      <c r="F312" s="129"/>
      <c r="G312" s="129"/>
      <c r="H312" s="129"/>
      <c r="I312" s="129"/>
      <c r="J312" s="129"/>
      <c r="K312" s="129"/>
      <c r="L312" s="129"/>
      <c r="M312" s="129"/>
      <c r="N312" s="129"/>
    </row>
    <row r="313">
      <c r="A313" s="129"/>
      <c r="B313" s="41" t="s">
        <v>6544</v>
      </c>
      <c r="C313" s="105" t="s">
        <v>5642</v>
      </c>
      <c r="D313" s="41" t="s">
        <v>8638</v>
      </c>
      <c r="E313" s="129"/>
      <c r="F313" s="129"/>
      <c r="G313" s="129"/>
      <c r="H313" s="129"/>
      <c r="I313" s="129"/>
      <c r="J313" s="129"/>
      <c r="K313" s="129"/>
      <c r="L313" s="129"/>
      <c r="M313" s="129"/>
      <c r="N313" s="129"/>
    </row>
    <row r="314">
      <c r="A314" s="129"/>
      <c r="B314" s="41" t="s">
        <v>6545</v>
      </c>
      <c r="C314" s="105" t="s">
        <v>5642</v>
      </c>
      <c r="D314" s="41" t="s">
        <v>8639</v>
      </c>
      <c r="E314" s="129"/>
      <c r="F314" s="129"/>
      <c r="G314" s="129"/>
      <c r="H314" s="129"/>
      <c r="I314" s="129"/>
      <c r="J314" s="129"/>
      <c r="K314" s="129"/>
      <c r="L314" s="129"/>
      <c r="M314" s="129"/>
      <c r="N314" s="129"/>
    </row>
    <row r="315">
      <c r="A315" s="129"/>
      <c r="B315" s="41" t="s">
        <v>6546</v>
      </c>
      <c r="C315" s="105" t="s">
        <v>5642</v>
      </c>
      <c r="D315" s="41" t="s">
        <v>8640</v>
      </c>
      <c r="E315" s="129"/>
      <c r="F315" s="129"/>
      <c r="G315" s="129"/>
      <c r="H315" s="129"/>
      <c r="I315" s="129"/>
      <c r="J315" s="129"/>
      <c r="K315" s="129"/>
      <c r="L315" s="129"/>
      <c r="M315" s="129"/>
      <c r="N315" s="129"/>
    </row>
    <row r="316">
      <c r="A316" s="129"/>
      <c r="B316" s="41" t="s">
        <v>6547</v>
      </c>
      <c r="C316" s="105" t="s">
        <v>5642</v>
      </c>
      <c r="D316" s="41" t="s">
        <v>8641</v>
      </c>
      <c r="E316" s="129"/>
      <c r="F316" s="129"/>
      <c r="G316" s="129"/>
      <c r="H316" s="129"/>
      <c r="I316" s="129"/>
      <c r="J316" s="129"/>
      <c r="K316" s="129"/>
      <c r="L316" s="129"/>
      <c r="M316" s="129"/>
      <c r="N316" s="129"/>
    </row>
    <row r="317">
      <c r="A317" s="129"/>
      <c r="B317" s="41" t="s">
        <v>6548</v>
      </c>
      <c r="C317" s="105" t="s">
        <v>5642</v>
      </c>
      <c r="D317" s="41" t="s">
        <v>8642</v>
      </c>
      <c r="E317" s="129"/>
      <c r="F317" s="129"/>
      <c r="G317" s="129"/>
      <c r="H317" s="129"/>
      <c r="I317" s="129"/>
      <c r="J317" s="129"/>
      <c r="K317" s="129"/>
      <c r="L317" s="129"/>
      <c r="M317" s="129"/>
      <c r="N317" s="129"/>
    </row>
    <row r="318">
      <c r="A318" s="129"/>
      <c r="B318" s="41" t="s">
        <v>6549</v>
      </c>
      <c r="C318" s="105" t="s">
        <v>5642</v>
      </c>
      <c r="D318" s="41" t="s">
        <v>8266</v>
      </c>
      <c r="E318" s="129"/>
      <c r="F318" s="129"/>
      <c r="G318" s="129"/>
      <c r="H318" s="129"/>
      <c r="I318" s="129"/>
      <c r="J318" s="129"/>
      <c r="K318" s="129"/>
      <c r="L318" s="129"/>
      <c r="M318" s="129"/>
      <c r="N318" s="129"/>
    </row>
    <row r="319">
      <c r="A319" s="129"/>
      <c r="B319" s="41" t="s">
        <v>6550</v>
      </c>
      <c r="C319" s="105" t="s">
        <v>5642</v>
      </c>
      <c r="D319" s="41" t="s">
        <v>8643</v>
      </c>
      <c r="E319" s="129"/>
      <c r="F319" s="129"/>
      <c r="G319" s="129"/>
      <c r="H319" s="129"/>
      <c r="I319" s="129"/>
      <c r="J319" s="129"/>
      <c r="K319" s="129"/>
      <c r="L319" s="129"/>
      <c r="M319" s="129"/>
      <c r="N319" s="129"/>
    </row>
    <row r="320">
      <c r="A320" s="129"/>
      <c r="B320" s="41" t="s">
        <v>6551</v>
      </c>
      <c r="C320" s="105" t="s">
        <v>5642</v>
      </c>
      <c r="D320" s="41" t="s">
        <v>5576</v>
      </c>
      <c r="E320" s="129"/>
      <c r="F320" s="129"/>
      <c r="G320" s="129"/>
      <c r="H320" s="129"/>
      <c r="I320" s="129"/>
      <c r="J320" s="129"/>
      <c r="K320" s="129"/>
      <c r="L320" s="129"/>
      <c r="M320" s="129"/>
      <c r="N320" s="129"/>
    </row>
    <row r="321">
      <c r="A321" s="129"/>
      <c r="B321" s="41" t="s">
        <v>6552</v>
      </c>
      <c r="C321" s="105" t="s">
        <v>5642</v>
      </c>
      <c r="D321" s="41" t="s">
        <v>8644</v>
      </c>
      <c r="E321" s="129"/>
      <c r="F321" s="129"/>
      <c r="G321" s="129"/>
      <c r="H321" s="129"/>
      <c r="I321" s="129"/>
      <c r="J321" s="129"/>
      <c r="K321" s="129"/>
      <c r="L321" s="129"/>
      <c r="M321" s="129"/>
      <c r="N321" s="129"/>
    </row>
    <row r="322">
      <c r="A322" s="129"/>
      <c r="B322" s="41" t="s">
        <v>6553</v>
      </c>
      <c r="C322" s="105" t="s">
        <v>5642</v>
      </c>
      <c r="D322" s="41" t="s">
        <v>8645</v>
      </c>
      <c r="E322" s="129"/>
      <c r="F322" s="129"/>
      <c r="G322" s="129"/>
      <c r="H322" s="129"/>
      <c r="I322" s="129"/>
      <c r="J322" s="129"/>
      <c r="K322" s="129"/>
      <c r="L322" s="129"/>
      <c r="M322" s="129"/>
      <c r="N322" s="129"/>
    </row>
    <row r="323">
      <c r="A323" s="129"/>
      <c r="B323" s="41" t="s">
        <v>6554</v>
      </c>
      <c r="C323" s="105" t="s">
        <v>5642</v>
      </c>
      <c r="D323" s="41" t="s">
        <v>8646</v>
      </c>
      <c r="E323" s="129"/>
      <c r="F323" s="129"/>
      <c r="G323" s="129"/>
      <c r="H323" s="129"/>
      <c r="I323" s="129"/>
      <c r="J323" s="129"/>
      <c r="K323" s="129"/>
      <c r="L323" s="129"/>
      <c r="M323" s="129"/>
      <c r="N323" s="129"/>
    </row>
    <row r="324">
      <c r="A324" s="129"/>
      <c r="B324" s="41" t="s">
        <v>6555</v>
      </c>
      <c r="C324" s="105" t="s">
        <v>5642</v>
      </c>
      <c r="D324" s="41" t="s">
        <v>8647</v>
      </c>
      <c r="E324" s="129"/>
      <c r="F324" s="129"/>
      <c r="G324" s="129"/>
      <c r="H324" s="129"/>
      <c r="I324" s="129"/>
      <c r="J324" s="129"/>
      <c r="K324" s="129"/>
      <c r="L324" s="129"/>
      <c r="M324" s="129"/>
      <c r="N324" s="129"/>
    </row>
    <row r="325">
      <c r="A325" s="129"/>
      <c r="B325" s="41" t="s">
        <v>6556</v>
      </c>
      <c r="C325" s="105" t="s">
        <v>5642</v>
      </c>
      <c r="D325" s="41" t="s">
        <v>8648</v>
      </c>
      <c r="E325" s="129"/>
      <c r="F325" s="129"/>
      <c r="G325" s="129"/>
      <c r="H325" s="129"/>
      <c r="I325" s="129"/>
      <c r="J325" s="129"/>
      <c r="K325" s="129"/>
      <c r="L325" s="129"/>
      <c r="M325" s="129"/>
      <c r="N325" s="129"/>
    </row>
    <row r="326">
      <c r="A326" s="129"/>
      <c r="B326" s="41" t="s">
        <v>6557</v>
      </c>
      <c r="C326" s="105" t="s">
        <v>5642</v>
      </c>
      <c r="D326" s="41" t="s">
        <v>4342</v>
      </c>
      <c r="E326" s="129"/>
      <c r="F326" s="129"/>
      <c r="G326" s="129"/>
      <c r="H326" s="129"/>
      <c r="I326" s="129"/>
      <c r="J326" s="129"/>
      <c r="K326" s="129"/>
      <c r="L326" s="129"/>
      <c r="M326" s="129"/>
      <c r="N326" s="129"/>
    </row>
    <row r="327">
      <c r="A327" s="129"/>
      <c r="B327" s="41" t="s">
        <v>6558</v>
      </c>
      <c r="C327" s="105" t="s">
        <v>5642</v>
      </c>
      <c r="D327" s="41" t="s">
        <v>8649</v>
      </c>
      <c r="E327" s="129"/>
      <c r="F327" s="129"/>
      <c r="G327" s="129"/>
      <c r="H327" s="129"/>
      <c r="I327" s="129"/>
      <c r="J327" s="129"/>
      <c r="K327" s="129"/>
      <c r="L327" s="129"/>
      <c r="M327" s="129"/>
      <c r="N327" s="129"/>
    </row>
    <row r="328">
      <c r="A328" s="129"/>
      <c r="B328" s="41" t="s">
        <v>6559</v>
      </c>
      <c r="C328" s="105" t="s">
        <v>5642</v>
      </c>
      <c r="D328" s="41" t="s">
        <v>8650</v>
      </c>
      <c r="E328" s="129"/>
      <c r="F328" s="129"/>
      <c r="G328" s="129"/>
      <c r="H328" s="129"/>
      <c r="I328" s="129"/>
      <c r="J328" s="129"/>
      <c r="K328" s="129"/>
      <c r="L328" s="129"/>
      <c r="M328" s="129"/>
      <c r="N328" s="129"/>
    </row>
    <row r="329">
      <c r="A329" s="129"/>
      <c r="B329" s="41" t="s">
        <v>6560</v>
      </c>
      <c r="C329" s="105" t="s">
        <v>5642</v>
      </c>
      <c r="D329" s="41" t="s">
        <v>8651</v>
      </c>
      <c r="E329" s="129"/>
      <c r="F329" s="129"/>
      <c r="G329" s="129"/>
      <c r="H329" s="129"/>
      <c r="I329" s="129"/>
      <c r="J329" s="129"/>
      <c r="K329" s="129"/>
      <c r="L329" s="129"/>
      <c r="M329" s="129"/>
      <c r="N329" s="129"/>
    </row>
    <row r="330">
      <c r="A330" s="129"/>
      <c r="B330" s="41" t="s">
        <v>6561</v>
      </c>
      <c r="C330" s="105" t="s">
        <v>5642</v>
      </c>
      <c r="D330" s="41" t="s">
        <v>8652</v>
      </c>
      <c r="E330" s="129"/>
      <c r="F330" s="129"/>
      <c r="G330" s="129"/>
      <c r="H330" s="129"/>
      <c r="I330" s="129"/>
      <c r="J330" s="129"/>
      <c r="K330" s="129"/>
      <c r="L330" s="129"/>
      <c r="M330" s="129"/>
      <c r="N330" s="129"/>
    </row>
    <row r="331">
      <c r="A331" s="129"/>
      <c r="B331" s="41" t="s">
        <v>6562</v>
      </c>
      <c r="C331" s="105" t="s">
        <v>5642</v>
      </c>
      <c r="D331" s="41" t="s">
        <v>8653</v>
      </c>
      <c r="E331" s="129"/>
      <c r="F331" s="129"/>
      <c r="G331" s="129"/>
      <c r="H331" s="129"/>
      <c r="I331" s="129"/>
      <c r="J331" s="129"/>
      <c r="K331" s="129"/>
      <c r="L331" s="129"/>
      <c r="M331" s="129"/>
      <c r="N331" s="129"/>
    </row>
    <row r="332">
      <c r="A332" s="129"/>
      <c r="B332" s="41" t="s">
        <v>6563</v>
      </c>
      <c r="C332" s="105" t="s">
        <v>5642</v>
      </c>
      <c r="D332" s="41" t="s">
        <v>8654</v>
      </c>
      <c r="E332" s="129"/>
      <c r="F332" s="129"/>
      <c r="G332" s="129"/>
      <c r="H332" s="129"/>
      <c r="I332" s="129"/>
      <c r="J332" s="129"/>
      <c r="K332" s="129"/>
      <c r="L332" s="129"/>
      <c r="M332" s="129"/>
      <c r="N332" s="129"/>
    </row>
    <row r="333">
      <c r="A333" s="129"/>
      <c r="B333" s="41" t="s">
        <v>6564</v>
      </c>
      <c r="C333" s="105" t="s">
        <v>5642</v>
      </c>
      <c r="D333" s="41" t="s">
        <v>8655</v>
      </c>
      <c r="E333" s="129"/>
      <c r="F333" s="129"/>
      <c r="G333" s="129"/>
      <c r="H333" s="129"/>
      <c r="I333" s="129"/>
      <c r="J333" s="129"/>
      <c r="K333" s="129"/>
      <c r="L333" s="129"/>
      <c r="M333" s="129"/>
      <c r="N333" s="129"/>
    </row>
    <row r="334">
      <c r="A334" s="129"/>
      <c r="B334" s="41" t="s">
        <v>6565</v>
      </c>
      <c r="C334" s="105" t="s">
        <v>5642</v>
      </c>
      <c r="D334" s="41" t="s">
        <v>8656</v>
      </c>
      <c r="E334" s="129"/>
      <c r="F334" s="129"/>
      <c r="G334" s="129"/>
      <c r="H334" s="129"/>
      <c r="I334" s="129"/>
      <c r="J334" s="129"/>
      <c r="K334" s="129"/>
      <c r="L334" s="129"/>
      <c r="M334" s="129"/>
      <c r="N334" s="129"/>
    </row>
    <row r="335">
      <c r="A335" s="129"/>
      <c r="B335" s="41" t="s">
        <v>6566</v>
      </c>
      <c r="C335" s="105" t="s">
        <v>5642</v>
      </c>
      <c r="D335" s="41" t="s">
        <v>8657</v>
      </c>
      <c r="E335" s="129"/>
      <c r="F335" s="129"/>
      <c r="G335" s="129"/>
      <c r="H335" s="129"/>
      <c r="I335" s="129"/>
      <c r="J335" s="129"/>
      <c r="K335" s="129"/>
      <c r="L335" s="129"/>
      <c r="M335" s="129"/>
      <c r="N335" s="129"/>
    </row>
    <row r="336">
      <c r="A336" s="129"/>
      <c r="B336" s="41" t="s">
        <v>6567</v>
      </c>
      <c r="C336" s="105" t="s">
        <v>5642</v>
      </c>
      <c r="D336" s="41" t="s">
        <v>8658</v>
      </c>
      <c r="E336" s="129"/>
      <c r="F336" s="129"/>
      <c r="G336" s="129"/>
      <c r="H336" s="129"/>
      <c r="I336" s="129"/>
      <c r="J336" s="129"/>
      <c r="K336" s="129"/>
      <c r="L336" s="129"/>
      <c r="M336" s="129"/>
      <c r="N336" s="129"/>
    </row>
    <row r="337">
      <c r="A337" s="129"/>
      <c r="B337" s="41" t="s">
        <v>6568</v>
      </c>
      <c r="C337" s="105" t="s">
        <v>5642</v>
      </c>
      <c r="D337" s="41" t="s">
        <v>8659</v>
      </c>
      <c r="E337" s="129"/>
      <c r="F337" s="129"/>
      <c r="G337" s="129"/>
      <c r="H337" s="129"/>
      <c r="I337" s="129"/>
      <c r="J337" s="129"/>
      <c r="K337" s="129"/>
      <c r="L337" s="129"/>
      <c r="M337" s="129"/>
      <c r="N337" s="129"/>
    </row>
    <row r="338">
      <c r="A338" s="129"/>
      <c r="B338" s="41" t="s">
        <v>6569</v>
      </c>
      <c r="C338" s="105" t="s">
        <v>5642</v>
      </c>
      <c r="D338" s="41" t="s">
        <v>8660</v>
      </c>
      <c r="E338" s="129"/>
      <c r="F338" s="129"/>
      <c r="G338" s="129"/>
      <c r="H338" s="129"/>
      <c r="I338" s="129"/>
      <c r="J338" s="129"/>
      <c r="K338" s="129"/>
      <c r="L338" s="129"/>
      <c r="M338" s="129"/>
      <c r="N338" s="129"/>
    </row>
    <row r="339">
      <c r="A339" s="129"/>
      <c r="B339" s="41" t="s">
        <v>6570</v>
      </c>
      <c r="C339" s="105" t="s">
        <v>5642</v>
      </c>
      <c r="D339" s="41" t="s">
        <v>8661</v>
      </c>
      <c r="E339" s="129"/>
      <c r="F339" s="129"/>
      <c r="G339" s="129"/>
      <c r="H339" s="129"/>
      <c r="I339" s="129"/>
      <c r="J339" s="129"/>
      <c r="K339" s="129"/>
      <c r="L339" s="129"/>
      <c r="M339" s="129"/>
      <c r="N339" s="129"/>
    </row>
    <row r="340">
      <c r="A340" s="129"/>
      <c r="B340" s="41" t="s">
        <v>6571</v>
      </c>
      <c r="C340" s="105" t="s">
        <v>5642</v>
      </c>
      <c r="D340" s="41" t="s">
        <v>8662</v>
      </c>
      <c r="E340" s="129"/>
      <c r="F340" s="129"/>
      <c r="G340" s="129"/>
      <c r="H340" s="129"/>
      <c r="I340" s="129"/>
      <c r="J340" s="129"/>
      <c r="K340" s="129"/>
      <c r="L340" s="129"/>
      <c r="M340" s="129"/>
      <c r="N340" s="129"/>
    </row>
    <row r="341">
      <c r="A341" s="129"/>
      <c r="B341" s="41" t="s">
        <v>6572</v>
      </c>
      <c r="C341" s="105" t="s">
        <v>5642</v>
      </c>
      <c r="D341" s="41" t="s">
        <v>8663</v>
      </c>
      <c r="E341" s="129"/>
      <c r="F341" s="129"/>
      <c r="G341" s="129"/>
      <c r="H341" s="129"/>
      <c r="I341" s="129"/>
      <c r="J341" s="129"/>
      <c r="K341" s="129"/>
      <c r="L341" s="129"/>
      <c r="M341" s="129"/>
      <c r="N341" s="129"/>
    </row>
    <row r="342">
      <c r="A342" s="129"/>
      <c r="B342" s="41" t="s">
        <v>6573</v>
      </c>
      <c r="C342" s="105" t="s">
        <v>5642</v>
      </c>
      <c r="D342" s="124" t="s">
        <v>5571</v>
      </c>
      <c r="E342" s="129"/>
      <c r="F342" s="129"/>
      <c r="G342" s="129"/>
      <c r="H342" s="129"/>
      <c r="I342" s="129"/>
      <c r="J342" s="129"/>
      <c r="K342" s="129"/>
      <c r="L342" s="129"/>
      <c r="M342" s="129"/>
      <c r="N342" s="129"/>
    </row>
    <row r="343">
      <c r="A343" s="129"/>
      <c r="B343" s="42" t="s">
        <v>6574</v>
      </c>
      <c r="C343" s="105" t="s">
        <v>5642</v>
      </c>
      <c r="D343" s="124" t="s">
        <v>8664</v>
      </c>
      <c r="E343" s="129"/>
      <c r="F343" s="129"/>
      <c r="G343" s="129"/>
      <c r="H343" s="129"/>
      <c r="I343" s="129"/>
      <c r="J343" s="129"/>
      <c r="K343" s="129"/>
      <c r="L343" s="129"/>
      <c r="M343" s="129"/>
      <c r="N343" s="129"/>
    </row>
  </sheetData>
  <autoFilter ref="A1:N343"/>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83" id="{1E5CE5BC-2F11-448A-AC4E-57A64260F865}">
            <x14:dxf>
              <font>
                <color rgb="FF9C0006"/>
              </font>
              <fill>
                <patternFill patternType="solid">
                  <fgColor rgb="FFFFC7CE"/>
                  <bgColor rgb="FFFFC7CE"/>
                </patternFill>
              </fill>
            </x14:dxf>
          </x14:cfRule>
          <xm:sqref>B46</xm:sqref>
        </x14:conditionalFormatting>
        <x14:conditionalFormatting xmlns:xm="http://schemas.microsoft.com/office/excel/2006/main">
          <x14:cfRule type="duplicateValues" priority="82" id="{AF285367-26F0-46BF-8448-B9713F85C7E8}">
            <x14:dxf>
              <font>
                <color rgb="FF9C0006"/>
              </font>
              <fill>
                <patternFill patternType="solid">
                  <fgColor rgb="FFFFC7CE"/>
                  <bgColor rgb="FFFFC7CE"/>
                </patternFill>
              </fill>
            </x14:dxf>
          </x14:cfRule>
          <xm:sqref>B46</xm:sqref>
        </x14:conditionalFormatting>
        <x14:conditionalFormatting xmlns:xm="http://schemas.microsoft.com/office/excel/2006/main">
          <x14:cfRule type="duplicateValues" priority="39" id="{972B28F7-8CE6-4B32-B860-5B2C2057765E}">
            <x14:dxf>
              <font>
                <color rgb="FF9C0006"/>
              </font>
              <fill>
                <patternFill patternType="solid">
                  <fgColor rgb="FFFFC7CE"/>
                  <bgColor rgb="FFFFC7CE"/>
                </patternFill>
              </fill>
            </x14:dxf>
          </x14:cfRule>
          <xm:sqref>B72</xm:sqref>
        </x14:conditionalFormatting>
        <x14:conditionalFormatting xmlns:xm="http://schemas.microsoft.com/office/excel/2006/main">
          <x14:cfRule type="duplicateValues" priority="30" id="{C9A7A268-C4FC-492B-B46C-A3B6E25334CF}">
            <x14:dxf>
              <font>
                <color rgb="FF9C0006"/>
              </font>
              <fill>
                <patternFill patternType="solid">
                  <fgColor rgb="FFFFC7CE"/>
                  <bgColor rgb="FFFFC7CE"/>
                </patternFill>
              </fill>
            </x14:dxf>
          </x14:cfRule>
          <xm:sqref>B73</xm:sqref>
        </x14:conditionalFormatting>
        <x14:conditionalFormatting xmlns:xm="http://schemas.microsoft.com/office/excel/2006/main">
          <x14:cfRule type="duplicateValues" priority="25" id="{EFCCC60D-A2B4-45AD-BCE8-57DAA434C17F}">
            <x14:dxf>
              <font>
                <color rgb="FF9C0006"/>
              </font>
              <fill>
                <patternFill patternType="solid">
                  <fgColor rgb="FFFFC7CE"/>
                  <bgColor rgb="FFFFC7CE"/>
                </patternFill>
              </fill>
            </x14:dxf>
          </x14:cfRule>
          <xm:sqref>B74</xm:sqref>
        </x14:conditionalFormatting>
        <x14:conditionalFormatting xmlns:xm="http://schemas.microsoft.com/office/excel/2006/main">
          <x14:cfRule type="duplicateValues" priority="28" id="{57BF869E-8B1C-4289-AD78-29DAABD2D977}">
            <x14:dxf>
              <font>
                <color rgb="FF9C0006"/>
              </font>
              <fill>
                <patternFill patternType="solid">
                  <fgColor rgb="FFFFC7CE"/>
                  <bgColor rgb="FFFFC7CE"/>
                </patternFill>
              </fill>
            </x14:dxf>
          </x14:cfRule>
          <xm:sqref>B75</xm:sqref>
        </x14:conditionalFormatting>
        <x14:conditionalFormatting xmlns:xm="http://schemas.microsoft.com/office/excel/2006/main">
          <x14:cfRule type="duplicateValues" priority="29" id="{E5226903-5DAF-405C-A1C7-215B18072076}">
            <x14:dxf>
              <font>
                <color rgb="FF9C0006"/>
              </font>
              <fill>
                <patternFill patternType="solid">
                  <fgColor rgb="FFFFC7CE"/>
                  <bgColor rgb="FFFFC7CE"/>
                </patternFill>
              </fill>
            </x14:dxf>
          </x14:cfRule>
          <xm:sqref>B76</xm:sqref>
        </x14:conditionalFormatting>
        <x14:conditionalFormatting xmlns:xm="http://schemas.microsoft.com/office/excel/2006/main">
          <x14:cfRule type="duplicateValues" priority="37" id="{BA0E3A2D-14AB-4920-91C4-DEE10B1A8B02}">
            <x14:dxf>
              <font>
                <color rgb="FF9C0006"/>
              </font>
              <fill>
                <patternFill patternType="solid">
                  <fgColor rgb="FFFFC7CE"/>
                  <bgColor rgb="FFFFC7CE"/>
                </patternFill>
              </fill>
            </x14:dxf>
          </x14:cfRule>
          <xm:sqref>B77</xm:sqref>
        </x14:conditionalFormatting>
        <x14:conditionalFormatting xmlns:xm="http://schemas.microsoft.com/office/excel/2006/main">
          <x14:cfRule type="duplicateValues" priority="38" id="{470301BB-32F8-40C0-ACB2-F1F22D8C67A3}">
            <x14:dxf>
              <font>
                <color rgb="FF9C0006"/>
              </font>
              <fill>
                <patternFill patternType="solid">
                  <fgColor rgb="FFFFC7CE"/>
                  <bgColor rgb="FFFFC7CE"/>
                </patternFill>
              </fill>
            </x14:dxf>
          </x14:cfRule>
          <xm:sqref>B78</xm:sqref>
        </x14:conditionalFormatting>
        <x14:conditionalFormatting xmlns:xm="http://schemas.microsoft.com/office/excel/2006/main">
          <x14:cfRule type="duplicateValues" priority="36" id="{9EACC8F6-94DF-4EB1-91B1-D40F8F597CD0}">
            <x14:dxf>
              <font>
                <color rgb="FF9C0006"/>
              </font>
              <fill>
                <patternFill patternType="solid">
                  <fgColor rgb="FFFFC7CE"/>
                  <bgColor rgb="FFFFC7CE"/>
                </patternFill>
              </fill>
            </x14:dxf>
          </x14:cfRule>
          <xm:sqref>B79</xm:sqref>
        </x14:conditionalFormatting>
        <x14:conditionalFormatting xmlns:xm="http://schemas.microsoft.com/office/excel/2006/main">
          <x14:cfRule type="duplicateValues" priority="35" id="{1A7FE1F8-9E93-4450-BAC3-1B398628A04B}">
            <x14:dxf>
              <font>
                <color rgb="FF9C0006"/>
              </font>
              <fill>
                <patternFill patternType="solid">
                  <fgColor rgb="FFFFC7CE"/>
                  <bgColor rgb="FFFFC7CE"/>
                </patternFill>
              </fill>
            </x14:dxf>
          </x14:cfRule>
          <xm:sqref>B80</xm:sqref>
        </x14:conditionalFormatting>
        <x14:conditionalFormatting xmlns:xm="http://schemas.microsoft.com/office/excel/2006/main">
          <x14:cfRule type="duplicateValues" priority="34" id="{ECCD99F2-8F2D-4876-8D5E-115D7AE29D4E}">
            <x14:dxf>
              <font>
                <color rgb="FF9C0006"/>
              </font>
              <fill>
                <patternFill patternType="solid">
                  <fgColor rgb="FFFFC7CE"/>
                  <bgColor rgb="FFFFC7CE"/>
                </patternFill>
              </fill>
            </x14:dxf>
          </x14:cfRule>
          <xm:sqref>B81</xm:sqref>
        </x14:conditionalFormatting>
        <x14:conditionalFormatting xmlns:xm="http://schemas.microsoft.com/office/excel/2006/main">
          <x14:cfRule type="duplicateValues" priority="27" id="{EDB035ED-B4FC-43B0-8409-638BBCF2962B}">
            <x14:dxf>
              <font>
                <color rgb="FF9C0006"/>
              </font>
              <fill>
                <patternFill patternType="solid">
                  <fgColor rgb="FFFFC7CE"/>
                  <bgColor rgb="FFFFC7CE"/>
                </patternFill>
              </fill>
            </x14:dxf>
          </x14:cfRule>
          <xm:sqref>B82</xm:sqref>
        </x14:conditionalFormatting>
        <x14:conditionalFormatting xmlns:xm="http://schemas.microsoft.com/office/excel/2006/main">
          <x14:cfRule type="duplicateValues" priority="26" id="{79E19E73-0527-4D7E-8877-B8C16684ABC6}">
            <x14:dxf>
              <font>
                <color rgb="FF9C0006"/>
              </font>
              <fill>
                <patternFill patternType="solid">
                  <fgColor rgb="FFFFC7CE"/>
                  <bgColor rgb="FFFFC7CE"/>
                </patternFill>
              </fill>
            </x14:dxf>
          </x14:cfRule>
          <xm:sqref>B83</xm:sqref>
        </x14:conditionalFormatting>
        <x14:conditionalFormatting xmlns:xm="http://schemas.microsoft.com/office/excel/2006/main">
          <x14:cfRule type="duplicateValues" priority="33" id="{CEAC2C0E-6566-4B2B-8913-51701E6FBB29}">
            <x14:dxf>
              <font>
                <color rgb="FF9C0006"/>
              </font>
              <fill>
                <patternFill patternType="solid">
                  <fgColor rgb="FFFFC7CE"/>
                  <bgColor rgb="FFFFC7CE"/>
                </patternFill>
              </fill>
            </x14:dxf>
          </x14:cfRule>
          <xm:sqref>B84</xm:sqref>
        </x14:conditionalFormatting>
        <x14:conditionalFormatting xmlns:xm="http://schemas.microsoft.com/office/excel/2006/main">
          <x14:cfRule type="duplicateValues" priority="32" id="{F58307BF-ECEB-4906-907B-FFC9A669805C}">
            <x14:dxf>
              <font>
                <color rgb="FF9C0006"/>
              </font>
              <fill>
                <patternFill patternType="solid">
                  <fgColor rgb="FFFFC7CE"/>
                  <bgColor rgb="FFFFC7CE"/>
                </patternFill>
              </fill>
            </x14:dxf>
          </x14:cfRule>
          <xm:sqref>B85</xm:sqref>
        </x14:conditionalFormatting>
        <x14:conditionalFormatting xmlns:xm="http://schemas.microsoft.com/office/excel/2006/main">
          <x14:cfRule type="duplicateValues" priority="31" id="{0363F654-34BE-443E-A091-B24A3E6048D7}">
            <x14:dxf>
              <font>
                <color rgb="FF9C0006"/>
              </font>
              <fill>
                <patternFill patternType="solid">
                  <fgColor rgb="FFFFC7CE"/>
                  <bgColor rgb="FFFFC7CE"/>
                </patternFill>
              </fill>
            </x14:dxf>
          </x14:cfRule>
          <xm:sqref>B86</xm:sqref>
        </x14:conditionalFormatting>
        <x14:conditionalFormatting xmlns:xm="http://schemas.microsoft.com/office/excel/2006/main">
          <x14:cfRule type="duplicateValues" priority="40" id="{74A85B2A-C8F7-483A-A97B-A283B7C77481}">
            <x14:dxf>
              <font>
                <color rgb="FF9C0006"/>
              </font>
              <fill>
                <patternFill patternType="solid">
                  <fgColor rgb="FFFFC7CE"/>
                  <bgColor rgb="FFFFC7CE"/>
                </patternFill>
              </fill>
            </x14:dxf>
          </x14:cfRule>
          <xm:sqref>B89</xm:sqref>
        </x14:conditionalFormatting>
        <x14:conditionalFormatting xmlns:xm="http://schemas.microsoft.com/office/excel/2006/main">
          <x14:cfRule type="duplicateValues" priority="41" id="{BA6BBDB3-8C5B-4E3E-B76E-CC111E0D01E1}">
            <x14:dxf>
              <font>
                <color rgb="FF9C0006"/>
              </font>
              <fill>
                <patternFill patternType="solid">
                  <fgColor rgb="FFFFC7CE"/>
                  <bgColor rgb="FFFFC7CE"/>
                </patternFill>
              </fill>
            </x14:dxf>
          </x14:cfRule>
          <xm:sqref>B90:B91</xm:sqref>
        </x14:conditionalFormatting>
        <x14:conditionalFormatting xmlns:xm="http://schemas.microsoft.com/office/excel/2006/main">
          <x14:cfRule type="duplicateValues" priority="42" id="{12FD34BA-1DBF-4C1B-8E1D-C27220DF9897}">
            <x14:dxf>
              <font>
                <color rgb="FF9C0006"/>
              </font>
              <fill>
                <patternFill patternType="solid">
                  <fgColor rgb="FFFFC7CE"/>
                  <bgColor rgb="FFFFC7CE"/>
                </patternFill>
              </fill>
            </x14:dxf>
          </x14:cfRule>
          <xm:sqref>B92:B95</xm:sqref>
        </x14:conditionalFormatting>
        <x14:conditionalFormatting xmlns:xm="http://schemas.microsoft.com/office/excel/2006/main">
          <x14:cfRule type="duplicateValues" priority="43" id="{722973A5-FF21-4AAB-9218-D82AF2C2A550}">
            <x14:dxf>
              <font>
                <color rgb="FF9C0006"/>
              </font>
              <fill>
                <patternFill patternType="solid">
                  <fgColor rgb="FFFFC7CE"/>
                  <bgColor rgb="FFFFC7CE"/>
                </patternFill>
              </fill>
            </x14:dxf>
          </x14:cfRule>
          <xm:sqref>B96</xm:sqref>
        </x14:conditionalFormatting>
        <x14:conditionalFormatting xmlns:xm="http://schemas.microsoft.com/office/excel/2006/main">
          <x14:cfRule type="duplicateValues" priority="44" id="{487953F1-3EBA-4AE6-903C-543DECA54580}">
            <x14:dxf>
              <font>
                <color rgb="FF9C0006"/>
              </font>
              <fill>
                <patternFill patternType="solid">
                  <fgColor rgb="FFFFC7CE"/>
                  <bgColor rgb="FFFFC7CE"/>
                </patternFill>
              </fill>
            </x14:dxf>
          </x14:cfRule>
          <xm:sqref>B97</xm:sqref>
        </x14:conditionalFormatting>
        <x14:conditionalFormatting xmlns:xm="http://schemas.microsoft.com/office/excel/2006/main">
          <x14:cfRule type="duplicateValues" priority="45" id="{F3F3B4B9-A5C4-4D5C-97B1-73D5B12290E5}">
            <x14:dxf>
              <font>
                <color rgb="FF9C0006"/>
              </font>
              <fill>
                <patternFill patternType="solid">
                  <fgColor rgb="FFFFC7CE"/>
                  <bgColor rgb="FFFFC7CE"/>
                </patternFill>
              </fill>
            </x14:dxf>
          </x14:cfRule>
          <xm:sqref>B98:B100</xm:sqref>
        </x14:conditionalFormatting>
        <x14:conditionalFormatting xmlns:xm="http://schemas.microsoft.com/office/excel/2006/main">
          <x14:cfRule type="duplicateValues" priority="46" id="{1B9FA5D3-1EC4-444E-8F6B-74BA0A6C5F3B}">
            <x14:dxf>
              <font>
                <color rgb="FF9C0006"/>
              </font>
              <fill>
                <patternFill patternType="solid">
                  <fgColor rgb="FFFFC7CE"/>
                  <bgColor rgb="FFFFC7CE"/>
                </patternFill>
              </fill>
            </x14:dxf>
          </x14:cfRule>
          <xm:sqref>B106</xm:sqref>
        </x14:conditionalFormatting>
        <x14:conditionalFormatting xmlns:xm="http://schemas.microsoft.com/office/excel/2006/main">
          <x14:cfRule type="duplicateValues" priority="8" id="{44A3BB29-D7CC-48E7-83E5-396ECDC60CD9}">
            <x14:dxf>
              <font>
                <color rgb="FF9C0006"/>
              </font>
              <fill>
                <patternFill patternType="solid">
                  <fgColor rgb="FFFFC7CE"/>
                  <bgColor rgb="FFFFC7CE"/>
                </patternFill>
              </fill>
            </x14:dxf>
          </x14:cfRule>
          <xm:sqref>B125</xm:sqref>
        </x14:conditionalFormatting>
        <x14:conditionalFormatting xmlns:xm="http://schemas.microsoft.com/office/excel/2006/main">
          <x14:cfRule type="duplicateValues" priority="9" id="{CD1CA909-3126-4A70-BE02-8263A06AB72E}">
            <x14:dxf>
              <font>
                <color rgb="FF9C0006"/>
              </font>
              <fill>
                <patternFill patternType="solid">
                  <fgColor rgb="FFFFC7CE"/>
                  <bgColor rgb="FFFFC7CE"/>
                </patternFill>
              </fill>
            </x14:dxf>
          </x14:cfRule>
          <xm:sqref>B125</xm:sqref>
        </x14:conditionalFormatting>
        <x14:conditionalFormatting xmlns:xm="http://schemas.microsoft.com/office/excel/2006/main">
          <x14:cfRule type="duplicateValues" priority="47" id="{1652DBB9-5EBD-4843-9DA1-051450929116}">
            <x14:dxf>
              <font>
                <color rgb="FF9C0006"/>
              </font>
              <fill>
                <patternFill patternType="solid">
                  <fgColor rgb="FFFFC7CE"/>
                  <bgColor rgb="FFFFC7CE"/>
                </patternFill>
              </fill>
            </x14:dxf>
          </x14:cfRule>
          <xm:sqref>B129</xm:sqref>
        </x14:conditionalFormatting>
        <x14:conditionalFormatting xmlns:xm="http://schemas.microsoft.com/office/excel/2006/main">
          <x14:cfRule type="duplicateValues" priority="48" id="{A02A86E8-1000-4ED5-80DE-BD3AC6E8DB15}">
            <x14:dxf>
              <font>
                <color rgb="FF9C0006"/>
              </font>
              <fill>
                <patternFill patternType="solid">
                  <fgColor rgb="FFFFC7CE"/>
                  <bgColor rgb="FFFFC7CE"/>
                </patternFill>
              </fill>
            </x14:dxf>
          </x14:cfRule>
          <xm:sqref>B130:B131</xm:sqref>
        </x14:conditionalFormatting>
        <x14:conditionalFormatting xmlns:xm="http://schemas.microsoft.com/office/excel/2006/main">
          <x14:cfRule type="duplicateValues" priority="49" id="{FFE5A597-C15A-4806-835D-18444286D70F}">
            <x14:dxf>
              <font>
                <color rgb="FF9C0006"/>
              </font>
              <fill>
                <patternFill patternType="solid">
                  <fgColor rgb="FFFFC7CE"/>
                  <bgColor rgb="FFFFC7CE"/>
                </patternFill>
              </fill>
            </x14:dxf>
          </x14:cfRule>
          <xm:sqref>B132:B133</xm:sqref>
        </x14:conditionalFormatting>
        <x14:conditionalFormatting xmlns:xm="http://schemas.microsoft.com/office/excel/2006/main">
          <x14:cfRule type="duplicateValues" priority="50" id="{16F97F8E-39AD-44FE-9655-B992FDE9C867}">
            <x14:dxf>
              <font>
                <color rgb="FF9C0006"/>
              </font>
              <fill>
                <patternFill patternType="solid">
                  <fgColor rgb="FFFFC7CE"/>
                  <bgColor rgb="FFFFC7CE"/>
                </patternFill>
              </fill>
            </x14:dxf>
          </x14:cfRule>
          <xm:sqref>B134</xm:sqref>
        </x14:conditionalFormatting>
        <x14:conditionalFormatting xmlns:xm="http://schemas.microsoft.com/office/excel/2006/main">
          <x14:cfRule type="duplicateValues" priority="51" id="{5DE7B61D-2F3E-419F-B2B3-98877AE8D746}">
            <x14:dxf>
              <font>
                <color rgb="FF9C0006"/>
              </font>
              <fill>
                <patternFill patternType="solid">
                  <fgColor rgb="FFFFC7CE"/>
                  <bgColor rgb="FFFFC7CE"/>
                </patternFill>
              </fill>
            </x14:dxf>
          </x14:cfRule>
          <xm:sqref>B135</xm:sqref>
        </x14:conditionalFormatting>
        <x14:conditionalFormatting xmlns:xm="http://schemas.microsoft.com/office/excel/2006/main">
          <x14:cfRule type="duplicateValues" priority="52" id="{EA0B4D2C-65F9-44C4-8F94-1985B0A70D11}">
            <x14:dxf>
              <font>
                <color rgb="FF9C0006"/>
              </font>
              <fill>
                <patternFill patternType="solid">
                  <fgColor rgb="FFFFC7CE"/>
                  <bgColor rgb="FFFFC7CE"/>
                </patternFill>
              </fill>
            </x14:dxf>
          </x14:cfRule>
          <xm:sqref>B136</xm:sqref>
        </x14:conditionalFormatting>
        <x14:conditionalFormatting xmlns:xm="http://schemas.microsoft.com/office/excel/2006/main">
          <x14:cfRule type="duplicateValues" priority="53" id="{65FEBD17-9ACE-48C1-8F42-F8404564003A}">
            <x14:dxf>
              <font>
                <color rgb="FF9C0006"/>
              </font>
              <fill>
                <patternFill patternType="solid">
                  <fgColor rgb="FFFFC7CE"/>
                  <bgColor rgb="FFFFC7CE"/>
                </patternFill>
              </fill>
            </x14:dxf>
          </x14:cfRule>
          <xm:sqref>B137</xm:sqref>
        </x14:conditionalFormatting>
        <x14:conditionalFormatting xmlns:xm="http://schemas.microsoft.com/office/excel/2006/main">
          <x14:cfRule type="duplicateValues" priority="54" id="{288B9848-AF91-455A-A8C8-C8805FB181AC}">
            <x14:dxf>
              <font>
                <color rgb="FF9C0006"/>
              </font>
              <fill>
                <patternFill patternType="solid">
                  <fgColor rgb="FFFFC7CE"/>
                  <bgColor rgb="FFFFC7CE"/>
                </patternFill>
              </fill>
            </x14:dxf>
          </x14:cfRule>
          <xm:sqref>B138</xm:sqref>
        </x14:conditionalFormatting>
        <x14:conditionalFormatting xmlns:xm="http://schemas.microsoft.com/office/excel/2006/main">
          <x14:cfRule type="duplicateValues" priority="55" id="{11DD5BEE-768F-4218-BD8E-0F9205B9F9E6}">
            <x14:dxf>
              <font>
                <color rgb="FF9C0006"/>
              </font>
              <fill>
                <patternFill patternType="solid">
                  <fgColor rgb="FFFFC7CE"/>
                  <bgColor rgb="FFFFC7CE"/>
                </patternFill>
              </fill>
            </x14:dxf>
          </x14:cfRule>
          <xm:sqref>B139</xm:sqref>
        </x14:conditionalFormatting>
        <x14:conditionalFormatting xmlns:xm="http://schemas.microsoft.com/office/excel/2006/main">
          <x14:cfRule type="duplicateValues" priority="56" id="{361EE5A2-A177-490C-A27E-5C53E5993F0F}">
            <x14:dxf>
              <font>
                <color rgb="FF9C0006"/>
              </font>
              <fill>
                <patternFill patternType="solid">
                  <fgColor rgb="FFFFC7CE"/>
                  <bgColor rgb="FFFFC7CE"/>
                </patternFill>
              </fill>
            </x14:dxf>
          </x14:cfRule>
          <xm:sqref>B140</xm:sqref>
        </x14:conditionalFormatting>
        <x14:conditionalFormatting xmlns:xm="http://schemas.microsoft.com/office/excel/2006/main">
          <x14:cfRule type="duplicateValues" priority="57" id="{E097A92F-B162-4EC7-9B35-655F8A8861FF}">
            <x14:dxf>
              <font>
                <color rgb="FF9C0006"/>
              </font>
              <fill>
                <patternFill patternType="solid">
                  <fgColor rgb="FFFFC7CE"/>
                  <bgColor rgb="FFFFC7CE"/>
                </patternFill>
              </fill>
            </x14:dxf>
          </x14:cfRule>
          <xm:sqref>B141</xm:sqref>
        </x14:conditionalFormatting>
        <x14:conditionalFormatting xmlns:xm="http://schemas.microsoft.com/office/excel/2006/main">
          <x14:cfRule type="duplicateValues" priority="58" id="{DEF1B84F-CB6B-4113-AB03-D263B5C7C3B9}">
            <x14:dxf>
              <font>
                <color rgb="FF9C0006"/>
              </font>
              <fill>
                <patternFill patternType="solid">
                  <fgColor rgb="FFFFC7CE"/>
                  <bgColor rgb="FFFFC7CE"/>
                </patternFill>
              </fill>
            </x14:dxf>
          </x14:cfRule>
          <xm:sqref>B142</xm:sqref>
        </x14:conditionalFormatting>
        <x14:conditionalFormatting xmlns:xm="http://schemas.microsoft.com/office/excel/2006/main">
          <x14:cfRule type="duplicateValues" priority="59" id="{E243728E-8458-4931-86CB-FCBF008B27CE}">
            <x14:dxf>
              <font>
                <color rgb="FF9C0006"/>
              </font>
              <fill>
                <patternFill patternType="solid">
                  <fgColor rgb="FFFFC7CE"/>
                  <bgColor rgb="FFFFC7CE"/>
                </patternFill>
              </fill>
            </x14:dxf>
          </x14:cfRule>
          <xm:sqref>B143</xm:sqref>
        </x14:conditionalFormatting>
        <x14:conditionalFormatting xmlns:xm="http://schemas.microsoft.com/office/excel/2006/main">
          <x14:cfRule type="duplicateValues" priority="60" id="{608EE74A-671D-403A-BFF3-A4463F8A65E7}">
            <x14:dxf>
              <font>
                <color rgb="FF9C0006"/>
              </font>
              <fill>
                <patternFill patternType="solid">
                  <fgColor rgb="FFFFC7CE"/>
                  <bgColor rgb="FFFFC7CE"/>
                </patternFill>
              </fill>
            </x14:dxf>
          </x14:cfRule>
          <xm:sqref>B144:B145</xm:sqref>
        </x14:conditionalFormatting>
        <x14:conditionalFormatting xmlns:xm="http://schemas.microsoft.com/office/excel/2006/main">
          <x14:cfRule type="duplicateValues" priority="61" id="{EBE9172C-9FB8-44C3-A09D-1EC87B76181E}">
            <x14:dxf>
              <font>
                <color rgb="FF9C0006"/>
              </font>
              <fill>
                <patternFill patternType="solid">
                  <fgColor rgb="FFFFC7CE"/>
                  <bgColor rgb="FFFFC7CE"/>
                </patternFill>
              </fill>
            </x14:dxf>
          </x14:cfRule>
          <xm:sqref>B146</xm:sqref>
        </x14:conditionalFormatting>
        <x14:conditionalFormatting xmlns:xm="http://schemas.microsoft.com/office/excel/2006/main">
          <x14:cfRule type="duplicateValues" priority="62" id="{3564BFD3-F3B7-492D-AB88-04FC24EBB9E8}">
            <x14:dxf>
              <font>
                <color rgb="FF9C0006"/>
              </font>
              <fill>
                <patternFill patternType="solid">
                  <fgColor rgb="FFFFC7CE"/>
                  <bgColor rgb="FFFFC7CE"/>
                </patternFill>
              </fill>
            </x14:dxf>
          </x14:cfRule>
          <xm:sqref>B147</xm:sqref>
        </x14:conditionalFormatting>
        <x14:conditionalFormatting xmlns:xm="http://schemas.microsoft.com/office/excel/2006/main">
          <x14:cfRule type="duplicateValues" priority="63" id="{433E8864-F639-4401-BEA8-52E0D5E8D710}">
            <x14:dxf>
              <font>
                <color rgb="FF9C0006"/>
              </font>
              <fill>
                <patternFill patternType="solid">
                  <fgColor rgb="FFFFC7CE"/>
                  <bgColor rgb="FFFFC7CE"/>
                </patternFill>
              </fill>
            </x14:dxf>
          </x14:cfRule>
          <xm:sqref>B148</xm:sqref>
        </x14:conditionalFormatting>
        <x14:conditionalFormatting xmlns:xm="http://schemas.microsoft.com/office/excel/2006/main">
          <x14:cfRule type="duplicateValues" priority="64" id="{2EF507A5-A233-4004-967B-79C78DB25523}">
            <x14:dxf>
              <font>
                <color rgb="FF9C0006"/>
              </font>
              <fill>
                <patternFill patternType="solid">
                  <fgColor rgb="FFFFC7CE"/>
                  <bgColor rgb="FFFFC7CE"/>
                </patternFill>
              </fill>
            </x14:dxf>
          </x14:cfRule>
          <xm:sqref>B149</xm:sqref>
        </x14:conditionalFormatting>
        <x14:conditionalFormatting xmlns:xm="http://schemas.microsoft.com/office/excel/2006/main">
          <x14:cfRule type="duplicateValues" priority="65" id="{98D4C4C6-82A9-41F3-807F-83433B8F3271}">
            <x14:dxf>
              <font>
                <color rgb="FF9C0006"/>
              </font>
              <fill>
                <patternFill patternType="solid">
                  <fgColor rgb="FFFFC7CE"/>
                  <bgColor rgb="FFFFC7CE"/>
                </patternFill>
              </fill>
            </x14:dxf>
          </x14:cfRule>
          <xm:sqref>B150</xm:sqref>
        </x14:conditionalFormatting>
        <x14:conditionalFormatting xmlns:xm="http://schemas.microsoft.com/office/excel/2006/main">
          <x14:cfRule type="duplicateValues" priority="66" id="{F754A276-B029-439E-913F-E062A2A4B019}">
            <x14:dxf>
              <font>
                <color rgb="FF9C0006"/>
              </font>
              <fill>
                <patternFill patternType="solid">
                  <fgColor rgb="FFFFC7CE"/>
                  <bgColor rgb="FFFFC7CE"/>
                </patternFill>
              </fill>
            </x14:dxf>
          </x14:cfRule>
          <xm:sqref>B151</xm:sqref>
        </x14:conditionalFormatting>
        <x14:conditionalFormatting xmlns:xm="http://schemas.microsoft.com/office/excel/2006/main">
          <x14:cfRule type="duplicateValues" priority="71" id="{5814F4EB-E94A-4E70-B985-4B5EC012D0B7}">
            <x14:dxf>
              <font>
                <color rgb="FF9C0006"/>
              </font>
              <fill>
                <patternFill patternType="solid">
                  <fgColor rgb="FFFFC7CE"/>
                  <bgColor rgb="FFFFC7CE"/>
                </patternFill>
              </fill>
            </x14:dxf>
          </x14:cfRule>
          <xm:sqref>B163</xm:sqref>
        </x14:conditionalFormatting>
        <x14:conditionalFormatting xmlns:xm="http://schemas.microsoft.com/office/excel/2006/main">
          <x14:cfRule type="duplicateValues" priority="67" id="{608E8134-0B90-4698-8917-D8AB7DF89F41}">
            <x14:dxf>
              <font>
                <color rgb="FF9C0006"/>
              </font>
              <fill>
                <patternFill patternType="solid">
                  <fgColor rgb="FFFFC7CE"/>
                  <bgColor rgb="FFFFC7CE"/>
                </patternFill>
              </fill>
            </x14:dxf>
          </x14:cfRule>
          <xm:sqref>B169</xm:sqref>
        </x14:conditionalFormatting>
        <x14:conditionalFormatting xmlns:xm="http://schemas.microsoft.com/office/excel/2006/main">
          <x14:cfRule type="duplicateValues" priority="68" id="{D4CD20F2-340B-4C46-881E-F68A5D510395}">
            <x14:dxf>
              <font>
                <color rgb="FF9C0006"/>
              </font>
              <fill>
                <patternFill patternType="solid">
                  <fgColor rgb="FFFFC7CE"/>
                  <bgColor rgb="FFFFC7CE"/>
                </patternFill>
              </fill>
            </x14:dxf>
          </x14:cfRule>
          <xm:sqref>B170</xm:sqref>
        </x14:conditionalFormatting>
        <x14:conditionalFormatting xmlns:xm="http://schemas.microsoft.com/office/excel/2006/main">
          <x14:cfRule type="duplicateValues" priority="69" id="{75E350AC-30DC-4B59-9811-C5783F2776A5}">
            <x14:dxf>
              <font>
                <color rgb="FF9C0006"/>
              </font>
              <fill>
                <patternFill patternType="solid">
                  <fgColor rgb="FFFFC7CE"/>
                  <bgColor rgb="FFFFC7CE"/>
                </patternFill>
              </fill>
            </x14:dxf>
          </x14:cfRule>
          <xm:sqref>B171:B175</xm:sqref>
        </x14:conditionalFormatting>
        <x14:conditionalFormatting xmlns:xm="http://schemas.microsoft.com/office/excel/2006/main">
          <x14:cfRule type="duplicateValues" priority="70" id="{880034AF-5C2E-42E8-8F6D-8E050015003D}">
            <x14:dxf>
              <font>
                <color rgb="FF9C0006"/>
              </font>
              <fill>
                <patternFill patternType="solid">
                  <fgColor rgb="FFFFC7CE"/>
                  <bgColor rgb="FFFFC7CE"/>
                </patternFill>
              </fill>
            </x14:dxf>
          </x14:cfRule>
          <xm:sqref>B173:B175</xm:sqref>
        </x14:conditionalFormatting>
        <x14:conditionalFormatting xmlns:xm="http://schemas.microsoft.com/office/excel/2006/main">
          <x14:cfRule type="duplicateValues" priority="84" id="{DBA0C49B-E55B-4491-915A-EDF44CD702A0}">
            <x14:dxf>
              <font>
                <color rgb="FF9C0006"/>
              </font>
              <fill>
                <patternFill patternType="solid">
                  <fgColor rgb="FFFFC7CE"/>
                  <bgColor rgb="FFFFC7CE"/>
                </patternFill>
              </fill>
            </x14:dxf>
          </x14:cfRule>
          <xm:sqref>B176:B177 B87:B88 B101:B105 B108:B124 B128 B164:B167 B152:B162 B126 B47:B71 B1:B45</xm:sqref>
        </x14:conditionalFormatting>
        <x14:conditionalFormatting xmlns:xm="http://schemas.microsoft.com/office/excel/2006/main">
          <x14:cfRule type="duplicateValues" priority="72" id="{EAB708CE-217A-4336-B9BF-7AC0E92FBF8A}">
            <x14:dxf>
              <font>
                <color rgb="FF9C0006"/>
              </font>
              <fill>
                <patternFill patternType="solid">
                  <fgColor rgb="FFFFC7CE"/>
                  <bgColor rgb="FFFFC7CE"/>
                </patternFill>
              </fill>
            </x14:dxf>
          </x14:cfRule>
          <xm:sqref>B178:B181</xm:sqref>
        </x14:conditionalFormatting>
        <x14:conditionalFormatting xmlns:xm="http://schemas.microsoft.com/office/excel/2006/main">
          <x14:cfRule type="duplicateValues" priority="73" id="{01E98A56-CCD7-456F-846F-0A70E35AEC54}">
            <x14:dxf>
              <font>
                <color rgb="FF9C0006"/>
              </font>
              <fill>
                <patternFill patternType="solid">
                  <fgColor rgb="FFFFC7CE"/>
                  <bgColor rgb="FFFFC7CE"/>
                </patternFill>
              </fill>
            </x14:dxf>
          </x14:cfRule>
          <xm:sqref>B181</xm:sqref>
        </x14:conditionalFormatting>
        <x14:conditionalFormatting xmlns:xm="http://schemas.microsoft.com/office/excel/2006/main">
          <x14:cfRule type="duplicateValues" priority="74" id="{843931AA-1379-47BC-A0B3-A61E89C71A65}">
            <x14:dxf>
              <font>
                <color rgb="FF9C0006"/>
              </font>
              <fill>
                <patternFill patternType="solid">
                  <fgColor rgb="FFFFC7CE"/>
                  <bgColor rgb="FFFFC7CE"/>
                </patternFill>
              </fill>
            </x14:dxf>
          </x14:cfRule>
          <xm:sqref>B182:B183</xm:sqref>
        </x14:conditionalFormatting>
        <x14:conditionalFormatting xmlns:xm="http://schemas.microsoft.com/office/excel/2006/main">
          <x14:cfRule type="duplicateValues" priority="75" id="{E1B2D57A-21BE-4900-8849-8645010FB14C}">
            <x14:dxf>
              <font>
                <color rgb="FF9C0006"/>
              </font>
              <fill>
                <patternFill patternType="solid">
                  <fgColor rgb="FFFFC7CE"/>
                  <bgColor rgb="FFFFC7CE"/>
                </patternFill>
              </fill>
            </x14:dxf>
          </x14:cfRule>
          <xm:sqref>B186 B184</xm:sqref>
        </x14:conditionalFormatting>
        <x14:conditionalFormatting xmlns:xm="http://schemas.microsoft.com/office/excel/2006/main">
          <x14:cfRule type="duplicateValues" priority="76" id="{B44A467F-4D97-42DA-9DD4-FB15A5C58C5D}">
            <x14:dxf>
              <font>
                <color rgb="FF9C0006"/>
              </font>
              <fill>
                <patternFill patternType="solid">
                  <fgColor rgb="FFFFC7CE"/>
                  <bgColor rgb="FFFFC7CE"/>
                </patternFill>
              </fill>
            </x14:dxf>
          </x14:cfRule>
          <xm:sqref>B188</xm:sqref>
        </x14:conditionalFormatting>
        <x14:conditionalFormatting xmlns:xm="http://schemas.microsoft.com/office/excel/2006/main">
          <x14:cfRule type="duplicateValues" priority="77" id="{B7947E1B-F887-4EDE-9943-D40F06D240E4}">
            <x14:dxf>
              <font>
                <color rgb="FF9C0006"/>
              </font>
              <fill>
                <patternFill patternType="solid">
                  <fgColor rgb="FFFFC7CE"/>
                  <bgColor rgb="FFFFC7CE"/>
                </patternFill>
              </fill>
            </x14:dxf>
          </x14:cfRule>
          <xm:sqref>B189:B190</xm:sqref>
        </x14:conditionalFormatting>
        <x14:conditionalFormatting xmlns:xm="http://schemas.microsoft.com/office/excel/2006/main">
          <x14:cfRule type="duplicateValues" priority="78" id="{082400AB-67E2-4CB1-8418-7ECFF36A0BE1}">
            <x14:dxf>
              <font>
                <color rgb="FF9C0006"/>
              </font>
              <fill>
                <patternFill patternType="solid">
                  <fgColor rgb="FFFFC7CE"/>
                  <bgColor rgb="FFFFC7CE"/>
                </patternFill>
              </fill>
            </x14:dxf>
          </x14:cfRule>
          <xm:sqref>B191:B193</xm:sqref>
        </x14:conditionalFormatting>
        <x14:conditionalFormatting xmlns:xm="http://schemas.microsoft.com/office/excel/2006/main">
          <x14:cfRule type="duplicateValues" priority="79" id="{B1B18C8C-BDAC-4843-8B11-67CAE3BFDB8C}">
            <x14:dxf>
              <font>
                <color rgb="FF9C0006"/>
              </font>
              <fill>
                <patternFill patternType="solid">
                  <fgColor rgb="FFFFC7CE"/>
                  <bgColor rgb="FFFFC7CE"/>
                </patternFill>
              </fill>
            </x14:dxf>
          </x14:cfRule>
          <xm:sqref>B194:B195</xm:sqref>
        </x14:conditionalFormatting>
        <x14:conditionalFormatting xmlns:xm="http://schemas.microsoft.com/office/excel/2006/main">
          <x14:cfRule type="duplicateValues" priority="80" id="{90F1A338-72BB-4D59-B163-DE947A0508CE}">
            <x14:dxf>
              <font>
                <color rgb="FF9C0006"/>
              </font>
              <fill>
                <patternFill patternType="solid">
                  <fgColor rgb="FFFFC7CE"/>
                  <bgColor rgb="FFFFC7CE"/>
                </patternFill>
              </fill>
            </x14:dxf>
          </x14:cfRule>
          <xm:sqref>B197:B198</xm:sqref>
        </x14:conditionalFormatting>
        <x14:conditionalFormatting xmlns:xm="http://schemas.microsoft.com/office/excel/2006/main">
          <x14:cfRule type="duplicateValues" priority="81" id="{D57C5B1E-3C35-41CF-9AAB-C280F3DA43BE}">
            <x14:dxf>
              <font>
                <color rgb="FF9C0006"/>
              </font>
              <fill>
                <patternFill patternType="solid">
                  <fgColor rgb="FFFFC7CE"/>
                  <bgColor rgb="FFFFC7CE"/>
                </patternFill>
              </fill>
            </x14:dxf>
          </x14:cfRule>
          <xm:sqref>B199:B201</xm:sqref>
        </x14:conditionalFormatting>
        <x14:conditionalFormatting xmlns:xm="http://schemas.microsoft.com/office/excel/2006/main">
          <x14:cfRule type="duplicateValues" priority="24" id="{2269EEC3-B5AB-47FD-9206-2D75A9125F29}">
            <x14:dxf>
              <font>
                <color rgb="FF9C0006"/>
              </font>
              <fill>
                <patternFill patternType="solid">
                  <fgColor rgb="FFFFC7CE"/>
                  <bgColor rgb="FFFFC7CE"/>
                </patternFill>
              </fill>
            </x14:dxf>
          </x14:cfRule>
          <xm:sqref>B202</xm:sqref>
        </x14:conditionalFormatting>
        <x14:conditionalFormatting xmlns:xm="http://schemas.microsoft.com/office/excel/2006/main">
          <x14:cfRule type="duplicateValues" priority="23" id="{538A334E-A8F9-42A6-B0D1-6A640224AFD5}">
            <x14:dxf>
              <font>
                <color rgb="FF9C0006"/>
              </font>
              <fill>
                <patternFill patternType="solid">
                  <fgColor rgb="FFFFC7CE"/>
                  <bgColor rgb="FFFFC7CE"/>
                </patternFill>
              </fill>
            </x14:dxf>
          </x14:cfRule>
          <xm:sqref>B205</xm:sqref>
        </x14:conditionalFormatting>
        <x14:conditionalFormatting xmlns:xm="http://schemas.microsoft.com/office/excel/2006/main">
          <x14:cfRule type="duplicateValues" priority="21" id="{5176ACB0-A45C-4E25-8AEC-0B65D9232C50}">
            <x14:dxf>
              <font>
                <color rgb="FF9C0006"/>
              </font>
              <fill>
                <patternFill patternType="solid">
                  <fgColor rgb="FFFFC7CE"/>
                  <bgColor rgb="FFFFC7CE"/>
                </patternFill>
              </fill>
            </x14:dxf>
          </x14:cfRule>
          <xm:sqref>B216</xm:sqref>
        </x14:conditionalFormatting>
        <x14:conditionalFormatting xmlns:xm="http://schemas.microsoft.com/office/excel/2006/main">
          <x14:cfRule type="duplicateValues" priority="22" id="{85E2BD72-0F14-45A5-9E1E-B22E203F2D2D}">
            <x14:dxf>
              <font>
                <color rgb="FF9C0006"/>
              </font>
              <fill>
                <patternFill patternType="solid">
                  <fgColor rgb="FFFFC7CE"/>
                  <bgColor rgb="FFFFC7CE"/>
                </patternFill>
              </fill>
            </x14:dxf>
          </x14:cfRule>
          <xm:sqref>B216</xm:sqref>
        </x14:conditionalFormatting>
        <x14:conditionalFormatting xmlns:xm="http://schemas.microsoft.com/office/excel/2006/main">
          <x14:cfRule type="duplicateValues" priority="85" id="{6E65F812-F44A-45B3-A02D-F4737CAB8EFF}">
            <x14:dxf>
              <font>
                <color rgb="FF9C0006"/>
              </font>
              <fill>
                <patternFill patternType="solid">
                  <fgColor rgb="FFFFC7CE"/>
                  <bgColor rgb="FFFFC7CE"/>
                </patternFill>
              </fill>
            </x14:dxf>
          </x14:cfRule>
          <xm:sqref>B225:B226 B87:B88 B101:B105 B108:B124 B128 B176:B177 B164:B167 B152:B162 B126 B47:B71 B1:B45</xm:sqref>
        </x14:conditionalFormatting>
        <x14:conditionalFormatting xmlns:xm="http://schemas.microsoft.com/office/excel/2006/main">
          <x14:cfRule type="duplicateValues" priority="20" id="{5F61700E-4059-4B26-8081-25DE8A4324C9}">
            <x14:dxf>
              <font>
                <color rgb="FF9C0006"/>
              </font>
              <fill>
                <patternFill patternType="solid">
                  <fgColor rgb="FFFFC7CE"/>
                  <bgColor rgb="FFFFC7CE"/>
                </patternFill>
              </fill>
            </x14:dxf>
          </x14:cfRule>
          <xm:sqref>B227</xm:sqref>
        </x14:conditionalFormatting>
        <x14:conditionalFormatting xmlns:xm="http://schemas.microsoft.com/office/excel/2006/main">
          <x14:cfRule type="duplicateValues" priority="19" id="{70E48E57-7F5D-4586-9797-FBB1E471B2B0}">
            <x14:dxf>
              <font>
                <color rgb="FF9C0006"/>
              </font>
              <fill>
                <patternFill patternType="solid">
                  <fgColor rgb="FFFFC7CE"/>
                  <bgColor rgb="FFFFC7CE"/>
                </patternFill>
              </fill>
            </x14:dxf>
          </x14:cfRule>
          <xm:sqref>B247</xm:sqref>
        </x14:conditionalFormatting>
        <x14:conditionalFormatting xmlns:xm="http://schemas.microsoft.com/office/excel/2006/main">
          <x14:cfRule type="duplicateValues" priority="18" id="{D6E3D529-EEA6-4AED-8544-FC942DAF0D11}">
            <x14:dxf>
              <font>
                <color rgb="FF9C0006"/>
              </font>
              <fill>
                <patternFill patternType="solid">
                  <fgColor rgb="FFFFC7CE"/>
                  <bgColor rgb="FFFFC7CE"/>
                </patternFill>
              </fill>
            </x14:dxf>
          </x14:cfRule>
          <xm:sqref>B247</xm:sqref>
        </x14:conditionalFormatting>
        <x14:conditionalFormatting xmlns:xm="http://schemas.microsoft.com/office/excel/2006/main">
          <x14:cfRule type="duplicateValues" priority="17" id="{43761E54-105F-4495-990A-E34F5D6605B5}">
            <x14:dxf>
              <font>
                <color rgb="FF9C0006"/>
              </font>
              <fill>
                <patternFill patternType="solid">
                  <fgColor rgb="FFFFC7CE"/>
                  <bgColor rgb="FFFFC7CE"/>
                </patternFill>
              </fill>
            </x14:dxf>
          </x14:cfRule>
          <xm:sqref>B248</xm:sqref>
        </x14:conditionalFormatting>
        <x14:conditionalFormatting xmlns:xm="http://schemas.microsoft.com/office/excel/2006/main">
          <x14:cfRule type="duplicateValues" priority="16" id="{75067C7F-428F-4F27-86EB-2184717C9C17}">
            <x14:dxf>
              <font>
                <color rgb="FF9C0006"/>
              </font>
              <fill>
                <patternFill patternType="solid">
                  <fgColor rgb="FFFFC7CE"/>
                  <bgColor rgb="FFFFC7CE"/>
                </patternFill>
              </fill>
            </x14:dxf>
          </x14:cfRule>
          <xm:sqref>B248</xm:sqref>
        </x14:conditionalFormatting>
        <x14:conditionalFormatting xmlns:xm="http://schemas.microsoft.com/office/excel/2006/main">
          <x14:cfRule type="duplicateValues" priority="10" id="{A8548E24-B9F3-474E-8591-F2E5677FA8AD}">
            <x14:dxf>
              <font>
                <color rgb="FF9C0006"/>
              </font>
              <fill>
                <patternFill patternType="solid">
                  <fgColor rgb="FFFFC7CE"/>
                  <bgColor rgb="FFFFC7CE"/>
                </patternFill>
              </fill>
            </x14:dxf>
          </x14:cfRule>
          <xm:sqref>B249</xm:sqref>
        </x14:conditionalFormatting>
        <x14:conditionalFormatting xmlns:xm="http://schemas.microsoft.com/office/excel/2006/main">
          <x14:cfRule type="duplicateValues" priority="11" id="{4EEB607A-55EA-44CB-9A92-C1A9B892627E}">
            <x14:dxf>
              <font>
                <color rgb="FF9C0006"/>
              </font>
              <fill>
                <patternFill patternType="solid">
                  <fgColor rgb="FFFFC7CE"/>
                  <bgColor rgb="FFFFC7CE"/>
                </patternFill>
              </fill>
            </x14:dxf>
          </x14:cfRule>
          <xm:sqref>B249</xm:sqref>
        </x14:conditionalFormatting>
        <x14:conditionalFormatting xmlns:xm="http://schemas.microsoft.com/office/excel/2006/main">
          <x14:cfRule type="duplicateValues" priority="15" id="{D06B34CA-467B-49C5-9F49-41DCD959569C}">
            <x14:dxf>
              <font>
                <color rgb="FF9C0006"/>
              </font>
              <fill>
                <patternFill patternType="solid">
                  <fgColor rgb="FFFFC7CE"/>
                  <bgColor rgb="FFFFC7CE"/>
                </patternFill>
              </fill>
            </x14:dxf>
          </x14:cfRule>
          <xm:sqref>B250</xm:sqref>
        </x14:conditionalFormatting>
        <x14:conditionalFormatting xmlns:xm="http://schemas.microsoft.com/office/excel/2006/main">
          <x14:cfRule type="duplicateValues" priority="14" id="{93C509DA-3984-4E9D-8103-BFB28DBBEEE3}">
            <x14:dxf>
              <font>
                <color rgb="FF9C0006"/>
              </font>
              <fill>
                <patternFill patternType="solid">
                  <fgColor rgb="FFFFC7CE"/>
                  <bgColor rgb="FFFFC7CE"/>
                </patternFill>
              </fill>
            </x14:dxf>
          </x14:cfRule>
          <xm:sqref>B250</xm:sqref>
        </x14:conditionalFormatting>
        <x14:conditionalFormatting xmlns:xm="http://schemas.microsoft.com/office/excel/2006/main">
          <x14:cfRule type="duplicateValues" priority="2" id="{F372F376-D29B-4D2B-84A0-12645963F9EE}">
            <x14:dxf>
              <font>
                <color rgb="FF9C0006"/>
              </font>
              <fill>
                <patternFill patternType="solid">
                  <fgColor rgb="FFFFC7CE"/>
                  <bgColor rgb="FFFFC7CE"/>
                </patternFill>
              </fill>
            </x14:dxf>
          </x14:cfRule>
          <xm:sqref>B251</xm:sqref>
        </x14:conditionalFormatting>
        <x14:conditionalFormatting xmlns:xm="http://schemas.microsoft.com/office/excel/2006/main">
          <x14:cfRule type="duplicateValues" priority="1" id="{F927D3C0-A053-4B03-89D0-60E69FC3FBFD}">
            <x14:dxf>
              <font>
                <color rgb="FF9C0006"/>
              </font>
              <fill>
                <patternFill patternType="solid">
                  <fgColor rgb="FFFFC7CE"/>
                  <bgColor rgb="FFFFC7CE"/>
                </patternFill>
              </fill>
            </x14:dxf>
          </x14:cfRule>
          <xm:sqref>B251</xm:sqref>
        </x14:conditionalFormatting>
        <x14:conditionalFormatting xmlns:xm="http://schemas.microsoft.com/office/excel/2006/main">
          <x14:cfRule type="duplicateValues" priority="13" id="{0A78FBC7-5658-46C9-B7C5-0D30AE6EE701}">
            <x14:dxf>
              <font>
                <color rgb="FF9C0006"/>
              </font>
              <fill>
                <patternFill patternType="solid">
                  <fgColor rgb="FFFFC7CE"/>
                  <bgColor rgb="FFFFC7CE"/>
                </patternFill>
              </fill>
            </x14:dxf>
          </x14:cfRule>
          <xm:sqref>B255</xm:sqref>
        </x14:conditionalFormatting>
        <x14:conditionalFormatting xmlns:xm="http://schemas.microsoft.com/office/excel/2006/main">
          <x14:cfRule type="duplicateValues" priority="12" id="{DDCD1540-4668-4977-93DC-60C7C7A81BE0}">
            <x14:dxf>
              <font>
                <color rgb="FF9C0006"/>
              </font>
              <fill>
                <patternFill patternType="solid">
                  <fgColor rgb="FFFFC7CE"/>
                  <bgColor rgb="FFFFC7CE"/>
                </patternFill>
              </fill>
            </x14:dxf>
          </x14:cfRule>
          <xm:sqref>B255</xm:sqref>
        </x14:conditionalFormatting>
        <x14:conditionalFormatting xmlns:xm="http://schemas.microsoft.com/office/excel/2006/main">
          <x14:cfRule type="duplicateValues" priority="7" id="{DB1DAA9D-9A58-47D4-97BA-DEB7FCA32975}">
            <x14:dxf>
              <font>
                <color rgb="FF9C0006"/>
              </font>
              <fill>
                <patternFill patternType="solid">
                  <fgColor rgb="FFFFC7CE"/>
                  <bgColor rgb="FFFFC7CE"/>
                </patternFill>
              </fill>
            </x14:dxf>
          </x14:cfRule>
          <xm:sqref>B283</xm:sqref>
        </x14:conditionalFormatting>
        <x14:conditionalFormatting xmlns:xm="http://schemas.microsoft.com/office/excel/2006/main">
          <x14:cfRule type="duplicateValues" priority="6" id="{87B207EC-0485-4222-A536-51CC7C6D5C32}">
            <x14:dxf>
              <font>
                <color rgb="FF9C0006"/>
              </font>
              <fill>
                <patternFill patternType="solid">
                  <fgColor rgb="FFFFC7CE"/>
                  <bgColor rgb="FFFFC7CE"/>
                </patternFill>
              </fill>
            </x14:dxf>
          </x14:cfRule>
          <xm:sqref>B283</xm:sqref>
        </x14:conditionalFormatting>
        <x14:conditionalFormatting xmlns:xm="http://schemas.microsoft.com/office/excel/2006/main">
          <x14:cfRule type="duplicateValues" priority="5" id="{D859E014-0FBB-4138-832D-932F69F7DCFE}">
            <x14:dxf>
              <font>
                <color rgb="FF9C0006"/>
              </font>
              <fill>
                <patternFill patternType="solid">
                  <fgColor rgb="FFFFC7CE"/>
                  <bgColor rgb="FFFFC7CE"/>
                </patternFill>
              </fill>
            </x14:dxf>
          </x14:cfRule>
          <xm:sqref>B284</xm:sqref>
        </x14:conditionalFormatting>
        <x14:conditionalFormatting xmlns:xm="http://schemas.microsoft.com/office/excel/2006/main">
          <x14:cfRule type="duplicateValues" priority="4" id="{047BC90D-A032-43E9-A3C5-A8865DFE5C90}">
            <x14:dxf>
              <font>
                <color rgb="FF9C0006"/>
              </font>
              <fill>
                <patternFill patternType="solid">
                  <fgColor rgb="FFFFC7CE"/>
                  <bgColor rgb="FFFFC7CE"/>
                </patternFill>
              </fill>
            </x14:dxf>
          </x14:cfRule>
          <xm:sqref>B284</xm:sqref>
        </x14:conditionalFormatting>
        <x14:conditionalFormatting xmlns:xm="http://schemas.microsoft.com/office/excel/2006/main">
          <x14:cfRule type="duplicateValues" priority="3" id="{14227F02-952F-4E48-8C59-4B4C31F9A7A7}">
            <x14:dxf>
              <font>
                <color rgb="FF9C0006"/>
              </font>
              <fill>
                <patternFill patternType="solid">
                  <fgColor rgb="FFFFC7CE"/>
                  <bgColor rgb="FFFFC7CE"/>
                </patternFill>
              </fill>
            </x14:dxf>
          </x14:cfRule>
          <xm:sqref>B296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 activeCellId="0" sqref="C:C"/>
    </sheetView>
  </sheetViews>
  <sheetFormatPr defaultRowHeight="14.4"/>
  <cols>
    <col bestFit="1" customWidth="1" min="1" max="1" width="5.6640625"/>
    <col bestFit="1" customWidth="1" min="2" max="2" width="14.77734375"/>
    <col bestFit="1" customWidth="1" min="3" max="3" width="16.6640625"/>
  </cols>
  <sheetData>
    <row r="1">
      <c r="A1" s="139" t="s">
        <v>8665</v>
      </c>
      <c r="B1" s="139" t="s">
        <v>8666</v>
      </c>
      <c r="C1" s="139" t="s">
        <v>8667</v>
      </c>
    </row>
    <row r="2">
      <c r="A2">
        <v>1</v>
      </c>
      <c r="B2" s="34" t="s">
        <v>6575</v>
      </c>
      <c r="C2" s="34" t="s">
        <v>6577</v>
      </c>
    </row>
    <row r="3">
      <c r="A3">
        <v>2</v>
      </c>
      <c r="B3" s="34" t="s">
        <v>6578</v>
      </c>
      <c r="C3" s="34" t="s">
        <v>6577</v>
      </c>
    </row>
    <row r="4">
      <c r="A4">
        <v>3</v>
      </c>
      <c r="B4" s="34" t="s">
        <v>6582</v>
      </c>
      <c r="C4" s="34" t="s">
        <v>6577</v>
      </c>
    </row>
    <row r="5">
      <c r="A5">
        <v>4</v>
      </c>
      <c r="B5" s="34" t="s">
        <v>6586</v>
      </c>
      <c r="C5" s="34" t="s">
        <v>6589</v>
      </c>
    </row>
    <row r="6">
      <c r="A6">
        <v>5</v>
      </c>
      <c r="B6" s="34" t="s">
        <v>6590</v>
      </c>
      <c r="C6" s="34" t="s">
        <v>6589</v>
      </c>
    </row>
    <row r="7">
      <c r="A7">
        <v>6</v>
      </c>
      <c r="B7" s="34" t="s">
        <v>6594</v>
      </c>
      <c r="C7" s="34" t="s">
        <v>6589</v>
      </c>
    </row>
    <row r="8">
      <c r="A8">
        <v>7</v>
      </c>
      <c r="B8" s="34" t="s">
        <v>6599</v>
      </c>
      <c r="C8" s="34" t="s">
        <v>6589</v>
      </c>
    </row>
    <row r="9">
      <c r="A9">
        <v>8</v>
      </c>
      <c r="B9" s="34" t="s">
        <v>6603</v>
      </c>
      <c r="C9" s="34" t="s">
        <v>6589</v>
      </c>
    </row>
    <row r="10">
      <c r="A10">
        <v>9</v>
      </c>
      <c r="B10" s="34" t="s">
        <v>6604</v>
      </c>
      <c r="C10" s="34" t="s">
        <v>6589</v>
      </c>
    </row>
    <row r="11">
      <c r="A11">
        <v>10</v>
      </c>
      <c r="B11" s="34" t="s">
        <v>6605</v>
      </c>
      <c r="C11" s="34" t="s">
        <v>6589</v>
      </c>
    </row>
    <row r="12">
      <c r="A12">
        <v>11</v>
      </c>
      <c r="B12" s="34" t="s">
        <v>6606</v>
      </c>
      <c r="C12" s="34" t="s">
        <v>6589</v>
      </c>
    </row>
    <row r="13">
      <c r="A13">
        <v>12</v>
      </c>
      <c r="B13" s="34" t="s">
        <v>6607</v>
      </c>
      <c r="C13" s="34" t="s">
        <v>6589</v>
      </c>
    </row>
    <row r="14">
      <c r="A14">
        <v>13</v>
      </c>
      <c r="B14" s="34" t="s">
        <v>6608</v>
      </c>
      <c r="C14" s="34" t="s">
        <v>6589</v>
      </c>
    </row>
    <row r="15">
      <c r="A15">
        <v>14</v>
      </c>
      <c r="B15" s="34" t="s">
        <v>6609</v>
      </c>
      <c r="C15" s="34" t="s">
        <v>6589</v>
      </c>
    </row>
    <row r="16">
      <c r="A16">
        <v>15</v>
      </c>
      <c r="B16" s="34" t="s">
        <v>6610</v>
      </c>
      <c r="C16" s="34" t="s">
        <v>6589</v>
      </c>
    </row>
    <row r="17">
      <c r="A17">
        <v>16</v>
      </c>
      <c r="B17" s="34" t="s">
        <v>6611</v>
      </c>
      <c r="C17" s="34" t="s">
        <v>6589</v>
      </c>
    </row>
    <row r="18">
      <c r="A18">
        <v>17</v>
      </c>
      <c r="B18" s="34" t="s">
        <v>6612</v>
      </c>
      <c r="C18" s="34" t="s">
        <v>6589</v>
      </c>
    </row>
    <row r="19">
      <c r="A19">
        <v>18</v>
      </c>
      <c r="B19" s="34" t="s">
        <v>6613</v>
      </c>
      <c r="C19" s="34" t="s">
        <v>6589</v>
      </c>
    </row>
    <row r="20">
      <c r="A20">
        <v>19</v>
      </c>
      <c r="B20" s="34" t="s">
        <v>6614</v>
      </c>
      <c r="C20" s="34" t="s">
        <v>6589</v>
      </c>
    </row>
    <row r="21">
      <c r="A21">
        <v>20</v>
      </c>
      <c r="B21" s="34" t="s">
        <v>6615</v>
      </c>
      <c r="C21" s="34" t="s">
        <v>6589</v>
      </c>
    </row>
    <row r="22">
      <c r="A22">
        <v>21</v>
      </c>
      <c r="B22" s="34" t="s">
        <v>6616</v>
      </c>
      <c r="C22" s="34" t="s">
        <v>6589</v>
      </c>
    </row>
    <row r="23">
      <c r="A23">
        <v>22</v>
      </c>
      <c r="B23" s="34" t="s">
        <v>6617</v>
      </c>
      <c r="C23" s="34" t="s">
        <v>6589</v>
      </c>
    </row>
    <row r="24">
      <c r="A24">
        <v>23</v>
      </c>
      <c r="B24" s="34" t="s">
        <v>6618</v>
      </c>
      <c r="C24" s="34" t="s">
        <v>6589</v>
      </c>
    </row>
    <row r="25">
      <c r="A25">
        <v>24</v>
      </c>
      <c r="B25" s="34" t="s">
        <v>6619</v>
      </c>
      <c r="C25" s="34" t="s">
        <v>6589</v>
      </c>
    </row>
    <row r="26">
      <c r="A26">
        <v>25</v>
      </c>
      <c r="B26" s="34" t="s">
        <v>6620</v>
      </c>
      <c r="C26" s="34" t="s">
        <v>6589</v>
      </c>
    </row>
    <row r="27">
      <c r="A27">
        <v>26</v>
      </c>
      <c r="B27" s="34" t="s">
        <v>6621</v>
      </c>
      <c r="C27" s="34" t="s">
        <v>6589</v>
      </c>
    </row>
    <row r="28">
      <c r="A28">
        <v>27</v>
      </c>
      <c r="B28" s="34" t="s">
        <v>6622</v>
      </c>
      <c r="C28" s="34" t="s">
        <v>6589</v>
      </c>
    </row>
    <row r="29">
      <c r="A29">
        <v>28</v>
      </c>
      <c r="B29" s="34" t="s">
        <v>6623</v>
      </c>
      <c r="C29" s="34" t="s">
        <v>6589</v>
      </c>
    </row>
    <row r="30">
      <c r="A30">
        <v>29</v>
      </c>
      <c r="B30" s="34" t="s">
        <v>6624</v>
      </c>
      <c r="C30" s="34" t="s">
        <v>6589</v>
      </c>
    </row>
    <row r="31">
      <c r="A31">
        <v>30</v>
      </c>
      <c r="B31" s="34" t="s">
        <v>6625</v>
      </c>
      <c r="C31" s="34" t="s">
        <v>6589</v>
      </c>
    </row>
    <row r="32">
      <c r="A32">
        <v>31</v>
      </c>
      <c r="B32" s="34" t="s">
        <v>6628</v>
      </c>
      <c r="C32" s="34" t="s">
        <v>6589</v>
      </c>
    </row>
    <row r="33">
      <c r="A33">
        <v>32</v>
      </c>
      <c r="B33" s="34" t="s">
        <v>6631</v>
      </c>
      <c r="C33" s="34" t="s">
        <v>6589</v>
      </c>
    </row>
    <row r="34">
      <c r="A34">
        <v>33</v>
      </c>
      <c r="B34" s="45" t="s">
        <v>6634</v>
      </c>
      <c r="C34" s="34" t="s">
        <v>6589</v>
      </c>
    </row>
    <row r="35">
      <c r="A35">
        <v>34</v>
      </c>
      <c r="B35" s="34" t="s">
        <v>6635</v>
      </c>
      <c r="C35" s="34" t="s">
        <v>6589</v>
      </c>
    </row>
    <row r="36">
      <c r="A36">
        <v>35</v>
      </c>
      <c r="B36" s="34" t="s">
        <v>6638</v>
      </c>
      <c r="C36" s="34" t="s">
        <v>6589</v>
      </c>
    </row>
    <row r="37">
      <c r="A37">
        <v>36</v>
      </c>
      <c r="B37" s="34" t="s">
        <v>6641</v>
      </c>
      <c r="C37" s="34" t="s">
        <v>6589</v>
      </c>
    </row>
    <row r="38">
      <c r="A38">
        <v>37</v>
      </c>
      <c r="B38" s="34" t="s">
        <v>6644</v>
      </c>
      <c r="C38" s="34" t="s">
        <v>6589</v>
      </c>
    </row>
    <row r="39">
      <c r="A39">
        <v>38</v>
      </c>
      <c r="B39" s="34" t="s">
        <v>6647</v>
      </c>
      <c r="C39" s="34" t="s">
        <v>6589</v>
      </c>
    </row>
    <row r="40">
      <c r="A40">
        <v>39</v>
      </c>
      <c r="B40" s="34" t="s">
        <v>6650</v>
      </c>
      <c r="C40" s="34" t="s">
        <v>6589</v>
      </c>
    </row>
    <row r="41">
      <c r="A41">
        <v>40</v>
      </c>
      <c r="B41" s="34" t="s">
        <v>6653</v>
      </c>
      <c r="C41" s="34" t="s">
        <v>6589</v>
      </c>
    </row>
    <row r="42">
      <c r="A42">
        <v>41</v>
      </c>
      <c r="B42" s="34" t="s">
        <v>6655</v>
      </c>
      <c r="C42" s="34" t="s">
        <v>6589</v>
      </c>
    </row>
    <row r="43">
      <c r="A43">
        <v>42</v>
      </c>
      <c r="B43" s="34" t="s">
        <v>6658</v>
      </c>
      <c r="C43" s="34" t="s">
        <v>6589</v>
      </c>
    </row>
    <row r="44">
      <c r="A44">
        <v>43</v>
      </c>
      <c r="B44" s="34" t="s">
        <v>6661</v>
      </c>
      <c r="C44" s="34" t="s">
        <v>6589</v>
      </c>
    </row>
    <row r="45">
      <c r="A45">
        <v>44</v>
      </c>
      <c r="B45" s="34" t="s">
        <v>6664</v>
      </c>
      <c r="C45" s="34" t="s">
        <v>6589</v>
      </c>
    </row>
    <row r="46">
      <c r="A46">
        <v>45</v>
      </c>
      <c r="B46" s="34" t="s">
        <v>6667</v>
      </c>
      <c r="C46" s="34" t="s">
        <v>6589</v>
      </c>
    </row>
    <row r="47">
      <c r="A47">
        <v>46</v>
      </c>
      <c r="B47" s="34" t="s">
        <v>6670</v>
      </c>
      <c r="C47" s="34" t="s">
        <v>6589</v>
      </c>
    </row>
    <row r="48">
      <c r="A48">
        <v>47</v>
      </c>
      <c r="B48" s="34" t="s">
        <v>6676</v>
      </c>
      <c r="C48" s="34" t="s">
        <v>6589</v>
      </c>
    </row>
    <row r="49">
      <c r="A49">
        <v>48</v>
      </c>
      <c r="B49" s="34" t="s">
        <v>6680</v>
      </c>
      <c r="C49" s="34" t="s">
        <v>6589</v>
      </c>
    </row>
    <row r="50">
      <c r="A50">
        <v>49</v>
      </c>
      <c r="B50" s="34" t="s">
        <v>6683</v>
      </c>
      <c r="C50" s="34" t="s">
        <v>6589</v>
      </c>
    </row>
    <row r="51">
      <c r="A51">
        <v>50</v>
      </c>
      <c r="B51" s="34" t="s">
        <v>6686</v>
      </c>
      <c r="C51" s="34" t="s">
        <v>6589</v>
      </c>
    </row>
    <row r="52">
      <c r="A52">
        <v>51</v>
      </c>
      <c r="B52" s="34" t="s">
        <v>6690</v>
      </c>
      <c r="C52" s="34" t="s">
        <v>6589</v>
      </c>
    </row>
    <row r="53">
      <c r="A53">
        <v>52</v>
      </c>
      <c r="B53" s="34" t="s">
        <v>6695</v>
      </c>
      <c r="C53" s="34" t="s">
        <v>6589</v>
      </c>
    </row>
    <row r="54">
      <c r="A54">
        <v>53</v>
      </c>
      <c r="B54" s="34" t="s">
        <v>6698</v>
      </c>
      <c r="C54" s="34" t="s">
        <v>6589</v>
      </c>
    </row>
    <row r="55">
      <c r="A55">
        <v>54</v>
      </c>
      <c r="B55" s="34" t="s">
        <v>6703</v>
      </c>
      <c r="C55" s="34" t="s">
        <v>6589</v>
      </c>
    </row>
    <row r="56">
      <c r="A56">
        <v>55</v>
      </c>
      <c r="B56" s="34" t="s">
        <v>6707</v>
      </c>
      <c r="C56" s="34" t="s">
        <v>6589</v>
      </c>
    </row>
    <row r="57">
      <c r="A57">
        <v>56</v>
      </c>
      <c r="B57" s="34" t="s">
        <v>6710</v>
      </c>
      <c r="C57" s="34" t="s">
        <v>6589</v>
      </c>
    </row>
    <row r="58">
      <c r="A58">
        <v>57</v>
      </c>
      <c r="B58" s="34" t="s">
        <v>6715</v>
      </c>
      <c r="C58" s="34" t="s">
        <v>6718</v>
      </c>
    </row>
    <row r="59">
      <c r="A59">
        <v>58</v>
      </c>
      <c r="B59" s="34" t="s">
        <v>6724</v>
      </c>
      <c r="C59" s="34" t="s">
        <v>6718</v>
      </c>
    </row>
    <row r="60">
      <c r="A60">
        <v>59</v>
      </c>
      <c r="B60" s="34" t="s">
        <v>6729</v>
      </c>
      <c r="C60" s="34" t="s">
        <v>6718</v>
      </c>
    </row>
    <row r="61">
      <c r="A61">
        <v>60</v>
      </c>
      <c r="B61" s="34" t="s">
        <v>6730</v>
      </c>
      <c r="C61" s="34" t="s">
        <v>6718</v>
      </c>
    </row>
    <row r="62">
      <c r="A62">
        <v>61</v>
      </c>
      <c r="B62" s="34" t="s">
        <v>6731</v>
      </c>
      <c r="C62" s="34" t="s">
        <v>6718</v>
      </c>
    </row>
    <row r="63">
      <c r="A63">
        <v>62</v>
      </c>
      <c r="B63" s="34" t="s">
        <v>6732</v>
      </c>
      <c r="C63" s="34" t="s">
        <v>6718</v>
      </c>
    </row>
    <row r="64">
      <c r="A64">
        <v>63</v>
      </c>
      <c r="B64" s="34" t="s">
        <v>6733</v>
      </c>
      <c r="C64" s="34" t="s">
        <v>6718</v>
      </c>
    </row>
    <row r="65">
      <c r="A65">
        <v>64</v>
      </c>
      <c r="B65" s="34" t="s">
        <v>6734</v>
      </c>
      <c r="C65" s="34" t="s">
        <v>6718</v>
      </c>
    </row>
    <row r="66">
      <c r="A66">
        <v>65</v>
      </c>
      <c r="B66" s="34" t="s">
        <v>6735</v>
      </c>
      <c r="C66" s="34" t="s">
        <v>6718</v>
      </c>
    </row>
    <row r="67">
      <c r="A67">
        <v>66</v>
      </c>
      <c r="B67" s="34" t="s">
        <v>6736</v>
      </c>
      <c r="C67" s="34" t="s">
        <v>6718</v>
      </c>
    </row>
    <row r="68">
      <c r="A68">
        <v>67</v>
      </c>
      <c r="B68" s="34" t="s">
        <v>6737</v>
      </c>
      <c r="C68" s="34" t="s">
        <v>6718</v>
      </c>
    </row>
    <row r="69">
      <c r="A69">
        <v>68</v>
      </c>
      <c r="B69" s="34" t="s">
        <v>6738</v>
      </c>
      <c r="C69" s="34" t="s">
        <v>6718</v>
      </c>
    </row>
    <row r="70">
      <c r="A70">
        <v>69</v>
      </c>
      <c r="B70" s="34" t="s">
        <v>6739</v>
      </c>
      <c r="C70" s="34" t="s">
        <v>6718</v>
      </c>
    </row>
    <row r="71">
      <c r="A71">
        <v>70</v>
      </c>
      <c r="B71" s="34" t="s">
        <v>6740</v>
      </c>
      <c r="C71" s="34" t="s">
        <v>6718</v>
      </c>
    </row>
    <row r="72">
      <c r="A72">
        <v>71</v>
      </c>
      <c r="B72" s="34" t="s">
        <v>6741</v>
      </c>
      <c r="C72" s="34" t="s">
        <v>6718</v>
      </c>
    </row>
    <row r="73">
      <c r="A73">
        <v>72</v>
      </c>
      <c r="B73" s="34" t="s">
        <v>6742</v>
      </c>
      <c r="C73" s="34" t="s">
        <v>6718</v>
      </c>
    </row>
    <row r="74">
      <c r="A74">
        <v>73</v>
      </c>
      <c r="B74" s="34" t="s">
        <v>6745</v>
      </c>
      <c r="C74" s="34" t="s">
        <v>6718</v>
      </c>
    </row>
    <row r="75">
      <c r="A75">
        <v>74</v>
      </c>
      <c r="B75" s="34" t="s">
        <v>6748</v>
      </c>
      <c r="C75" s="34" t="s">
        <v>6718</v>
      </c>
    </row>
    <row r="76">
      <c r="A76">
        <v>75</v>
      </c>
      <c r="B76" s="34" t="s">
        <v>6751</v>
      </c>
      <c r="C76" s="34" t="s">
        <v>6718</v>
      </c>
    </row>
    <row r="77">
      <c r="A77">
        <v>76</v>
      </c>
      <c r="B77" s="34" t="s">
        <v>6754</v>
      </c>
      <c r="C77" s="34" t="s">
        <v>6718</v>
      </c>
    </row>
    <row r="78">
      <c r="A78">
        <v>77</v>
      </c>
      <c r="B78" s="34" t="s">
        <v>6757</v>
      </c>
      <c r="C78" s="34" t="s">
        <v>6718</v>
      </c>
    </row>
    <row r="79">
      <c r="A79">
        <v>78</v>
      </c>
      <c r="B79" s="34" t="s">
        <v>6760</v>
      </c>
      <c r="C79" s="34" t="s">
        <v>6718</v>
      </c>
    </row>
    <row r="80">
      <c r="A80">
        <v>79</v>
      </c>
      <c r="B80" s="34" t="s">
        <v>6763</v>
      </c>
      <c r="C80" s="34" t="s">
        <v>6718</v>
      </c>
    </row>
    <row r="81">
      <c r="A81">
        <v>80</v>
      </c>
      <c r="B81" s="34" t="s">
        <v>6766</v>
      </c>
      <c r="C81" s="34" t="s">
        <v>6718</v>
      </c>
    </row>
    <row r="82">
      <c r="A82">
        <v>81</v>
      </c>
      <c r="B82" s="34" t="s">
        <v>6769</v>
      </c>
      <c r="C82" s="34" t="s">
        <v>6718</v>
      </c>
    </row>
    <row r="83">
      <c r="A83">
        <v>82</v>
      </c>
      <c r="B83" s="34" t="s">
        <v>6772</v>
      </c>
      <c r="C83" s="34" t="s">
        <v>6718</v>
      </c>
    </row>
    <row r="84">
      <c r="A84">
        <v>83</v>
      </c>
      <c r="B84" s="34" t="s">
        <v>6775</v>
      </c>
      <c r="C84" s="34" t="s">
        <v>6718</v>
      </c>
    </row>
    <row r="85">
      <c r="A85">
        <v>84</v>
      </c>
      <c r="B85" s="34" t="s">
        <v>6777</v>
      </c>
      <c r="C85" s="34" t="s">
        <v>6718</v>
      </c>
    </row>
    <row r="86">
      <c r="A86">
        <v>85</v>
      </c>
      <c r="B86" s="34" t="s">
        <v>6780</v>
      </c>
      <c r="C86" s="34" t="s">
        <v>6718</v>
      </c>
    </row>
    <row r="87">
      <c r="A87">
        <v>86</v>
      </c>
      <c r="B87" s="34" t="s">
        <v>6783</v>
      </c>
      <c r="C87" s="34" t="s">
        <v>6718</v>
      </c>
    </row>
    <row r="88">
      <c r="A88">
        <v>87</v>
      </c>
      <c r="B88" s="34" t="s">
        <v>6785</v>
      </c>
      <c r="C88" s="34" t="s">
        <v>6718</v>
      </c>
    </row>
    <row r="89">
      <c r="A89">
        <v>88</v>
      </c>
      <c r="B89" s="34" t="s">
        <v>6789</v>
      </c>
      <c r="C89" s="34" t="s">
        <v>6718</v>
      </c>
    </row>
    <row r="90">
      <c r="A90">
        <v>89</v>
      </c>
      <c r="B90" s="34" t="s">
        <v>6793</v>
      </c>
      <c r="C90" s="34" t="s">
        <v>6718</v>
      </c>
    </row>
    <row r="91">
      <c r="A91">
        <v>90</v>
      </c>
      <c r="B91" s="34" t="s">
        <v>6797</v>
      </c>
      <c r="C91" s="34" t="s">
        <v>6718</v>
      </c>
    </row>
    <row r="92">
      <c r="A92">
        <v>91</v>
      </c>
      <c r="B92" s="34" t="s">
        <v>6801</v>
      </c>
      <c r="C92" s="34" t="s">
        <v>6718</v>
      </c>
    </row>
    <row r="93">
      <c r="A93">
        <v>92</v>
      </c>
      <c r="B93" s="34" t="s">
        <v>6805</v>
      </c>
      <c r="C93" s="34" t="s">
        <v>6718</v>
      </c>
    </row>
    <row r="94">
      <c r="A94">
        <v>93</v>
      </c>
      <c r="B94" s="34" t="s">
        <v>6809</v>
      </c>
      <c r="C94" s="34" t="s">
        <v>6718</v>
      </c>
    </row>
    <row r="95">
      <c r="A95">
        <v>94</v>
      </c>
      <c r="B95" s="34" t="s">
        <v>6812</v>
      </c>
      <c r="C95" s="34" t="s">
        <v>6718</v>
      </c>
    </row>
    <row r="96">
      <c r="A96">
        <v>95</v>
      </c>
      <c r="B96" s="34" t="s">
        <v>6815</v>
      </c>
      <c r="C96" s="34" t="s">
        <v>6718</v>
      </c>
    </row>
    <row r="97">
      <c r="A97">
        <v>96</v>
      </c>
      <c r="B97" s="34" t="s">
        <v>6820</v>
      </c>
      <c r="C97" s="34" t="s">
        <v>6718</v>
      </c>
    </row>
    <row r="98">
      <c r="A98">
        <v>97</v>
      </c>
      <c r="B98" s="34" t="s">
        <v>6822</v>
      </c>
      <c r="C98" s="34" t="s">
        <v>6718</v>
      </c>
    </row>
    <row r="99">
      <c r="A99">
        <v>98</v>
      </c>
      <c r="B99" s="34" t="s">
        <v>6826</v>
      </c>
      <c r="C99" s="34" t="s">
        <v>6718</v>
      </c>
    </row>
    <row r="100">
      <c r="A100">
        <v>99</v>
      </c>
      <c r="B100" s="34" t="s">
        <v>6829</v>
      </c>
      <c r="C100" s="34" t="s">
        <v>6718</v>
      </c>
    </row>
    <row r="101">
      <c r="A101">
        <v>100</v>
      </c>
      <c r="B101" s="34" t="s">
        <v>6832</v>
      </c>
      <c r="C101" s="34" t="s">
        <v>6718</v>
      </c>
    </row>
    <row r="102">
      <c r="A102">
        <v>101</v>
      </c>
      <c r="B102" s="34" t="s">
        <v>6837</v>
      </c>
      <c r="C102" s="34" t="s">
        <v>6718</v>
      </c>
    </row>
    <row r="103">
      <c r="A103">
        <v>102</v>
      </c>
      <c r="B103" s="34" t="s">
        <v>6842</v>
      </c>
      <c r="C103" s="34" t="s">
        <v>6718</v>
      </c>
    </row>
    <row r="104">
      <c r="A104">
        <v>103</v>
      </c>
      <c r="B104" s="34" t="s">
        <v>6846</v>
      </c>
      <c r="C104" s="34" t="s">
        <v>6718</v>
      </c>
    </row>
    <row r="105">
      <c r="A105">
        <v>104</v>
      </c>
      <c r="B105" s="34" t="s">
        <v>6850</v>
      </c>
      <c r="C105" s="34" t="s">
        <v>6718</v>
      </c>
    </row>
    <row r="106">
      <c r="A106">
        <v>105</v>
      </c>
      <c r="B106" s="34" t="s">
        <v>6852</v>
      </c>
      <c r="C106" s="34" t="s">
        <v>6718</v>
      </c>
    </row>
    <row r="107">
      <c r="A107">
        <v>106</v>
      </c>
      <c r="B107" s="34" t="s">
        <v>6856</v>
      </c>
      <c r="C107" s="34" t="s">
        <v>6718</v>
      </c>
    </row>
    <row r="108">
      <c r="A108">
        <v>107</v>
      </c>
      <c r="B108" s="34" t="s">
        <v>6861</v>
      </c>
      <c r="C108" s="34" t="s">
        <v>6718</v>
      </c>
    </row>
    <row r="109">
      <c r="A109">
        <v>108</v>
      </c>
      <c r="B109" s="34" t="s">
        <v>6865</v>
      </c>
      <c r="C109" s="34" t="s">
        <v>6718</v>
      </c>
    </row>
    <row r="110">
      <c r="A110">
        <v>109</v>
      </c>
      <c r="B110" s="34" t="s">
        <v>6870</v>
      </c>
      <c r="C110" s="34" t="s">
        <v>6718</v>
      </c>
    </row>
    <row r="111">
      <c r="A111">
        <v>110</v>
      </c>
      <c r="B111" s="34" t="s">
        <v>6874</v>
      </c>
      <c r="C111" s="34" t="s">
        <v>6718</v>
      </c>
    </row>
    <row r="112">
      <c r="A112">
        <v>111</v>
      </c>
      <c r="B112" s="34" t="s">
        <v>6877</v>
      </c>
      <c r="C112" s="34" t="s">
        <v>6718</v>
      </c>
    </row>
    <row r="113">
      <c r="A113">
        <v>112</v>
      </c>
      <c r="B113" s="34" t="s">
        <v>6881</v>
      </c>
      <c r="C113" s="34" t="s">
        <v>6718</v>
      </c>
    </row>
    <row r="114">
      <c r="A114">
        <v>113</v>
      </c>
      <c r="B114" s="34" t="s">
        <v>6884</v>
      </c>
      <c r="C114" s="34" t="s">
        <v>6718</v>
      </c>
    </row>
    <row r="115">
      <c r="A115">
        <v>114</v>
      </c>
      <c r="B115" s="34" t="s">
        <v>6887</v>
      </c>
      <c r="C115" s="34" t="s">
        <v>6718</v>
      </c>
    </row>
    <row r="116">
      <c r="A116">
        <v>115</v>
      </c>
      <c r="B116" s="34" t="s">
        <v>6890</v>
      </c>
      <c r="C116" s="34" t="s">
        <v>6718</v>
      </c>
    </row>
    <row r="117">
      <c r="A117">
        <v>116</v>
      </c>
      <c r="B117" s="34" t="s">
        <v>6894</v>
      </c>
      <c r="C117" s="34" t="s">
        <v>6718</v>
      </c>
    </row>
    <row r="118">
      <c r="A118">
        <v>117</v>
      </c>
      <c r="B118" s="34" t="s">
        <v>6898</v>
      </c>
      <c r="C118" s="34" t="s">
        <v>6718</v>
      </c>
    </row>
    <row r="119">
      <c r="A119">
        <v>118</v>
      </c>
      <c r="B119" s="34" t="s">
        <v>6901</v>
      </c>
      <c r="C119" s="34" t="s">
        <v>6718</v>
      </c>
    </row>
    <row r="120">
      <c r="A120">
        <v>119</v>
      </c>
      <c r="B120" s="34" t="s">
        <v>6904</v>
      </c>
      <c r="C120" s="34" t="s">
        <v>6718</v>
      </c>
    </row>
    <row r="121">
      <c r="A121">
        <v>120</v>
      </c>
      <c r="B121" s="34" t="s">
        <v>6906</v>
      </c>
      <c r="C121" s="34" t="s">
        <v>103</v>
      </c>
    </row>
    <row r="122">
      <c r="A122">
        <v>121</v>
      </c>
      <c r="B122" s="34" t="s">
        <v>6907</v>
      </c>
      <c r="C122" s="34" t="s">
        <v>103</v>
      </c>
    </row>
    <row r="123">
      <c r="A123">
        <v>122</v>
      </c>
      <c r="B123" s="34" t="s">
        <v>6908</v>
      </c>
      <c r="C123" s="34" t="s">
        <v>103</v>
      </c>
    </row>
    <row r="124">
      <c r="A124">
        <v>123</v>
      </c>
      <c r="B124" s="34" t="s">
        <v>6909</v>
      </c>
      <c r="C124" s="34" t="s">
        <v>103</v>
      </c>
    </row>
    <row r="125">
      <c r="A125">
        <v>124</v>
      </c>
      <c r="B125" s="34" t="s">
        <v>6910</v>
      </c>
      <c r="C125" s="34" t="s">
        <v>103</v>
      </c>
    </row>
    <row r="126">
      <c r="A126">
        <v>125</v>
      </c>
      <c r="B126" s="34" t="s">
        <v>6911</v>
      </c>
      <c r="C126" s="34" t="s">
        <v>103</v>
      </c>
    </row>
    <row r="127">
      <c r="A127">
        <v>126</v>
      </c>
      <c r="B127" s="34" t="s">
        <v>6912</v>
      </c>
      <c r="C127" s="34" t="s">
        <v>103</v>
      </c>
    </row>
    <row r="128">
      <c r="A128">
        <v>127</v>
      </c>
      <c r="B128" s="34" t="s">
        <v>6913</v>
      </c>
      <c r="C128" s="34" t="s">
        <v>103</v>
      </c>
    </row>
    <row r="129">
      <c r="A129">
        <v>128</v>
      </c>
      <c r="B129" s="34" t="s">
        <v>6914</v>
      </c>
      <c r="C129" s="34" t="s">
        <v>103</v>
      </c>
    </row>
    <row r="130">
      <c r="A130">
        <v>129</v>
      </c>
      <c r="B130" s="34" t="s">
        <v>6915</v>
      </c>
      <c r="C130" s="34" t="s">
        <v>103</v>
      </c>
    </row>
    <row r="131">
      <c r="A131">
        <v>130</v>
      </c>
      <c r="B131" s="34" t="s">
        <v>6916</v>
      </c>
      <c r="C131" s="34" t="s">
        <v>103</v>
      </c>
    </row>
    <row r="132">
      <c r="A132">
        <v>131</v>
      </c>
      <c r="B132" s="34" t="s">
        <v>6917</v>
      </c>
      <c r="C132" s="34" t="s">
        <v>103</v>
      </c>
    </row>
    <row r="133">
      <c r="A133">
        <v>132</v>
      </c>
      <c r="B133" s="34" t="s">
        <v>6918</v>
      </c>
      <c r="C133" s="34" t="s">
        <v>103</v>
      </c>
    </row>
    <row r="134">
      <c r="A134">
        <v>133</v>
      </c>
      <c r="B134" s="34" t="s">
        <v>6919</v>
      </c>
      <c r="C134" s="34" t="s">
        <v>103</v>
      </c>
    </row>
    <row r="135">
      <c r="A135">
        <v>134</v>
      </c>
      <c r="B135" s="34" t="s">
        <v>6920</v>
      </c>
      <c r="C135" s="34" t="s">
        <v>103</v>
      </c>
    </row>
    <row r="136">
      <c r="A136">
        <v>135</v>
      </c>
      <c r="B136" s="34" t="s">
        <v>6921</v>
      </c>
      <c r="C136" s="34" t="s">
        <v>103</v>
      </c>
    </row>
    <row r="137">
      <c r="A137">
        <v>136</v>
      </c>
      <c r="B137" s="34" t="s">
        <v>6922</v>
      </c>
      <c r="C137" s="34" t="s">
        <v>103</v>
      </c>
    </row>
    <row r="138">
      <c r="A138">
        <v>137</v>
      </c>
      <c r="B138" s="34" t="s">
        <v>6923</v>
      </c>
      <c r="C138" s="34" t="s">
        <v>103</v>
      </c>
    </row>
    <row r="139">
      <c r="A139">
        <v>138</v>
      </c>
      <c r="B139" s="34" t="s">
        <v>6924</v>
      </c>
      <c r="C139" s="34" t="s">
        <v>103</v>
      </c>
    </row>
    <row r="140">
      <c r="A140">
        <v>139</v>
      </c>
      <c r="B140" s="34" t="s">
        <v>6925</v>
      </c>
      <c r="C140" s="34" t="s">
        <v>103</v>
      </c>
    </row>
    <row r="141">
      <c r="A141">
        <v>140</v>
      </c>
      <c r="B141" s="34" t="s">
        <v>6926</v>
      </c>
      <c r="C141" s="34" t="s">
        <v>103</v>
      </c>
    </row>
    <row r="142">
      <c r="A142">
        <v>141</v>
      </c>
      <c r="B142" s="34" t="s">
        <v>6927</v>
      </c>
      <c r="C142" s="34" t="s">
        <v>103</v>
      </c>
    </row>
    <row r="143">
      <c r="A143">
        <v>142</v>
      </c>
      <c r="B143" s="34" t="s">
        <v>6930</v>
      </c>
      <c r="C143" s="34" t="s">
        <v>103</v>
      </c>
    </row>
    <row r="144">
      <c r="A144">
        <v>143</v>
      </c>
      <c r="B144" s="34" t="s">
        <v>6931</v>
      </c>
      <c r="C144" s="34" t="s">
        <v>103</v>
      </c>
    </row>
    <row r="145">
      <c r="A145">
        <v>144</v>
      </c>
      <c r="B145" s="34" t="s">
        <v>6934</v>
      </c>
      <c r="C145" s="34" t="s">
        <v>103</v>
      </c>
    </row>
    <row r="146">
      <c r="A146">
        <v>145</v>
      </c>
      <c r="B146" s="34" t="s">
        <v>6937</v>
      </c>
      <c r="C146" s="34" t="s">
        <v>103</v>
      </c>
    </row>
    <row r="147">
      <c r="A147">
        <v>146</v>
      </c>
      <c r="B147" s="34" t="s">
        <v>6940</v>
      </c>
      <c r="C147" s="34" t="s">
        <v>103</v>
      </c>
    </row>
    <row r="148">
      <c r="A148">
        <v>147</v>
      </c>
      <c r="B148" s="34" t="s">
        <v>6943</v>
      </c>
      <c r="C148" s="34" t="s">
        <v>103</v>
      </c>
    </row>
    <row r="149">
      <c r="A149">
        <v>148</v>
      </c>
      <c r="B149" s="34" t="s">
        <v>6945</v>
      </c>
      <c r="C149" s="34" t="s">
        <v>103</v>
      </c>
    </row>
    <row r="150">
      <c r="A150">
        <v>149</v>
      </c>
      <c r="B150" s="34" t="s">
        <v>6948</v>
      </c>
      <c r="C150" s="34" t="s">
        <v>103</v>
      </c>
    </row>
    <row r="151">
      <c r="A151">
        <v>150</v>
      </c>
      <c r="B151" s="34" t="s">
        <v>6951</v>
      </c>
      <c r="C151" s="34" t="s">
        <v>103</v>
      </c>
    </row>
    <row r="152">
      <c r="A152">
        <v>151</v>
      </c>
      <c r="B152" s="34" t="s">
        <v>100</v>
      </c>
      <c r="C152" s="34" t="s">
        <v>103</v>
      </c>
    </row>
    <row r="153">
      <c r="A153">
        <v>152</v>
      </c>
      <c r="B153" s="34" t="s">
        <v>6955</v>
      </c>
      <c r="C153" s="34" t="s">
        <v>103</v>
      </c>
    </row>
    <row r="154">
      <c r="A154">
        <v>153</v>
      </c>
      <c r="B154" s="34" t="s">
        <v>6959</v>
      </c>
      <c r="C154" s="34" t="s">
        <v>103</v>
      </c>
    </row>
    <row r="155">
      <c r="A155">
        <v>154</v>
      </c>
      <c r="B155" s="34" t="s">
        <v>6960</v>
      </c>
      <c r="C155" s="34" t="s">
        <v>103</v>
      </c>
    </row>
    <row r="156">
      <c r="A156">
        <v>155</v>
      </c>
      <c r="B156" s="34" t="s">
        <v>6964</v>
      </c>
      <c r="C156" s="34" t="s">
        <v>103</v>
      </c>
    </row>
    <row r="157">
      <c r="A157">
        <v>156</v>
      </c>
      <c r="B157" s="34" t="s">
        <v>6968</v>
      </c>
      <c r="C157" s="34" t="s">
        <v>103</v>
      </c>
    </row>
    <row r="158">
      <c r="A158">
        <v>157</v>
      </c>
      <c r="B158" s="34" t="s">
        <v>6971</v>
      </c>
      <c r="C158" s="34" t="s">
        <v>103</v>
      </c>
    </row>
    <row r="159">
      <c r="A159">
        <v>158</v>
      </c>
      <c r="B159" s="34" t="s">
        <v>6974</v>
      </c>
      <c r="C159" s="34" t="s">
        <v>103</v>
      </c>
    </row>
    <row r="160">
      <c r="A160">
        <v>159</v>
      </c>
      <c r="B160" s="34" t="s">
        <v>6978</v>
      </c>
      <c r="C160" s="34" t="s">
        <v>103</v>
      </c>
    </row>
    <row r="161">
      <c r="A161">
        <v>160</v>
      </c>
      <c r="B161" s="34" t="s">
        <v>6981</v>
      </c>
      <c r="C161" s="34" t="s">
        <v>103</v>
      </c>
    </row>
    <row r="162">
      <c r="A162">
        <v>161</v>
      </c>
      <c r="B162" s="34" t="s">
        <v>6984</v>
      </c>
      <c r="C162" s="34" t="s">
        <v>103</v>
      </c>
    </row>
    <row r="163">
      <c r="A163">
        <v>162</v>
      </c>
      <c r="B163" s="34" t="s">
        <v>6987</v>
      </c>
      <c r="C163" s="34" t="s">
        <v>103</v>
      </c>
    </row>
    <row r="164">
      <c r="A164">
        <v>163</v>
      </c>
      <c r="B164" s="34" t="s">
        <v>6990</v>
      </c>
      <c r="C164" s="34" t="s">
        <v>103</v>
      </c>
    </row>
    <row r="165">
      <c r="A165">
        <v>164</v>
      </c>
      <c r="B165" s="34" t="s">
        <v>6993</v>
      </c>
      <c r="C165" s="34" t="s">
        <v>103</v>
      </c>
    </row>
    <row r="166">
      <c r="A166">
        <v>165</v>
      </c>
      <c r="B166" s="34" t="s">
        <v>6996</v>
      </c>
      <c r="C166" s="34" t="s">
        <v>103</v>
      </c>
    </row>
    <row r="167">
      <c r="A167">
        <v>166</v>
      </c>
      <c r="B167" s="34" t="s">
        <v>6997</v>
      </c>
      <c r="C167" s="34" t="s">
        <v>103</v>
      </c>
    </row>
    <row r="168">
      <c r="A168">
        <v>167</v>
      </c>
      <c r="B168" s="34" t="s">
        <v>7000</v>
      </c>
      <c r="C168" s="34" t="s">
        <v>103</v>
      </c>
    </row>
    <row r="169">
      <c r="A169">
        <v>168</v>
      </c>
      <c r="B169" s="34" t="s">
        <v>7003</v>
      </c>
      <c r="C169" s="34" t="s">
        <v>103</v>
      </c>
    </row>
    <row r="170">
      <c r="A170">
        <v>169</v>
      </c>
      <c r="B170" s="34" t="s">
        <v>7006</v>
      </c>
      <c r="C170" s="34" t="s">
        <v>103</v>
      </c>
    </row>
    <row r="171">
      <c r="A171">
        <v>170</v>
      </c>
      <c r="B171" s="34" t="s">
        <v>7009</v>
      </c>
      <c r="C171" s="34" t="s">
        <v>103</v>
      </c>
    </row>
    <row r="172">
      <c r="A172">
        <v>171</v>
      </c>
      <c r="B172" s="34" t="s">
        <v>7012</v>
      </c>
      <c r="C172" s="34" t="s">
        <v>103</v>
      </c>
    </row>
    <row r="173">
      <c r="A173">
        <v>172</v>
      </c>
      <c r="B173" s="34" t="s">
        <v>7015</v>
      </c>
      <c r="C173" s="34" t="s">
        <v>103</v>
      </c>
    </row>
    <row r="174">
      <c r="A174">
        <v>173</v>
      </c>
      <c r="B174" s="34" t="s">
        <v>7018</v>
      </c>
      <c r="C174" s="34" t="s">
        <v>103</v>
      </c>
    </row>
    <row r="175">
      <c r="A175">
        <v>174</v>
      </c>
      <c r="B175" s="34" t="s">
        <v>7020</v>
      </c>
      <c r="C175" s="34" t="s">
        <v>103</v>
      </c>
    </row>
    <row r="176">
      <c r="A176">
        <v>175</v>
      </c>
      <c r="B176" s="34" t="s">
        <v>7023</v>
      </c>
      <c r="C176" s="34" t="s">
        <v>103</v>
      </c>
    </row>
    <row r="177">
      <c r="A177">
        <v>176</v>
      </c>
      <c r="B177" s="34" t="s">
        <v>659</v>
      </c>
      <c r="C177" s="34" t="s">
        <v>103</v>
      </c>
    </row>
    <row r="178">
      <c r="A178">
        <v>177</v>
      </c>
      <c r="B178" s="34" t="s">
        <v>663</v>
      </c>
      <c r="C178" s="34" t="s">
        <v>103</v>
      </c>
    </row>
    <row r="179">
      <c r="A179">
        <v>178</v>
      </c>
      <c r="B179" s="34" t="s">
        <v>7026</v>
      </c>
      <c r="C179" s="34" t="s">
        <v>103</v>
      </c>
    </row>
    <row r="180">
      <c r="A180">
        <v>179</v>
      </c>
      <c r="B180" s="34" t="s">
        <v>7027</v>
      </c>
      <c r="C180" s="34" t="s">
        <v>103</v>
      </c>
    </row>
    <row r="181">
      <c r="A181">
        <v>180</v>
      </c>
      <c r="B181" s="34" t="s">
        <v>7028</v>
      </c>
      <c r="C181" s="34" t="s">
        <v>103</v>
      </c>
    </row>
    <row r="182">
      <c r="A182">
        <v>181</v>
      </c>
      <c r="B182" s="34" t="s">
        <v>7029</v>
      </c>
      <c r="C182" s="34" t="s">
        <v>103</v>
      </c>
    </row>
    <row r="183">
      <c r="A183">
        <v>182</v>
      </c>
      <c r="B183" s="34" t="s">
        <v>7031</v>
      </c>
      <c r="C183" s="34" t="s">
        <v>103</v>
      </c>
    </row>
    <row r="184">
      <c r="A184">
        <v>183</v>
      </c>
      <c r="B184" s="34" t="s">
        <v>7034</v>
      </c>
      <c r="C184" s="34" t="s">
        <v>103</v>
      </c>
    </row>
    <row r="185">
      <c r="A185">
        <v>184</v>
      </c>
      <c r="B185" s="34" t="s">
        <v>7037</v>
      </c>
      <c r="C185" s="34" t="s">
        <v>103</v>
      </c>
    </row>
    <row r="186">
      <c r="A186">
        <v>185</v>
      </c>
      <c r="B186" s="34" t="s">
        <v>7040</v>
      </c>
      <c r="C186" s="34" t="s">
        <v>103</v>
      </c>
    </row>
    <row r="187">
      <c r="A187">
        <v>186</v>
      </c>
      <c r="B187" s="46" t="s">
        <v>7043</v>
      </c>
      <c r="C187" s="34" t="s">
        <v>103</v>
      </c>
    </row>
    <row r="188">
      <c r="A188">
        <v>187</v>
      </c>
      <c r="B188" s="34" t="s">
        <v>7044</v>
      </c>
      <c r="C188" s="34" t="s">
        <v>103</v>
      </c>
    </row>
    <row r="189">
      <c r="A189">
        <v>188</v>
      </c>
      <c r="B189" s="34" t="s">
        <v>7047</v>
      </c>
      <c r="C189" s="34" t="s">
        <v>103</v>
      </c>
    </row>
    <row r="190">
      <c r="A190">
        <v>189</v>
      </c>
      <c r="B190" s="34" t="s">
        <v>7050</v>
      </c>
      <c r="C190" s="34" t="s">
        <v>335</v>
      </c>
    </row>
    <row r="191">
      <c r="A191">
        <v>190</v>
      </c>
      <c r="B191" s="34" t="s">
        <v>7054</v>
      </c>
      <c r="C191" s="34" t="s">
        <v>335</v>
      </c>
    </row>
    <row r="192">
      <c r="A192">
        <v>191</v>
      </c>
      <c r="B192" s="34" t="s">
        <v>7055</v>
      </c>
      <c r="C192" s="34" t="s">
        <v>335</v>
      </c>
    </row>
    <row r="193">
      <c r="A193">
        <v>192</v>
      </c>
      <c r="B193" s="34" t="s">
        <v>7056</v>
      </c>
      <c r="C193" s="34" t="s">
        <v>335</v>
      </c>
    </row>
    <row r="194">
      <c r="A194">
        <v>193</v>
      </c>
      <c r="B194" s="34" t="s">
        <v>7057</v>
      </c>
      <c r="C194" s="34" t="s">
        <v>335</v>
      </c>
    </row>
    <row r="195">
      <c r="A195">
        <v>194</v>
      </c>
      <c r="B195" s="34" t="s">
        <v>7058</v>
      </c>
      <c r="C195" s="34" t="s">
        <v>335</v>
      </c>
    </row>
    <row r="196">
      <c r="A196">
        <v>195</v>
      </c>
      <c r="B196" s="34" t="s">
        <v>7059</v>
      </c>
      <c r="C196" s="34" t="s">
        <v>335</v>
      </c>
    </row>
    <row r="197">
      <c r="A197">
        <v>196</v>
      </c>
      <c r="B197" s="34" t="s">
        <v>7062</v>
      </c>
      <c r="C197" s="34" t="s">
        <v>335</v>
      </c>
    </row>
    <row r="198">
      <c r="A198">
        <v>197</v>
      </c>
      <c r="B198" s="34" t="s">
        <v>7065</v>
      </c>
      <c r="C198" s="34" t="s">
        <v>335</v>
      </c>
    </row>
    <row r="199">
      <c r="A199">
        <v>198</v>
      </c>
      <c r="B199" s="34" t="s">
        <v>7068</v>
      </c>
      <c r="C199" s="34" t="s">
        <v>335</v>
      </c>
    </row>
    <row r="200">
      <c r="A200">
        <v>199</v>
      </c>
      <c r="B200" s="34" t="s">
        <v>7071</v>
      </c>
      <c r="C200" s="34" t="s">
        <v>335</v>
      </c>
    </row>
    <row r="201">
      <c r="A201">
        <v>200</v>
      </c>
      <c r="B201" s="34" t="s">
        <v>7074</v>
      </c>
      <c r="C201" s="34" t="s">
        <v>335</v>
      </c>
    </row>
    <row r="202">
      <c r="A202">
        <v>201</v>
      </c>
      <c r="B202" s="34" t="s">
        <v>7075</v>
      </c>
      <c r="C202" s="34" t="s">
        <v>335</v>
      </c>
    </row>
    <row r="203">
      <c r="A203">
        <v>202</v>
      </c>
      <c r="B203" s="34" t="s">
        <v>7078</v>
      </c>
      <c r="C203" s="34" t="s">
        <v>335</v>
      </c>
    </row>
    <row r="204">
      <c r="A204">
        <v>203</v>
      </c>
      <c r="B204" s="34" t="s">
        <v>7081</v>
      </c>
      <c r="C204" s="34" t="s">
        <v>335</v>
      </c>
    </row>
    <row r="205">
      <c r="A205">
        <v>204</v>
      </c>
      <c r="B205" s="34" t="s">
        <v>7085</v>
      </c>
      <c r="C205" s="34" t="s">
        <v>335</v>
      </c>
    </row>
    <row r="206">
      <c r="A206">
        <v>205</v>
      </c>
      <c r="B206" s="34" t="s">
        <v>7089</v>
      </c>
      <c r="C206" s="34" t="s">
        <v>335</v>
      </c>
    </row>
    <row r="207">
      <c r="A207">
        <v>206</v>
      </c>
      <c r="B207" s="34" t="s">
        <v>7093</v>
      </c>
      <c r="C207" s="34" t="s">
        <v>335</v>
      </c>
    </row>
    <row r="208">
      <c r="A208">
        <v>207</v>
      </c>
      <c r="B208" s="34" t="s">
        <v>7097</v>
      </c>
      <c r="C208" s="34" t="s">
        <v>335</v>
      </c>
    </row>
    <row r="209">
      <c r="A209">
        <v>208</v>
      </c>
      <c r="B209" s="34" t="s">
        <v>7101</v>
      </c>
      <c r="C209" s="34" t="s">
        <v>335</v>
      </c>
    </row>
    <row r="210">
      <c r="A210">
        <v>209</v>
      </c>
      <c r="B210" s="34" t="s">
        <v>7105</v>
      </c>
      <c r="C210" s="34" t="s">
        <v>335</v>
      </c>
    </row>
    <row r="211">
      <c r="A211">
        <v>210</v>
      </c>
      <c r="B211" s="34" t="s">
        <v>7109</v>
      </c>
      <c r="C211" s="34" t="s">
        <v>335</v>
      </c>
    </row>
    <row r="212">
      <c r="A212">
        <v>211</v>
      </c>
      <c r="B212" s="34" t="s">
        <v>7113</v>
      </c>
      <c r="C212" s="34" t="s">
        <v>335</v>
      </c>
    </row>
    <row r="213">
      <c r="A213">
        <v>212</v>
      </c>
      <c r="B213" s="34" t="s">
        <v>7117</v>
      </c>
      <c r="C213" s="34" t="s">
        <v>335</v>
      </c>
    </row>
    <row r="214">
      <c r="A214">
        <v>213</v>
      </c>
      <c r="B214" s="34" t="s">
        <v>7121</v>
      </c>
      <c r="C214" s="34" t="s">
        <v>335</v>
      </c>
    </row>
    <row r="215">
      <c r="A215">
        <v>214</v>
      </c>
      <c r="B215" s="34" t="s">
        <v>7124</v>
      </c>
      <c r="C215" s="34" t="s">
        <v>335</v>
      </c>
    </row>
    <row r="216">
      <c r="A216">
        <v>215</v>
      </c>
      <c r="B216" s="34" t="s">
        <v>7127</v>
      </c>
      <c r="C216" s="34" t="s">
        <v>335</v>
      </c>
    </row>
    <row r="217">
      <c r="A217">
        <v>216</v>
      </c>
      <c r="B217" s="34" t="s">
        <v>7130</v>
      </c>
      <c r="C217" s="34" t="s">
        <v>335</v>
      </c>
    </row>
    <row r="218">
      <c r="A218">
        <v>217</v>
      </c>
      <c r="B218" s="34" t="s">
        <v>7134</v>
      </c>
      <c r="C218" s="34" t="s">
        <v>7137</v>
      </c>
    </row>
    <row r="219">
      <c r="A219">
        <v>218</v>
      </c>
      <c r="B219" s="34" t="s">
        <v>7138</v>
      </c>
      <c r="C219" s="34" t="s">
        <v>7137</v>
      </c>
    </row>
    <row r="220">
      <c r="A220">
        <v>219</v>
      </c>
      <c r="B220" s="34" t="s">
        <v>7141</v>
      </c>
      <c r="C220" s="34" t="s">
        <v>7137</v>
      </c>
    </row>
    <row r="221">
      <c r="A221">
        <v>220</v>
      </c>
      <c r="B221" s="34" t="s">
        <v>7144</v>
      </c>
      <c r="C221" s="34" t="s">
        <v>7137</v>
      </c>
    </row>
    <row r="222">
      <c r="A222">
        <v>221</v>
      </c>
      <c r="B222" s="34" t="s">
        <v>7147</v>
      </c>
      <c r="C222" s="34" t="s">
        <v>7137</v>
      </c>
    </row>
    <row r="223">
      <c r="A223">
        <v>222</v>
      </c>
      <c r="B223" s="34" t="s">
        <v>7148</v>
      </c>
      <c r="C223" s="34" t="s">
        <v>7137</v>
      </c>
    </row>
    <row r="224">
      <c r="A224">
        <v>223</v>
      </c>
      <c r="B224" s="34" t="s">
        <v>7149</v>
      </c>
      <c r="C224" s="8" t="s">
        <v>7137</v>
      </c>
    </row>
    <row r="225">
      <c r="A225">
        <v>224</v>
      </c>
      <c r="B225" s="34" t="s">
        <v>7150</v>
      </c>
      <c r="C225" s="34" t="s">
        <v>7137</v>
      </c>
    </row>
    <row r="226">
      <c r="A226">
        <v>225</v>
      </c>
      <c r="B226" s="34" t="s">
        <v>7151</v>
      </c>
      <c r="C226" s="34" t="s">
        <v>7137</v>
      </c>
    </row>
    <row r="227">
      <c r="A227">
        <v>226</v>
      </c>
      <c r="B227" s="34" t="s">
        <v>7152</v>
      </c>
      <c r="C227" s="34" t="s">
        <v>7137</v>
      </c>
    </row>
    <row r="228">
      <c r="A228">
        <v>227</v>
      </c>
      <c r="B228" s="34" t="s">
        <v>7153</v>
      </c>
      <c r="C228" s="34" t="s">
        <v>7137</v>
      </c>
    </row>
    <row r="229">
      <c r="A229">
        <v>228</v>
      </c>
      <c r="B229" s="34" t="s">
        <v>7154</v>
      </c>
      <c r="C229" s="34" t="s">
        <v>7137</v>
      </c>
    </row>
    <row r="230">
      <c r="A230">
        <v>229</v>
      </c>
      <c r="B230" s="34" t="s">
        <v>7155</v>
      </c>
      <c r="C230" s="34" t="s">
        <v>7137</v>
      </c>
    </row>
    <row r="231">
      <c r="A231">
        <v>230</v>
      </c>
      <c r="B231" s="34" t="s">
        <v>7156</v>
      </c>
      <c r="C231" s="34" t="s">
        <v>7137</v>
      </c>
    </row>
    <row r="232">
      <c r="A232">
        <v>231</v>
      </c>
      <c r="B232" s="34" t="s">
        <v>7157</v>
      </c>
      <c r="C232" s="34" t="s">
        <v>7137</v>
      </c>
    </row>
    <row r="233">
      <c r="A233">
        <v>232</v>
      </c>
      <c r="B233" s="34" t="s">
        <v>7158</v>
      </c>
      <c r="C233" s="34" t="s">
        <v>7137</v>
      </c>
    </row>
    <row r="234">
      <c r="A234">
        <v>233</v>
      </c>
      <c r="B234" s="34" t="s">
        <v>7159</v>
      </c>
      <c r="C234" s="34" t="s">
        <v>7137</v>
      </c>
    </row>
    <row r="235">
      <c r="A235">
        <v>234</v>
      </c>
      <c r="B235" s="34" t="s">
        <v>7160</v>
      </c>
      <c r="C235" s="34" t="s">
        <v>7137</v>
      </c>
    </row>
    <row r="236">
      <c r="A236">
        <v>235</v>
      </c>
      <c r="B236" s="34" t="s">
        <v>7161</v>
      </c>
      <c r="C236" s="34" t="s">
        <v>7137</v>
      </c>
    </row>
    <row r="237">
      <c r="A237">
        <v>236</v>
      </c>
      <c r="B237" s="34" t="s">
        <v>7162</v>
      </c>
      <c r="C237" s="34" t="s">
        <v>7137</v>
      </c>
    </row>
    <row r="238">
      <c r="A238">
        <v>237</v>
      </c>
      <c r="B238" s="34" t="s">
        <v>7163</v>
      </c>
      <c r="C238" s="34" t="s">
        <v>7137</v>
      </c>
    </row>
    <row r="239">
      <c r="A239">
        <v>238</v>
      </c>
      <c r="B239" s="34" t="s">
        <v>7164</v>
      </c>
      <c r="C239" s="34" t="s">
        <v>7137</v>
      </c>
    </row>
    <row r="240">
      <c r="A240">
        <v>239</v>
      </c>
      <c r="B240" s="34" t="s">
        <v>7165</v>
      </c>
      <c r="C240" s="34" t="s">
        <v>7137</v>
      </c>
    </row>
    <row r="241">
      <c r="A241">
        <v>240</v>
      </c>
      <c r="B241" s="34" t="s">
        <v>7166</v>
      </c>
      <c r="C241" s="34" t="s">
        <v>7137</v>
      </c>
    </row>
    <row r="242">
      <c r="A242">
        <v>241</v>
      </c>
      <c r="B242" s="34" t="s">
        <v>7167</v>
      </c>
      <c r="C242" s="34" t="s">
        <v>7137</v>
      </c>
    </row>
    <row r="243">
      <c r="A243">
        <v>242</v>
      </c>
      <c r="B243" s="34" t="s">
        <v>7168</v>
      </c>
      <c r="C243" s="34" t="s">
        <v>7137</v>
      </c>
    </row>
    <row r="244">
      <c r="A244">
        <v>243</v>
      </c>
      <c r="B244" s="34" t="s">
        <v>7169</v>
      </c>
      <c r="C244" s="34" t="s">
        <v>7137</v>
      </c>
    </row>
    <row r="245">
      <c r="A245">
        <v>244</v>
      </c>
      <c r="B245" s="34" t="s">
        <v>7172</v>
      </c>
      <c r="C245" s="34" t="s">
        <v>7137</v>
      </c>
    </row>
    <row r="246">
      <c r="A246">
        <v>245</v>
      </c>
      <c r="B246" s="34" t="s">
        <v>7175</v>
      </c>
      <c r="C246" s="34" t="s">
        <v>7137</v>
      </c>
    </row>
    <row r="247">
      <c r="A247">
        <v>246</v>
      </c>
      <c r="B247" s="34" t="s">
        <v>7178</v>
      </c>
      <c r="C247" s="34" t="s">
        <v>7137</v>
      </c>
    </row>
    <row r="248">
      <c r="A248">
        <v>247</v>
      </c>
      <c r="B248" s="34" t="s">
        <v>7181</v>
      </c>
      <c r="C248" s="34" t="s">
        <v>7137</v>
      </c>
    </row>
    <row r="249">
      <c r="A249">
        <v>248</v>
      </c>
      <c r="B249" s="34" t="s">
        <v>7184</v>
      </c>
      <c r="C249" s="34" t="s">
        <v>7137</v>
      </c>
    </row>
    <row r="250">
      <c r="A250">
        <v>249</v>
      </c>
      <c r="B250" s="34" t="s">
        <v>7187</v>
      </c>
      <c r="C250" s="34" t="s">
        <v>7137</v>
      </c>
    </row>
    <row r="251">
      <c r="A251">
        <v>250</v>
      </c>
      <c r="B251" s="34" t="s">
        <v>7189</v>
      </c>
      <c r="C251" s="34" t="s">
        <v>7137</v>
      </c>
    </row>
    <row r="252">
      <c r="A252">
        <v>251</v>
      </c>
      <c r="B252" s="34" t="s">
        <v>7192</v>
      </c>
      <c r="C252" s="34" t="s">
        <v>7137</v>
      </c>
    </row>
    <row r="253">
      <c r="A253">
        <v>252</v>
      </c>
      <c r="B253" s="34" t="s">
        <v>7195</v>
      </c>
      <c r="C253" s="34" t="s">
        <v>7137</v>
      </c>
    </row>
    <row r="254">
      <c r="A254">
        <v>253</v>
      </c>
      <c r="B254" s="34" t="s">
        <v>7197</v>
      </c>
      <c r="C254" s="34" t="s">
        <v>7137</v>
      </c>
    </row>
    <row r="255">
      <c r="A255">
        <v>254</v>
      </c>
      <c r="B255" s="34" t="s">
        <v>7199</v>
      </c>
      <c r="C255" s="34" t="s">
        <v>7137</v>
      </c>
    </row>
    <row r="256">
      <c r="A256">
        <v>255</v>
      </c>
      <c r="B256" s="34" t="s">
        <v>7202</v>
      </c>
      <c r="C256" s="34" t="s">
        <v>7137</v>
      </c>
    </row>
    <row r="257">
      <c r="A257">
        <v>256</v>
      </c>
      <c r="B257" s="34" t="s">
        <v>7205</v>
      </c>
      <c r="C257" s="34" t="s">
        <v>7137</v>
      </c>
    </row>
    <row r="258">
      <c r="A258">
        <v>257</v>
      </c>
      <c r="B258" s="34" t="s">
        <v>7207</v>
      </c>
      <c r="C258" s="34" t="s">
        <v>7137</v>
      </c>
    </row>
    <row r="259">
      <c r="A259">
        <v>258</v>
      </c>
      <c r="B259" s="34" t="s">
        <v>7210</v>
      </c>
      <c r="C259" s="34" t="s">
        <v>7137</v>
      </c>
    </row>
    <row r="260">
      <c r="A260">
        <v>259</v>
      </c>
      <c r="B260" s="34" t="s">
        <v>7212</v>
      </c>
      <c r="C260" s="34" t="s">
        <v>7137</v>
      </c>
    </row>
    <row r="261">
      <c r="A261">
        <v>260</v>
      </c>
      <c r="B261" s="34" t="s">
        <v>7215</v>
      </c>
      <c r="C261" s="34" t="s">
        <v>7137</v>
      </c>
    </row>
    <row r="262">
      <c r="A262">
        <v>261</v>
      </c>
      <c r="B262" s="34" t="s">
        <v>7218</v>
      </c>
      <c r="C262" s="34" t="s">
        <v>7137</v>
      </c>
    </row>
    <row r="263">
      <c r="A263">
        <v>262</v>
      </c>
      <c r="B263" s="34" t="s">
        <v>7221</v>
      </c>
      <c r="C263" s="34" t="s">
        <v>7137</v>
      </c>
    </row>
    <row r="264">
      <c r="A264">
        <v>263</v>
      </c>
      <c r="B264" s="45" t="s">
        <v>7224</v>
      </c>
      <c r="C264" s="45" t="s">
        <v>7137</v>
      </c>
    </row>
    <row r="265">
      <c r="A265">
        <v>264</v>
      </c>
      <c r="B265" s="34" t="s">
        <v>7225</v>
      </c>
      <c r="C265" s="34" t="s">
        <v>7137</v>
      </c>
    </row>
    <row r="266">
      <c r="A266">
        <v>265</v>
      </c>
      <c r="B266" s="34" t="s">
        <v>7228</v>
      </c>
      <c r="C266" s="34" t="s">
        <v>7137</v>
      </c>
    </row>
    <row r="267">
      <c r="A267">
        <v>266</v>
      </c>
      <c r="B267" s="34" t="s">
        <v>7231</v>
      </c>
      <c r="C267" s="34" t="s">
        <v>7137</v>
      </c>
    </row>
    <row r="268">
      <c r="A268">
        <v>267</v>
      </c>
      <c r="B268" s="34" t="s">
        <v>7234</v>
      </c>
      <c r="C268" s="34" t="s">
        <v>7137</v>
      </c>
    </row>
    <row r="269">
      <c r="A269">
        <v>268</v>
      </c>
      <c r="B269" s="34" t="s">
        <v>7235</v>
      </c>
      <c r="C269" s="34" t="s">
        <v>7137</v>
      </c>
    </row>
    <row r="270">
      <c r="A270">
        <v>269</v>
      </c>
      <c r="B270" s="34" t="s">
        <v>7238</v>
      </c>
      <c r="C270" s="34" t="s">
        <v>7137</v>
      </c>
    </row>
    <row r="271">
      <c r="A271">
        <v>270</v>
      </c>
      <c r="B271" s="34" t="s">
        <v>7241</v>
      </c>
      <c r="C271" s="34" t="s">
        <v>7137</v>
      </c>
    </row>
    <row r="272">
      <c r="A272">
        <v>271</v>
      </c>
      <c r="B272" s="34" t="s">
        <v>7244</v>
      </c>
      <c r="C272" s="34" t="s">
        <v>7137</v>
      </c>
    </row>
    <row r="273">
      <c r="A273">
        <v>272</v>
      </c>
      <c r="B273" s="34" t="s">
        <v>7247</v>
      </c>
      <c r="C273" s="34" t="s">
        <v>7137</v>
      </c>
    </row>
    <row r="274">
      <c r="A274">
        <v>273</v>
      </c>
      <c r="B274" s="34" t="s">
        <v>7250</v>
      </c>
      <c r="C274" s="34" t="s">
        <v>7137</v>
      </c>
    </row>
    <row r="275">
      <c r="A275">
        <v>274</v>
      </c>
      <c r="B275" s="34" t="s">
        <v>7253</v>
      </c>
      <c r="C275" s="34" t="s">
        <v>7137</v>
      </c>
    </row>
    <row r="276">
      <c r="A276">
        <v>275</v>
      </c>
      <c r="B276" s="34" t="s">
        <v>7256</v>
      </c>
      <c r="C276" s="34" t="s">
        <v>7137</v>
      </c>
    </row>
    <row r="277">
      <c r="A277">
        <v>276</v>
      </c>
      <c r="B277" s="34" t="s">
        <v>7259</v>
      </c>
      <c r="C277" s="34" t="s">
        <v>7137</v>
      </c>
    </row>
    <row r="278">
      <c r="A278">
        <v>277</v>
      </c>
      <c r="B278" s="34" t="s">
        <v>7262</v>
      </c>
      <c r="C278" s="34" t="s">
        <v>7137</v>
      </c>
    </row>
    <row r="279">
      <c r="A279">
        <v>278</v>
      </c>
      <c r="B279" s="34" t="s">
        <v>7264</v>
      </c>
      <c r="C279" s="34" t="s">
        <v>7137</v>
      </c>
    </row>
    <row r="280">
      <c r="A280">
        <v>279</v>
      </c>
      <c r="B280" s="34" t="s">
        <v>7267</v>
      </c>
      <c r="C280" s="34" t="s">
        <v>7137</v>
      </c>
    </row>
    <row r="281">
      <c r="A281">
        <v>280</v>
      </c>
      <c r="B281" s="34" t="s">
        <v>7270</v>
      </c>
      <c r="C281" s="34" t="s">
        <v>7137</v>
      </c>
    </row>
    <row r="282">
      <c r="A282">
        <v>281</v>
      </c>
      <c r="B282" s="34" t="s">
        <v>7273</v>
      </c>
      <c r="C282" s="34" t="s">
        <v>7137</v>
      </c>
    </row>
    <row r="283">
      <c r="A283">
        <v>282</v>
      </c>
      <c r="B283" s="34" t="s">
        <v>7276</v>
      </c>
      <c r="C283" s="34" t="s">
        <v>7137</v>
      </c>
    </row>
    <row r="284">
      <c r="A284">
        <v>283</v>
      </c>
      <c r="B284" s="34" t="s">
        <v>7279</v>
      </c>
      <c r="C284" s="34" t="s">
        <v>7137</v>
      </c>
    </row>
    <row r="285">
      <c r="A285">
        <v>284</v>
      </c>
      <c r="B285" s="34" t="s">
        <v>7282</v>
      </c>
      <c r="C285" s="34" t="s">
        <v>7137</v>
      </c>
    </row>
    <row r="286">
      <c r="A286">
        <v>285</v>
      </c>
      <c r="B286" s="34" t="s">
        <v>7285</v>
      </c>
      <c r="C286" s="34" t="s">
        <v>7137</v>
      </c>
    </row>
    <row r="287">
      <c r="A287">
        <v>286</v>
      </c>
      <c r="B287" s="34" t="s">
        <v>7287</v>
      </c>
      <c r="C287" s="34" t="s">
        <v>7137</v>
      </c>
    </row>
    <row r="288">
      <c r="A288">
        <v>287</v>
      </c>
      <c r="B288" s="46" t="s">
        <v>7289</v>
      </c>
      <c r="C288" s="34" t="s">
        <v>7137</v>
      </c>
    </row>
    <row r="289">
      <c r="A289">
        <v>288</v>
      </c>
      <c r="B289" s="46" t="s">
        <v>7290</v>
      </c>
      <c r="C289" s="34" t="s">
        <v>7137</v>
      </c>
    </row>
    <row r="290">
      <c r="A290">
        <v>289</v>
      </c>
      <c r="B290" s="34" t="s">
        <v>7291</v>
      </c>
      <c r="C290" s="34" t="s">
        <v>7137</v>
      </c>
    </row>
    <row r="291">
      <c r="A291">
        <v>290</v>
      </c>
      <c r="B291" s="34" t="s">
        <v>7294</v>
      </c>
      <c r="C291" s="34" t="s">
        <v>7297</v>
      </c>
    </row>
    <row r="292">
      <c r="A292">
        <v>291</v>
      </c>
      <c r="B292" s="34" t="s">
        <v>7298</v>
      </c>
      <c r="C292" s="34" t="s">
        <v>7297</v>
      </c>
    </row>
    <row r="293">
      <c r="A293">
        <v>292</v>
      </c>
      <c r="B293" s="34" t="s">
        <v>7301</v>
      </c>
      <c r="C293" s="34" t="s">
        <v>7297</v>
      </c>
    </row>
    <row r="294">
      <c r="A294">
        <v>293</v>
      </c>
      <c r="B294" s="34" t="s">
        <v>7302</v>
      </c>
      <c r="C294" s="34" t="s">
        <v>7297</v>
      </c>
    </row>
    <row r="295">
      <c r="A295">
        <v>294</v>
      </c>
      <c r="B295" s="34" t="s">
        <v>7303</v>
      </c>
      <c r="C295" s="34" t="s">
        <v>7297</v>
      </c>
    </row>
    <row r="296">
      <c r="A296">
        <v>295</v>
      </c>
      <c r="B296" s="34" t="s">
        <v>7304</v>
      </c>
      <c r="C296" s="34" t="s">
        <v>7297</v>
      </c>
    </row>
    <row r="297">
      <c r="A297">
        <v>296</v>
      </c>
      <c r="B297" s="34" t="s">
        <v>7305</v>
      </c>
      <c r="C297" s="34" t="s">
        <v>7297</v>
      </c>
    </row>
    <row r="298">
      <c r="A298">
        <v>297</v>
      </c>
      <c r="B298" s="34" t="s">
        <v>7307</v>
      </c>
      <c r="C298" s="34" t="s">
        <v>7297</v>
      </c>
    </row>
    <row r="299">
      <c r="A299">
        <v>298</v>
      </c>
      <c r="B299" s="34" t="s">
        <v>7310</v>
      </c>
      <c r="C299" s="34" t="s">
        <v>7297</v>
      </c>
    </row>
    <row r="300">
      <c r="A300">
        <v>299</v>
      </c>
      <c r="B300" s="34" t="s">
        <v>7313</v>
      </c>
      <c r="C300" s="34" t="s">
        <v>7297</v>
      </c>
    </row>
    <row r="301">
      <c r="A301">
        <v>300</v>
      </c>
      <c r="B301" s="34" t="s">
        <v>7316</v>
      </c>
      <c r="C301" s="34" t="s">
        <v>7297</v>
      </c>
    </row>
    <row r="302">
      <c r="A302">
        <v>301</v>
      </c>
      <c r="B302" s="34" t="s">
        <v>7319</v>
      </c>
      <c r="C302" s="34" t="s">
        <v>7297</v>
      </c>
    </row>
    <row r="303">
      <c r="A303">
        <v>302</v>
      </c>
      <c r="B303" s="34" t="s">
        <v>7322</v>
      </c>
      <c r="C303" s="34" t="s">
        <v>7297</v>
      </c>
    </row>
    <row r="304">
      <c r="A304">
        <v>303</v>
      </c>
      <c r="B304" s="34" t="s">
        <v>7325</v>
      </c>
      <c r="C304" s="34" t="s">
        <v>7297</v>
      </c>
    </row>
    <row r="305">
      <c r="A305">
        <v>304</v>
      </c>
      <c r="B305" s="34" t="s">
        <v>7327</v>
      </c>
      <c r="C305" s="34" t="s">
        <v>7297</v>
      </c>
    </row>
    <row r="306">
      <c r="A306">
        <v>305</v>
      </c>
      <c r="B306" s="34" t="s">
        <v>7329</v>
      </c>
      <c r="C306" s="34" t="s">
        <v>7297</v>
      </c>
    </row>
    <row r="307">
      <c r="A307">
        <v>306</v>
      </c>
      <c r="B307" s="34" t="s">
        <v>7331</v>
      </c>
      <c r="C307" s="34" t="s">
        <v>7297</v>
      </c>
    </row>
    <row r="308">
      <c r="A308">
        <v>307</v>
      </c>
      <c r="B308" s="34" t="s">
        <v>7332</v>
      </c>
      <c r="C308" s="34" t="s">
        <v>7297</v>
      </c>
    </row>
    <row r="309">
      <c r="A309">
        <v>308</v>
      </c>
      <c r="B309" s="34" t="s">
        <v>7335</v>
      </c>
      <c r="C309" s="34" t="s">
        <v>7297</v>
      </c>
    </row>
    <row r="310">
      <c r="A310">
        <v>309</v>
      </c>
      <c r="B310" s="34" t="s">
        <v>7338</v>
      </c>
      <c r="C310" s="34" t="s">
        <v>7297</v>
      </c>
    </row>
    <row r="311">
      <c r="A311">
        <v>310</v>
      </c>
      <c r="B311" s="34" t="s">
        <v>7341</v>
      </c>
      <c r="C311" s="34" t="s">
        <v>7297</v>
      </c>
    </row>
    <row r="312">
      <c r="A312">
        <v>311</v>
      </c>
      <c r="B312" s="34" t="s">
        <v>7344</v>
      </c>
      <c r="C312" s="34" t="s">
        <v>7297</v>
      </c>
    </row>
    <row r="313">
      <c r="A313">
        <v>312</v>
      </c>
      <c r="B313" s="34" t="s">
        <v>7347</v>
      </c>
      <c r="C313" s="34" t="s">
        <v>7297</v>
      </c>
    </row>
    <row r="314">
      <c r="A314">
        <v>313</v>
      </c>
      <c r="B314" s="34" t="s">
        <v>7350</v>
      </c>
      <c r="C314" s="34" t="s">
        <v>7297</v>
      </c>
    </row>
    <row r="315">
      <c r="A315">
        <v>314</v>
      </c>
      <c r="B315" s="34" t="s">
        <v>7353</v>
      </c>
      <c r="C315" s="34" t="s">
        <v>7297</v>
      </c>
    </row>
    <row r="316">
      <c r="A316">
        <v>315</v>
      </c>
      <c r="B316" s="34" t="s">
        <v>7356</v>
      </c>
      <c r="C316" s="34" t="s">
        <v>7297</v>
      </c>
    </row>
    <row r="317">
      <c r="A317">
        <v>316</v>
      </c>
      <c r="B317" s="34" t="s">
        <v>7359</v>
      </c>
      <c r="C317" s="34" t="s">
        <v>7297</v>
      </c>
    </row>
    <row r="318">
      <c r="A318">
        <v>317</v>
      </c>
      <c r="B318" s="34" t="s">
        <v>7361</v>
      </c>
      <c r="C318" s="34" t="s">
        <v>7297</v>
      </c>
    </row>
    <row r="319">
      <c r="A319">
        <v>318</v>
      </c>
      <c r="B319" s="34" t="s">
        <v>7364</v>
      </c>
      <c r="C319" s="34" t="s">
        <v>7297</v>
      </c>
    </row>
    <row r="320">
      <c r="A320">
        <v>319</v>
      </c>
      <c r="B320" s="34" t="s">
        <v>7367</v>
      </c>
      <c r="C320" s="34" t="s">
        <v>7297</v>
      </c>
    </row>
    <row r="321">
      <c r="A321">
        <v>320</v>
      </c>
      <c r="B321" s="34" t="s">
        <v>7370</v>
      </c>
      <c r="C321" s="34" t="s">
        <v>7297</v>
      </c>
    </row>
    <row r="322">
      <c r="A322">
        <v>321</v>
      </c>
      <c r="B322" s="34" t="s">
        <v>7372</v>
      </c>
      <c r="C322" s="34" t="s">
        <v>7297</v>
      </c>
    </row>
    <row r="323">
      <c r="A323">
        <v>322</v>
      </c>
      <c r="B323" s="34" t="s">
        <v>7375</v>
      </c>
      <c r="C323" s="34" t="s">
        <v>7297</v>
      </c>
    </row>
    <row r="324">
      <c r="A324">
        <v>323</v>
      </c>
      <c r="B324" s="34" t="s">
        <v>7378</v>
      </c>
      <c r="C324" s="34" t="s">
        <v>7381</v>
      </c>
    </row>
    <row r="325">
      <c r="A325">
        <v>324</v>
      </c>
      <c r="B325" s="34" t="s">
        <v>7382</v>
      </c>
      <c r="C325" s="34" t="s">
        <v>7381</v>
      </c>
    </row>
    <row r="326">
      <c r="A326">
        <v>325</v>
      </c>
      <c r="B326" s="34" t="s">
        <v>7386</v>
      </c>
      <c r="C326" s="34" t="s">
        <v>7381</v>
      </c>
    </row>
    <row r="327">
      <c r="A327">
        <v>326</v>
      </c>
      <c r="B327" s="34" t="s">
        <v>132</v>
      </c>
      <c r="C327" s="34" t="s">
        <v>7381</v>
      </c>
    </row>
    <row r="328">
      <c r="A328">
        <v>327</v>
      </c>
      <c r="B328" s="34" t="s">
        <v>7388</v>
      </c>
      <c r="C328" s="34" t="s">
        <v>7381</v>
      </c>
    </row>
    <row r="329">
      <c r="A329">
        <v>328</v>
      </c>
      <c r="B329" s="34" t="s">
        <v>7389</v>
      </c>
      <c r="C329" s="34" t="s">
        <v>7381</v>
      </c>
    </row>
    <row r="330">
      <c r="A330">
        <v>329</v>
      </c>
      <c r="B330" s="34" t="s">
        <v>7390</v>
      </c>
      <c r="C330" s="34" t="s">
        <v>7381</v>
      </c>
    </row>
    <row r="331">
      <c r="A331">
        <v>330</v>
      </c>
      <c r="B331" s="34" t="s">
        <v>7391</v>
      </c>
      <c r="C331" s="34" t="s">
        <v>7381</v>
      </c>
    </row>
    <row r="332">
      <c r="A332">
        <v>331</v>
      </c>
      <c r="B332" s="34" t="s">
        <v>7392</v>
      </c>
      <c r="C332" s="34" t="s">
        <v>7381</v>
      </c>
    </row>
    <row r="333">
      <c r="A333">
        <v>332</v>
      </c>
      <c r="B333" s="34" t="s">
        <v>7393</v>
      </c>
      <c r="C333" s="34" t="s">
        <v>7381</v>
      </c>
    </row>
    <row r="334">
      <c r="A334">
        <v>333</v>
      </c>
      <c r="B334" s="34" t="s">
        <v>7394</v>
      </c>
      <c r="C334" s="34" t="s">
        <v>7381</v>
      </c>
    </row>
    <row r="335">
      <c r="A335">
        <v>334</v>
      </c>
      <c r="B335" s="34" t="s">
        <v>7395</v>
      </c>
      <c r="C335" s="34" t="s">
        <v>7381</v>
      </c>
    </row>
    <row r="336">
      <c r="A336">
        <v>335</v>
      </c>
      <c r="B336" s="34" t="s">
        <v>7396</v>
      </c>
      <c r="C336" s="34" t="s">
        <v>7381</v>
      </c>
    </row>
    <row r="337">
      <c r="A337">
        <v>336</v>
      </c>
      <c r="B337" s="34" t="s">
        <v>7397</v>
      </c>
      <c r="C337" s="34" t="s">
        <v>7381</v>
      </c>
    </row>
    <row r="338">
      <c r="A338">
        <v>337</v>
      </c>
      <c r="B338" s="34" t="s">
        <v>7398</v>
      </c>
      <c r="C338" s="34" t="s">
        <v>7381</v>
      </c>
    </row>
    <row r="339">
      <c r="A339">
        <v>338</v>
      </c>
      <c r="B339" s="34" t="s">
        <v>7399</v>
      </c>
      <c r="C339" s="34" t="s">
        <v>7381</v>
      </c>
    </row>
    <row r="340">
      <c r="A340">
        <v>339</v>
      </c>
      <c r="B340" s="34" t="s">
        <v>7400</v>
      </c>
      <c r="C340" s="34" t="s">
        <v>7381</v>
      </c>
    </row>
    <row r="341">
      <c r="A341">
        <v>340</v>
      </c>
      <c r="B341" s="34" t="s">
        <v>112</v>
      </c>
      <c r="C341" s="34" t="s">
        <v>7381</v>
      </c>
    </row>
    <row r="342">
      <c r="A342">
        <v>341</v>
      </c>
      <c r="B342" s="34" t="s">
        <v>7401</v>
      </c>
      <c r="C342" s="34" t="s">
        <v>7381</v>
      </c>
    </row>
    <row r="343">
      <c r="A343">
        <v>342</v>
      </c>
      <c r="B343" s="34" t="s">
        <v>7404</v>
      </c>
      <c r="C343" s="34" t="s">
        <v>7381</v>
      </c>
    </row>
    <row r="344">
      <c r="A344">
        <v>343</v>
      </c>
      <c r="B344" s="34" t="s">
        <v>7407</v>
      </c>
      <c r="C344" s="34" t="s">
        <v>7381</v>
      </c>
    </row>
    <row r="345">
      <c r="A345">
        <v>344</v>
      </c>
      <c r="B345" s="34" t="s">
        <v>7410</v>
      </c>
      <c r="C345" s="34" t="s">
        <v>7381</v>
      </c>
    </row>
    <row r="346">
      <c r="A346">
        <v>345</v>
      </c>
      <c r="B346" s="34" t="s">
        <v>7413</v>
      </c>
      <c r="C346" s="34" t="s">
        <v>7381</v>
      </c>
    </row>
    <row r="347">
      <c r="A347">
        <v>346</v>
      </c>
      <c r="B347" s="34" t="s">
        <v>7416</v>
      </c>
      <c r="C347" s="34" t="s">
        <v>7381</v>
      </c>
    </row>
    <row r="348">
      <c r="A348">
        <v>347</v>
      </c>
      <c r="B348" s="34" t="s">
        <v>7419</v>
      </c>
      <c r="C348" s="34" t="s">
        <v>7381</v>
      </c>
    </row>
    <row r="349">
      <c r="A349">
        <v>348</v>
      </c>
      <c r="B349" s="34" t="s">
        <v>7422</v>
      </c>
      <c r="C349" s="34" t="s">
        <v>7381</v>
      </c>
    </row>
    <row r="350">
      <c r="A350">
        <v>349</v>
      </c>
      <c r="B350" s="34" t="s">
        <v>7425</v>
      </c>
      <c r="C350" s="34" t="s">
        <v>7381</v>
      </c>
    </row>
    <row r="351">
      <c r="A351">
        <v>350</v>
      </c>
      <c r="B351" s="34" t="s">
        <v>7428</v>
      </c>
      <c r="C351" s="34" t="s">
        <v>7381</v>
      </c>
    </row>
    <row r="352">
      <c r="A352">
        <v>351</v>
      </c>
      <c r="B352" s="34" t="s">
        <v>7431</v>
      </c>
      <c r="C352" s="34" t="s">
        <v>7381</v>
      </c>
    </row>
    <row r="353">
      <c r="A353">
        <v>352</v>
      </c>
      <c r="B353" s="34" t="s">
        <v>7434</v>
      </c>
      <c r="C353" s="34" t="s">
        <v>7381</v>
      </c>
    </row>
    <row r="354">
      <c r="A354">
        <v>353</v>
      </c>
      <c r="B354" s="34" t="s">
        <v>7436</v>
      </c>
      <c r="C354" s="34" t="s">
        <v>7381</v>
      </c>
    </row>
    <row r="355">
      <c r="A355">
        <v>354</v>
      </c>
      <c r="B355" s="34" t="s">
        <v>128</v>
      </c>
      <c r="C355" s="34" t="s">
        <v>7381</v>
      </c>
    </row>
    <row r="356">
      <c r="A356">
        <v>355</v>
      </c>
      <c r="B356" s="34" t="s">
        <v>7438</v>
      </c>
      <c r="C356" s="34" t="s">
        <v>7381</v>
      </c>
    </row>
    <row r="357">
      <c r="A357">
        <v>356</v>
      </c>
      <c r="B357" s="34" t="s">
        <v>7443</v>
      </c>
      <c r="C357" s="34" t="s">
        <v>7381</v>
      </c>
    </row>
    <row r="358">
      <c r="A358">
        <v>357</v>
      </c>
      <c r="B358" s="34" t="s">
        <v>7447</v>
      </c>
      <c r="C358" s="34" t="s">
        <v>7381</v>
      </c>
    </row>
    <row r="359">
      <c r="A359">
        <v>358</v>
      </c>
      <c r="B359" s="34" t="s">
        <v>7451</v>
      </c>
      <c r="C359" s="34" t="s">
        <v>7381</v>
      </c>
    </row>
    <row r="360">
      <c r="A360">
        <v>359</v>
      </c>
      <c r="B360" s="34" t="s">
        <v>7454</v>
      </c>
      <c r="C360" s="34" t="s">
        <v>7381</v>
      </c>
    </row>
    <row r="361">
      <c r="A361">
        <v>360</v>
      </c>
      <c r="B361" s="34" t="s">
        <v>7457</v>
      </c>
      <c r="C361" s="34" t="s">
        <v>7381</v>
      </c>
    </row>
    <row r="362">
      <c r="A362">
        <v>361</v>
      </c>
      <c r="B362" s="34" t="s">
        <v>7460</v>
      </c>
      <c r="C362" s="34" t="s">
        <v>7381</v>
      </c>
    </row>
    <row r="363">
      <c r="A363">
        <v>362</v>
      </c>
      <c r="B363" s="34" t="s">
        <v>7463</v>
      </c>
      <c r="C363" s="34" t="s">
        <v>7381</v>
      </c>
    </row>
    <row r="364">
      <c r="A364">
        <v>363</v>
      </c>
      <c r="B364" s="34" t="s">
        <v>7466</v>
      </c>
      <c r="C364" s="34" t="s">
        <v>7381</v>
      </c>
    </row>
    <row r="365">
      <c r="A365">
        <v>364</v>
      </c>
      <c r="B365" s="34" t="s">
        <v>7469</v>
      </c>
      <c r="C365" s="34" t="s">
        <v>7381</v>
      </c>
    </row>
    <row r="366">
      <c r="A366">
        <v>365</v>
      </c>
      <c r="B366" s="34" t="s">
        <v>7472</v>
      </c>
      <c r="C366" s="34" t="s">
        <v>7381</v>
      </c>
    </row>
    <row r="367">
      <c r="A367">
        <v>366</v>
      </c>
      <c r="B367" s="34" t="s">
        <v>667</v>
      </c>
      <c r="C367" s="34" t="s">
        <v>7381</v>
      </c>
    </row>
    <row r="368">
      <c r="A368">
        <v>367</v>
      </c>
      <c r="B368" s="34" t="s">
        <v>7475</v>
      </c>
      <c r="C368" s="34" t="s">
        <v>7381</v>
      </c>
    </row>
    <row r="369">
      <c r="A369">
        <v>368</v>
      </c>
      <c r="B369" s="34" t="s">
        <v>7478</v>
      </c>
      <c r="C369" s="34" t="s">
        <v>7381</v>
      </c>
    </row>
    <row r="370">
      <c r="A370">
        <v>369</v>
      </c>
      <c r="B370" s="34" t="s">
        <v>7479</v>
      </c>
      <c r="C370" s="34" t="s">
        <v>7381</v>
      </c>
    </row>
    <row r="371">
      <c r="A371">
        <v>370</v>
      </c>
      <c r="B371" s="34" t="s">
        <v>7480</v>
      </c>
      <c r="C371" s="34" t="s">
        <v>7381</v>
      </c>
    </row>
    <row r="372">
      <c r="A372">
        <v>371</v>
      </c>
      <c r="B372" s="34" t="s">
        <v>7482</v>
      </c>
      <c r="C372" s="34" t="s">
        <v>7485</v>
      </c>
    </row>
    <row r="373">
      <c r="A373">
        <v>372</v>
      </c>
      <c r="B373" s="34" t="s">
        <v>7487</v>
      </c>
      <c r="C373" s="34" t="s">
        <v>7485</v>
      </c>
    </row>
    <row r="374">
      <c r="A374">
        <v>373</v>
      </c>
      <c r="B374" s="34" t="s">
        <v>7488</v>
      </c>
      <c r="C374" s="34" t="s">
        <v>7485</v>
      </c>
    </row>
    <row r="375">
      <c r="A375">
        <v>374</v>
      </c>
      <c r="B375" s="34" t="s">
        <v>7489</v>
      </c>
      <c r="C375" s="34" t="s">
        <v>7485</v>
      </c>
    </row>
    <row r="376">
      <c r="A376">
        <v>375</v>
      </c>
      <c r="B376" s="34" t="s">
        <v>7490</v>
      </c>
      <c r="C376" s="34" t="s">
        <v>7485</v>
      </c>
    </row>
    <row r="377">
      <c r="A377">
        <v>376</v>
      </c>
      <c r="B377" s="34" t="s">
        <v>7491</v>
      </c>
      <c r="C377" s="34" t="s">
        <v>7485</v>
      </c>
    </row>
    <row r="378">
      <c r="A378">
        <v>377</v>
      </c>
      <c r="B378" s="34" t="s">
        <v>7492</v>
      </c>
      <c r="C378" s="34" t="s">
        <v>7485</v>
      </c>
    </row>
    <row r="379">
      <c r="A379">
        <v>378</v>
      </c>
      <c r="B379" s="34" t="s">
        <v>7495</v>
      </c>
      <c r="C379" s="34" t="s">
        <v>7485</v>
      </c>
    </row>
    <row r="380">
      <c r="A380">
        <v>379</v>
      </c>
      <c r="B380" s="34" t="s">
        <v>7496</v>
      </c>
      <c r="C380" s="34" t="s">
        <v>7485</v>
      </c>
    </row>
    <row r="381">
      <c r="A381">
        <v>380</v>
      </c>
      <c r="B381" s="34" t="s">
        <v>7499</v>
      </c>
      <c r="C381" s="34" t="s">
        <v>7485</v>
      </c>
    </row>
    <row r="382">
      <c r="A382">
        <v>381</v>
      </c>
      <c r="B382" s="34" t="s">
        <v>7502</v>
      </c>
      <c r="C382" s="34" t="s">
        <v>7485</v>
      </c>
    </row>
    <row r="383">
      <c r="A383">
        <v>382</v>
      </c>
      <c r="B383" s="34" t="s">
        <v>7505</v>
      </c>
      <c r="C383" s="34" t="s">
        <v>7485</v>
      </c>
    </row>
    <row r="384">
      <c r="A384">
        <v>383</v>
      </c>
      <c r="B384" s="34" t="s">
        <v>7508</v>
      </c>
      <c r="C384" s="34" t="s">
        <v>7485</v>
      </c>
    </row>
    <row r="385">
      <c r="A385">
        <v>384</v>
      </c>
      <c r="B385" s="34" t="s">
        <v>7511</v>
      </c>
      <c r="C385" s="34" t="s">
        <v>7485</v>
      </c>
    </row>
    <row r="386">
      <c r="A386">
        <v>385</v>
      </c>
      <c r="B386" s="34" t="s">
        <v>7514</v>
      </c>
      <c r="C386" s="34" t="s">
        <v>7485</v>
      </c>
    </row>
    <row r="387">
      <c r="A387">
        <v>386</v>
      </c>
      <c r="B387" s="34" t="s">
        <v>7515</v>
      </c>
      <c r="C387" s="34" t="s">
        <v>7485</v>
      </c>
    </row>
    <row r="388">
      <c r="A388">
        <v>387</v>
      </c>
      <c r="B388" s="34" t="s">
        <v>7518</v>
      </c>
      <c r="C388" s="34" t="s">
        <v>7485</v>
      </c>
    </row>
    <row r="389">
      <c r="A389">
        <v>388</v>
      </c>
      <c r="B389" s="34" t="s">
        <v>7521</v>
      </c>
      <c r="C389" s="34" t="s">
        <v>7485</v>
      </c>
    </row>
    <row r="390">
      <c r="A390">
        <v>389</v>
      </c>
      <c r="B390" s="34" t="s">
        <v>7524</v>
      </c>
      <c r="C390" s="34" t="s">
        <v>7485</v>
      </c>
    </row>
    <row r="391">
      <c r="A391">
        <v>390</v>
      </c>
      <c r="B391" s="34" t="s">
        <v>7528</v>
      </c>
      <c r="C391" s="34" t="s">
        <v>7485</v>
      </c>
    </row>
    <row r="392">
      <c r="A392">
        <v>391</v>
      </c>
      <c r="B392" s="34" t="s">
        <v>7533</v>
      </c>
      <c r="C392" s="34" t="s">
        <v>7485</v>
      </c>
    </row>
    <row r="393">
      <c r="A393">
        <v>392</v>
      </c>
      <c r="B393" s="34" t="s">
        <v>7537</v>
      </c>
      <c r="C393" s="34" t="s">
        <v>7485</v>
      </c>
    </row>
    <row r="394">
      <c r="A394">
        <v>393</v>
      </c>
      <c r="B394" s="34" t="s">
        <v>7541</v>
      </c>
      <c r="C394" s="34" t="s">
        <v>7485</v>
      </c>
    </row>
    <row r="395">
      <c r="A395">
        <v>394</v>
      </c>
      <c r="B395" s="34" t="s">
        <v>7545</v>
      </c>
      <c r="C395" s="34" t="s">
        <v>7485</v>
      </c>
    </row>
    <row r="396">
      <c r="A396">
        <v>395</v>
      </c>
      <c r="B396" s="34" t="s">
        <v>7549</v>
      </c>
      <c r="C396" s="34" t="s">
        <v>7485</v>
      </c>
    </row>
    <row r="397">
      <c r="A397">
        <v>396</v>
      </c>
      <c r="B397" s="34" t="s">
        <v>7553</v>
      </c>
      <c r="C397" s="34" t="s">
        <v>7485</v>
      </c>
    </row>
    <row r="398">
      <c r="A398">
        <v>397</v>
      </c>
      <c r="B398" s="34" t="s">
        <v>7556</v>
      </c>
      <c r="C398" s="34" t="s">
        <v>7485</v>
      </c>
    </row>
    <row r="399">
      <c r="A399">
        <v>398</v>
      </c>
      <c r="B399" s="34" t="s">
        <v>7559</v>
      </c>
      <c r="C399" s="34" t="s">
        <v>7485</v>
      </c>
    </row>
    <row r="400">
      <c r="A400">
        <v>399</v>
      </c>
      <c r="B400" s="34" t="s">
        <v>7562</v>
      </c>
      <c r="C400" s="34" t="s">
        <v>7485</v>
      </c>
    </row>
    <row r="401">
      <c r="A401">
        <v>400</v>
      </c>
      <c r="B401" s="34" t="s">
        <v>7565</v>
      </c>
      <c r="C401" s="34" t="s">
        <v>7485</v>
      </c>
    </row>
    <row r="402">
      <c r="A402">
        <v>401</v>
      </c>
      <c r="B402" s="34" t="s">
        <v>7568</v>
      </c>
      <c r="C402" s="34" t="s">
        <v>7485</v>
      </c>
    </row>
    <row r="403">
      <c r="A403">
        <v>402</v>
      </c>
      <c r="B403" s="34" t="s">
        <v>7571</v>
      </c>
      <c r="C403" s="34" t="s">
        <v>7485</v>
      </c>
    </row>
    <row r="404">
      <c r="A404">
        <v>403</v>
      </c>
      <c r="B404" s="34" t="s">
        <v>7574</v>
      </c>
      <c r="C404" s="34" t="s">
        <v>7485</v>
      </c>
    </row>
    <row r="405">
      <c r="A405">
        <v>404</v>
      </c>
      <c r="B405" s="34" t="s">
        <v>7577</v>
      </c>
      <c r="C405" s="34" t="s">
        <v>7485</v>
      </c>
    </row>
    <row r="406">
      <c r="A406">
        <v>405</v>
      </c>
      <c r="B406" s="34" t="s">
        <v>7580</v>
      </c>
      <c r="C406" s="34" t="s">
        <v>7485</v>
      </c>
    </row>
    <row r="407">
      <c r="A407">
        <v>406</v>
      </c>
      <c r="B407" s="34" t="s">
        <v>7583</v>
      </c>
      <c r="C407" s="34" t="s">
        <v>7485</v>
      </c>
    </row>
    <row r="408">
      <c r="A408">
        <v>407</v>
      </c>
      <c r="B408" s="34" t="s">
        <v>7586</v>
      </c>
      <c r="C408" s="34" t="s">
        <v>7485</v>
      </c>
    </row>
    <row r="409">
      <c r="A409">
        <v>408</v>
      </c>
      <c r="B409" s="34" t="s">
        <v>7589</v>
      </c>
      <c r="C409" s="34" t="s">
        <v>7485</v>
      </c>
    </row>
    <row r="410">
      <c r="A410">
        <v>409</v>
      </c>
      <c r="B410" s="34" t="s">
        <v>7592</v>
      </c>
      <c r="C410" s="34" t="s">
        <v>7485</v>
      </c>
    </row>
    <row r="411">
      <c r="A411">
        <v>410</v>
      </c>
      <c r="B411" s="34" t="s">
        <v>7594</v>
      </c>
      <c r="C411" s="34" t="s">
        <v>7485</v>
      </c>
    </row>
    <row r="412">
      <c r="A412">
        <v>411</v>
      </c>
      <c r="B412" s="34" t="s">
        <v>7597</v>
      </c>
      <c r="C412" s="34" t="s">
        <v>7485</v>
      </c>
    </row>
    <row r="413">
      <c r="A413">
        <v>412</v>
      </c>
      <c r="B413" s="34" t="s">
        <v>7600</v>
      </c>
      <c r="C413" s="34" t="s">
        <v>7485</v>
      </c>
    </row>
    <row r="414">
      <c r="A414">
        <v>413</v>
      </c>
      <c r="B414" s="34" t="s">
        <v>7603</v>
      </c>
      <c r="C414" s="34" t="s">
        <v>7485</v>
      </c>
    </row>
    <row r="415">
      <c r="A415">
        <v>414</v>
      </c>
      <c r="B415" s="34" t="s">
        <v>7606</v>
      </c>
      <c r="C415" s="34" t="s">
        <v>7485</v>
      </c>
    </row>
    <row r="416">
      <c r="A416">
        <v>415</v>
      </c>
      <c r="B416" s="34" t="s">
        <v>7609</v>
      </c>
      <c r="C416" s="34" t="s">
        <v>7612</v>
      </c>
    </row>
    <row r="417">
      <c r="A417">
        <v>416</v>
      </c>
      <c r="B417" s="34" t="s">
        <v>7613</v>
      </c>
      <c r="C417" s="34" t="s">
        <v>7612</v>
      </c>
    </row>
    <row r="418">
      <c r="A418">
        <v>417</v>
      </c>
      <c r="B418" s="34" t="s">
        <v>7616</v>
      </c>
      <c r="C418" s="34" t="s">
        <v>7612</v>
      </c>
    </row>
    <row r="419">
      <c r="A419">
        <v>418</v>
      </c>
      <c r="B419" s="34" t="s">
        <v>7619</v>
      </c>
      <c r="C419" s="34" t="s">
        <v>7612</v>
      </c>
    </row>
    <row r="420">
      <c r="A420">
        <v>419</v>
      </c>
      <c r="B420" s="34" t="s">
        <v>7622</v>
      </c>
      <c r="C420" s="34" t="s">
        <v>7612</v>
      </c>
    </row>
    <row r="421">
      <c r="A421">
        <v>420</v>
      </c>
      <c r="B421" s="34" t="s">
        <v>7623</v>
      </c>
      <c r="C421" s="34" t="s">
        <v>7612</v>
      </c>
    </row>
    <row r="422">
      <c r="A422">
        <v>421</v>
      </c>
      <c r="B422" s="34" t="s">
        <v>7624</v>
      </c>
      <c r="C422" s="34" t="s">
        <v>7612</v>
      </c>
    </row>
    <row r="423">
      <c r="A423">
        <v>422</v>
      </c>
      <c r="B423" s="34" t="s">
        <v>7625</v>
      </c>
      <c r="C423" s="34" t="s">
        <v>7612</v>
      </c>
    </row>
    <row r="424">
      <c r="A424">
        <v>423</v>
      </c>
      <c r="B424" s="34" t="s">
        <v>7626</v>
      </c>
      <c r="C424" s="34" t="s">
        <v>7612</v>
      </c>
    </row>
    <row r="425">
      <c r="A425">
        <v>424</v>
      </c>
      <c r="B425" s="34" t="s">
        <v>7627</v>
      </c>
      <c r="C425" s="34" t="s">
        <v>7612</v>
      </c>
    </row>
    <row r="426">
      <c r="A426">
        <v>425</v>
      </c>
      <c r="B426" s="34" t="s">
        <v>7628</v>
      </c>
      <c r="C426" s="34" t="s">
        <v>7612</v>
      </c>
    </row>
    <row r="427">
      <c r="A427">
        <v>426</v>
      </c>
      <c r="B427" s="34" t="s">
        <v>7629</v>
      </c>
      <c r="C427" s="34" t="s">
        <v>7612</v>
      </c>
    </row>
    <row r="428">
      <c r="A428">
        <v>427</v>
      </c>
      <c r="B428" s="34" t="s">
        <v>7630</v>
      </c>
      <c r="C428" s="34" t="s">
        <v>7612</v>
      </c>
    </row>
    <row r="429">
      <c r="A429">
        <v>428</v>
      </c>
      <c r="B429" s="34" t="s">
        <v>7631</v>
      </c>
      <c r="C429" s="34" t="s">
        <v>7612</v>
      </c>
    </row>
    <row r="430">
      <c r="A430">
        <v>429</v>
      </c>
      <c r="B430" s="34" t="s">
        <v>7632</v>
      </c>
      <c r="C430" s="34" t="s">
        <v>7612</v>
      </c>
    </row>
    <row r="431">
      <c r="A431">
        <v>430</v>
      </c>
      <c r="B431" s="34" t="s">
        <v>7633</v>
      </c>
      <c r="C431" s="34" t="s">
        <v>7612</v>
      </c>
    </row>
    <row r="432">
      <c r="A432">
        <v>431</v>
      </c>
      <c r="B432" s="34" t="s">
        <v>7635</v>
      </c>
      <c r="C432" s="34" t="s">
        <v>7612</v>
      </c>
    </row>
    <row r="433">
      <c r="A433">
        <v>432</v>
      </c>
      <c r="B433" s="34" t="s">
        <v>7636</v>
      </c>
      <c r="C433" s="34" t="s">
        <v>7612</v>
      </c>
    </row>
    <row r="434">
      <c r="A434">
        <v>433</v>
      </c>
      <c r="B434" s="34" t="s">
        <v>7637</v>
      </c>
      <c r="C434" s="34" t="s">
        <v>7612</v>
      </c>
    </row>
    <row r="435">
      <c r="A435">
        <v>434</v>
      </c>
      <c r="B435" s="34" t="s">
        <v>7640</v>
      </c>
      <c r="C435" s="34" t="s">
        <v>7612</v>
      </c>
    </row>
    <row r="436">
      <c r="A436">
        <v>435</v>
      </c>
      <c r="B436" s="34" t="s">
        <v>7643</v>
      </c>
      <c r="C436" s="34" t="s">
        <v>7612</v>
      </c>
    </row>
    <row r="437">
      <c r="A437">
        <v>436</v>
      </c>
      <c r="B437" s="34" t="s">
        <v>7646</v>
      </c>
      <c r="C437" s="34" t="s">
        <v>7612</v>
      </c>
    </row>
    <row r="438">
      <c r="A438">
        <v>437</v>
      </c>
      <c r="B438" s="34" t="s">
        <v>7649</v>
      </c>
      <c r="C438" s="34" t="s">
        <v>7612</v>
      </c>
    </row>
    <row r="439">
      <c r="A439">
        <v>438</v>
      </c>
      <c r="B439" s="34" t="s">
        <v>7652</v>
      </c>
      <c r="C439" s="34" t="s">
        <v>7612</v>
      </c>
    </row>
    <row r="440">
      <c r="A440">
        <v>439</v>
      </c>
      <c r="B440" s="34" t="s">
        <v>7655</v>
      </c>
      <c r="C440" s="34" t="s">
        <v>7612</v>
      </c>
    </row>
    <row r="441">
      <c r="A441">
        <v>440</v>
      </c>
      <c r="B441" s="34" t="s">
        <v>7658</v>
      </c>
      <c r="C441" s="34" t="s">
        <v>7612</v>
      </c>
    </row>
    <row r="442">
      <c r="A442">
        <v>441</v>
      </c>
      <c r="B442" s="34" t="s">
        <v>7661</v>
      </c>
      <c r="C442" s="34" t="s">
        <v>7612</v>
      </c>
    </row>
    <row r="443">
      <c r="A443">
        <v>442</v>
      </c>
      <c r="B443" s="34" t="s">
        <v>7663</v>
      </c>
      <c r="C443" s="34" t="s">
        <v>7612</v>
      </c>
    </row>
    <row r="444">
      <c r="A444">
        <v>443</v>
      </c>
      <c r="B444" s="34" t="s">
        <v>7666</v>
      </c>
      <c r="C444" s="34" t="s">
        <v>7612</v>
      </c>
    </row>
    <row r="445">
      <c r="A445">
        <v>444</v>
      </c>
      <c r="B445" s="34" t="s">
        <v>7667</v>
      </c>
      <c r="C445" s="34" t="s">
        <v>7612</v>
      </c>
    </row>
    <row r="446">
      <c r="A446">
        <v>445</v>
      </c>
      <c r="B446" s="34" t="s">
        <v>7670</v>
      </c>
      <c r="C446" s="34" t="s">
        <v>7612</v>
      </c>
    </row>
    <row r="447">
      <c r="A447">
        <v>446</v>
      </c>
      <c r="B447" s="34" t="s">
        <v>7673</v>
      </c>
      <c r="C447" s="34" t="s">
        <v>7612</v>
      </c>
    </row>
    <row r="448">
      <c r="A448">
        <v>447</v>
      </c>
      <c r="B448" s="34" t="s">
        <v>7676</v>
      </c>
      <c r="C448" s="34" t="s">
        <v>7612</v>
      </c>
    </row>
    <row r="449">
      <c r="A449">
        <v>448</v>
      </c>
      <c r="B449" s="34" t="s">
        <v>7679</v>
      </c>
      <c r="C449" s="34" t="s">
        <v>7612</v>
      </c>
    </row>
    <row r="450">
      <c r="A450">
        <v>449</v>
      </c>
      <c r="B450" s="34" t="s">
        <v>7682</v>
      </c>
      <c r="C450" s="34" t="s">
        <v>7612</v>
      </c>
    </row>
    <row r="451">
      <c r="A451">
        <v>450</v>
      </c>
      <c r="B451" s="34" t="s">
        <v>7685</v>
      </c>
      <c r="C451" s="34" t="s">
        <v>7612</v>
      </c>
    </row>
    <row r="452">
      <c r="A452">
        <v>451</v>
      </c>
      <c r="B452" s="34" t="s">
        <v>7688</v>
      </c>
      <c r="C452" s="34" t="s">
        <v>7612</v>
      </c>
    </row>
    <row r="453">
      <c r="A453">
        <v>452</v>
      </c>
      <c r="B453" s="34" t="s">
        <v>7691</v>
      </c>
      <c r="C453" s="34" t="s">
        <v>7612</v>
      </c>
    </row>
    <row r="454">
      <c r="A454">
        <v>453</v>
      </c>
      <c r="B454" s="34" t="s">
        <v>7694</v>
      </c>
      <c r="C454" s="34" t="s">
        <v>7612</v>
      </c>
    </row>
    <row r="455">
      <c r="A455">
        <v>454</v>
      </c>
      <c r="B455" s="34" t="s">
        <v>7697</v>
      </c>
      <c r="C455" s="34" t="s">
        <v>7612</v>
      </c>
    </row>
    <row r="456">
      <c r="A456">
        <v>455</v>
      </c>
      <c r="B456" s="34" t="s">
        <v>7700</v>
      </c>
      <c r="C456" s="34" t="s">
        <v>7612</v>
      </c>
    </row>
    <row r="457">
      <c r="A457">
        <v>456</v>
      </c>
      <c r="B457" s="34" t="s">
        <v>7703</v>
      </c>
      <c r="C457" s="34" t="s">
        <v>7612</v>
      </c>
    </row>
    <row r="458">
      <c r="A458">
        <v>457</v>
      </c>
      <c r="B458" s="34" t="s">
        <v>7706</v>
      </c>
      <c r="C458" s="34" t="s">
        <v>7612</v>
      </c>
    </row>
    <row r="459">
      <c r="A459">
        <v>458</v>
      </c>
      <c r="B459" s="34" t="s">
        <v>7709</v>
      </c>
      <c r="C459" s="34" t="s">
        <v>7612</v>
      </c>
    </row>
    <row r="460">
      <c r="A460">
        <v>459</v>
      </c>
      <c r="B460" s="34" t="s">
        <v>7712</v>
      </c>
      <c r="C460" s="34" t="s">
        <v>7612</v>
      </c>
    </row>
    <row r="461">
      <c r="A461">
        <v>460</v>
      </c>
      <c r="B461" s="34" t="s">
        <v>7715</v>
      </c>
      <c r="C461" s="34" t="s">
        <v>7612</v>
      </c>
    </row>
    <row r="462">
      <c r="A462">
        <v>461</v>
      </c>
      <c r="B462" s="34" t="s">
        <v>7718</v>
      </c>
      <c r="C462" s="34" t="s">
        <v>7612</v>
      </c>
    </row>
    <row r="463">
      <c r="A463">
        <v>462</v>
      </c>
      <c r="B463" s="34" t="s">
        <v>7721</v>
      </c>
      <c r="C463" s="34" t="s">
        <v>7612</v>
      </c>
    </row>
    <row r="464">
      <c r="A464">
        <v>463</v>
      </c>
      <c r="B464" s="34" t="s">
        <v>7724</v>
      </c>
      <c r="C464" s="34" t="s">
        <v>7612</v>
      </c>
    </row>
    <row r="465">
      <c r="A465">
        <v>464</v>
      </c>
      <c r="B465" s="34" t="s">
        <v>7727</v>
      </c>
      <c r="C465" s="34" t="s">
        <v>7612</v>
      </c>
    </row>
    <row r="466">
      <c r="A466">
        <v>465</v>
      </c>
      <c r="B466" s="34" t="s">
        <v>7730</v>
      </c>
      <c r="C466" s="34" t="s">
        <v>7612</v>
      </c>
    </row>
    <row r="467">
      <c r="A467">
        <v>466</v>
      </c>
      <c r="B467" s="34" t="s">
        <v>7733</v>
      </c>
      <c r="C467" s="34" t="s">
        <v>7612</v>
      </c>
    </row>
    <row r="468">
      <c r="A468">
        <v>467</v>
      </c>
      <c r="B468" s="34" t="s">
        <v>7736</v>
      </c>
      <c r="C468" s="34" t="s">
        <v>7612</v>
      </c>
    </row>
    <row r="469">
      <c r="A469">
        <v>468</v>
      </c>
      <c r="B469" s="34" t="s">
        <v>7738</v>
      </c>
      <c r="C469" s="34" t="s">
        <v>7612</v>
      </c>
    </row>
    <row r="470">
      <c r="A470">
        <v>469</v>
      </c>
      <c r="B470" s="34" t="s">
        <v>7739</v>
      </c>
      <c r="C470" s="34" t="s">
        <v>7612</v>
      </c>
    </row>
    <row r="471">
      <c r="A471">
        <v>470</v>
      </c>
      <c r="B471" s="34" t="s">
        <v>7742</v>
      </c>
      <c r="C471" s="34" t="s">
        <v>7745</v>
      </c>
    </row>
    <row r="472">
      <c r="A472">
        <v>471</v>
      </c>
      <c r="B472" s="34" t="s">
        <v>7746</v>
      </c>
      <c r="C472" s="34" t="s">
        <v>7745</v>
      </c>
    </row>
    <row r="473">
      <c r="A473">
        <v>472</v>
      </c>
      <c r="B473" s="34" t="s">
        <v>7749</v>
      </c>
      <c r="C473" s="34" t="s">
        <v>7745</v>
      </c>
    </row>
    <row r="474">
      <c r="A474">
        <v>473</v>
      </c>
      <c r="B474" s="34" t="s">
        <v>7752</v>
      </c>
      <c r="C474" s="34" t="s">
        <v>7745</v>
      </c>
    </row>
    <row r="475">
      <c r="A475">
        <v>474</v>
      </c>
      <c r="B475" s="34" t="s">
        <v>7753</v>
      </c>
      <c r="C475" s="34" t="s">
        <v>7745</v>
      </c>
    </row>
    <row r="476">
      <c r="A476">
        <v>475</v>
      </c>
      <c r="B476" s="34" t="s">
        <v>7754</v>
      </c>
      <c r="C476" s="34" t="s">
        <v>7745</v>
      </c>
    </row>
    <row r="477">
      <c r="A477">
        <v>476</v>
      </c>
      <c r="B477" s="34" t="s">
        <v>7755</v>
      </c>
      <c r="C477" s="34" t="s">
        <v>7745</v>
      </c>
    </row>
    <row r="478">
      <c r="A478">
        <v>477</v>
      </c>
      <c r="B478" s="34" t="s">
        <v>7756</v>
      </c>
      <c r="C478" s="34" t="s">
        <v>7745</v>
      </c>
    </row>
    <row r="479">
      <c r="A479">
        <v>478</v>
      </c>
      <c r="B479" s="34" t="s">
        <v>7757</v>
      </c>
      <c r="C479" s="34" t="s">
        <v>7745</v>
      </c>
    </row>
    <row r="480">
      <c r="A480">
        <v>479</v>
      </c>
      <c r="B480" s="34" t="s">
        <v>7758</v>
      </c>
      <c r="C480" s="34" t="s">
        <v>7745</v>
      </c>
    </row>
    <row r="481">
      <c r="A481">
        <v>480</v>
      </c>
      <c r="B481" s="34" t="s">
        <v>7759</v>
      </c>
      <c r="C481" s="34" t="s">
        <v>7745</v>
      </c>
    </row>
    <row r="482">
      <c r="A482">
        <v>481</v>
      </c>
      <c r="B482" s="34" t="s">
        <v>7760</v>
      </c>
      <c r="C482" s="34" t="s">
        <v>7745</v>
      </c>
    </row>
    <row r="483">
      <c r="A483">
        <v>482</v>
      </c>
      <c r="B483" s="34" t="s">
        <v>7761</v>
      </c>
      <c r="C483" s="34" t="s">
        <v>7745</v>
      </c>
    </row>
    <row r="484">
      <c r="A484">
        <v>483</v>
      </c>
      <c r="B484" s="34" t="s">
        <v>7762</v>
      </c>
      <c r="C484" s="34" t="s">
        <v>7745</v>
      </c>
    </row>
    <row r="485">
      <c r="A485">
        <v>484</v>
      </c>
      <c r="B485" s="34" t="s">
        <v>7763</v>
      </c>
      <c r="C485" s="34" t="s">
        <v>7745</v>
      </c>
    </row>
    <row r="486">
      <c r="A486">
        <v>485</v>
      </c>
      <c r="B486" s="34" t="s">
        <v>7764</v>
      </c>
      <c r="C486" s="34" t="s">
        <v>7745</v>
      </c>
    </row>
    <row r="487">
      <c r="A487">
        <v>486</v>
      </c>
      <c r="B487" s="34" t="s">
        <v>7765</v>
      </c>
      <c r="C487" s="34" t="s">
        <v>7745</v>
      </c>
    </row>
    <row r="488">
      <c r="A488">
        <v>487</v>
      </c>
      <c r="B488" s="34" t="s">
        <v>7766</v>
      </c>
      <c r="C488" s="34" t="s">
        <v>7745</v>
      </c>
    </row>
    <row r="489">
      <c r="A489">
        <v>488</v>
      </c>
      <c r="B489" s="34" t="s">
        <v>7767</v>
      </c>
      <c r="C489" s="34" t="s">
        <v>7745</v>
      </c>
    </row>
    <row r="490">
      <c r="A490">
        <v>489</v>
      </c>
      <c r="B490" s="34" t="s">
        <v>7768</v>
      </c>
      <c r="C490" s="34" t="s">
        <v>7745</v>
      </c>
    </row>
    <row r="491">
      <c r="A491">
        <v>490</v>
      </c>
      <c r="B491" s="34" t="s">
        <v>7771</v>
      </c>
      <c r="C491" s="34" t="s">
        <v>7745</v>
      </c>
    </row>
    <row r="492">
      <c r="A492">
        <v>491</v>
      </c>
      <c r="B492" s="34" t="s">
        <v>7774</v>
      </c>
      <c r="C492" s="34" t="s">
        <v>7745</v>
      </c>
    </row>
    <row r="493">
      <c r="A493">
        <v>492</v>
      </c>
      <c r="B493" s="34" t="s">
        <v>7777</v>
      </c>
      <c r="C493" s="34" t="s">
        <v>7745</v>
      </c>
    </row>
    <row r="494">
      <c r="A494">
        <v>493</v>
      </c>
      <c r="B494" s="34" t="s">
        <v>7780</v>
      </c>
      <c r="C494" s="34" t="s">
        <v>7745</v>
      </c>
    </row>
    <row r="495">
      <c r="A495">
        <v>494</v>
      </c>
      <c r="B495" s="34" t="s">
        <v>7782</v>
      </c>
      <c r="C495" s="34" t="s">
        <v>7745</v>
      </c>
    </row>
    <row r="496">
      <c r="A496">
        <v>495</v>
      </c>
      <c r="B496" s="34" t="s">
        <v>7785</v>
      </c>
      <c r="C496" s="34" t="s">
        <v>7745</v>
      </c>
    </row>
    <row r="497">
      <c r="A497">
        <v>496</v>
      </c>
      <c r="B497" s="34" t="s">
        <v>7788</v>
      </c>
      <c r="C497" s="34" t="s">
        <v>7745</v>
      </c>
    </row>
    <row r="498">
      <c r="A498">
        <v>497</v>
      </c>
      <c r="B498" s="34" t="s">
        <v>7791</v>
      </c>
      <c r="C498" s="34" t="s">
        <v>7745</v>
      </c>
    </row>
    <row r="499">
      <c r="A499">
        <v>498</v>
      </c>
      <c r="B499" s="34" t="s">
        <v>7794</v>
      </c>
      <c r="C499" s="34" t="s">
        <v>7745</v>
      </c>
    </row>
    <row r="500">
      <c r="A500">
        <v>499</v>
      </c>
      <c r="B500" s="34" t="s">
        <v>7797</v>
      </c>
      <c r="C500" s="34" t="s">
        <v>7745</v>
      </c>
    </row>
    <row r="501">
      <c r="A501">
        <v>500</v>
      </c>
      <c r="B501" s="34" t="s">
        <v>7800</v>
      </c>
      <c r="C501" s="34" t="s">
        <v>7745</v>
      </c>
    </row>
    <row r="502">
      <c r="A502">
        <v>501</v>
      </c>
      <c r="B502" s="34" t="s">
        <v>7803</v>
      </c>
      <c r="C502" s="34" t="s">
        <v>7745</v>
      </c>
    </row>
    <row r="503">
      <c r="A503">
        <v>502</v>
      </c>
      <c r="B503" s="34" t="s">
        <v>7804</v>
      </c>
      <c r="C503" s="34" t="s">
        <v>7745</v>
      </c>
    </row>
    <row r="504">
      <c r="A504">
        <v>503</v>
      </c>
      <c r="B504" s="34" t="s">
        <v>7805</v>
      </c>
      <c r="C504" s="34" t="s">
        <v>7745</v>
      </c>
    </row>
    <row r="505">
      <c r="A505">
        <v>504</v>
      </c>
      <c r="B505" s="34" t="s">
        <v>7808</v>
      </c>
      <c r="C505" s="34" t="s">
        <v>7745</v>
      </c>
    </row>
    <row r="506">
      <c r="A506">
        <v>505</v>
      </c>
      <c r="B506" s="34" t="s">
        <v>7810</v>
      </c>
      <c r="C506" s="34" t="s">
        <v>7745</v>
      </c>
    </row>
    <row r="507">
      <c r="A507">
        <v>506</v>
      </c>
      <c r="B507" s="34" t="s">
        <v>7813</v>
      </c>
      <c r="C507" s="34" t="s">
        <v>7745</v>
      </c>
    </row>
    <row r="508">
      <c r="A508">
        <v>507</v>
      </c>
      <c r="B508" s="34" t="s">
        <v>7816</v>
      </c>
      <c r="C508" s="34" t="s">
        <v>7745</v>
      </c>
    </row>
    <row r="509">
      <c r="A509">
        <v>508</v>
      </c>
      <c r="B509" s="34" t="s">
        <v>7819</v>
      </c>
      <c r="C509" s="34" t="s">
        <v>7745</v>
      </c>
    </row>
    <row r="510">
      <c r="A510">
        <v>509</v>
      </c>
      <c r="B510" s="34" t="s">
        <v>7822</v>
      </c>
      <c r="C510" s="34" t="s">
        <v>7745</v>
      </c>
    </row>
    <row r="511">
      <c r="A511">
        <v>510</v>
      </c>
      <c r="B511" s="34" t="s">
        <v>7825</v>
      </c>
      <c r="C511" s="34" t="s">
        <v>7745</v>
      </c>
    </row>
    <row r="512">
      <c r="A512">
        <v>511</v>
      </c>
      <c r="B512" s="34" t="s">
        <v>7828</v>
      </c>
      <c r="C512" s="34" t="s">
        <v>7745</v>
      </c>
    </row>
    <row r="513">
      <c r="A513">
        <v>512</v>
      </c>
      <c r="B513" s="34" t="s">
        <v>7831</v>
      </c>
      <c r="C513" s="34" t="s">
        <v>7745</v>
      </c>
    </row>
    <row r="514">
      <c r="A514">
        <v>513</v>
      </c>
      <c r="B514" s="34" t="s">
        <v>7834</v>
      </c>
      <c r="C514" s="34" t="s">
        <v>7745</v>
      </c>
    </row>
    <row r="515">
      <c r="A515">
        <v>514</v>
      </c>
      <c r="B515" s="34" t="s">
        <v>7837</v>
      </c>
      <c r="C515" s="34" t="s">
        <v>7745</v>
      </c>
    </row>
    <row r="516">
      <c r="A516">
        <v>515</v>
      </c>
      <c r="B516" s="34" t="s">
        <v>7840</v>
      </c>
      <c r="C516" s="34" t="s">
        <v>7745</v>
      </c>
    </row>
    <row r="517">
      <c r="A517">
        <v>516</v>
      </c>
      <c r="B517" s="34" t="s">
        <v>7843</v>
      </c>
      <c r="C517" s="34" t="s">
        <v>7745</v>
      </c>
    </row>
    <row r="518">
      <c r="A518">
        <v>517</v>
      </c>
      <c r="B518" s="34" t="s">
        <v>7846</v>
      </c>
      <c r="C518" s="34" t="s">
        <v>7745</v>
      </c>
    </row>
    <row r="519">
      <c r="A519">
        <v>518</v>
      </c>
      <c r="B519" s="34" t="s">
        <v>7849</v>
      </c>
      <c r="C519" s="34" t="s">
        <v>7745</v>
      </c>
    </row>
    <row r="520">
      <c r="A520">
        <v>519</v>
      </c>
      <c r="B520" s="34" t="s">
        <v>7852</v>
      </c>
      <c r="C520" s="34" t="s">
        <v>7745</v>
      </c>
    </row>
    <row r="521">
      <c r="A521">
        <v>520</v>
      </c>
      <c r="B521" s="34" t="s">
        <v>7853</v>
      </c>
      <c r="C521" s="34" t="s">
        <v>7745</v>
      </c>
    </row>
    <row r="522">
      <c r="A522">
        <v>521</v>
      </c>
      <c r="B522" s="34" t="s">
        <v>7856</v>
      </c>
      <c r="C522" s="34" t="s">
        <v>7745</v>
      </c>
    </row>
    <row r="523">
      <c r="A523">
        <v>522</v>
      </c>
      <c r="B523" s="34" t="s">
        <v>7857</v>
      </c>
      <c r="C523" s="34" t="s">
        <v>7745</v>
      </c>
    </row>
    <row r="524">
      <c r="A524">
        <v>523</v>
      </c>
      <c r="B524" s="34" t="s">
        <v>7860</v>
      </c>
      <c r="C524" s="34" t="s">
        <v>7745</v>
      </c>
    </row>
    <row r="525">
      <c r="A525">
        <v>524</v>
      </c>
      <c r="B525" s="34" t="s">
        <v>7863</v>
      </c>
      <c r="C525" s="34" t="s">
        <v>7745</v>
      </c>
    </row>
    <row r="526">
      <c r="A526">
        <v>525</v>
      </c>
      <c r="B526" s="34" t="s">
        <v>7866</v>
      </c>
      <c r="C526" s="34" t="s">
        <v>7745</v>
      </c>
    </row>
    <row r="527">
      <c r="A527">
        <v>526</v>
      </c>
      <c r="B527" s="34" t="s">
        <v>7869</v>
      </c>
      <c r="C527" s="34" t="s">
        <v>7745</v>
      </c>
    </row>
    <row r="528">
      <c r="A528">
        <v>527</v>
      </c>
      <c r="B528" s="34" t="s">
        <v>7872</v>
      </c>
      <c r="C528" s="34" t="s">
        <v>7745</v>
      </c>
    </row>
    <row r="529">
      <c r="A529">
        <v>528</v>
      </c>
      <c r="B529" s="34" t="s">
        <v>7875</v>
      </c>
      <c r="C529" s="34" t="s">
        <v>7745</v>
      </c>
    </row>
    <row r="530">
      <c r="A530">
        <v>529</v>
      </c>
      <c r="B530" s="34" t="s">
        <v>7876</v>
      </c>
      <c r="C530" s="34" t="s">
        <v>7745</v>
      </c>
    </row>
    <row r="531">
      <c r="A531">
        <v>530</v>
      </c>
      <c r="B531" s="34" t="s">
        <v>7879</v>
      </c>
      <c r="C531" s="34" t="s">
        <v>7745</v>
      </c>
    </row>
    <row r="532">
      <c r="A532">
        <v>531</v>
      </c>
      <c r="B532" s="34" t="s">
        <v>7882</v>
      </c>
      <c r="C532" s="34" t="s">
        <v>7745</v>
      </c>
    </row>
    <row r="533">
      <c r="A533">
        <v>532</v>
      </c>
      <c r="B533" s="34" t="s">
        <v>7885</v>
      </c>
      <c r="C533" s="34" t="s">
        <v>7745</v>
      </c>
    </row>
    <row r="534">
      <c r="A534">
        <v>533</v>
      </c>
      <c r="B534" s="34" t="s">
        <v>7888</v>
      </c>
      <c r="C534" s="34" t="s">
        <v>7745</v>
      </c>
    </row>
    <row r="535">
      <c r="A535">
        <v>534</v>
      </c>
      <c r="B535" s="34" t="s">
        <v>7891</v>
      </c>
      <c r="C535" s="34" t="s">
        <v>6577</v>
      </c>
    </row>
    <row r="536">
      <c r="A536">
        <v>535</v>
      </c>
      <c r="B536" s="34" t="s">
        <v>7892</v>
      </c>
      <c r="C536" s="34" t="s">
        <v>6577</v>
      </c>
    </row>
    <row r="537">
      <c r="A537">
        <v>536</v>
      </c>
      <c r="B537" s="34" t="s">
        <v>7893</v>
      </c>
      <c r="C537" s="34" t="s">
        <v>6577</v>
      </c>
    </row>
    <row r="538">
      <c r="A538">
        <v>537</v>
      </c>
      <c r="B538" s="34" t="s">
        <v>7894</v>
      </c>
      <c r="C538" s="34" t="s">
        <v>6577</v>
      </c>
    </row>
    <row r="539">
      <c r="A539">
        <v>538</v>
      </c>
      <c r="B539" s="34" t="s">
        <v>7895</v>
      </c>
      <c r="C539" s="34" t="s">
        <v>6577</v>
      </c>
    </row>
    <row r="540">
      <c r="A540">
        <v>539</v>
      </c>
      <c r="B540" s="34" t="s">
        <v>7896</v>
      </c>
      <c r="C540" s="34" t="s">
        <v>6577</v>
      </c>
    </row>
    <row r="541">
      <c r="A541">
        <v>540</v>
      </c>
      <c r="B541" s="34" t="s">
        <v>7897</v>
      </c>
      <c r="C541" s="34" t="s">
        <v>6577</v>
      </c>
    </row>
  </sheetData>
  <autoFilter ref="A1:C54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 id="{4781D221-EE26-4470-8B66-03D3C96CD64C}">
            <x14:dxf>
              <font>
                <color rgb="FF9C0006"/>
              </font>
              <fill>
                <patternFill patternType="solid">
                  <fgColor rgb="FFFFC7CE"/>
                  <bgColor rgb="FFFFC7CE"/>
                </patternFill>
              </fill>
            </x14:dxf>
          </x14:cfRule>
          <xm:sqref>B471</xm:sqref>
        </x14:conditionalFormatting>
        <x14:conditionalFormatting xmlns:xm="http://schemas.microsoft.com/office/excel/2006/main">
          <x14:cfRule type="duplicateValues" priority="2" id="{516E57DB-4959-4E2A-B6A0-F8F634C60DCC}">
            <x14:dxf>
              <font>
                <color rgb="FF9C0006"/>
              </font>
              <fill>
                <patternFill patternType="solid">
                  <fgColor rgb="FFFFC7CE"/>
                  <bgColor rgb="FFFFC7CE"/>
                </patternFill>
              </fill>
            </x14:dxf>
          </x14:cfRule>
          <xm:sqref>B471</xm:sqref>
        </x14:conditionalFormatting>
        <x14:conditionalFormatting xmlns:xm="http://schemas.microsoft.com/office/excel/2006/main">
          <x14:cfRule type="duplicateValues" priority="3" id="{B2491F48-0409-481C-B819-82514CB76A66}">
            <x14:dxf>
              <font>
                <color rgb="FF9C0006"/>
              </font>
              <fill>
                <patternFill patternType="solid">
                  <fgColor rgb="FFFFC7CE"/>
                  <bgColor rgb="FFFFC7CE"/>
                </patternFill>
              </fill>
            </x14:dxf>
          </x14:cfRule>
          <xm:sqref>B471</xm:sqref>
        </x14:conditionalFormatting>
        <x14:conditionalFormatting xmlns:xm="http://schemas.microsoft.com/office/excel/2006/main">
          <x14:cfRule type="duplicateValues" priority="4" id="{1645E4B5-2941-439A-B501-DB7D830FF688}">
            <x14:dxf>
              <font>
                <color rgb="FF9C0006"/>
              </font>
              <fill>
                <patternFill patternType="solid">
                  <fgColor rgb="FFFFC7CE"/>
                  <bgColor rgb="FFFFC7CE"/>
                </patternFill>
              </fill>
            </x14:dxf>
          </x14:cfRule>
          <xm:sqref>B471</xm:sqref>
        </x14:conditionalFormatting>
        <x14:conditionalFormatting xmlns:xm="http://schemas.microsoft.com/office/excel/2006/main">
          <x14:cfRule type="duplicateValues" priority="5" id="{DFFB5857-24EC-49A5-BF7B-B1FCC7544C8E}">
            <x14:dxf>
              <font>
                <color rgb="FF9C0006"/>
              </font>
              <fill>
                <patternFill patternType="solid">
                  <fgColor rgb="FFFFC7CE"/>
                  <bgColor rgb="FFFFC7CE"/>
                </patternFill>
              </fill>
            </x14:dxf>
          </x14:cfRule>
          <xm:sqref>B471</xm:sqref>
        </x14:conditionalFormatting>
        <x14:conditionalFormatting xmlns:xm="http://schemas.microsoft.com/office/excel/2006/main">
          <x14:cfRule type="duplicateValues" priority="6" id="{8C408609-C605-40B5-AB9E-43017DF41EC2}">
            <x14:dxf>
              <font>
                <color rgb="FF9C0006"/>
              </font>
              <fill>
                <patternFill patternType="solid">
                  <fgColor rgb="FFFFC7CE"/>
                  <bgColor rgb="FFFFC7CE"/>
                </patternFill>
              </fill>
            </x14:dxf>
          </x14:cfRule>
          <xm:sqref>B471</xm:sqref>
        </x14:conditionalFormatting>
        <x14:conditionalFormatting xmlns:xm="http://schemas.microsoft.com/office/excel/2006/main">
          <x14:cfRule type="duplicateValues" priority="15" id="{8CC7953F-8658-4342-BD56-E57D5A8E8432}">
            <x14:dxf>
              <font>
                <color rgb="FF9C0006"/>
              </font>
              <fill>
                <patternFill patternType="solid">
                  <fgColor rgb="FFFFC7CE"/>
                  <bgColor rgb="FFFFC7CE"/>
                </patternFill>
              </fill>
            </x14:dxf>
          </x14:cfRule>
          <xm:sqref>B519:B527</xm:sqref>
        </x14:conditionalFormatting>
        <x14:conditionalFormatting xmlns:xm="http://schemas.microsoft.com/office/excel/2006/main">
          <x14:cfRule type="duplicateValues" priority="16" id="{5E16E0EE-2CAA-4156-A065-27EE5933D7C9}">
            <x14:dxf>
              <font>
                <color rgb="FF9C0006"/>
              </font>
              <fill>
                <patternFill patternType="solid">
                  <fgColor rgb="FFFFC7CE"/>
                  <bgColor rgb="FFFFC7CE"/>
                </patternFill>
              </fill>
            </x14:dxf>
          </x14:cfRule>
          <xm:sqref>B519:B527</xm:sqref>
        </x14:conditionalFormatting>
        <x14:conditionalFormatting xmlns:xm="http://schemas.microsoft.com/office/excel/2006/main">
          <x14:cfRule type="duplicateValues" priority="17" id="{536ACA70-FAC1-4C7F-8D36-E4B40FC55D32}">
            <x14:dxf>
              <font>
                <color rgb="FF9C0006"/>
              </font>
              <fill>
                <patternFill patternType="solid">
                  <fgColor rgb="FFFFC7CE"/>
                  <bgColor rgb="FFFFC7CE"/>
                </patternFill>
              </fill>
            </x14:dxf>
          </x14:cfRule>
          <xm:sqref>B519:B527</xm:sqref>
        </x14:conditionalFormatting>
        <x14:conditionalFormatting xmlns:xm="http://schemas.microsoft.com/office/excel/2006/main">
          <x14:cfRule type="duplicateValues" priority="18" id="{60F28D1E-FD88-499A-B033-593E324DF8EC}">
            <x14:dxf>
              <font>
                <color rgb="FF9C0006"/>
              </font>
              <fill>
                <patternFill patternType="solid">
                  <fgColor rgb="FFFFC7CE"/>
                  <bgColor rgb="FFFFC7CE"/>
                </patternFill>
              </fill>
            </x14:dxf>
          </x14:cfRule>
          <xm:sqref>B519:B527</xm:sqref>
        </x14:conditionalFormatting>
        <x14:conditionalFormatting xmlns:xm="http://schemas.microsoft.com/office/excel/2006/main">
          <x14:cfRule type="duplicateValues" priority="19" id="{52325B91-E43D-4B1F-A611-FB1829B0690A}">
            <x14:dxf>
              <font>
                <color rgb="FF9C0006"/>
              </font>
              <fill>
                <patternFill patternType="solid">
                  <fgColor rgb="FFFFC7CE"/>
                  <bgColor rgb="FFFFC7CE"/>
                </patternFill>
              </fill>
            </x14:dxf>
          </x14:cfRule>
          <xm:sqref>B519:B527</xm:sqref>
        </x14:conditionalFormatting>
        <x14:conditionalFormatting xmlns:xm="http://schemas.microsoft.com/office/excel/2006/main">
          <x14:cfRule type="duplicateValues" priority="14" id="{9AA6E1E4-7505-470E-AAB9-578CA64BC973}">
            <x14:dxf>
              <font>
                <color rgb="FF9C0006"/>
              </font>
              <fill>
                <patternFill patternType="solid">
                  <fgColor rgb="FFFFC7CE"/>
                  <bgColor rgb="FFFFC7CE"/>
                </patternFill>
              </fill>
            </x14:dxf>
          </x14:cfRule>
          <xm:sqref>B520:B527</xm:sqref>
        </x14:conditionalFormatting>
        <x14:conditionalFormatting xmlns:xm="http://schemas.microsoft.com/office/excel/2006/main">
          <x14:cfRule type="duplicateValues" priority="13" id="{6878E283-127A-4193-A8E9-B8F484A81B4C}">
            <x14:dxf>
              <font>
                <color rgb="FF9C0006"/>
              </font>
              <fill>
                <patternFill patternType="solid">
                  <fgColor rgb="FFFFC7CE"/>
                  <bgColor rgb="FFFFC7CE"/>
                </patternFill>
              </fill>
            </x14:dxf>
          </x14:cfRule>
          <xm:sqref>B525:B527</xm:sqref>
        </x14:conditionalFormatting>
        <x14:conditionalFormatting xmlns:xm="http://schemas.microsoft.com/office/excel/2006/main">
          <x14:cfRule type="duplicateValues" priority="12" id="{3E94614A-F8B8-412F-BFE3-7C45B8F579F0}">
            <x14:dxf>
              <font>
                <color rgb="FF9C0006"/>
              </font>
              <fill>
                <patternFill patternType="solid">
                  <fgColor rgb="FFFFC7CE"/>
                  <bgColor rgb="FFFFC7CE"/>
                </patternFill>
              </fill>
            </x14:dxf>
          </x14:cfRule>
          <xm:sqref>B528:B530</xm:sqref>
        </x14:conditionalFormatting>
        <x14:conditionalFormatting xmlns:xm="http://schemas.microsoft.com/office/excel/2006/main">
          <x14:cfRule type="duplicateValues" priority="11" id="{813CF60A-762C-4DFD-B259-4DC1818732B4}">
            <x14:dxf>
              <font>
                <color rgb="FF9C0006"/>
              </font>
              <fill>
                <patternFill patternType="solid">
                  <fgColor rgb="FFFFC7CE"/>
                  <bgColor rgb="FFFFC7CE"/>
                </patternFill>
              </fill>
            </x14:dxf>
          </x14:cfRule>
          <xm:sqref>B531:B532</xm:sqref>
        </x14:conditionalFormatting>
        <x14:conditionalFormatting xmlns:xm="http://schemas.microsoft.com/office/excel/2006/main">
          <x14:cfRule type="duplicateValues" priority="10" id="{9AD11990-2D2A-4009-986E-2BE841ACFC03}">
            <x14:dxf>
              <font>
                <color rgb="FF9C0006"/>
              </font>
              <fill>
                <patternFill patternType="solid">
                  <fgColor rgb="FFFFC7CE"/>
                  <bgColor rgb="FFFFC7CE"/>
                </patternFill>
              </fill>
            </x14:dxf>
          </x14:cfRule>
          <xm:sqref>B533:B534</xm:sqref>
        </x14:conditionalFormatting>
        <x14:conditionalFormatting xmlns:xm="http://schemas.microsoft.com/office/excel/2006/main">
          <x14:cfRule type="duplicateValues" priority="8" id="{F609E920-31A1-4A10-8D2A-B7E85D3A7760}">
            <x14:dxf>
              <font>
                <color rgb="FF9C0006"/>
              </font>
              <fill>
                <patternFill patternType="solid">
                  <fgColor rgb="FFFFC7CE"/>
                  <bgColor rgb="FFFFC7CE"/>
                </patternFill>
              </fill>
            </x14:dxf>
          </x14:cfRule>
          <xm:sqref>B535</xm:sqref>
        </x14:conditionalFormatting>
        <x14:conditionalFormatting xmlns:xm="http://schemas.microsoft.com/office/excel/2006/main">
          <x14:cfRule type="duplicateValues" priority="9" id="{0223FAC8-20A8-4B03-9C05-C4C3FF85C13D}">
            <x14:dxf>
              <font>
                <color rgb="FF9C0006"/>
              </font>
              <fill>
                <patternFill patternType="solid">
                  <fgColor rgb="FFFFC7CE"/>
                  <bgColor rgb="FFFFC7CE"/>
                </patternFill>
              </fill>
            </x14:dxf>
          </x14:cfRule>
          <xm:sqref>B536</xm:sqref>
        </x14:conditionalFormatting>
        <x14:conditionalFormatting xmlns:xm="http://schemas.microsoft.com/office/excel/2006/main">
          <x14:cfRule type="duplicateValues" priority="7" id="{5ACA8F36-2BA3-4A9E-8B2F-DFB19E2733E9}">
            <x14:dxf>
              <font>
                <color rgb="FF9C0006"/>
              </font>
              <fill>
                <patternFill patternType="solid">
                  <fgColor rgb="FFFFC7CE"/>
                  <bgColor rgb="FFFFC7CE"/>
                </patternFill>
              </fill>
            </x14:dxf>
          </x14:cfRule>
          <xm:sqref>B537:B538</xm:sqref>
        </x14:conditionalFormatting>
        <x14:conditionalFormatting xmlns:xm="http://schemas.microsoft.com/office/excel/2006/main">
          <x14:cfRule type="duplicateValues" priority="20" id="{C0A38D9F-B360-4F89-B622-F35E510DDF04}">
            <x14:dxf>
              <font>
                <color rgb="FF9C0006"/>
              </font>
              <fill>
                <patternFill patternType="solid">
                  <fgColor rgb="FFFFC7CE"/>
                  <bgColor rgb="FFFFC7CE"/>
                </patternFill>
              </fill>
            </x14:dxf>
          </x14:cfRule>
          <xm:sqref>B539:B541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ARIJIT JANA</dc:creator>
  <cp:revision>16</cp:revision>
  <dcterms:created xsi:type="dcterms:W3CDTF">2026-06-17T11:38:15Z</dcterms:created>
  <dcterms:modified xsi:type="dcterms:W3CDTF">2026-10-09T12:07:42Z</dcterms:modified>
</cp:coreProperties>
</file>